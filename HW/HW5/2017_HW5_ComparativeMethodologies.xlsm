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8420" yWindow="-165" windowWidth="20190" windowHeight="11625"/>
  </bookViews>
  <sheets>
    <sheet name="Var Homework" sheetId="9" r:id="rId1"/>
    <sheet name="Eigenvalues" sheetId="5" r:id="rId2"/>
  </sheets>
  <functionGroups/>
  <definedNames>
    <definedName name="v">'Var Homework'!$V$6:$Z$10</definedName>
    <definedName name="x">'Var Homework'!$V$13:$V$17</definedName>
  </definedNames>
  <calcPr calcId="125725"/>
</workbook>
</file>

<file path=xl/calcChain.xml><?xml version="1.0" encoding="utf-8"?>
<calcChain xmlns="http://schemas.openxmlformats.org/spreadsheetml/2006/main">
  <c r="AU5" i="9"/>
  <c r="AZ5"/>
  <c r="AS5"/>
  <c r="AQ5"/>
  <c r="AL1015"/>
  <c r="AM1015"/>
  <c r="AN1015"/>
  <c r="AO1015"/>
  <c r="AK1015"/>
  <c r="AK1016" s="1"/>
  <c r="L7"/>
  <c r="Z5" s="1"/>
  <c r="Z2"/>
  <c r="K7"/>
  <c r="Y5" s="1"/>
  <c r="Y2"/>
  <c r="J7"/>
  <c r="X5"/>
  <c r="X2"/>
  <c r="I7"/>
  <c r="W5"/>
  <c r="W2"/>
  <c r="H7"/>
  <c r="V5" s="1"/>
  <c r="V2"/>
  <c r="BA5"/>
  <c r="AX5"/>
  <c r="AW5"/>
  <c r="AR5"/>
  <c r="AL1016"/>
  <c r="AM1016"/>
  <c r="AN1016"/>
  <c r="AO1016"/>
  <c r="AM1025"/>
  <c r="AM1032" s="1"/>
  <c r="AN1025"/>
  <c r="AN1032" s="1"/>
  <c r="AO1025"/>
  <c r="AO1032" s="1"/>
  <c r="AN1026"/>
  <c r="AN1033" s="1"/>
  <c r="AO1026"/>
  <c r="AO1033" s="1"/>
  <c r="AK1027"/>
  <c r="AK1034" s="1"/>
  <c r="AL1027"/>
  <c r="AL1034" s="1"/>
  <c r="AM1027"/>
  <c r="AM1034" s="1"/>
  <c r="AO1027"/>
  <c r="AO1034" s="1"/>
  <c r="AK1028"/>
  <c r="AK1035" s="1"/>
  <c r="AL1028"/>
  <c r="AL1035" s="1"/>
  <c r="AM1028"/>
  <c r="AM1035" s="1"/>
  <c r="AN1028"/>
  <c r="AN1035" s="1"/>
  <c r="AK1024"/>
  <c r="AO1024"/>
  <c r="AO1031"/>
  <c r="AN1024"/>
  <c r="AN1031"/>
  <c r="AM1024"/>
  <c r="AM1031"/>
  <c r="AL1024"/>
  <c r="AL1031"/>
  <c r="AL1025"/>
  <c r="AK1025"/>
  <c r="AK1032" s="1"/>
  <c r="AM1026"/>
  <c r="AN1027"/>
  <c r="AO1028"/>
  <c r="AL1026"/>
  <c r="AL1033"/>
  <c r="AK1026"/>
  <c r="AK1033"/>
  <c r="B15" i="5" a="1"/>
  <c r="AT5" i="9" l="1"/>
  <c r="AY5"/>
  <c r="C16" i="5"/>
  <c r="C18"/>
  <c r="B15"/>
  <c r="B17"/>
  <c r="B19"/>
  <c r="E16"/>
  <c r="E18"/>
  <c r="D15"/>
  <c r="D17"/>
  <c r="D19"/>
  <c r="C15"/>
  <c r="C17"/>
  <c r="C19"/>
  <c r="B16"/>
  <c r="B18"/>
  <c r="E15"/>
  <c r="E17"/>
  <c r="E19"/>
  <c r="D16"/>
  <c r="D18"/>
</calcChain>
</file>

<file path=xl/sharedStrings.xml><?xml version="1.0" encoding="utf-8"?>
<sst xmlns="http://schemas.openxmlformats.org/spreadsheetml/2006/main" count="175" uniqueCount="92">
  <si>
    <t>Example from Davis (1986) p. 137</t>
  </si>
  <si>
    <t>This is a simple example for eigenvector/eigenvalue computation</t>
  </si>
  <si>
    <t>You should be able to repeat this calculation by hand</t>
  </si>
  <si>
    <t>Input Array (Must be symmetric)</t>
  </si>
  <si>
    <t>The function call is</t>
  </si>
  <si>
    <t>=SymmetricEigenvectors(3, C7:E9)</t>
  </si>
  <si>
    <t>The function needs the size of the input array, and then the input array</t>
  </si>
  <si>
    <t>Output is array of (n+2) rows, (n+1) columns, where n is size of input array</t>
  </si>
  <si>
    <t>The extent of the output array is in grey below.</t>
  </si>
  <si>
    <t>Remember to use CTRL+SHIFT+ENTER when using array functions</t>
  </si>
  <si>
    <t>Output</t>
  </si>
  <si>
    <t>date</t>
  </si>
  <si>
    <t>Transformation</t>
  </si>
  <si>
    <t>Matrix</t>
  </si>
  <si>
    <t>P&amp;L</t>
  </si>
  <si>
    <t>SPX</t>
  </si>
  <si>
    <t>GBP</t>
  </si>
  <si>
    <t>JPY</t>
  </si>
  <si>
    <t>variance</t>
  </si>
  <si>
    <t>std</t>
  </si>
  <si>
    <t>HS VAR</t>
  </si>
  <si>
    <t>VCV VAR</t>
  </si>
  <si>
    <t>HIST SIM</t>
  </si>
  <si>
    <t>V/CV</t>
  </si>
  <si>
    <t>Diagonal</t>
  </si>
  <si>
    <t>Matrix of</t>
  </si>
  <si>
    <t>Monte Carlo</t>
  </si>
  <si>
    <t>covar</t>
  </si>
  <si>
    <t>correl</t>
  </si>
  <si>
    <t>Random Normals</t>
  </si>
  <si>
    <t>Eigenvalues</t>
  </si>
  <si>
    <t>SQRT(Diagonal</t>
  </si>
  <si>
    <t>Eigenvalues)</t>
  </si>
  <si>
    <t>simSPX</t>
  </si>
  <si>
    <t>simGBP</t>
  </si>
  <si>
    <t>simJPY</t>
  </si>
  <si>
    <t>TOTAL</t>
  </si>
  <si>
    <t>MC VAR</t>
  </si>
  <si>
    <t>% changes</t>
  </si>
  <si>
    <t>Simulated Changes</t>
  </si>
  <si>
    <t>POSITION</t>
  </si>
  <si>
    <t>Use an eigenvalue/eigenvector decomp</t>
  </si>
  <si>
    <t>Assume that the 10y has a 3.63 yield</t>
  </si>
  <si>
    <t>Using the positions in A6:F6, calculate 99%, 95% and 90% and 80% var using V/CV, HS, and MC.</t>
  </si>
  <si>
    <t>Test your random normals for iid normality</t>
  </si>
  <si>
    <t>Show stand-alone 99% vars for each asset in C/CV, HS, and MC</t>
  </si>
  <si>
    <t>stdev</t>
  </si>
  <si>
    <t>2.33 stdev</t>
  </si>
  <si>
    <t>stand-alone var</t>
  </si>
  <si>
    <t>portfolio</t>
  </si>
  <si>
    <t>clue! Random normal vector * transformation matrix</t>
  </si>
  <si>
    <t>stand alone MC var</t>
  </si>
  <si>
    <t>clue! sim % ch*close*100*pv01*pos/1mm</t>
  </si>
  <si>
    <t>corr matrix of simulated data</t>
  </si>
  <si>
    <t>clue!-% ch*last obs*100*PV01*pos/1mm</t>
  </si>
  <si>
    <t>covariance matrix</t>
  </si>
  <si>
    <t>clue! position*PV01*last obs*100</t>
  </si>
  <si>
    <t>10y PV01</t>
  </si>
  <si>
    <t>clue! Use transpose</t>
  </si>
  <si>
    <t>of AD24:AH28</t>
  </si>
  <si>
    <t>* diag matrix of eigenvalue</t>
  </si>
  <si>
    <t>sqrts</t>
  </si>
  <si>
    <t>clue! Use these normal table values</t>
  </si>
  <si>
    <t>position</t>
  </si>
  <si>
    <t>Original correlation matrix:</t>
  </si>
  <si>
    <t>STDEV</t>
  </si>
  <si>
    <t>Stand-alone 99%VaR's for Historical Simulation</t>
  </si>
  <si>
    <t>Stand-alone 99% VaR's for V/CV</t>
  </si>
  <si>
    <t>(per $1MM)</t>
  </si>
  <si>
    <t>RN1</t>
  </si>
  <si>
    <t>RN2</t>
  </si>
  <si>
    <t>RN3</t>
  </si>
  <si>
    <t>RN4</t>
  </si>
  <si>
    <t>RN5</t>
  </si>
  <si>
    <t>Random Normal Testing</t>
  </si>
  <si>
    <t>Jarque-Bera Test For Normality (99% Confidence)</t>
  </si>
  <si>
    <t>Null Hyp: Generated random normals are not statistically different from std normal.</t>
  </si>
  <si>
    <t>Alt Hyp: Generated random normals are statistically different from std normal.</t>
  </si>
  <si>
    <t>JB Statistic</t>
  </si>
  <si>
    <t>Null Hyp?</t>
  </si>
  <si>
    <t>Correlation Test For IID Normality (99% Confidence)</t>
  </si>
  <si>
    <t>Null Hyp: Correlation between generated random normal columns is NOT statistically different from 0.</t>
  </si>
  <si>
    <t>Alt Hyp: Correlation between generated random normal columns is statistically different from 0.</t>
  </si>
  <si>
    <t>RN Corr</t>
  </si>
  <si>
    <t>Nothing</t>
  </si>
  <si>
    <t>sign!</t>
  </si>
  <si>
    <t>eigensystem</t>
  </si>
  <si>
    <t>2011 hw</t>
  </si>
  <si>
    <t>GOLD</t>
  </si>
  <si>
    <t>simGOLD</t>
  </si>
  <si>
    <t>SWAP10</t>
  </si>
  <si>
    <t>simSWAP10</t>
  </si>
</sst>
</file>

<file path=xl/styles.xml><?xml version="1.0" encoding="utf-8"?>
<styleSheet xmlns="http://schemas.openxmlformats.org/spreadsheetml/2006/main">
  <numFmts count="6">
    <numFmt numFmtId="164" formatCode="0.0"/>
    <numFmt numFmtId="165" formatCode="0.000000"/>
    <numFmt numFmtId="166" formatCode="0.00000000"/>
    <numFmt numFmtId="167" formatCode="dd\-mmm\-yy"/>
    <numFmt numFmtId="168" formatCode="mm/dd/yyyy"/>
    <numFmt numFmtId="169" formatCode="####.0#####"/>
  </numFmts>
  <fonts count="12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09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/>
    <xf numFmtId="0" fontId="0" fillId="2" borderId="0" xfId="0" applyFill="1"/>
    <xf numFmtId="164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5" fillId="2" borderId="3" xfId="1" quotePrefix="1" applyFont="1" applyFill="1" applyBorder="1" applyAlignment="1">
      <alignment horizontal="center"/>
    </xf>
    <xf numFmtId="167" fontId="5" fillId="0" borderId="4" xfId="1" applyNumberFormat="1" applyFont="1" applyFill="1" applyBorder="1" applyAlignment="1">
      <alignment horizontal="right" wrapText="1"/>
    </xf>
    <xf numFmtId="0" fontId="5" fillId="2" borderId="5" xfId="1" quotePrefix="1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2" borderId="0" xfId="1" quotePrefix="1" applyFont="1" applyFill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6" fillId="2" borderId="0" xfId="0" quotePrefix="1" applyFont="1" applyFill="1" applyAlignment="1">
      <alignment horizontal="left"/>
    </xf>
    <xf numFmtId="0" fontId="0" fillId="2" borderId="9" xfId="0" quotePrefix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7" fillId="2" borderId="0" xfId="1" applyFont="1" applyFill="1" applyBorder="1" applyAlignment="1">
      <alignment horizontal="left"/>
    </xf>
    <xf numFmtId="0" fontId="5" fillId="2" borderId="10" xfId="1" quotePrefix="1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5" fillId="2" borderId="12" xfId="1" quotePrefix="1" applyFont="1" applyFill="1" applyBorder="1" applyAlignment="1">
      <alignment horizontal="left"/>
    </xf>
    <xf numFmtId="0" fontId="6" fillId="3" borderId="0" xfId="0" applyFont="1" applyFill="1"/>
    <xf numFmtId="0" fontId="3" fillId="3" borderId="0" xfId="0" applyFont="1" applyFill="1"/>
    <xf numFmtId="0" fontId="0" fillId="3" borderId="0" xfId="0" quotePrefix="1" applyFill="1" applyAlignment="1">
      <alignment horizontal="left"/>
    </xf>
    <xf numFmtId="0" fontId="0" fillId="3" borderId="0" xfId="0" applyFill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" xfId="0" applyFill="1" applyBorder="1"/>
    <xf numFmtId="0" fontId="0" fillId="4" borderId="0" xfId="0" applyFill="1" applyBorder="1"/>
    <xf numFmtId="0" fontId="0" fillId="4" borderId="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0" xfId="0" applyFill="1"/>
    <xf numFmtId="0" fontId="0" fillId="4" borderId="16" xfId="0" quotePrefix="1" applyFill="1" applyBorder="1"/>
    <xf numFmtId="9" fontId="0" fillId="4" borderId="1" xfId="0" applyNumberFormat="1" applyFill="1" applyBorder="1"/>
    <xf numFmtId="0" fontId="0" fillId="4" borderId="2" xfId="0" quotePrefix="1" applyFill="1" applyBorder="1" applyAlignment="1">
      <alignment horizontal="left"/>
    </xf>
    <xf numFmtId="9" fontId="0" fillId="4" borderId="13" xfId="0" applyNumberFormat="1" applyFill="1" applyBorder="1"/>
    <xf numFmtId="0" fontId="5" fillId="4" borderId="17" xfId="1" applyFon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5" fillId="4" borderId="18" xfId="1" applyFon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5" fillId="2" borderId="19" xfId="1" applyFont="1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0" fillId="4" borderId="6" xfId="0" quotePrefix="1" applyFill="1" applyBorder="1"/>
    <xf numFmtId="0" fontId="0" fillId="4" borderId="20" xfId="0" applyFill="1" applyBorder="1"/>
    <xf numFmtId="0" fontId="0" fillId="4" borderId="16" xfId="0" applyFill="1" applyBorder="1"/>
    <xf numFmtId="165" fontId="0" fillId="4" borderId="1" xfId="0" applyNumberFormat="1" applyFill="1" applyBorder="1"/>
    <xf numFmtId="165" fontId="0" fillId="4" borderId="7" xfId="0" applyNumberFormat="1" applyFill="1" applyBorder="1"/>
    <xf numFmtId="165" fontId="0" fillId="4" borderId="0" xfId="0" applyNumberFormat="1" applyFill="1" applyBorder="1"/>
    <xf numFmtId="165" fontId="0" fillId="4" borderId="8" xfId="0" applyNumberFormat="1" applyFill="1" applyBorder="1"/>
    <xf numFmtId="165" fontId="0" fillId="4" borderId="2" xfId="0" applyNumberFormat="1" applyFill="1" applyBorder="1"/>
    <xf numFmtId="165" fontId="0" fillId="4" borderId="13" xfId="0" applyNumberFormat="1" applyFill="1" applyBorder="1"/>
    <xf numFmtId="165" fontId="0" fillId="4" borderId="14" xfId="0" applyNumberFormat="1" applyFill="1" applyBorder="1"/>
    <xf numFmtId="165" fontId="0" fillId="4" borderId="6" xfId="0" applyNumberFormat="1" applyFill="1" applyBorder="1"/>
    <xf numFmtId="166" fontId="0" fillId="4" borderId="6" xfId="0" applyNumberFormat="1" applyFill="1" applyBorder="1"/>
    <xf numFmtId="0" fontId="0" fillId="5" borderId="0" xfId="0" applyFill="1"/>
    <xf numFmtId="0" fontId="0" fillId="6" borderId="0" xfId="0" applyFill="1"/>
    <xf numFmtId="0" fontId="0" fillId="7" borderId="0" xfId="0" applyFill="1" applyBorder="1"/>
    <xf numFmtId="0" fontId="0" fillId="7" borderId="13" xfId="0" applyFill="1" applyBorder="1"/>
    <xf numFmtId="0" fontId="5" fillId="2" borderId="10" xfId="1" quotePrefix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0" fontId="1" fillId="0" borderId="22" xfId="0" applyFont="1" applyBorder="1"/>
    <xf numFmtId="0" fontId="1" fillId="4" borderId="23" xfId="0" applyFont="1" applyFill="1" applyBorder="1"/>
    <xf numFmtId="0" fontId="0" fillId="4" borderId="24" xfId="0" quotePrefix="1" applyFill="1" applyBorder="1" applyAlignment="1">
      <alignment horizontal="left"/>
    </xf>
    <xf numFmtId="0" fontId="0" fillId="4" borderId="25" xfId="0" applyFill="1" applyBorder="1"/>
    <xf numFmtId="0" fontId="1" fillId="0" borderId="20" xfId="0" applyFont="1" applyBorder="1"/>
    <xf numFmtId="0" fontId="1" fillId="0" borderId="26" xfId="0" applyFont="1" applyBorder="1"/>
    <xf numFmtId="0" fontId="1" fillId="0" borderId="16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10" fillId="8" borderId="0" xfId="0" applyFont="1" applyFill="1" applyBorder="1"/>
    <xf numFmtId="0" fontId="0" fillId="8" borderId="6" xfId="0" applyFill="1" applyBorder="1"/>
    <xf numFmtId="0" fontId="10" fillId="8" borderId="24" xfId="0" applyFont="1" applyFill="1" applyBorder="1"/>
    <xf numFmtId="0" fontId="10" fillId="8" borderId="0" xfId="0" applyFont="1" applyFill="1"/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0" fontId="0" fillId="9" borderId="6" xfId="0" applyFill="1" applyBorder="1"/>
    <xf numFmtId="0" fontId="0" fillId="9" borderId="0" xfId="0" applyFill="1" applyBorder="1"/>
    <xf numFmtId="0" fontId="0" fillId="9" borderId="6" xfId="0" quotePrefix="1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1" xfId="0" applyFill="1" applyBorder="1"/>
    <xf numFmtId="0" fontId="0" fillId="9" borderId="2" xfId="0" applyFill="1" applyBorder="1"/>
    <xf numFmtId="0" fontId="0" fillId="9" borderId="27" xfId="0" quotePrefix="1" applyFill="1" applyBorder="1"/>
    <xf numFmtId="0" fontId="1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0" fontId="11" fillId="0" borderId="0" xfId="0" applyFont="1"/>
    <xf numFmtId="168" fontId="0" fillId="0" borderId="0" xfId="0" applyNumberFormat="1"/>
    <xf numFmtId="169" fontId="0" fillId="0" borderId="0" xfId="0" applyNumberFormat="1"/>
    <xf numFmtId="2" fontId="0" fillId="0" borderId="0" xfId="0" applyNumberFormat="1" applyAlignment="1">
      <alignment horizontal="center"/>
    </xf>
    <xf numFmtId="0" fontId="10" fillId="2" borderId="0" xfId="0" quotePrefix="1" applyFont="1" applyFill="1" applyAlignment="1">
      <alignment horizontal="left"/>
    </xf>
    <xf numFmtId="0" fontId="10" fillId="0" borderId="0" xfId="0" quotePrefix="1" applyFont="1" applyAlignment="1">
      <alignment horizontal="left"/>
    </xf>
    <xf numFmtId="0" fontId="1" fillId="8" borderId="0" xfId="0" applyFont="1" applyFill="1" applyAlignment="1">
      <alignment horizontal="center"/>
    </xf>
  </cellXfs>
  <cellStyles count="2">
    <cellStyle name="Normal" xfId="0" builtinId="0"/>
    <cellStyle name="Normal_Sheet1" xfId="1"/>
  </cellStyles>
  <dxfs count="1"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BJ1835"/>
  <sheetViews>
    <sheetView tabSelected="1" workbookViewId="0">
      <selection activeCell="H4" sqref="H4"/>
    </sheetView>
  </sheetViews>
  <sheetFormatPr defaultRowHeight="12.75"/>
  <cols>
    <col min="1" max="1" width="9.85546875" customWidth="1"/>
    <col min="2" max="6" width="10" bestFit="1" customWidth="1"/>
    <col min="21" max="21" width="10" customWidth="1"/>
    <col min="29" max="29" width="13.85546875" style="25" bestFit="1" customWidth="1"/>
    <col min="30" max="32" width="10.5703125" bestFit="1" customWidth="1"/>
    <col min="33" max="33" width="12.28515625" customWidth="1"/>
    <col min="34" max="34" width="11.42578125" bestFit="1" customWidth="1"/>
    <col min="58" max="58" width="12.28515625" customWidth="1"/>
  </cols>
  <sheetData>
    <row r="1" spans="1:62">
      <c r="A1" s="1" t="s">
        <v>43</v>
      </c>
      <c r="N1" s="16" t="s">
        <v>66</v>
      </c>
      <c r="O1" s="17"/>
      <c r="P1" s="17"/>
      <c r="Q1" s="17"/>
      <c r="R1" s="17"/>
      <c r="S1" s="18"/>
      <c r="V1" t="s">
        <v>67</v>
      </c>
      <c r="Z1" s="102">
        <v>2013</v>
      </c>
      <c r="AW1" s="16" t="s">
        <v>51</v>
      </c>
      <c r="AX1" s="17"/>
      <c r="AY1" s="17"/>
      <c r="AZ1" s="17"/>
      <c r="BA1" s="17"/>
      <c r="BB1" s="18"/>
    </row>
    <row r="2" spans="1:62" ht="13.5" thickBot="1">
      <c r="A2" t="s">
        <v>41</v>
      </c>
      <c r="E2" t="s">
        <v>45</v>
      </c>
      <c r="N2" s="70"/>
      <c r="O2" s="70"/>
      <c r="P2" s="70"/>
      <c r="Q2" s="70"/>
      <c r="R2" s="70"/>
      <c r="S2" s="70"/>
      <c r="V2" s="69">
        <f>-ABS(Y13)*$Z$31</f>
        <v>0</v>
      </c>
      <c r="W2" s="69">
        <f>-ABS(Y14)*$Z$31</f>
        <v>0</v>
      </c>
      <c r="X2" s="69">
        <f>-ABS(Y15)*$Z$31</f>
        <v>0</v>
      </c>
      <c r="Y2" s="69">
        <f>-ABS(Y16)*$Z$31</f>
        <v>0</v>
      </c>
      <c r="Z2" s="69">
        <f>-ABS(Y17)*$Z$31</f>
        <v>0</v>
      </c>
      <c r="AW2" s="40"/>
      <c r="AX2" s="40"/>
      <c r="AY2" s="40"/>
      <c r="AZ2" s="40"/>
      <c r="BA2" s="40"/>
      <c r="BB2" s="40"/>
    </row>
    <row r="3" spans="1:62">
      <c r="A3" s="1" t="s">
        <v>42</v>
      </c>
      <c r="H3" s="100"/>
    </row>
    <row r="4" spans="1:62" ht="13.5" thickBot="1">
      <c r="A4" t="s">
        <v>44</v>
      </c>
      <c r="H4" s="101"/>
      <c r="Q4" s="33" t="s">
        <v>85</v>
      </c>
      <c r="U4" t="s">
        <v>55</v>
      </c>
      <c r="AJ4" s="2" t="s">
        <v>29</v>
      </c>
      <c r="AQ4" s="2" t="s">
        <v>39</v>
      </c>
      <c r="AW4" s="2" t="s">
        <v>14</v>
      </c>
      <c r="BE4" t="s">
        <v>53</v>
      </c>
    </row>
    <row r="5" spans="1:62" ht="13.5" thickBot="1">
      <c r="A5" s="12" t="s">
        <v>11</v>
      </c>
      <c r="B5" s="13" t="s">
        <v>90</v>
      </c>
      <c r="C5" s="13" t="s">
        <v>15</v>
      </c>
      <c r="D5" s="13" t="s">
        <v>16</v>
      </c>
      <c r="E5" s="13" t="s">
        <v>17</v>
      </c>
      <c r="F5" s="13" t="s">
        <v>88</v>
      </c>
      <c r="M5" s="19"/>
      <c r="N5" s="20" t="s">
        <v>22</v>
      </c>
      <c r="O5" s="19"/>
      <c r="P5" s="19"/>
      <c r="Q5" s="19"/>
      <c r="R5" s="19"/>
      <c r="S5" s="19"/>
      <c r="T5" s="19"/>
      <c r="U5" s="21" t="s">
        <v>23</v>
      </c>
      <c r="V5" s="15" t="str">
        <f>+H7</f>
        <v>SWAP10</v>
      </c>
      <c r="W5" s="15" t="str">
        <f>+I7</f>
        <v>SPX</v>
      </c>
      <c r="X5" s="15" t="str">
        <f>+J7</f>
        <v>GBP</v>
      </c>
      <c r="Y5" s="15" t="str">
        <f>+K7</f>
        <v>JPY</v>
      </c>
      <c r="Z5" s="15" t="str">
        <f>+L7</f>
        <v>GOLD</v>
      </c>
      <c r="AC5" s="23" t="s">
        <v>26</v>
      </c>
      <c r="AJ5" s="77" t="s">
        <v>69</v>
      </c>
      <c r="AK5" s="78" t="s">
        <v>70</v>
      </c>
      <c r="AL5" s="78" t="s">
        <v>71</v>
      </c>
      <c r="AM5" s="78" t="s">
        <v>72</v>
      </c>
      <c r="AN5" s="79" t="s">
        <v>73</v>
      </c>
      <c r="AQ5" s="9" t="str">
        <f>"sim"&amp;AD6</f>
        <v>simSWAP10</v>
      </c>
      <c r="AR5" s="9" t="str">
        <f>"sim"&amp;AE6</f>
        <v>simSPX</v>
      </c>
      <c r="AS5" s="9" t="str">
        <f>"sim"&amp;AF6</f>
        <v>simGBP</v>
      </c>
      <c r="AT5" s="9" t="str">
        <f>"sim"&amp;AG6</f>
        <v>simJPY</v>
      </c>
      <c r="AU5" s="9" t="str">
        <f>"sim"&amp;AH6</f>
        <v>simGOLD</v>
      </c>
      <c r="AV5" s="9"/>
      <c r="AW5" s="9" t="str">
        <f>"P&amp;L"&amp;AD6</f>
        <v>P&amp;LSWAP10</v>
      </c>
      <c r="AX5" s="9" t="str">
        <f>"P&amp;L"&amp;AE6</f>
        <v>P&amp;LSPX</v>
      </c>
      <c r="AY5" s="9" t="str">
        <f>"P&amp;L"&amp;AF6</f>
        <v>P&amp;LGBP</v>
      </c>
      <c r="AZ5" s="9" t="str">
        <f>"P&amp;L"&amp;AG6</f>
        <v>P&amp;LJPY</v>
      </c>
      <c r="BA5" s="9" t="str">
        <f>"P&amp;L"&amp;AH6</f>
        <v>P&amp;LGOLD</v>
      </c>
      <c r="BB5" s="9" t="s">
        <v>36</v>
      </c>
      <c r="BC5" s="9"/>
      <c r="BD5" s="9"/>
    </row>
    <row r="6" spans="1:62" ht="13.5" thickBot="1">
      <c r="A6" s="30" t="s">
        <v>40</v>
      </c>
      <c r="B6" s="31">
        <v>100</v>
      </c>
      <c r="C6" s="31">
        <v>100</v>
      </c>
      <c r="D6" s="31">
        <v>100</v>
      </c>
      <c r="E6" s="31">
        <v>-100</v>
      </c>
      <c r="F6" s="31">
        <v>100</v>
      </c>
      <c r="H6" t="s">
        <v>38</v>
      </c>
      <c r="N6" s="13" t="s">
        <v>90</v>
      </c>
      <c r="O6" s="13" t="s">
        <v>15</v>
      </c>
      <c r="P6" s="13" t="s">
        <v>16</v>
      </c>
      <c r="Q6" s="13" t="s">
        <v>17</v>
      </c>
      <c r="R6" s="71" t="s">
        <v>88</v>
      </c>
      <c r="S6" s="72" t="s">
        <v>36</v>
      </c>
      <c r="U6" t="s">
        <v>90</v>
      </c>
      <c r="V6" s="34"/>
      <c r="W6" s="34"/>
      <c r="X6" s="34"/>
      <c r="Y6" s="34"/>
      <c r="Z6" s="34"/>
      <c r="AC6" s="24" t="s">
        <v>27</v>
      </c>
      <c r="AD6" s="15" t="s">
        <v>90</v>
      </c>
      <c r="AE6" s="15" t="s">
        <v>15</v>
      </c>
      <c r="AF6" s="15" t="s">
        <v>16</v>
      </c>
      <c r="AG6" s="15" t="s">
        <v>17</v>
      </c>
      <c r="AH6" s="15" t="s">
        <v>88</v>
      </c>
      <c r="AJ6" s="34"/>
      <c r="AK6" s="34"/>
      <c r="AL6" s="34"/>
      <c r="AM6" s="34"/>
      <c r="AN6" s="34"/>
      <c r="AQ6" s="33" t="s">
        <v>50</v>
      </c>
      <c r="AW6" s="32" t="s">
        <v>52</v>
      </c>
      <c r="BF6" s="106" t="s">
        <v>91</v>
      </c>
      <c r="BG6" s="9" t="s">
        <v>33</v>
      </c>
      <c r="BH6" s="9" t="s">
        <v>34</v>
      </c>
      <c r="BI6" s="9" t="s">
        <v>35</v>
      </c>
      <c r="BJ6" s="9" t="s">
        <v>89</v>
      </c>
    </row>
    <row r="7" spans="1:62" ht="13.5" thickBot="1">
      <c r="A7" s="103">
        <v>38716</v>
      </c>
      <c r="B7" s="104">
        <v>4.9429998397827148</v>
      </c>
      <c r="C7" s="105">
        <v>1248.2900390625</v>
      </c>
      <c r="D7" s="104">
        <v>1.7208000421524048</v>
      </c>
      <c r="E7">
        <v>117.96626737825267</v>
      </c>
      <c r="F7">
        <v>516.92816162109375</v>
      </c>
      <c r="H7" s="15" t="str">
        <f>+B5</f>
        <v>SWAP10</v>
      </c>
      <c r="I7" s="15" t="str">
        <f>+C5</f>
        <v>SPX</v>
      </c>
      <c r="J7" s="15" t="str">
        <f>+D5</f>
        <v>GBP</v>
      </c>
      <c r="K7" s="15" t="str">
        <f>+E5</f>
        <v>JPY</v>
      </c>
      <c r="L7" s="15" t="str">
        <f>+F5</f>
        <v>GOLD</v>
      </c>
      <c r="N7" s="32" t="s">
        <v>54</v>
      </c>
      <c r="S7" s="73"/>
      <c r="U7" t="s">
        <v>15</v>
      </c>
      <c r="V7" s="34"/>
      <c r="W7" s="34"/>
      <c r="X7" s="34"/>
      <c r="Y7" s="34"/>
      <c r="Z7" s="34"/>
      <c r="AC7" s="27" t="s">
        <v>90</v>
      </c>
      <c r="AD7" s="34"/>
      <c r="AE7" s="34"/>
      <c r="AF7" s="34"/>
      <c r="AG7" s="34"/>
      <c r="AH7" s="34"/>
      <c r="AJ7" s="34"/>
      <c r="AK7" s="34"/>
      <c r="AL7" s="34"/>
      <c r="AM7" s="34"/>
      <c r="AN7" s="34"/>
      <c r="AQ7" s="67"/>
      <c r="AR7" s="67"/>
      <c r="AS7" s="67"/>
      <c r="AT7" s="67"/>
      <c r="AU7" s="67"/>
      <c r="AW7" s="68"/>
      <c r="AX7" s="68"/>
      <c r="AY7" s="68"/>
      <c r="AZ7" s="68"/>
      <c r="BA7" s="68"/>
      <c r="BB7" s="68"/>
      <c r="BE7" s="106" t="s">
        <v>91</v>
      </c>
      <c r="BF7" s="43"/>
      <c r="BG7" s="43"/>
      <c r="BH7" s="43"/>
      <c r="BI7" s="43"/>
      <c r="BJ7" s="43"/>
    </row>
    <row r="8" spans="1:62" ht="13.5" thickBot="1">
      <c r="A8" s="103">
        <v>38719</v>
      </c>
      <c r="B8" s="104">
        <v>4.9428658485412598</v>
      </c>
      <c r="C8" s="105">
        <v>1248.2900390625</v>
      </c>
      <c r="D8" s="104">
        <v>1.7233999967575073</v>
      </c>
      <c r="E8">
        <v>117.91062904742641</v>
      </c>
      <c r="F8">
        <v>516.92816162109375</v>
      </c>
      <c r="H8" s="34"/>
      <c r="I8" s="34"/>
      <c r="J8" s="34"/>
      <c r="K8" s="34"/>
      <c r="L8" s="34"/>
      <c r="N8" s="34"/>
      <c r="O8" s="35"/>
      <c r="P8" s="35"/>
      <c r="Q8" s="35"/>
      <c r="R8" s="35"/>
      <c r="S8" s="74"/>
      <c r="U8" t="s">
        <v>16</v>
      </c>
      <c r="V8" s="34"/>
      <c r="W8" s="34"/>
      <c r="X8" s="34"/>
      <c r="Y8" s="34"/>
      <c r="Z8" s="34"/>
      <c r="AC8" s="27" t="s">
        <v>15</v>
      </c>
      <c r="AD8" s="34"/>
      <c r="AE8" s="34"/>
      <c r="AF8" s="34"/>
      <c r="AG8" s="34"/>
      <c r="AH8" s="34"/>
      <c r="AJ8" s="34"/>
      <c r="AK8" s="34"/>
      <c r="AL8" s="34"/>
      <c r="AM8" s="34"/>
      <c r="AN8" s="34"/>
      <c r="AQ8" s="67"/>
      <c r="AR8" s="67"/>
      <c r="AS8" s="67"/>
      <c r="AT8" s="67"/>
      <c r="AU8" s="67"/>
      <c r="AW8" s="68"/>
      <c r="AX8" s="68"/>
      <c r="AY8" s="68"/>
      <c r="AZ8" s="68"/>
      <c r="BA8" s="68"/>
      <c r="BB8" s="68"/>
      <c r="BE8" s="9" t="s">
        <v>33</v>
      </c>
      <c r="BF8" s="43"/>
      <c r="BG8" s="43"/>
      <c r="BH8" s="43"/>
      <c r="BI8" s="43"/>
      <c r="BJ8" s="43"/>
    </row>
    <row r="9" spans="1:62" ht="13.5" thickBot="1">
      <c r="A9" s="103">
        <v>38720</v>
      </c>
      <c r="B9" s="104">
        <v>4.9219999313354492</v>
      </c>
      <c r="C9" s="105">
        <v>1268.800048828125</v>
      </c>
      <c r="D9" s="104">
        <v>1.74590003490448</v>
      </c>
      <c r="E9">
        <v>116.30612025608229</v>
      </c>
      <c r="F9">
        <v>530.62054443359375</v>
      </c>
      <c r="H9" s="34"/>
      <c r="I9" s="34"/>
      <c r="J9" s="34"/>
      <c r="K9" s="34"/>
      <c r="L9" s="34"/>
      <c r="N9" s="34"/>
      <c r="O9" s="35"/>
      <c r="P9" s="35"/>
      <c r="Q9" s="35"/>
      <c r="R9" s="35"/>
      <c r="S9" s="74"/>
      <c r="U9" t="s">
        <v>17</v>
      </c>
      <c r="V9" s="34"/>
      <c r="W9" s="34"/>
      <c r="X9" s="34"/>
      <c r="Y9" s="34"/>
      <c r="Z9" s="34"/>
      <c r="AC9" s="27" t="s">
        <v>16</v>
      </c>
      <c r="AD9" s="34"/>
      <c r="AE9" s="34"/>
      <c r="AF9" s="34"/>
      <c r="AG9" s="34"/>
      <c r="AH9" s="34"/>
      <c r="AJ9" s="34"/>
      <c r="AK9" s="34"/>
      <c r="AL9" s="34"/>
      <c r="AM9" s="34"/>
      <c r="AN9" s="34"/>
      <c r="AQ9" s="67"/>
      <c r="AR9" s="67"/>
      <c r="AS9" s="67"/>
      <c r="AT9" s="67"/>
      <c r="AU9" s="67"/>
      <c r="AW9" s="68"/>
      <c r="AX9" s="68"/>
      <c r="AY9" s="68"/>
      <c r="AZ9" s="68"/>
      <c r="BA9" s="68"/>
      <c r="BB9" s="68"/>
      <c r="BE9" s="9" t="s">
        <v>34</v>
      </c>
      <c r="BF9" s="43"/>
      <c r="BG9" s="43"/>
      <c r="BH9" s="43"/>
      <c r="BI9" s="43"/>
      <c r="BJ9" s="43"/>
    </row>
    <row r="10" spans="1:62" ht="13.5" thickBot="1">
      <c r="A10" s="103">
        <v>38721</v>
      </c>
      <c r="B10" s="104">
        <v>4.8959999084472656</v>
      </c>
      <c r="C10" s="105">
        <v>1273.4599609375</v>
      </c>
      <c r="D10" s="104">
        <v>1.7583999633789062</v>
      </c>
      <c r="E10">
        <v>116.03620378738569</v>
      </c>
      <c r="F10">
        <v>533.8203125</v>
      </c>
      <c r="H10" s="34"/>
      <c r="I10" s="34"/>
      <c r="J10" s="34"/>
      <c r="K10" s="34"/>
      <c r="L10" s="34"/>
      <c r="N10" s="34"/>
      <c r="O10" s="35"/>
      <c r="P10" s="35"/>
      <c r="Q10" s="35"/>
      <c r="R10" s="35"/>
      <c r="S10" s="74"/>
      <c r="U10" t="s">
        <v>88</v>
      </c>
      <c r="V10" s="34"/>
      <c r="W10" s="34"/>
      <c r="X10" s="34"/>
      <c r="Y10" s="34"/>
      <c r="Z10" s="34"/>
      <c r="AC10" s="27" t="s">
        <v>17</v>
      </c>
      <c r="AD10" s="34"/>
      <c r="AE10" s="34"/>
      <c r="AF10" s="34"/>
      <c r="AG10" s="34"/>
      <c r="AH10" s="34"/>
      <c r="AJ10" s="34"/>
      <c r="AK10" s="34"/>
      <c r="AL10" s="34"/>
      <c r="AM10" s="34"/>
      <c r="AN10" s="34"/>
      <c r="AQ10" s="67"/>
      <c r="AR10" s="67"/>
      <c r="AS10" s="67"/>
      <c r="AT10" s="67"/>
      <c r="AU10" s="67"/>
      <c r="AW10" s="68"/>
      <c r="AX10" s="68"/>
      <c r="AY10" s="68"/>
      <c r="AZ10" s="68"/>
      <c r="BA10" s="68"/>
      <c r="BB10" s="68"/>
      <c r="BE10" s="9" t="s">
        <v>35</v>
      </c>
      <c r="BF10" s="43"/>
      <c r="BG10" s="43"/>
      <c r="BH10" s="43"/>
      <c r="BI10" s="43"/>
      <c r="BJ10" s="43"/>
    </row>
    <row r="11" spans="1:62" ht="13.5" thickBot="1">
      <c r="A11" s="103">
        <v>38722</v>
      </c>
      <c r="B11" s="104">
        <v>4.8885002136230469</v>
      </c>
      <c r="C11" s="105">
        <v>1273.47998046875</v>
      </c>
      <c r="D11" s="104">
        <v>1.7546000480651855</v>
      </c>
      <c r="E11">
        <v>115.8748544201454</v>
      </c>
      <c r="F11">
        <v>526.1915283203125</v>
      </c>
      <c r="H11" s="34"/>
      <c r="I11" s="34"/>
      <c r="J11" s="34"/>
      <c r="K11" s="34"/>
      <c r="L11" s="34"/>
      <c r="N11" s="34"/>
      <c r="O11" s="35"/>
      <c r="P11" s="35"/>
      <c r="Q11" s="35"/>
      <c r="R11" s="35"/>
      <c r="S11" s="74"/>
      <c r="AC11" s="27" t="s">
        <v>88</v>
      </c>
      <c r="AD11" s="34"/>
      <c r="AE11" s="34"/>
      <c r="AF11" s="34"/>
      <c r="AG11" s="34"/>
      <c r="AH11" s="34"/>
      <c r="AJ11" s="34"/>
      <c r="AK11" s="34"/>
      <c r="AL11" s="34"/>
      <c r="AM11" s="34"/>
      <c r="AN11" s="34"/>
      <c r="AQ11" s="67"/>
      <c r="AR11" s="67"/>
      <c r="AS11" s="67"/>
      <c r="AT11" s="67"/>
      <c r="AU11" s="67"/>
      <c r="AW11" s="68"/>
      <c r="AX11" s="68"/>
      <c r="AY11" s="68"/>
      <c r="AZ11" s="68"/>
      <c r="BA11" s="68"/>
      <c r="BB11" s="68"/>
      <c r="BE11" s="9" t="s">
        <v>89</v>
      </c>
      <c r="BF11" s="43"/>
      <c r="BG11" s="43"/>
      <c r="BH11" s="43"/>
      <c r="BI11" s="43"/>
      <c r="BJ11" s="43"/>
    </row>
    <row r="12" spans="1:62" ht="13.5" thickBot="1">
      <c r="A12" s="103">
        <v>38723</v>
      </c>
      <c r="B12" s="104">
        <v>4.8944997787475586</v>
      </c>
      <c r="C12" s="105">
        <v>1285.449951171875</v>
      </c>
      <c r="D12" s="104">
        <v>1.7704000473022461</v>
      </c>
      <c r="E12">
        <v>114.41647038564851</v>
      </c>
      <c r="F12">
        <v>539.69000244140625</v>
      </c>
      <c r="H12" s="34"/>
      <c r="I12" s="34"/>
      <c r="J12" s="34"/>
      <c r="K12" s="34"/>
      <c r="L12" s="34"/>
      <c r="N12" s="34"/>
      <c r="O12" s="35"/>
      <c r="P12" s="35"/>
      <c r="Q12" s="35"/>
      <c r="R12" s="35"/>
      <c r="S12" s="74"/>
      <c r="T12" s="32" t="s">
        <v>56</v>
      </c>
      <c r="V12" t="s">
        <v>63</v>
      </c>
      <c r="W12" t="s">
        <v>46</v>
      </c>
      <c r="X12" s="1" t="s">
        <v>47</v>
      </c>
      <c r="Y12" t="s">
        <v>48</v>
      </c>
      <c r="AJ12" s="34"/>
      <c r="AK12" s="34"/>
      <c r="AL12" s="34"/>
      <c r="AM12" s="34"/>
      <c r="AN12" s="34"/>
      <c r="AQ12" s="67"/>
      <c r="AR12" s="67"/>
      <c r="AS12" s="67"/>
      <c r="AT12" s="67"/>
      <c r="AU12" s="67"/>
      <c r="AW12" s="68"/>
      <c r="AX12" s="68"/>
      <c r="AY12" s="68"/>
      <c r="AZ12" s="68"/>
      <c r="BA12" s="68"/>
      <c r="BB12" s="68"/>
    </row>
    <row r="13" spans="1:62" ht="13.5" thickBot="1">
      <c r="A13" s="103">
        <v>38726</v>
      </c>
      <c r="B13" s="104">
        <v>4.8819999694824219</v>
      </c>
      <c r="C13" s="105">
        <v>1290.1500244140625</v>
      </c>
      <c r="D13" s="104">
        <v>1.7648999691009521</v>
      </c>
      <c r="E13">
        <v>114.39030001221948</v>
      </c>
      <c r="F13">
        <v>549.01947021484375</v>
      </c>
      <c r="H13" s="34"/>
      <c r="I13" s="34"/>
      <c r="J13" s="34"/>
      <c r="K13" s="34"/>
      <c r="L13" s="34"/>
      <c r="N13" s="34"/>
      <c r="O13" s="35"/>
      <c r="P13" s="35"/>
      <c r="Q13" s="35"/>
      <c r="R13" s="35"/>
      <c r="S13" s="74"/>
      <c r="U13" t="s">
        <v>90</v>
      </c>
      <c r="V13" s="55"/>
      <c r="W13" s="35"/>
      <c r="X13" s="35"/>
      <c r="Y13" s="36"/>
      <c r="AJ13" s="34"/>
      <c r="AK13" s="34"/>
      <c r="AL13" s="34"/>
      <c r="AM13" s="34"/>
      <c r="AN13" s="34"/>
      <c r="AQ13" s="67"/>
      <c r="AR13" s="67"/>
      <c r="AS13" s="67"/>
      <c r="AT13" s="67"/>
      <c r="AU13" s="67"/>
      <c r="AW13" s="68"/>
      <c r="AX13" s="68"/>
      <c r="AY13" s="68"/>
      <c r="AZ13" s="68"/>
      <c r="BA13" s="68"/>
      <c r="BB13" s="68"/>
    </row>
    <row r="14" spans="1:62" ht="13.5" thickBot="1">
      <c r="A14" s="103">
        <v>38727</v>
      </c>
      <c r="B14" s="104">
        <v>4.9409999847412109</v>
      </c>
      <c r="C14" s="105">
        <v>1289.68994140625</v>
      </c>
      <c r="D14" s="104">
        <v>1.7654999494552612</v>
      </c>
      <c r="E14">
        <v>114.36412942699062</v>
      </c>
      <c r="F14">
        <v>544.41973876953125</v>
      </c>
      <c r="H14" s="34"/>
      <c r="I14" s="34"/>
      <c r="J14" s="34"/>
      <c r="K14" s="34"/>
      <c r="L14" s="34"/>
      <c r="N14" s="34"/>
      <c r="O14" s="35"/>
      <c r="P14" s="35"/>
      <c r="Q14" s="35"/>
      <c r="R14" s="35"/>
      <c r="S14" s="74"/>
      <c r="U14" t="s">
        <v>15</v>
      </c>
      <c r="V14" s="37"/>
      <c r="W14" s="38"/>
      <c r="X14" s="38"/>
      <c r="Y14" s="39"/>
      <c r="AC14" s="26" t="s">
        <v>28</v>
      </c>
      <c r="AD14" s="15" t="s">
        <v>90</v>
      </c>
      <c r="AE14" s="15" t="s">
        <v>15</v>
      </c>
      <c r="AF14" s="15" t="s">
        <v>16</v>
      </c>
      <c r="AG14" s="15" t="s">
        <v>17</v>
      </c>
      <c r="AH14" s="15" t="s">
        <v>88</v>
      </c>
      <c r="AJ14" s="34"/>
      <c r="AK14" s="34"/>
      <c r="AL14" s="34"/>
      <c r="AM14" s="34"/>
      <c r="AN14" s="34"/>
      <c r="AQ14" s="67"/>
      <c r="AR14" s="67"/>
      <c r="AS14" s="67"/>
      <c r="AT14" s="67"/>
      <c r="AU14" s="67"/>
      <c r="AW14" s="68"/>
      <c r="AX14" s="68"/>
      <c r="AY14" s="68"/>
      <c r="AZ14" s="68"/>
      <c r="BA14" s="68"/>
      <c r="BB14" s="68"/>
    </row>
    <row r="15" spans="1:62" ht="13.5" thickBot="1">
      <c r="A15" s="103">
        <v>38728</v>
      </c>
      <c r="B15" s="104">
        <v>4.9704999923706055</v>
      </c>
      <c r="C15" s="105">
        <v>1294.1800537109375</v>
      </c>
      <c r="D15" s="104">
        <v>1.7645000219345093</v>
      </c>
      <c r="E15">
        <v>114.15525573204616</v>
      </c>
      <c r="F15">
        <v>548.969482421875</v>
      </c>
      <c r="H15" s="34"/>
      <c r="I15" s="34"/>
      <c r="J15" s="34"/>
      <c r="K15" s="34"/>
      <c r="L15" s="34"/>
      <c r="N15" s="34"/>
      <c r="O15" s="35"/>
      <c r="P15" s="35"/>
      <c r="Q15" s="35"/>
      <c r="R15" s="35"/>
      <c r="S15" s="74"/>
      <c r="U15" t="s">
        <v>16</v>
      </c>
      <c r="V15" s="37"/>
      <c r="W15" s="38"/>
      <c r="X15" s="38"/>
      <c r="Y15" s="39"/>
      <c r="AC15" s="27" t="s">
        <v>90</v>
      </c>
      <c r="AD15" s="34"/>
      <c r="AE15" s="34"/>
      <c r="AF15" s="34"/>
      <c r="AG15" s="34"/>
      <c r="AH15" s="34"/>
      <c r="AJ15" s="34"/>
      <c r="AK15" s="34"/>
      <c r="AL15" s="34"/>
      <c r="AM15" s="34"/>
      <c r="AN15" s="34"/>
      <c r="AQ15" s="67"/>
      <c r="AR15" s="67"/>
      <c r="AS15" s="67"/>
      <c r="AT15" s="67"/>
      <c r="AU15" s="67"/>
      <c r="AW15" s="68"/>
      <c r="AX15" s="68"/>
      <c r="AY15" s="68"/>
      <c r="AZ15" s="68"/>
      <c r="BA15" s="68"/>
      <c r="BB15" s="68"/>
      <c r="BE15" s="4" t="s">
        <v>64</v>
      </c>
    </row>
    <row r="16" spans="1:62" ht="13.5" thickBot="1">
      <c r="A16" s="103">
        <v>38729</v>
      </c>
      <c r="B16" s="104">
        <v>4.9149999618530273</v>
      </c>
      <c r="C16" s="105">
        <v>1286.06005859375</v>
      </c>
      <c r="D16" s="104">
        <v>1.7592999935150146</v>
      </c>
      <c r="E16">
        <v>114.25960320037866</v>
      </c>
      <c r="F16">
        <v>548.37384033203125</v>
      </c>
      <c r="H16" s="34"/>
      <c r="I16" s="34"/>
      <c r="J16" s="34"/>
      <c r="K16" s="34"/>
      <c r="L16" s="34"/>
      <c r="N16" s="34"/>
      <c r="O16" s="35"/>
      <c r="P16" s="35"/>
      <c r="Q16" s="35"/>
      <c r="R16" s="35"/>
      <c r="S16" s="74"/>
      <c r="U16" t="s">
        <v>17</v>
      </c>
      <c r="V16" s="37"/>
      <c r="W16" s="38"/>
      <c r="X16" s="38"/>
      <c r="Y16" s="39"/>
      <c r="AC16" s="27" t="s">
        <v>15</v>
      </c>
      <c r="AD16" s="34"/>
      <c r="AE16" s="34"/>
      <c r="AF16" s="34"/>
      <c r="AG16" s="34"/>
      <c r="AH16" s="34"/>
      <c r="AJ16" s="34"/>
      <c r="AK16" s="34"/>
      <c r="AL16" s="34"/>
      <c r="AM16" s="34"/>
      <c r="AN16" s="34"/>
      <c r="AQ16" s="67"/>
      <c r="AR16" s="67"/>
      <c r="AS16" s="67"/>
      <c r="AT16" s="67"/>
      <c r="AU16" s="67"/>
      <c r="AW16" s="68"/>
      <c r="AX16" s="68"/>
      <c r="AY16" s="68"/>
      <c r="AZ16" s="68"/>
      <c r="BA16" s="68"/>
      <c r="BB16" s="68"/>
      <c r="BE16" s="4" t="s">
        <v>28</v>
      </c>
      <c r="BF16" s="107" t="s">
        <v>91</v>
      </c>
      <c r="BG16" t="s">
        <v>33</v>
      </c>
      <c r="BH16" t="s">
        <v>34</v>
      </c>
      <c r="BI16" t="s">
        <v>35</v>
      </c>
      <c r="BJ16" t="s">
        <v>89</v>
      </c>
    </row>
    <row r="17" spans="1:62" ht="13.5" thickBot="1">
      <c r="A17" s="103">
        <v>38730</v>
      </c>
      <c r="B17" s="104">
        <v>4.8548650741577148</v>
      </c>
      <c r="C17" s="105">
        <v>1287.6099853515625</v>
      </c>
      <c r="D17" s="104">
        <v>1.7761000394821167</v>
      </c>
      <c r="E17">
        <v>114.27265092751786</v>
      </c>
      <c r="F17">
        <v>556.07275390625</v>
      </c>
      <c r="H17" s="34"/>
      <c r="I17" s="34"/>
      <c r="J17" s="34"/>
      <c r="K17" s="34"/>
      <c r="L17" s="34"/>
      <c r="N17" s="34"/>
      <c r="O17" s="35"/>
      <c r="P17" s="35"/>
      <c r="Q17" s="35"/>
      <c r="R17" s="35"/>
      <c r="S17" s="74"/>
      <c r="U17" t="s">
        <v>88</v>
      </c>
      <c r="V17" s="40"/>
      <c r="W17" s="41"/>
      <c r="X17" s="41"/>
      <c r="Y17" s="42"/>
      <c r="AC17" s="27" t="s">
        <v>16</v>
      </c>
      <c r="AD17" s="34"/>
      <c r="AE17" s="34"/>
      <c r="AF17" s="34"/>
      <c r="AG17" s="34"/>
      <c r="AH17" s="34"/>
      <c r="AJ17" s="34"/>
      <c r="AK17" s="34"/>
      <c r="AL17" s="34"/>
      <c r="AM17" s="34"/>
      <c r="AN17" s="34"/>
      <c r="AQ17" s="67"/>
      <c r="AR17" s="67"/>
      <c r="AS17" s="67"/>
      <c r="AT17" s="67"/>
      <c r="AU17" s="67"/>
      <c r="AW17" s="68"/>
      <c r="AX17" s="68"/>
      <c r="AY17" s="68"/>
      <c r="AZ17" s="68"/>
      <c r="BA17" s="68"/>
      <c r="BB17" s="68"/>
      <c r="BE17" s="106" t="s">
        <v>91</v>
      </c>
      <c r="BF17" s="43"/>
      <c r="BG17" s="43"/>
      <c r="BH17" s="43"/>
      <c r="BI17" s="43"/>
      <c r="BJ17" s="43"/>
    </row>
    <row r="18" spans="1:62" ht="13.5" thickBot="1">
      <c r="A18" s="103">
        <v>38733</v>
      </c>
      <c r="B18" s="104">
        <v>4.8548650741577148</v>
      </c>
      <c r="C18" s="105">
        <v>1287.6099853515625</v>
      </c>
      <c r="D18" s="104">
        <v>1.7683999538421631</v>
      </c>
      <c r="E18">
        <v>114.86331658678502</v>
      </c>
      <c r="F18">
        <v>556.54388427734375</v>
      </c>
      <c r="H18" s="34"/>
      <c r="I18" s="34"/>
      <c r="J18" s="34"/>
      <c r="K18" s="34"/>
      <c r="L18" s="34"/>
      <c r="N18" s="34"/>
      <c r="O18" s="35"/>
      <c r="P18" s="35"/>
      <c r="Q18" s="35"/>
      <c r="R18" s="35"/>
      <c r="S18" s="74"/>
      <c r="AC18" s="27" t="s">
        <v>17</v>
      </c>
      <c r="AD18" s="34"/>
      <c r="AE18" s="34"/>
      <c r="AF18" s="34"/>
      <c r="AG18" s="34"/>
      <c r="AH18" s="34"/>
      <c r="AJ18" s="34"/>
      <c r="AK18" s="34"/>
      <c r="AL18" s="34"/>
      <c r="AM18" s="34"/>
      <c r="AN18" s="34"/>
      <c r="AQ18" s="67"/>
      <c r="AR18" s="67"/>
      <c r="AS18" s="67"/>
      <c r="AT18" s="67"/>
      <c r="AU18" s="67"/>
      <c r="AW18" s="68"/>
      <c r="AX18" s="68"/>
      <c r="AY18" s="68"/>
      <c r="AZ18" s="68"/>
      <c r="BA18" s="68"/>
      <c r="BB18" s="68"/>
      <c r="BE18" s="9" t="s">
        <v>33</v>
      </c>
      <c r="BF18" s="43"/>
      <c r="BG18" s="43"/>
      <c r="BH18" s="43"/>
      <c r="BI18" s="43"/>
      <c r="BJ18" s="43"/>
    </row>
    <row r="19" spans="1:62" ht="13.5" thickBot="1">
      <c r="A19" s="103">
        <v>38734</v>
      </c>
      <c r="B19" s="104">
        <v>4.8344998359680176</v>
      </c>
      <c r="C19" s="105">
        <v>1282.9300537109375</v>
      </c>
      <c r="D19" s="104">
        <v>1.7676999568939209</v>
      </c>
      <c r="E19">
        <v>115.47344354055727</v>
      </c>
      <c r="F19">
        <v>553.5692138671875</v>
      </c>
      <c r="H19" s="34"/>
      <c r="I19" s="34"/>
      <c r="J19" s="34"/>
      <c r="K19" s="34"/>
      <c r="L19" s="34"/>
      <c r="N19" s="34"/>
      <c r="O19" s="35"/>
      <c r="P19" s="35"/>
      <c r="Q19" s="35"/>
      <c r="R19" s="35"/>
      <c r="S19" s="74"/>
      <c r="U19" t="s">
        <v>49</v>
      </c>
      <c r="AC19" s="27" t="s">
        <v>88</v>
      </c>
      <c r="AD19" s="34"/>
      <c r="AE19" s="34"/>
      <c r="AF19" s="34"/>
      <c r="AG19" s="34"/>
      <c r="AH19" s="34"/>
      <c r="AJ19" s="34"/>
      <c r="AK19" s="34"/>
      <c r="AL19" s="34"/>
      <c r="AM19" s="34"/>
      <c r="AN19" s="34"/>
      <c r="AQ19" s="67"/>
      <c r="AR19" s="67"/>
      <c r="AS19" s="67"/>
      <c r="AT19" s="67"/>
      <c r="AU19" s="67"/>
      <c r="AW19" s="68"/>
      <c r="AX19" s="68"/>
      <c r="AY19" s="68"/>
      <c r="AZ19" s="68"/>
      <c r="BA19" s="68"/>
      <c r="BB19" s="68"/>
      <c r="BE19" s="9" t="s">
        <v>34</v>
      </c>
      <c r="BF19" s="43"/>
      <c r="BG19" s="43"/>
      <c r="BH19" s="43"/>
      <c r="BI19" s="43"/>
      <c r="BJ19" s="43"/>
    </row>
    <row r="20" spans="1:62" ht="13.5" thickBot="1">
      <c r="A20" s="103">
        <v>38735</v>
      </c>
      <c r="B20" s="104">
        <v>4.8400001525878906</v>
      </c>
      <c r="C20" s="105">
        <v>1277.9300537109375</v>
      </c>
      <c r="D20" s="104">
        <v>1.7616000175476074</v>
      </c>
      <c r="E20">
        <v>115.27377921588541</v>
      </c>
      <c r="F20">
        <v>543.9197998046875</v>
      </c>
      <c r="H20" s="34"/>
      <c r="I20" s="34"/>
      <c r="J20" s="34"/>
      <c r="K20" s="34"/>
      <c r="L20" s="34"/>
      <c r="N20" s="34"/>
      <c r="O20" s="35"/>
      <c r="P20" s="35"/>
      <c r="Q20" s="35"/>
      <c r="R20" s="35"/>
      <c r="S20" s="74"/>
      <c r="U20" t="s">
        <v>18</v>
      </c>
      <c r="V20" t="s">
        <v>19</v>
      </c>
      <c r="AJ20" s="34"/>
      <c r="AK20" s="34"/>
      <c r="AL20" s="34"/>
      <c r="AM20" s="34"/>
      <c r="AN20" s="34"/>
      <c r="AQ20" s="67"/>
      <c r="AR20" s="67"/>
      <c r="AS20" s="67"/>
      <c r="AT20" s="67"/>
      <c r="AU20" s="67"/>
      <c r="AW20" s="68"/>
      <c r="AX20" s="68"/>
      <c r="AY20" s="68"/>
      <c r="AZ20" s="68"/>
      <c r="BA20" s="68"/>
      <c r="BB20" s="68"/>
      <c r="BE20" s="9" t="s">
        <v>35</v>
      </c>
      <c r="BF20" s="43"/>
      <c r="BG20" s="43"/>
      <c r="BH20" s="43"/>
      <c r="BI20" s="43"/>
      <c r="BJ20" s="43"/>
    </row>
    <row r="21" spans="1:62" ht="13.5" thickBot="1">
      <c r="A21" s="103">
        <v>38736</v>
      </c>
      <c r="B21" s="104">
        <v>4.8794999122619629</v>
      </c>
      <c r="C21" s="105">
        <v>1285.0400390625</v>
      </c>
      <c r="D21" s="104">
        <v>1.7589999437332153</v>
      </c>
      <c r="E21">
        <v>115.44677505646855</v>
      </c>
      <c r="F21">
        <v>558.58795166015625</v>
      </c>
      <c r="H21" s="34"/>
      <c r="I21" s="34"/>
      <c r="J21" s="34"/>
      <c r="K21" s="34"/>
      <c r="L21" s="34"/>
      <c r="N21" s="34"/>
      <c r="O21" s="35"/>
      <c r="P21" s="35"/>
      <c r="Q21" s="35"/>
      <c r="R21" s="35"/>
      <c r="S21" s="74"/>
      <c r="U21" s="56"/>
      <c r="V21" s="57"/>
      <c r="AC21" s="25" t="s">
        <v>86</v>
      </c>
      <c r="AJ21" s="34"/>
      <c r="AK21" s="34"/>
      <c r="AL21" s="34"/>
      <c r="AM21" s="34"/>
      <c r="AN21" s="34"/>
      <c r="AQ21" s="67"/>
      <c r="AR21" s="67"/>
      <c r="AS21" s="67"/>
      <c r="AT21" s="67"/>
      <c r="AU21" s="67"/>
      <c r="AW21" s="68"/>
      <c r="AX21" s="68"/>
      <c r="AY21" s="68"/>
      <c r="AZ21" s="68"/>
      <c r="BA21" s="68"/>
      <c r="BB21" s="68"/>
      <c r="BE21" s="9" t="s">
        <v>89</v>
      </c>
      <c r="BF21" s="43"/>
      <c r="BG21" s="43"/>
      <c r="BH21" s="43"/>
      <c r="BI21" s="43"/>
      <c r="BJ21" s="43"/>
    </row>
    <row r="22" spans="1:62" ht="13.5" thickBot="1">
      <c r="A22" s="103">
        <v>38737</v>
      </c>
      <c r="B22" s="104">
        <v>4.8559999465942383</v>
      </c>
      <c r="C22" s="105">
        <v>1261.489990234375</v>
      </c>
      <c r="D22" s="104">
        <v>1.7709000110626221</v>
      </c>
      <c r="E22">
        <v>115.31365434679674</v>
      </c>
      <c r="F22">
        <v>553.63848876953125</v>
      </c>
      <c r="H22" s="34"/>
      <c r="I22" s="34"/>
      <c r="J22" s="34"/>
      <c r="K22" s="34"/>
      <c r="L22" s="34"/>
      <c r="N22" s="34"/>
      <c r="O22" s="35"/>
      <c r="P22" s="35"/>
      <c r="Q22" s="35"/>
      <c r="R22" s="35"/>
      <c r="S22" s="74"/>
      <c r="AC22" s="48"/>
      <c r="AD22" s="35"/>
      <c r="AE22" s="35"/>
      <c r="AF22" s="35"/>
      <c r="AG22" s="35"/>
      <c r="AH22" s="36"/>
      <c r="AJ22" s="34"/>
      <c r="AK22" s="34"/>
      <c r="AL22" s="34"/>
      <c r="AM22" s="34"/>
      <c r="AN22" s="34"/>
      <c r="AQ22" s="67"/>
      <c r="AR22" s="67"/>
      <c r="AS22" s="67"/>
      <c r="AT22" s="67"/>
      <c r="AU22" s="67"/>
      <c r="AW22" s="68"/>
      <c r="AX22" s="68"/>
      <c r="AY22" s="68"/>
      <c r="AZ22" s="68"/>
      <c r="BA22" s="68"/>
      <c r="BB22" s="68"/>
    </row>
    <row r="23" spans="1:62" ht="13.5" thickBot="1">
      <c r="A23" s="103">
        <v>38740</v>
      </c>
      <c r="B23" s="104">
        <v>4.8544998168945313</v>
      </c>
      <c r="C23" s="105">
        <v>1263.8199462890625</v>
      </c>
      <c r="D23" s="104">
        <v>1.7872999906539917</v>
      </c>
      <c r="E23">
        <v>114.39030001221948</v>
      </c>
      <c r="F23">
        <v>558.468994140625</v>
      </c>
      <c r="H23" s="34"/>
      <c r="I23" s="34"/>
      <c r="J23" s="34"/>
      <c r="K23" s="34"/>
      <c r="L23" s="34"/>
      <c r="N23" s="34"/>
      <c r="O23" s="35"/>
      <c r="P23" s="35"/>
      <c r="Q23" s="35"/>
      <c r="R23" s="35"/>
      <c r="S23" s="74"/>
      <c r="U23" s="8"/>
      <c r="W23" s="8"/>
      <c r="AC23" s="49"/>
      <c r="AD23" s="38"/>
      <c r="AE23" s="38"/>
      <c r="AF23" s="38"/>
      <c r="AG23" s="38"/>
      <c r="AH23" s="39"/>
      <c r="AJ23" s="34"/>
      <c r="AK23" s="34"/>
      <c r="AL23" s="34"/>
      <c r="AM23" s="34"/>
      <c r="AN23" s="34"/>
      <c r="AQ23" s="67"/>
      <c r="AR23" s="67"/>
      <c r="AS23" s="67"/>
      <c r="AT23" s="67"/>
      <c r="AU23" s="67"/>
      <c r="AW23" s="68"/>
      <c r="AX23" s="68"/>
      <c r="AY23" s="68"/>
      <c r="AZ23" s="68"/>
      <c r="BA23" s="68"/>
      <c r="BB23" s="68"/>
    </row>
    <row r="24" spans="1:62" ht="13.5" thickBot="1">
      <c r="A24" s="103">
        <v>38741</v>
      </c>
      <c r="B24" s="104">
        <v>4.8949999809265137</v>
      </c>
      <c r="C24" s="105">
        <v>1266.8599853515625</v>
      </c>
      <c r="D24" s="104">
        <v>1.7862000465393066</v>
      </c>
      <c r="E24">
        <v>114.57378111508801</v>
      </c>
      <c r="F24">
        <v>558.01898193359375</v>
      </c>
      <c r="H24" s="34"/>
      <c r="I24" s="34"/>
      <c r="J24" s="34"/>
      <c r="K24" s="34"/>
      <c r="L24" s="34"/>
      <c r="N24" s="34"/>
      <c r="O24" s="35"/>
      <c r="P24" s="35"/>
      <c r="Q24" s="35"/>
      <c r="R24" s="35"/>
      <c r="S24" s="74"/>
      <c r="U24" s="75" t="s">
        <v>57</v>
      </c>
      <c r="V24" s="44"/>
      <c r="AC24" s="50"/>
      <c r="AD24" s="34"/>
      <c r="AE24" s="35"/>
      <c r="AF24" s="35"/>
      <c r="AG24" s="35"/>
      <c r="AH24" s="36"/>
      <c r="AJ24" s="34"/>
      <c r="AK24" s="34"/>
      <c r="AL24" s="34"/>
      <c r="AM24" s="34"/>
      <c r="AN24" s="34"/>
      <c r="AQ24" s="67"/>
      <c r="AR24" s="67"/>
      <c r="AS24" s="67"/>
      <c r="AT24" s="67"/>
      <c r="AU24" s="67"/>
      <c r="AW24" s="68"/>
      <c r="AX24" s="68"/>
      <c r="AY24" s="68"/>
      <c r="AZ24" s="68"/>
      <c r="BA24" s="68"/>
      <c r="BB24" s="68"/>
    </row>
    <row r="25" spans="1:62" ht="13.5" thickBot="1">
      <c r="A25" s="103">
        <v>38742</v>
      </c>
      <c r="B25" s="104">
        <v>4.9895000457763672</v>
      </c>
      <c r="C25" s="105">
        <v>1264.6800537109375</v>
      </c>
      <c r="D25" s="104">
        <v>1.7842999696731567</v>
      </c>
      <c r="E25">
        <v>115.78094412840844</v>
      </c>
      <c r="F25">
        <v>562.71875</v>
      </c>
      <c r="H25" s="34"/>
      <c r="I25" s="34"/>
      <c r="J25" s="34"/>
      <c r="K25" s="34"/>
      <c r="L25" s="34"/>
      <c r="N25" s="34"/>
      <c r="O25" s="35"/>
      <c r="P25" s="35"/>
      <c r="Q25" s="35"/>
      <c r="R25" s="35"/>
      <c r="S25" s="74"/>
      <c r="U25" s="76" t="s">
        <v>68</v>
      </c>
      <c r="AC25" s="49"/>
      <c r="AD25" s="37"/>
      <c r="AE25" s="38"/>
      <c r="AF25" s="38"/>
      <c r="AG25" s="38"/>
      <c r="AH25" s="39"/>
      <c r="AJ25" s="34"/>
      <c r="AK25" s="34"/>
      <c r="AL25" s="34"/>
      <c r="AM25" s="34"/>
      <c r="AN25" s="34"/>
      <c r="AQ25" s="67"/>
      <c r="AR25" s="67"/>
      <c r="AS25" s="67"/>
      <c r="AT25" s="67"/>
      <c r="AU25" s="67"/>
      <c r="AW25" s="68"/>
      <c r="AX25" s="68"/>
      <c r="AY25" s="68"/>
      <c r="AZ25" s="68"/>
      <c r="BA25" s="68"/>
      <c r="BB25" s="68"/>
    </row>
    <row r="26" spans="1:62" ht="13.5" thickBot="1">
      <c r="A26" s="103">
        <v>38743</v>
      </c>
      <c r="B26" s="104">
        <v>5.0405001640319824</v>
      </c>
      <c r="C26" s="105">
        <v>1273.8299560546875</v>
      </c>
      <c r="D26" s="104">
        <v>1.7805999517440796</v>
      </c>
      <c r="E26">
        <v>116.38733392661065</v>
      </c>
      <c r="F26">
        <v>560.13775634765625</v>
      </c>
      <c r="H26" s="34"/>
      <c r="I26" s="34"/>
      <c r="J26" s="34"/>
      <c r="K26" s="34"/>
      <c r="L26" s="34"/>
      <c r="N26" s="34"/>
      <c r="O26" s="35"/>
      <c r="P26" s="35"/>
      <c r="Q26" s="35"/>
      <c r="R26" s="35"/>
      <c r="S26" s="74"/>
      <c r="AC26" s="49"/>
      <c r="AD26" s="37"/>
      <c r="AE26" s="38"/>
      <c r="AF26" s="38"/>
      <c r="AG26" s="38"/>
      <c r="AH26" s="39"/>
      <c r="AJ26" s="34"/>
      <c r="AK26" s="34"/>
      <c r="AL26" s="34"/>
      <c r="AM26" s="34"/>
      <c r="AN26" s="34"/>
      <c r="AQ26" s="67"/>
      <c r="AR26" s="67"/>
      <c r="AS26" s="67"/>
      <c r="AT26" s="67"/>
      <c r="AU26" s="67"/>
      <c r="AW26" s="68"/>
      <c r="AX26" s="68"/>
      <c r="AY26" s="68"/>
      <c r="AZ26" s="68"/>
      <c r="BA26" s="68"/>
      <c r="BB26" s="68"/>
    </row>
    <row r="27" spans="1:62" ht="13.5" thickBot="1">
      <c r="A27" s="103">
        <v>38744</v>
      </c>
      <c r="B27" s="104">
        <v>5.0155000686645508</v>
      </c>
      <c r="C27" s="105">
        <v>1283.719970703125</v>
      </c>
      <c r="D27" s="104">
        <v>1.7685999870300293</v>
      </c>
      <c r="E27">
        <v>117.27453371891055</v>
      </c>
      <c r="F27">
        <v>559.1878662109375</v>
      </c>
      <c r="H27" s="34"/>
      <c r="I27" s="34"/>
      <c r="J27" s="34"/>
      <c r="K27" s="34"/>
      <c r="L27" s="34"/>
      <c r="N27" s="34"/>
      <c r="O27" s="35"/>
      <c r="P27" s="35"/>
      <c r="Q27" s="35"/>
      <c r="R27" s="35"/>
      <c r="S27" s="74"/>
      <c r="U27" s="1"/>
      <c r="V27" s="8"/>
      <c r="AC27" s="49"/>
      <c r="AD27" s="37"/>
      <c r="AE27" s="38"/>
      <c r="AF27" s="38"/>
      <c r="AG27" s="38"/>
      <c r="AH27" s="39"/>
      <c r="AJ27" s="34"/>
      <c r="AK27" s="34"/>
      <c r="AL27" s="34"/>
      <c r="AM27" s="34"/>
      <c r="AN27" s="34"/>
      <c r="AQ27" s="67"/>
      <c r="AR27" s="67"/>
      <c r="AS27" s="67"/>
      <c r="AT27" s="67"/>
      <c r="AU27" s="67"/>
      <c r="AW27" s="68"/>
      <c r="AX27" s="68"/>
      <c r="AY27" s="68"/>
      <c r="AZ27" s="68"/>
      <c r="BA27" s="68"/>
      <c r="BB27" s="68"/>
    </row>
    <row r="28" spans="1:62" ht="13.5" thickBot="1">
      <c r="A28" s="103">
        <v>38747</v>
      </c>
      <c r="B28" s="104">
        <v>5.0479998588562012</v>
      </c>
      <c r="C28" s="105">
        <v>1285.199951171875</v>
      </c>
      <c r="D28" s="104">
        <v>1.7668000459671021</v>
      </c>
      <c r="E28">
        <v>117.61938351528373</v>
      </c>
      <c r="F28">
        <v>566.16851806640625</v>
      </c>
      <c r="H28" s="34"/>
      <c r="I28" s="34"/>
      <c r="J28" s="34"/>
      <c r="K28" s="34"/>
      <c r="L28" s="34"/>
      <c r="N28" s="34"/>
      <c r="O28" s="35"/>
      <c r="P28" s="35"/>
      <c r="Q28" s="35"/>
      <c r="R28" s="35"/>
      <c r="S28" s="74"/>
      <c r="AC28" s="51"/>
      <c r="AD28" s="40"/>
      <c r="AE28" s="41"/>
      <c r="AF28" s="41"/>
      <c r="AG28" s="41"/>
      <c r="AH28" s="42"/>
      <c r="AJ28" s="34"/>
      <c r="AK28" s="34"/>
      <c r="AL28" s="34"/>
      <c r="AM28" s="34"/>
      <c r="AN28" s="34"/>
      <c r="AQ28" s="67"/>
      <c r="AR28" s="67"/>
      <c r="AS28" s="67"/>
      <c r="AT28" s="67"/>
      <c r="AU28" s="67"/>
      <c r="AW28" s="68"/>
      <c r="AX28" s="68"/>
      <c r="AY28" s="68"/>
      <c r="AZ28" s="68"/>
      <c r="BA28" s="68"/>
      <c r="BB28" s="68"/>
    </row>
    <row r="29" spans="1:62" ht="13.5" thickBot="1">
      <c r="A29" s="103">
        <v>38748</v>
      </c>
      <c r="B29" s="104">
        <v>5.0419998168945313</v>
      </c>
      <c r="C29" s="105">
        <v>1280.0799560546875</v>
      </c>
      <c r="D29" s="104">
        <v>1.7795000076293945</v>
      </c>
      <c r="E29">
        <v>117.31581811675949</v>
      </c>
      <c r="F29">
        <v>571.06829833984375</v>
      </c>
      <c r="H29" s="34"/>
      <c r="I29" s="34"/>
      <c r="J29" s="34"/>
      <c r="K29" s="34"/>
      <c r="L29" s="34"/>
      <c r="N29" s="34"/>
      <c r="O29" s="35"/>
      <c r="P29" s="35"/>
      <c r="Q29" s="35"/>
      <c r="R29" s="35"/>
      <c r="S29" s="74"/>
      <c r="Z29" s="33" t="s">
        <v>62</v>
      </c>
      <c r="AJ29" s="34"/>
      <c r="AK29" s="34"/>
      <c r="AL29" s="34"/>
      <c r="AM29" s="34"/>
      <c r="AN29" s="34"/>
      <c r="AQ29" s="67"/>
      <c r="AR29" s="67"/>
      <c r="AS29" s="67"/>
      <c r="AT29" s="67"/>
      <c r="AU29" s="67"/>
      <c r="AW29" s="68"/>
      <c r="AX29" s="68"/>
      <c r="AY29" s="68"/>
      <c r="AZ29" s="68"/>
      <c r="BA29" s="68"/>
      <c r="BB29" s="68"/>
    </row>
    <row r="30" spans="1:62" ht="13.5" thickBot="1">
      <c r="A30" s="103">
        <v>38749</v>
      </c>
      <c r="B30" s="104">
        <v>5.0834999084472656</v>
      </c>
      <c r="C30" s="105">
        <v>1282.4599609375</v>
      </c>
      <c r="D30" s="104">
        <v>1.7740000486373901</v>
      </c>
      <c r="E30">
        <v>117.98017544376266</v>
      </c>
      <c r="F30">
        <v>569.568359375</v>
      </c>
      <c r="H30" s="34"/>
      <c r="I30" s="34"/>
      <c r="J30" s="34"/>
      <c r="K30" s="34"/>
      <c r="L30" s="34"/>
      <c r="N30" s="34"/>
      <c r="O30" s="35"/>
      <c r="P30" s="35"/>
      <c r="Q30" s="35"/>
      <c r="R30" s="35"/>
      <c r="S30" s="74"/>
      <c r="U30" s="34"/>
      <c r="V30" s="35" t="s">
        <v>20</v>
      </c>
      <c r="W30" s="35" t="s">
        <v>21</v>
      </c>
      <c r="X30" s="36" t="s">
        <v>37</v>
      </c>
      <c r="AC30" s="52" t="s">
        <v>24</v>
      </c>
      <c r="AD30" s="34"/>
      <c r="AE30" s="59"/>
      <c r="AF30" s="59"/>
      <c r="AG30" s="59"/>
      <c r="AH30" s="61"/>
      <c r="AJ30" s="34"/>
      <c r="AK30" s="34"/>
      <c r="AL30" s="34"/>
      <c r="AM30" s="34"/>
      <c r="AN30" s="34"/>
      <c r="AQ30" s="67"/>
      <c r="AR30" s="67"/>
      <c r="AS30" s="67"/>
      <c r="AT30" s="67"/>
      <c r="AU30" s="67"/>
      <c r="AW30" s="68"/>
      <c r="AX30" s="68"/>
      <c r="AY30" s="68"/>
      <c r="AZ30" s="68"/>
      <c r="BA30" s="68"/>
      <c r="BB30" s="68"/>
    </row>
    <row r="31" spans="1:62" ht="13.5" thickBot="1">
      <c r="A31" s="103">
        <v>38750</v>
      </c>
      <c r="B31" s="104">
        <v>5.0809998512268066</v>
      </c>
      <c r="C31" s="105">
        <v>1270.8399658203125</v>
      </c>
      <c r="D31" s="104">
        <v>1.7804000377655029</v>
      </c>
      <c r="E31">
        <v>118.48341225115122</v>
      </c>
      <c r="F31">
        <v>572.6363525390625</v>
      </c>
      <c r="H31" s="34"/>
      <c r="I31" s="34"/>
      <c r="J31" s="34"/>
      <c r="K31" s="34"/>
      <c r="L31" s="34"/>
      <c r="N31" s="34"/>
      <c r="O31" s="35"/>
      <c r="P31" s="35"/>
      <c r="Q31" s="35"/>
      <c r="R31" s="35"/>
      <c r="S31" s="74"/>
      <c r="U31" s="45">
        <v>0.01</v>
      </c>
      <c r="V31" s="38"/>
      <c r="W31" s="38"/>
      <c r="X31" s="46"/>
      <c r="Z31">
        <v>2.33</v>
      </c>
      <c r="AC31" s="28" t="s">
        <v>25</v>
      </c>
      <c r="AD31" s="58"/>
      <c r="AE31" s="38"/>
      <c r="AF31" s="60"/>
      <c r="AG31" s="60"/>
      <c r="AH31" s="62"/>
      <c r="AJ31" s="34"/>
      <c r="AK31" s="34"/>
      <c r="AL31" s="34"/>
      <c r="AM31" s="34"/>
      <c r="AN31" s="34"/>
      <c r="AQ31" s="67"/>
      <c r="AR31" s="67"/>
      <c r="AS31" s="67"/>
      <c r="AT31" s="67"/>
      <c r="AU31" s="67"/>
      <c r="AW31" s="68"/>
      <c r="AX31" s="68"/>
      <c r="AY31" s="68"/>
      <c r="AZ31" s="68"/>
      <c r="BA31" s="68"/>
      <c r="BB31" s="68"/>
    </row>
    <row r="32" spans="1:62" ht="13.5" thickBot="1">
      <c r="A32" s="103">
        <v>38751</v>
      </c>
      <c r="B32" s="104">
        <v>5.0504999160766602</v>
      </c>
      <c r="C32" s="105">
        <v>1264.030029296875</v>
      </c>
      <c r="D32" s="104">
        <v>1.7625000476837158</v>
      </c>
      <c r="E32">
        <v>118.92020451662098</v>
      </c>
      <c r="F32">
        <v>567.43695068359375</v>
      </c>
      <c r="H32" s="34"/>
      <c r="I32" s="34"/>
      <c r="J32" s="34"/>
      <c r="K32" s="34"/>
      <c r="L32" s="34"/>
      <c r="N32" s="34"/>
      <c r="O32" s="35"/>
      <c r="P32" s="35"/>
      <c r="Q32" s="35"/>
      <c r="R32" s="35"/>
      <c r="S32" s="74"/>
      <c r="U32" s="45">
        <v>0.05</v>
      </c>
      <c r="V32" s="38"/>
      <c r="W32" s="38"/>
      <c r="X32" s="46"/>
      <c r="Z32">
        <v>1.64</v>
      </c>
      <c r="AC32" s="53" t="s">
        <v>30</v>
      </c>
      <c r="AD32" s="58"/>
      <c r="AE32" s="60"/>
      <c r="AF32" s="38"/>
      <c r="AG32" s="60"/>
      <c r="AH32" s="62"/>
      <c r="AJ32" s="34"/>
      <c r="AK32" s="34"/>
      <c r="AL32" s="34"/>
      <c r="AM32" s="34"/>
      <c r="AN32" s="34"/>
      <c r="AQ32" s="67"/>
      <c r="AR32" s="67"/>
      <c r="AS32" s="67"/>
      <c r="AT32" s="67"/>
      <c r="AU32" s="67"/>
      <c r="AW32" s="68"/>
      <c r="AX32" s="68"/>
      <c r="AY32" s="68"/>
      <c r="AZ32" s="68"/>
      <c r="BA32" s="68"/>
      <c r="BB32" s="68"/>
    </row>
    <row r="33" spans="1:54" ht="13.5" thickBot="1">
      <c r="A33" s="103">
        <v>38754</v>
      </c>
      <c r="B33" s="104">
        <v>5.0605001449584961</v>
      </c>
      <c r="C33" s="105">
        <v>1265.02001953125</v>
      </c>
      <c r="D33" s="104">
        <v>1.7472000122070313</v>
      </c>
      <c r="E33">
        <v>119.04762329242277</v>
      </c>
      <c r="F33">
        <v>570.3682861328125</v>
      </c>
      <c r="H33" s="34"/>
      <c r="I33" s="34"/>
      <c r="J33" s="34"/>
      <c r="K33" s="34"/>
      <c r="L33" s="34"/>
      <c r="N33" s="34"/>
      <c r="O33" s="35"/>
      <c r="P33" s="35"/>
      <c r="Q33" s="35"/>
      <c r="R33" s="35"/>
      <c r="S33" s="74"/>
      <c r="U33" s="45">
        <v>0.1</v>
      </c>
      <c r="V33" s="38"/>
      <c r="W33" s="38"/>
      <c r="X33" s="46"/>
      <c r="Z33">
        <v>1.28</v>
      </c>
      <c r="AD33" s="58"/>
      <c r="AE33" s="60"/>
      <c r="AF33" s="60"/>
      <c r="AG33" s="38"/>
      <c r="AH33" s="62"/>
      <c r="AJ33" s="34"/>
      <c r="AK33" s="34"/>
      <c r="AL33" s="34"/>
      <c r="AM33" s="34"/>
      <c r="AN33" s="34"/>
      <c r="AQ33" s="67"/>
      <c r="AR33" s="67"/>
      <c r="AS33" s="67"/>
      <c r="AT33" s="67"/>
      <c r="AU33" s="67"/>
      <c r="AW33" s="68"/>
      <c r="AX33" s="68"/>
      <c r="AY33" s="68"/>
      <c r="AZ33" s="68"/>
      <c r="BA33" s="68"/>
      <c r="BB33" s="68"/>
    </row>
    <row r="34" spans="1:54" ht="13.5" thickBot="1">
      <c r="A34" s="103">
        <v>38755</v>
      </c>
      <c r="B34" s="104">
        <v>5.0819997787475586</v>
      </c>
      <c r="C34" s="105">
        <v>1254.780029296875</v>
      </c>
      <c r="D34" s="104">
        <v>1.7447999715805054</v>
      </c>
      <c r="E34">
        <v>118.16140921882801</v>
      </c>
      <c r="F34">
        <v>541.81988525390625</v>
      </c>
      <c r="H34" s="34"/>
      <c r="I34" s="34"/>
      <c r="J34" s="34"/>
      <c r="K34" s="34"/>
      <c r="L34" s="34"/>
      <c r="N34" s="34"/>
      <c r="O34" s="35"/>
      <c r="P34" s="35"/>
      <c r="Q34" s="35"/>
      <c r="R34" s="35"/>
      <c r="S34" s="74"/>
      <c r="U34" s="47">
        <v>0.2</v>
      </c>
      <c r="V34" s="38"/>
      <c r="W34" s="38"/>
      <c r="X34" s="46"/>
      <c r="Z34">
        <v>0.84</v>
      </c>
      <c r="AD34" s="63"/>
      <c r="AE34" s="64"/>
      <c r="AF34" s="64"/>
      <c r="AG34" s="64"/>
      <c r="AH34" s="42"/>
      <c r="AJ34" s="34"/>
      <c r="AK34" s="34"/>
      <c r="AL34" s="34"/>
      <c r="AM34" s="34"/>
      <c r="AN34" s="34"/>
      <c r="AQ34" s="67"/>
      <c r="AR34" s="67"/>
      <c r="AS34" s="67"/>
      <c r="AT34" s="67"/>
      <c r="AU34" s="67"/>
      <c r="AW34" s="68"/>
      <c r="AX34" s="68"/>
      <c r="AY34" s="68"/>
      <c r="AZ34" s="68"/>
      <c r="BA34" s="68"/>
      <c r="BB34" s="68"/>
    </row>
    <row r="35" spans="1:54" ht="13.5" thickBot="1">
      <c r="A35" s="103">
        <v>38756</v>
      </c>
      <c r="B35" s="104">
        <v>5.1075000762939453</v>
      </c>
      <c r="C35" s="105">
        <v>1265.6500244140625</v>
      </c>
      <c r="D35" s="104">
        <v>1.7408000230789185</v>
      </c>
      <c r="E35">
        <v>118.48341225115122</v>
      </c>
      <c r="F35">
        <v>550.36944580078125</v>
      </c>
      <c r="H35" s="34"/>
      <c r="I35" s="34"/>
      <c r="J35" s="34"/>
      <c r="K35" s="34"/>
      <c r="L35" s="34"/>
      <c r="N35" s="34"/>
      <c r="O35" s="35"/>
      <c r="P35" s="35"/>
      <c r="Q35" s="35"/>
      <c r="R35" s="35"/>
      <c r="S35" s="74"/>
      <c r="AJ35" s="34"/>
      <c r="AK35" s="34"/>
      <c r="AL35" s="34"/>
      <c r="AM35" s="34"/>
      <c r="AN35" s="34"/>
      <c r="AQ35" s="67"/>
      <c r="AR35" s="67"/>
      <c r="AS35" s="67"/>
      <c r="AT35" s="67"/>
      <c r="AU35" s="67"/>
      <c r="AW35" s="68"/>
      <c r="AX35" s="68"/>
      <c r="AY35" s="68"/>
      <c r="AZ35" s="68"/>
      <c r="BA35" s="68"/>
      <c r="BB35" s="68"/>
    </row>
    <row r="36" spans="1:54" ht="13.5" thickBot="1">
      <c r="A36" s="103">
        <v>38757</v>
      </c>
      <c r="B36" s="104">
        <v>5.0760002136230469</v>
      </c>
      <c r="C36" s="105">
        <v>1263.780029296875</v>
      </c>
      <c r="D36" s="104">
        <v>1.7403000593185425</v>
      </c>
      <c r="E36">
        <v>118.83541885778344</v>
      </c>
      <c r="F36">
        <v>564.83721923828125</v>
      </c>
      <c r="H36" s="34"/>
      <c r="I36" s="34"/>
      <c r="J36" s="34"/>
      <c r="K36" s="34"/>
      <c r="L36" s="34"/>
      <c r="N36" s="34"/>
      <c r="O36" s="35"/>
      <c r="P36" s="35"/>
      <c r="Q36" s="35"/>
      <c r="R36" s="35"/>
      <c r="S36" s="74"/>
      <c r="AC36" s="22" t="s">
        <v>31</v>
      </c>
      <c r="AD36" s="34"/>
      <c r="AE36" s="65"/>
      <c r="AF36" s="65"/>
      <c r="AG36" s="66"/>
      <c r="AH36" s="66"/>
      <c r="AJ36" s="34"/>
      <c r="AK36" s="34"/>
      <c r="AL36" s="34"/>
      <c r="AM36" s="34"/>
      <c r="AN36" s="34"/>
      <c r="AQ36" s="67"/>
      <c r="AR36" s="67"/>
      <c r="AS36" s="67"/>
      <c r="AT36" s="67"/>
      <c r="AU36" s="67"/>
      <c r="AW36" s="68"/>
      <c r="AX36" s="68"/>
      <c r="AY36" s="68"/>
      <c r="AZ36" s="68"/>
      <c r="BA36" s="68"/>
      <c r="BB36" s="68"/>
    </row>
    <row r="37" spans="1:54" ht="13.5" thickBot="1">
      <c r="A37" s="103">
        <v>38758</v>
      </c>
      <c r="B37" s="104">
        <v>5.1139998435974121</v>
      </c>
      <c r="C37" s="105">
        <v>1266.989990234375</v>
      </c>
      <c r="D37" s="104">
        <v>1.7439999580383301</v>
      </c>
      <c r="E37">
        <v>117.88282308757748</v>
      </c>
      <c r="F37">
        <v>550.3388671875</v>
      </c>
      <c r="H37" s="34"/>
      <c r="I37" s="34"/>
      <c r="J37" s="34"/>
      <c r="K37" s="34"/>
      <c r="L37" s="34"/>
      <c r="N37" s="34"/>
      <c r="O37" s="35"/>
      <c r="P37" s="35"/>
      <c r="Q37" s="35"/>
      <c r="R37" s="35"/>
      <c r="S37" s="74"/>
      <c r="AC37" s="28" t="s">
        <v>25</v>
      </c>
      <c r="AD37" s="66"/>
      <c r="AE37" s="34"/>
      <c r="AF37" s="66"/>
      <c r="AG37" s="66"/>
      <c r="AH37" s="66"/>
      <c r="AJ37" s="34"/>
      <c r="AK37" s="34"/>
      <c r="AL37" s="34"/>
      <c r="AM37" s="34"/>
      <c r="AN37" s="34"/>
      <c r="AQ37" s="67"/>
      <c r="AR37" s="67"/>
      <c r="AS37" s="67"/>
      <c r="AT37" s="67"/>
      <c r="AU37" s="67"/>
      <c r="AW37" s="68"/>
      <c r="AX37" s="68"/>
      <c r="AY37" s="68"/>
      <c r="AZ37" s="68"/>
      <c r="BA37" s="68"/>
      <c r="BB37" s="68"/>
    </row>
    <row r="38" spans="1:54" ht="13.5" thickBot="1">
      <c r="A38" s="103">
        <v>38761</v>
      </c>
      <c r="B38" s="104">
        <v>5.1104998588562012</v>
      </c>
      <c r="C38" s="105">
        <v>1262.8599853515625</v>
      </c>
      <c r="D38" s="104">
        <v>1.7426999807357788</v>
      </c>
      <c r="E38">
        <v>117.70244223328423</v>
      </c>
      <c r="F38">
        <v>539.1700439453125</v>
      </c>
      <c r="H38" s="34"/>
      <c r="I38" s="34"/>
      <c r="J38" s="34"/>
      <c r="K38" s="34"/>
      <c r="L38" s="34"/>
      <c r="N38" s="34"/>
      <c r="O38" s="35"/>
      <c r="P38" s="35"/>
      <c r="Q38" s="35"/>
      <c r="R38" s="35"/>
      <c r="S38" s="74"/>
      <c r="AC38" s="29" t="s">
        <v>32</v>
      </c>
      <c r="AD38" s="66"/>
      <c r="AE38" s="66"/>
      <c r="AF38" s="34"/>
      <c r="AG38" s="66"/>
      <c r="AH38" s="66"/>
      <c r="AJ38" s="34"/>
      <c r="AK38" s="34"/>
      <c r="AL38" s="34"/>
      <c r="AM38" s="34"/>
      <c r="AN38" s="34"/>
      <c r="AQ38" s="67"/>
      <c r="AR38" s="67"/>
      <c r="AS38" s="67"/>
      <c r="AT38" s="67"/>
      <c r="AU38" s="67"/>
      <c r="AW38" s="68"/>
      <c r="AX38" s="68"/>
      <c r="AY38" s="68"/>
      <c r="AZ38" s="68"/>
      <c r="BA38" s="68"/>
      <c r="BB38" s="68"/>
    </row>
    <row r="39" spans="1:54" ht="13.5" thickBot="1">
      <c r="A39" s="103">
        <v>38762</v>
      </c>
      <c r="B39" s="104">
        <v>5.1414999961853027</v>
      </c>
      <c r="C39" s="105">
        <v>1275.530029296875</v>
      </c>
      <c r="D39" s="104">
        <v>1.7365000247955322</v>
      </c>
      <c r="E39">
        <v>117.34334437689691</v>
      </c>
      <c r="F39">
        <v>545.96966552734375</v>
      </c>
      <c r="H39" s="34"/>
      <c r="I39" s="34"/>
      <c r="J39" s="34"/>
      <c r="K39" s="34"/>
      <c r="L39" s="34"/>
      <c r="N39" s="34"/>
      <c r="O39" s="35"/>
      <c r="P39" s="35"/>
      <c r="Q39" s="35"/>
      <c r="R39" s="35"/>
      <c r="S39" s="74"/>
      <c r="AD39" s="66"/>
      <c r="AE39" s="66"/>
      <c r="AF39" s="66"/>
      <c r="AG39" s="34"/>
      <c r="AH39" s="66"/>
      <c r="AJ39" s="34"/>
      <c r="AK39" s="34"/>
      <c r="AL39" s="34"/>
      <c r="AM39" s="34"/>
      <c r="AN39" s="34"/>
      <c r="AQ39" s="67"/>
      <c r="AR39" s="67"/>
      <c r="AS39" s="67"/>
      <c r="AT39" s="67"/>
      <c r="AU39" s="67"/>
      <c r="AW39" s="68"/>
      <c r="AX39" s="68"/>
      <c r="AY39" s="68"/>
      <c r="AZ39" s="68"/>
      <c r="BA39" s="68"/>
      <c r="BB39" s="68"/>
    </row>
    <row r="40" spans="1:54" ht="13.5" thickBot="1">
      <c r="A40" s="103">
        <v>38763</v>
      </c>
      <c r="B40" s="104">
        <v>5.1314997673034668</v>
      </c>
      <c r="C40" s="105">
        <v>1280</v>
      </c>
      <c r="D40" s="104">
        <v>1.7400000095367432</v>
      </c>
      <c r="E40">
        <v>117.89672442799203</v>
      </c>
      <c r="F40">
        <v>539.91998291015625</v>
      </c>
      <c r="H40" s="34"/>
      <c r="I40" s="34"/>
      <c r="J40" s="34"/>
      <c r="K40" s="34"/>
      <c r="L40" s="34"/>
      <c r="N40" s="34"/>
      <c r="O40" s="35"/>
      <c r="P40" s="35"/>
      <c r="Q40" s="35"/>
      <c r="R40" s="35"/>
      <c r="S40" s="74"/>
      <c r="AD40" s="66"/>
      <c r="AE40" s="66"/>
      <c r="AF40" s="66"/>
      <c r="AG40" s="66"/>
      <c r="AH40" s="34"/>
      <c r="AJ40" s="34"/>
      <c r="AK40" s="34"/>
      <c r="AL40" s="34"/>
      <c r="AM40" s="34"/>
      <c r="AN40" s="34"/>
      <c r="AQ40" s="67"/>
      <c r="AR40" s="67"/>
      <c r="AS40" s="67"/>
      <c r="AT40" s="67"/>
      <c r="AU40" s="67"/>
      <c r="AW40" s="68"/>
      <c r="AX40" s="68"/>
      <c r="AY40" s="68"/>
      <c r="AZ40" s="68"/>
      <c r="BA40" s="68"/>
      <c r="BB40" s="68"/>
    </row>
    <row r="41" spans="1:54" ht="13.5" thickBot="1">
      <c r="A41" s="103">
        <v>38764</v>
      </c>
      <c r="B41" s="104">
        <v>5.124000072479248</v>
      </c>
      <c r="C41" s="105">
        <v>1289.3800048828125</v>
      </c>
      <c r="D41" s="104">
        <v>1.739300012588501</v>
      </c>
      <c r="E41">
        <v>117.78563126119727</v>
      </c>
      <c r="F41">
        <v>546.1241455078125</v>
      </c>
      <c r="H41" s="34"/>
      <c r="I41" s="34"/>
      <c r="J41" s="34"/>
      <c r="K41" s="34"/>
      <c r="L41" s="34"/>
      <c r="N41" s="34"/>
      <c r="O41" s="35"/>
      <c r="P41" s="35"/>
      <c r="Q41" s="35"/>
      <c r="R41" s="35"/>
      <c r="S41" s="74"/>
      <c r="AJ41" s="34"/>
      <c r="AK41" s="34"/>
      <c r="AL41" s="34"/>
      <c r="AM41" s="34"/>
      <c r="AN41" s="34"/>
      <c r="AQ41" s="67"/>
      <c r="AR41" s="67"/>
      <c r="AS41" s="67"/>
      <c r="AT41" s="67"/>
      <c r="AU41" s="67"/>
      <c r="AW41" s="68"/>
      <c r="AX41" s="68"/>
      <c r="AY41" s="68"/>
      <c r="AZ41" s="68"/>
      <c r="BA41" s="68"/>
      <c r="BB41" s="68"/>
    </row>
    <row r="42" spans="1:54" ht="13.5" thickBot="1">
      <c r="A42" s="103">
        <v>38765</v>
      </c>
      <c r="B42" s="104">
        <v>5.068943977355957</v>
      </c>
      <c r="C42" s="105">
        <v>1287.239990234375</v>
      </c>
      <c r="D42" s="104">
        <v>1.7416000366210938</v>
      </c>
      <c r="E42">
        <v>118.23126486779799</v>
      </c>
      <c r="F42">
        <v>552.123291015625</v>
      </c>
      <c r="H42" s="34"/>
      <c r="I42" s="34"/>
      <c r="J42" s="34"/>
      <c r="K42" s="34"/>
      <c r="L42" s="34"/>
      <c r="N42" s="34"/>
      <c r="O42" s="35"/>
      <c r="P42" s="35"/>
      <c r="Q42" s="35"/>
      <c r="R42" s="35"/>
      <c r="S42" s="74"/>
      <c r="AA42" s="33" t="s">
        <v>58</v>
      </c>
      <c r="AC42" s="52" t="s">
        <v>12</v>
      </c>
      <c r="AD42" s="34"/>
      <c r="AE42" s="35"/>
      <c r="AF42" s="35"/>
      <c r="AG42" s="35"/>
      <c r="AH42" s="36"/>
      <c r="AJ42" s="34"/>
      <c r="AK42" s="34"/>
      <c r="AL42" s="34"/>
      <c r="AM42" s="34"/>
      <c r="AN42" s="34"/>
      <c r="AQ42" s="67"/>
      <c r="AR42" s="67"/>
      <c r="AS42" s="67"/>
      <c r="AT42" s="67"/>
      <c r="AU42" s="67"/>
      <c r="AW42" s="68"/>
      <c r="AX42" s="68"/>
      <c r="AY42" s="68"/>
      <c r="AZ42" s="68"/>
      <c r="BA42" s="68"/>
      <c r="BB42" s="68"/>
    </row>
    <row r="43" spans="1:54" ht="13.5" thickBot="1">
      <c r="A43" s="103">
        <v>38768</v>
      </c>
      <c r="B43" s="104">
        <v>5.068943977355957</v>
      </c>
      <c r="C43" s="105">
        <v>1287.239990234375</v>
      </c>
      <c r="D43" s="104">
        <v>1.7438000440597534</v>
      </c>
      <c r="E43">
        <v>118.24523549289229</v>
      </c>
      <c r="F43">
        <v>552.6085205078125</v>
      </c>
      <c r="H43" s="34"/>
      <c r="I43" s="34"/>
      <c r="J43" s="34"/>
      <c r="K43" s="34"/>
      <c r="L43" s="34"/>
      <c r="N43" s="34"/>
      <c r="O43" s="35"/>
      <c r="P43" s="35"/>
      <c r="Q43" s="35"/>
      <c r="R43" s="35"/>
      <c r="S43" s="74"/>
      <c r="AA43" s="32" t="s">
        <v>59</v>
      </c>
      <c r="AC43" s="54" t="s">
        <v>13</v>
      </c>
      <c r="AD43" s="37"/>
      <c r="AE43" s="38"/>
      <c r="AF43" s="38"/>
      <c r="AG43" s="38"/>
      <c r="AH43" s="39"/>
      <c r="AJ43" s="34"/>
      <c r="AK43" s="34"/>
      <c r="AL43" s="34"/>
      <c r="AM43" s="34"/>
      <c r="AN43" s="34"/>
      <c r="AQ43" s="67"/>
      <c r="AR43" s="67"/>
      <c r="AS43" s="67"/>
      <c r="AT43" s="67"/>
      <c r="AU43" s="67"/>
      <c r="AW43" s="68"/>
      <c r="AX43" s="68"/>
      <c r="AY43" s="68"/>
      <c r="AZ43" s="68"/>
      <c r="BA43" s="68"/>
      <c r="BB43" s="68"/>
    </row>
    <row r="44" spans="1:54" ht="13.5" thickBot="1">
      <c r="A44" s="103">
        <v>38769</v>
      </c>
      <c r="B44" s="104">
        <v>5.0954999923706055</v>
      </c>
      <c r="C44" s="105">
        <v>1283.030029296875</v>
      </c>
      <c r="D44" s="104">
        <v>1.7460999488830566</v>
      </c>
      <c r="E44">
        <v>118.77895783903949</v>
      </c>
      <c r="F44">
        <v>554.169189453125</v>
      </c>
      <c r="H44" s="34"/>
      <c r="I44" s="34"/>
      <c r="J44" s="34"/>
      <c r="K44" s="34"/>
      <c r="L44" s="34"/>
      <c r="N44" s="34"/>
      <c r="O44" s="35"/>
      <c r="P44" s="35"/>
      <c r="Q44" s="35"/>
      <c r="R44" s="35"/>
      <c r="S44" s="74"/>
      <c r="AA44" s="33" t="s">
        <v>60</v>
      </c>
      <c r="AD44" s="37"/>
      <c r="AE44" s="38"/>
      <c r="AF44" s="38"/>
      <c r="AG44" s="38"/>
      <c r="AH44" s="39"/>
      <c r="AJ44" s="34"/>
      <c r="AK44" s="34"/>
      <c r="AL44" s="34"/>
      <c r="AM44" s="34"/>
      <c r="AN44" s="34"/>
      <c r="AQ44" s="67"/>
      <c r="AR44" s="67"/>
      <c r="AS44" s="67"/>
      <c r="AT44" s="67"/>
      <c r="AU44" s="67"/>
      <c r="AW44" s="68"/>
      <c r="AX44" s="68"/>
      <c r="AY44" s="68"/>
      <c r="AZ44" s="68"/>
      <c r="BA44" s="68"/>
      <c r="BB44" s="68"/>
    </row>
    <row r="45" spans="1:54" ht="13.5" thickBot="1">
      <c r="A45" s="103">
        <v>38770</v>
      </c>
      <c r="B45" s="104">
        <v>5.0590000152587891</v>
      </c>
      <c r="C45" s="105">
        <v>1292.6700439453125</v>
      </c>
      <c r="D45" s="104">
        <v>1.7426999807357788</v>
      </c>
      <c r="E45">
        <v>118.53959258059595</v>
      </c>
      <c r="F45">
        <v>554.21923828125</v>
      </c>
      <c r="H45" s="34"/>
      <c r="I45" s="34"/>
      <c r="J45" s="34"/>
      <c r="K45" s="34"/>
      <c r="L45" s="34"/>
      <c r="N45" s="34"/>
      <c r="O45" s="35"/>
      <c r="P45" s="35"/>
      <c r="Q45" s="35"/>
      <c r="R45" s="35"/>
      <c r="S45" s="74"/>
      <c r="AA45" s="33" t="s">
        <v>61</v>
      </c>
      <c r="AD45" s="37"/>
      <c r="AE45" s="38"/>
      <c r="AF45" s="38"/>
      <c r="AG45" s="38"/>
      <c r="AH45" s="39"/>
      <c r="AJ45" s="34"/>
      <c r="AK45" s="34"/>
      <c r="AL45" s="34"/>
      <c r="AM45" s="34"/>
      <c r="AN45" s="34"/>
      <c r="AQ45" s="67"/>
      <c r="AR45" s="67"/>
      <c r="AS45" s="67"/>
      <c r="AT45" s="67"/>
      <c r="AU45" s="67"/>
      <c r="AW45" s="68"/>
      <c r="AX45" s="68"/>
      <c r="AY45" s="68"/>
      <c r="AZ45" s="68"/>
      <c r="BA45" s="68"/>
      <c r="BB45" s="68"/>
    </row>
    <row r="46" spans="1:54" ht="13.5" thickBot="1">
      <c r="A46" s="103">
        <v>38771</v>
      </c>
      <c r="B46" s="104">
        <v>5.0970001220703125</v>
      </c>
      <c r="C46" s="105">
        <v>1287.7900390625</v>
      </c>
      <c r="D46" s="104">
        <v>1.7510999441146851</v>
      </c>
      <c r="E46">
        <v>117.23329116724085</v>
      </c>
      <c r="F46">
        <v>548.58905029296875</v>
      </c>
      <c r="H46" s="34"/>
      <c r="I46" s="34"/>
      <c r="J46" s="34"/>
      <c r="K46" s="34"/>
      <c r="L46" s="34"/>
      <c r="N46" s="34"/>
      <c r="O46" s="35"/>
      <c r="P46" s="35"/>
      <c r="Q46" s="35"/>
      <c r="R46" s="35"/>
      <c r="S46" s="74"/>
      <c r="AD46" s="40"/>
      <c r="AE46" s="41"/>
      <c r="AF46" s="41"/>
      <c r="AG46" s="41"/>
      <c r="AH46" s="42"/>
      <c r="AJ46" s="34"/>
      <c r="AK46" s="34"/>
      <c r="AL46" s="34"/>
      <c r="AM46" s="34"/>
      <c r="AN46" s="34"/>
      <c r="AQ46" s="67"/>
      <c r="AR46" s="67"/>
      <c r="AS46" s="67"/>
      <c r="AT46" s="67"/>
      <c r="AU46" s="67"/>
      <c r="AW46" s="68"/>
      <c r="AX46" s="68"/>
      <c r="AY46" s="68"/>
      <c r="AZ46" s="68"/>
      <c r="BA46" s="68"/>
      <c r="BB46" s="68"/>
    </row>
    <row r="47" spans="1:54" ht="13.5" thickBot="1">
      <c r="A47" s="103">
        <v>38772</v>
      </c>
      <c r="B47" s="104">
        <v>5.0894999504089355</v>
      </c>
      <c r="C47" s="105">
        <v>1289.4300537109375</v>
      </c>
      <c r="D47" s="104">
        <v>1.7446999549865723</v>
      </c>
      <c r="E47">
        <v>116.89071106127123</v>
      </c>
      <c r="F47">
        <v>558.88787841796875</v>
      </c>
      <c r="H47" s="34"/>
      <c r="I47" s="34"/>
      <c r="J47" s="34"/>
      <c r="K47" s="34"/>
      <c r="L47" s="34"/>
      <c r="N47" s="34"/>
      <c r="O47" s="35"/>
      <c r="P47" s="35"/>
      <c r="Q47" s="35"/>
      <c r="R47" s="35"/>
      <c r="S47" s="74"/>
      <c r="AJ47" s="34"/>
      <c r="AK47" s="34"/>
      <c r="AL47" s="34"/>
      <c r="AM47" s="34"/>
      <c r="AN47" s="34"/>
      <c r="AQ47" s="67"/>
      <c r="AR47" s="67"/>
      <c r="AS47" s="67"/>
      <c r="AT47" s="67"/>
      <c r="AU47" s="67"/>
      <c r="AW47" s="68"/>
      <c r="AX47" s="68"/>
      <c r="AY47" s="68"/>
      <c r="AZ47" s="68"/>
      <c r="BA47" s="68"/>
      <c r="BB47" s="68"/>
    </row>
    <row r="48" spans="1:54" ht="13.5" thickBot="1">
      <c r="A48" s="103">
        <v>38775</v>
      </c>
      <c r="B48" s="104">
        <v>5.1114997863769531</v>
      </c>
      <c r="C48" s="105">
        <v>1294.1199951171875</v>
      </c>
      <c r="D48" s="104">
        <v>1.7398999929428101</v>
      </c>
      <c r="E48">
        <v>116.21150991368842</v>
      </c>
      <c r="F48">
        <v>554.71917724609375</v>
      </c>
      <c r="H48" s="34"/>
      <c r="I48" s="34"/>
      <c r="J48" s="34"/>
      <c r="K48" s="34"/>
      <c r="L48" s="34"/>
      <c r="N48" s="34"/>
      <c r="O48" s="35"/>
      <c r="P48" s="35"/>
      <c r="Q48" s="35"/>
      <c r="R48" s="35"/>
      <c r="S48" s="74"/>
      <c r="AJ48" s="34"/>
      <c r="AK48" s="34"/>
      <c r="AL48" s="34"/>
      <c r="AM48" s="34"/>
      <c r="AN48" s="34"/>
      <c r="AQ48" s="67"/>
      <c r="AR48" s="67"/>
      <c r="AS48" s="67"/>
      <c r="AT48" s="67"/>
      <c r="AU48" s="67"/>
      <c r="AW48" s="68"/>
      <c r="AX48" s="68"/>
      <c r="AY48" s="68"/>
      <c r="AZ48" s="68"/>
      <c r="BA48" s="68"/>
      <c r="BB48" s="68"/>
    </row>
    <row r="49" spans="1:54" ht="13.5" thickBot="1">
      <c r="A49" s="103">
        <v>38776</v>
      </c>
      <c r="B49" s="104">
        <v>5.070000171661377</v>
      </c>
      <c r="C49" s="105">
        <v>1280.6600341796875</v>
      </c>
      <c r="D49" s="104">
        <v>1.7542999982833862</v>
      </c>
      <c r="E49">
        <v>115.75413343774552</v>
      </c>
      <c r="F49">
        <v>561.71881103515625</v>
      </c>
      <c r="H49" s="34"/>
      <c r="I49" s="34"/>
      <c r="J49" s="34"/>
      <c r="K49" s="34"/>
      <c r="L49" s="34"/>
      <c r="N49" s="34"/>
      <c r="O49" s="35"/>
      <c r="P49" s="35"/>
      <c r="Q49" s="35"/>
      <c r="R49" s="35"/>
      <c r="S49" s="74"/>
      <c r="AJ49" s="34"/>
      <c r="AK49" s="34"/>
      <c r="AL49" s="34"/>
      <c r="AM49" s="34"/>
      <c r="AN49" s="34"/>
      <c r="AQ49" s="67"/>
      <c r="AR49" s="67"/>
      <c r="AS49" s="67"/>
      <c r="AT49" s="67"/>
      <c r="AU49" s="67"/>
      <c r="AW49" s="68"/>
      <c r="AX49" s="68"/>
      <c r="AY49" s="68"/>
      <c r="AZ49" s="68"/>
      <c r="BA49" s="68"/>
      <c r="BB49" s="68"/>
    </row>
    <row r="50" spans="1:54" ht="13.5" thickBot="1">
      <c r="A50" s="103">
        <v>38777</v>
      </c>
      <c r="B50" s="104">
        <v>5.1220002174377441</v>
      </c>
      <c r="C50" s="105">
        <v>1291.239990234375</v>
      </c>
      <c r="D50" s="104">
        <v>1.7493000030517578</v>
      </c>
      <c r="E50">
        <v>116.13052878809854</v>
      </c>
      <c r="F50">
        <v>563.668701171875</v>
      </c>
      <c r="H50" s="34"/>
      <c r="I50" s="34"/>
      <c r="J50" s="34"/>
      <c r="K50" s="34"/>
      <c r="L50" s="34"/>
      <c r="N50" s="34"/>
      <c r="O50" s="35"/>
      <c r="P50" s="35"/>
      <c r="Q50" s="35"/>
      <c r="R50" s="35"/>
      <c r="S50" s="74"/>
      <c r="AJ50" s="34"/>
      <c r="AK50" s="34"/>
      <c r="AL50" s="34"/>
      <c r="AM50" s="34"/>
      <c r="AN50" s="34"/>
      <c r="AQ50" s="67"/>
      <c r="AR50" s="67"/>
      <c r="AS50" s="67"/>
      <c r="AT50" s="67"/>
      <c r="AU50" s="67"/>
      <c r="AW50" s="68"/>
      <c r="AX50" s="68"/>
      <c r="AY50" s="68"/>
      <c r="AZ50" s="68"/>
      <c r="BA50" s="68"/>
      <c r="BB50" s="68"/>
    </row>
    <row r="51" spans="1:54" ht="13.5" thickBot="1">
      <c r="A51" s="103">
        <v>38778</v>
      </c>
      <c r="B51" s="104">
        <v>5.1810002326965332</v>
      </c>
      <c r="C51" s="105">
        <v>1289.1400146484375</v>
      </c>
      <c r="D51" s="104">
        <v>1.7545000314712524</v>
      </c>
      <c r="E51">
        <v>115.83459028979958</v>
      </c>
      <c r="F51">
        <v>568.63677978515625</v>
      </c>
      <c r="H51" s="34"/>
      <c r="I51" s="34"/>
      <c r="J51" s="34"/>
      <c r="K51" s="34"/>
      <c r="L51" s="34"/>
      <c r="N51" s="34"/>
      <c r="O51" s="35"/>
      <c r="P51" s="35"/>
      <c r="Q51" s="35"/>
      <c r="R51" s="35"/>
      <c r="S51" s="74"/>
      <c r="AJ51" s="34"/>
      <c r="AK51" s="34"/>
      <c r="AL51" s="34"/>
      <c r="AM51" s="34"/>
      <c r="AN51" s="34"/>
      <c r="AQ51" s="67"/>
      <c r="AR51" s="67"/>
      <c r="AS51" s="67"/>
      <c r="AT51" s="67"/>
      <c r="AU51" s="67"/>
      <c r="AW51" s="68"/>
      <c r="AX51" s="68"/>
      <c r="AY51" s="68"/>
      <c r="AZ51" s="68"/>
      <c r="BA51" s="68"/>
      <c r="BB51" s="68"/>
    </row>
    <row r="52" spans="1:54" ht="13.5" thickBot="1">
      <c r="A52" s="103">
        <v>38779</v>
      </c>
      <c r="B52" s="104">
        <v>5.2274999618530273</v>
      </c>
      <c r="C52" s="105">
        <v>1287.22998046875</v>
      </c>
      <c r="D52" s="104">
        <v>1.7544000148773193</v>
      </c>
      <c r="E52">
        <v>116.41443877459196</v>
      </c>
      <c r="F52">
        <v>566.237060546875</v>
      </c>
      <c r="H52" s="34"/>
      <c r="I52" s="34"/>
      <c r="J52" s="34"/>
      <c r="K52" s="34"/>
      <c r="L52" s="34"/>
      <c r="N52" s="34"/>
      <c r="O52" s="35"/>
      <c r="P52" s="35"/>
      <c r="Q52" s="35"/>
      <c r="R52" s="35"/>
      <c r="S52" s="74"/>
      <c r="AJ52" s="34"/>
      <c r="AK52" s="34"/>
      <c r="AL52" s="34"/>
      <c r="AM52" s="34"/>
      <c r="AN52" s="34"/>
      <c r="AQ52" s="67"/>
      <c r="AR52" s="67"/>
      <c r="AS52" s="67"/>
      <c r="AT52" s="67"/>
      <c r="AU52" s="67"/>
      <c r="AW52" s="68"/>
      <c r="AX52" s="68"/>
      <c r="AY52" s="68"/>
      <c r="AZ52" s="68"/>
      <c r="BA52" s="68"/>
      <c r="BB52" s="68"/>
    </row>
    <row r="53" spans="1:54" ht="13.5" thickBot="1">
      <c r="A53" s="103">
        <v>38782</v>
      </c>
      <c r="B53" s="104">
        <v>5.2934999465942383</v>
      </c>
      <c r="C53" s="105">
        <v>1278.260009765625</v>
      </c>
      <c r="D53" s="104">
        <v>1.750499963760376</v>
      </c>
      <c r="E53">
        <v>117.55024883072876</v>
      </c>
      <c r="F53">
        <v>555.21917724609375</v>
      </c>
      <c r="H53" s="34"/>
      <c r="I53" s="34"/>
      <c r="J53" s="34"/>
      <c r="K53" s="34"/>
      <c r="L53" s="34"/>
      <c r="N53" s="34"/>
      <c r="O53" s="35"/>
      <c r="P53" s="35"/>
      <c r="Q53" s="35"/>
      <c r="R53" s="35"/>
      <c r="S53" s="74"/>
      <c r="AJ53" s="34"/>
      <c r="AK53" s="34"/>
      <c r="AL53" s="34"/>
      <c r="AM53" s="34"/>
      <c r="AN53" s="34"/>
      <c r="AQ53" s="67"/>
      <c r="AR53" s="67"/>
      <c r="AS53" s="67"/>
      <c r="AT53" s="67"/>
      <c r="AU53" s="67"/>
      <c r="AW53" s="68"/>
      <c r="AX53" s="68"/>
      <c r="AY53" s="68"/>
      <c r="AZ53" s="68"/>
      <c r="BA53" s="68"/>
      <c r="BB53" s="68"/>
    </row>
    <row r="54" spans="1:54" ht="13.5" thickBot="1">
      <c r="A54" s="103">
        <v>38783</v>
      </c>
      <c r="B54" s="104">
        <v>5.2884998321533203</v>
      </c>
      <c r="C54" s="105">
        <v>1275.8800048828125</v>
      </c>
      <c r="D54" s="104">
        <v>1.7360999584197998</v>
      </c>
      <c r="E54">
        <v>117.93843517378738</v>
      </c>
      <c r="F54">
        <v>553.1192626953125</v>
      </c>
      <c r="H54" s="34"/>
      <c r="I54" s="34"/>
      <c r="J54" s="34"/>
      <c r="K54" s="34"/>
      <c r="L54" s="34"/>
      <c r="N54" s="34"/>
      <c r="O54" s="35"/>
      <c r="P54" s="35"/>
      <c r="Q54" s="35"/>
      <c r="R54" s="35"/>
      <c r="S54" s="74"/>
      <c r="AJ54" s="34"/>
      <c r="AK54" s="34"/>
      <c r="AL54" s="34"/>
      <c r="AM54" s="34"/>
      <c r="AN54" s="34"/>
      <c r="AQ54" s="67"/>
      <c r="AR54" s="67"/>
      <c r="AS54" s="67"/>
      <c r="AT54" s="67"/>
      <c r="AU54" s="67"/>
      <c r="AW54" s="68"/>
      <c r="AX54" s="68"/>
      <c r="AY54" s="68"/>
      <c r="AZ54" s="68"/>
      <c r="BA54" s="68"/>
      <c r="BB54" s="68"/>
    </row>
    <row r="55" spans="1:54" ht="13.5" thickBot="1">
      <c r="A55" s="103">
        <v>38784</v>
      </c>
      <c r="B55" s="104">
        <v>5.2789998054504395</v>
      </c>
      <c r="C55" s="105">
        <v>1278.469970703125</v>
      </c>
      <c r="D55" s="104">
        <v>1.7369999885559082</v>
      </c>
      <c r="E55">
        <v>117.92452399588768</v>
      </c>
      <c r="F55">
        <v>543.01983642578125</v>
      </c>
      <c r="H55" s="34"/>
      <c r="I55" s="34"/>
      <c r="J55" s="34"/>
      <c r="K55" s="34"/>
      <c r="L55" s="34"/>
      <c r="N55" s="34"/>
      <c r="O55" s="35"/>
      <c r="P55" s="35"/>
      <c r="Q55" s="35"/>
      <c r="R55" s="35"/>
      <c r="S55" s="74"/>
      <c r="AJ55" s="34"/>
      <c r="AK55" s="34"/>
      <c r="AL55" s="34"/>
      <c r="AM55" s="34"/>
      <c r="AN55" s="34"/>
      <c r="AQ55" s="67"/>
      <c r="AR55" s="67"/>
      <c r="AS55" s="67"/>
      <c r="AT55" s="67"/>
      <c r="AU55" s="67"/>
      <c r="AW55" s="68"/>
      <c r="AX55" s="68"/>
      <c r="AY55" s="68"/>
      <c r="AZ55" s="68"/>
      <c r="BA55" s="68"/>
      <c r="BB55" s="68"/>
    </row>
    <row r="56" spans="1:54" ht="13.5" thickBot="1">
      <c r="A56" s="103">
        <v>38785</v>
      </c>
      <c r="B56" s="104">
        <v>5.2725000381469727</v>
      </c>
      <c r="C56" s="105">
        <v>1272.22998046875</v>
      </c>
      <c r="D56" s="104">
        <v>1.73580002784729</v>
      </c>
      <c r="E56">
        <v>118.16140921882801</v>
      </c>
      <c r="F56">
        <v>545.83935546875</v>
      </c>
      <c r="H56" s="34"/>
      <c r="I56" s="34"/>
      <c r="J56" s="34"/>
      <c r="K56" s="34"/>
      <c r="L56" s="34"/>
      <c r="N56" s="34"/>
      <c r="O56" s="35"/>
      <c r="P56" s="35"/>
      <c r="Q56" s="35"/>
      <c r="R56" s="35"/>
      <c r="S56" s="74"/>
      <c r="AJ56" s="34"/>
      <c r="AK56" s="34"/>
      <c r="AL56" s="34"/>
      <c r="AM56" s="34"/>
      <c r="AN56" s="34"/>
      <c r="AQ56" s="67"/>
      <c r="AR56" s="67"/>
      <c r="AS56" s="67"/>
      <c r="AT56" s="67"/>
      <c r="AU56" s="67"/>
      <c r="AW56" s="68"/>
      <c r="AX56" s="68"/>
      <c r="AY56" s="68"/>
      <c r="AZ56" s="68"/>
      <c r="BA56" s="68"/>
      <c r="BB56" s="68"/>
    </row>
    <row r="57" spans="1:54" ht="13.5" thickBot="1">
      <c r="A57" s="103">
        <v>38786</v>
      </c>
      <c r="B57" s="104">
        <v>5.2925000190734863</v>
      </c>
      <c r="C57" s="105">
        <v>1281.5799560546875</v>
      </c>
      <c r="D57" s="104">
        <v>1.7267999649047852</v>
      </c>
      <c r="E57">
        <v>119.01927855423092</v>
      </c>
      <c r="F57">
        <v>540.28997802734375</v>
      </c>
      <c r="H57" s="34"/>
      <c r="I57" s="34"/>
      <c r="J57" s="34"/>
      <c r="K57" s="34"/>
      <c r="L57" s="34"/>
      <c r="N57" s="34"/>
      <c r="O57" s="35"/>
      <c r="P57" s="35"/>
      <c r="Q57" s="35"/>
      <c r="R57" s="35"/>
      <c r="S57" s="74"/>
      <c r="AJ57" s="34"/>
      <c r="AK57" s="34"/>
      <c r="AL57" s="34"/>
      <c r="AM57" s="34"/>
      <c r="AN57" s="34"/>
      <c r="AQ57" s="67"/>
      <c r="AR57" s="67"/>
      <c r="AS57" s="67"/>
      <c r="AT57" s="67"/>
      <c r="AU57" s="67"/>
      <c r="AW57" s="68"/>
      <c r="AX57" s="68"/>
      <c r="AY57" s="68"/>
      <c r="AZ57" s="68"/>
      <c r="BA57" s="68"/>
      <c r="BB57" s="68"/>
    </row>
    <row r="58" spans="1:54" ht="13.5" thickBot="1">
      <c r="A58" s="103">
        <v>38789</v>
      </c>
      <c r="B58" s="104">
        <v>5.317500114440918</v>
      </c>
      <c r="C58" s="105">
        <v>1284.1300048828125</v>
      </c>
      <c r="D58" s="104">
        <v>1.732699990272522</v>
      </c>
      <c r="E58">
        <v>118.83541885778344</v>
      </c>
      <c r="F58">
        <v>546.56964111328125</v>
      </c>
      <c r="H58" s="34"/>
      <c r="I58" s="34"/>
      <c r="J58" s="34"/>
      <c r="K58" s="34"/>
      <c r="L58" s="34"/>
      <c r="N58" s="34"/>
      <c r="O58" s="35"/>
      <c r="P58" s="35"/>
      <c r="Q58" s="35"/>
      <c r="R58" s="35"/>
      <c r="S58" s="74"/>
      <c r="AJ58" s="34"/>
      <c r="AK58" s="34"/>
      <c r="AL58" s="34"/>
      <c r="AM58" s="34"/>
      <c r="AN58" s="34"/>
      <c r="AQ58" s="67"/>
      <c r="AR58" s="67"/>
      <c r="AS58" s="67"/>
      <c r="AT58" s="67"/>
      <c r="AU58" s="67"/>
      <c r="AW58" s="68"/>
      <c r="AX58" s="68"/>
      <c r="AY58" s="68"/>
      <c r="AZ58" s="68"/>
      <c r="BA58" s="68"/>
      <c r="BB58" s="68"/>
    </row>
    <row r="59" spans="1:54" ht="13.5" thickBot="1">
      <c r="A59" s="103">
        <v>38790</v>
      </c>
      <c r="B59" s="104">
        <v>5.2309999465942383</v>
      </c>
      <c r="C59" s="105">
        <v>1297.47998046875</v>
      </c>
      <c r="D59" s="104">
        <v>1.7466000318527222</v>
      </c>
      <c r="E59">
        <v>117.42602639877471</v>
      </c>
      <c r="F59">
        <v>552.0693359375</v>
      </c>
      <c r="H59" s="34"/>
      <c r="I59" s="34"/>
      <c r="J59" s="34"/>
      <c r="K59" s="34"/>
      <c r="L59" s="34"/>
      <c r="N59" s="34"/>
      <c r="O59" s="35"/>
      <c r="P59" s="35"/>
      <c r="Q59" s="35"/>
      <c r="R59" s="35"/>
      <c r="S59" s="74"/>
      <c r="AJ59" s="34"/>
      <c r="AK59" s="34"/>
      <c r="AL59" s="34"/>
      <c r="AM59" s="34"/>
      <c r="AN59" s="34"/>
      <c r="AQ59" s="67"/>
      <c r="AR59" s="67"/>
      <c r="AS59" s="67"/>
      <c r="AT59" s="67"/>
      <c r="AU59" s="67"/>
      <c r="AW59" s="68"/>
      <c r="AX59" s="68"/>
      <c r="AY59" s="68"/>
      <c r="AZ59" s="68"/>
      <c r="BA59" s="68"/>
      <c r="BB59" s="68"/>
    </row>
    <row r="60" spans="1:54" ht="13.5" thickBot="1">
      <c r="A60" s="103">
        <v>38791</v>
      </c>
      <c r="B60" s="104">
        <v>5.2664999961853027</v>
      </c>
      <c r="C60" s="105">
        <v>1303.02001953125</v>
      </c>
      <c r="D60" s="104">
        <v>1.7483999729156494</v>
      </c>
      <c r="E60">
        <v>117.27453371891055</v>
      </c>
      <c r="F60">
        <v>553.5692138671875</v>
      </c>
      <c r="H60" s="34"/>
      <c r="I60" s="34"/>
      <c r="J60" s="34"/>
      <c r="K60" s="34"/>
      <c r="L60" s="34"/>
      <c r="N60" s="34"/>
      <c r="O60" s="35"/>
      <c r="P60" s="35"/>
      <c r="Q60" s="35"/>
      <c r="R60" s="35"/>
      <c r="S60" s="74"/>
      <c r="AJ60" s="34"/>
      <c r="AK60" s="34"/>
      <c r="AL60" s="34"/>
      <c r="AM60" s="34"/>
      <c r="AN60" s="34"/>
      <c r="AQ60" s="67"/>
      <c r="AR60" s="67"/>
      <c r="AS60" s="67"/>
      <c r="AT60" s="67"/>
      <c r="AU60" s="67"/>
      <c r="AW60" s="68"/>
      <c r="AX60" s="68"/>
      <c r="AY60" s="68"/>
      <c r="AZ60" s="68"/>
      <c r="BA60" s="68"/>
      <c r="BB60" s="68"/>
    </row>
    <row r="61" spans="1:54" ht="13.5" thickBot="1">
      <c r="A61" s="103">
        <v>38792</v>
      </c>
      <c r="B61" s="104">
        <v>5.1764998435974121</v>
      </c>
      <c r="C61" s="105">
        <v>1305.3299560546875</v>
      </c>
      <c r="D61" s="104">
        <v>1.7567000389099121</v>
      </c>
      <c r="E61">
        <v>116.84972526638403</v>
      </c>
      <c r="F61">
        <v>554.6883544921875</v>
      </c>
      <c r="H61" s="34"/>
      <c r="I61" s="34"/>
      <c r="J61" s="34"/>
      <c r="K61" s="34"/>
      <c r="L61" s="34"/>
      <c r="N61" s="34"/>
      <c r="O61" s="35"/>
      <c r="P61" s="35"/>
      <c r="Q61" s="35"/>
      <c r="R61" s="35"/>
      <c r="S61" s="74"/>
      <c r="AJ61" s="34"/>
      <c r="AK61" s="34"/>
      <c r="AL61" s="34"/>
      <c r="AM61" s="34"/>
      <c r="AN61" s="34"/>
      <c r="AQ61" s="67"/>
      <c r="AR61" s="67"/>
      <c r="AS61" s="67"/>
      <c r="AT61" s="67"/>
      <c r="AU61" s="67"/>
      <c r="AW61" s="68"/>
      <c r="AX61" s="68"/>
      <c r="AY61" s="68"/>
      <c r="AZ61" s="68"/>
      <c r="BA61" s="68"/>
      <c r="BB61" s="68"/>
    </row>
    <row r="62" spans="1:54" ht="13.5" thickBot="1">
      <c r="A62" s="103">
        <v>38793</v>
      </c>
      <c r="B62" s="104">
        <v>5.2069997787475586</v>
      </c>
      <c r="C62" s="105">
        <v>1307.25</v>
      </c>
      <c r="D62" s="104">
        <v>1.7574000358581543</v>
      </c>
      <c r="E62">
        <v>115.80775475122795</v>
      </c>
      <c r="F62">
        <v>554.38836669921875</v>
      </c>
      <c r="H62" s="34"/>
      <c r="I62" s="34"/>
      <c r="J62" s="34"/>
      <c r="K62" s="34"/>
      <c r="L62" s="34"/>
      <c r="N62" s="34"/>
      <c r="O62" s="35"/>
      <c r="P62" s="35"/>
      <c r="Q62" s="35"/>
      <c r="R62" s="35"/>
      <c r="S62" s="74"/>
      <c r="AJ62" s="34"/>
      <c r="AK62" s="34"/>
      <c r="AL62" s="34"/>
      <c r="AM62" s="34"/>
      <c r="AN62" s="34"/>
      <c r="AQ62" s="67"/>
      <c r="AR62" s="67"/>
      <c r="AS62" s="67"/>
      <c r="AT62" s="67"/>
      <c r="AU62" s="67"/>
      <c r="AW62" s="68"/>
      <c r="AX62" s="68"/>
      <c r="AY62" s="68"/>
      <c r="AZ62" s="68"/>
      <c r="BA62" s="68"/>
      <c r="BB62" s="68"/>
    </row>
    <row r="63" spans="1:54" ht="13.5" thickBot="1">
      <c r="A63" s="103">
        <v>38796</v>
      </c>
      <c r="B63" s="104">
        <v>5.188499927520752</v>
      </c>
      <c r="C63" s="105">
        <v>1305.0799560546875</v>
      </c>
      <c r="D63" s="104">
        <v>1.7563999891281128</v>
      </c>
      <c r="E63">
        <v>116.18449946849583</v>
      </c>
      <c r="F63">
        <v>555.4691162109375</v>
      </c>
      <c r="H63" s="34"/>
      <c r="I63" s="34"/>
      <c r="J63" s="34"/>
      <c r="K63" s="34"/>
      <c r="L63" s="34"/>
      <c r="N63" s="34"/>
      <c r="O63" s="35"/>
      <c r="P63" s="35"/>
      <c r="Q63" s="35"/>
      <c r="R63" s="35"/>
      <c r="S63" s="74"/>
      <c r="AJ63" s="34"/>
      <c r="AK63" s="34"/>
      <c r="AL63" s="34"/>
      <c r="AM63" s="34"/>
      <c r="AN63" s="34"/>
      <c r="AQ63" s="67"/>
      <c r="AR63" s="67"/>
      <c r="AS63" s="67"/>
      <c r="AT63" s="67"/>
      <c r="AU63" s="67"/>
      <c r="AW63" s="68"/>
      <c r="AX63" s="68"/>
      <c r="AY63" s="68"/>
      <c r="AZ63" s="68"/>
      <c r="BA63" s="68"/>
      <c r="BB63" s="68"/>
    </row>
    <row r="64" spans="1:54" ht="13.5" thickBot="1">
      <c r="A64" s="103">
        <v>38797</v>
      </c>
      <c r="B64" s="104">
        <v>5.25</v>
      </c>
      <c r="C64" s="105">
        <v>1297.22998046875</v>
      </c>
      <c r="D64" s="104">
        <v>1.7474000453948975</v>
      </c>
      <c r="E64">
        <v>117.23329116724085</v>
      </c>
      <c r="F64">
        <v>552.6693115234375</v>
      </c>
      <c r="H64" s="34"/>
      <c r="I64" s="34"/>
      <c r="J64" s="34"/>
      <c r="K64" s="34"/>
      <c r="L64" s="34"/>
      <c r="N64" s="34"/>
      <c r="O64" s="35"/>
      <c r="P64" s="35"/>
      <c r="Q64" s="35"/>
      <c r="R64" s="35"/>
      <c r="S64" s="74"/>
      <c r="AJ64" s="34"/>
      <c r="AK64" s="34"/>
      <c r="AL64" s="34"/>
      <c r="AM64" s="34"/>
      <c r="AN64" s="34"/>
      <c r="AQ64" s="67"/>
      <c r="AR64" s="67"/>
      <c r="AS64" s="67"/>
      <c r="AT64" s="67"/>
      <c r="AU64" s="67"/>
      <c r="AW64" s="68"/>
      <c r="AX64" s="68"/>
      <c r="AY64" s="68"/>
      <c r="AZ64" s="68"/>
      <c r="BA64" s="68"/>
      <c r="BB64" s="68"/>
    </row>
    <row r="65" spans="1:54" ht="13.5" thickBot="1">
      <c r="A65" s="103">
        <v>38798</v>
      </c>
      <c r="B65" s="104">
        <v>5.2379999160766602</v>
      </c>
      <c r="C65" s="105">
        <v>1305.0400390625</v>
      </c>
      <c r="D65" s="104">
        <v>1.7472000122070313</v>
      </c>
      <c r="E65">
        <v>116.87704593534187</v>
      </c>
      <c r="F65">
        <v>551.26934814453125</v>
      </c>
      <c r="H65" s="34"/>
      <c r="I65" s="34"/>
      <c r="J65" s="34"/>
      <c r="K65" s="34"/>
      <c r="L65" s="34"/>
      <c r="N65" s="34"/>
      <c r="O65" s="35"/>
      <c r="P65" s="35"/>
      <c r="Q65" s="35"/>
      <c r="R65" s="35"/>
      <c r="S65" s="74"/>
      <c r="AJ65" s="34"/>
      <c r="AK65" s="34"/>
      <c r="AL65" s="34"/>
      <c r="AM65" s="34"/>
      <c r="AN65" s="34"/>
      <c r="AQ65" s="67"/>
      <c r="AR65" s="67"/>
      <c r="AS65" s="67"/>
      <c r="AT65" s="67"/>
      <c r="AU65" s="67"/>
      <c r="AW65" s="68"/>
      <c r="AX65" s="68"/>
      <c r="AY65" s="68"/>
      <c r="AZ65" s="68"/>
      <c r="BA65" s="68"/>
      <c r="BB65" s="68"/>
    </row>
    <row r="66" spans="1:54" ht="13.5" thickBot="1">
      <c r="A66" s="103">
        <v>38799</v>
      </c>
      <c r="B66" s="104">
        <v>5.2699999809265137</v>
      </c>
      <c r="C66" s="105">
        <v>1301.6700439453125</v>
      </c>
      <c r="D66" s="104">
        <v>1.7354999780654907</v>
      </c>
      <c r="E66">
        <v>117.89672442799203</v>
      </c>
      <c r="F66">
        <v>550.538818359375</v>
      </c>
      <c r="H66" s="34"/>
      <c r="I66" s="34"/>
      <c r="J66" s="34"/>
      <c r="K66" s="34"/>
      <c r="L66" s="34"/>
      <c r="N66" s="34"/>
      <c r="O66" s="35"/>
      <c r="P66" s="35"/>
      <c r="Q66" s="35"/>
      <c r="R66" s="35"/>
      <c r="S66" s="74"/>
      <c r="AJ66" s="34"/>
      <c r="AK66" s="34"/>
      <c r="AL66" s="34"/>
      <c r="AM66" s="34"/>
      <c r="AN66" s="34"/>
      <c r="AQ66" s="67"/>
      <c r="AR66" s="67"/>
      <c r="AS66" s="67"/>
      <c r="AT66" s="67"/>
      <c r="AU66" s="67"/>
      <c r="AW66" s="68"/>
      <c r="AX66" s="68"/>
      <c r="AY66" s="68"/>
      <c r="AZ66" s="68"/>
      <c r="BA66" s="68"/>
      <c r="BB66" s="68"/>
    </row>
    <row r="67" spans="1:54" ht="13.5" thickBot="1">
      <c r="A67" s="103">
        <v>38800</v>
      </c>
      <c r="B67" s="104">
        <v>5.2055001258850098</v>
      </c>
      <c r="C67" s="105">
        <v>1302.949951171875</v>
      </c>
      <c r="D67" s="104">
        <v>1.742400050163269</v>
      </c>
      <c r="E67">
        <v>117.49500214310328</v>
      </c>
      <c r="F67">
        <v>560.38775634765625</v>
      </c>
      <c r="H67" s="34"/>
      <c r="I67" s="34"/>
      <c r="J67" s="34"/>
      <c r="K67" s="34"/>
      <c r="L67" s="34"/>
      <c r="N67" s="34"/>
      <c r="O67" s="35"/>
      <c r="P67" s="35"/>
      <c r="Q67" s="35"/>
      <c r="R67" s="35"/>
      <c r="S67" s="74"/>
      <c r="AJ67" s="34"/>
      <c r="AK67" s="34"/>
      <c r="AL67" s="34"/>
      <c r="AM67" s="34"/>
      <c r="AN67" s="34"/>
      <c r="AQ67" s="67"/>
      <c r="AR67" s="67"/>
      <c r="AS67" s="67"/>
      <c r="AT67" s="67"/>
      <c r="AU67" s="67"/>
      <c r="AW67" s="68"/>
      <c r="AX67" s="68"/>
      <c r="AY67" s="68"/>
      <c r="AZ67" s="68"/>
      <c r="BA67" s="68"/>
      <c r="BB67" s="68"/>
    </row>
    <row r="68" spans="1:54" ht="13.5" thickBot="1">
      <c r="A68" s="103">
        <v>38803</v>
      </c>
      <c r="B68" s="104">
        <v>5.2290000915527344</v>
      </c>
      <c r="C68" s="105">
        <v>1301.6099853515625</v>
      </c>
      <c r="D68" s="104">
        <v>1.7474000453948975</v>
      </c>
      <c r="E68">
        <v>116.79514763726104</v>
      </c>
      <c r="F68">
        <v>567.3184814453125</v>
      </c>
      <c r="H68" s="34"/>
      <c r="I68" s="34"/>
      <c r="J68" s="34"/>
      <c r="K68" s="34"/>
      <c r="L68" s="34"/>
      <c r="N68" s="34"/>
      <c r="O68" s="35"/>
      <c r="P68" s="35"/>
      <c r="Q68" s="35"/>
      <c r="R68" s="35"/>
      <c r="S68" s="74"/>
      <c r="AJ68" s="34"/>
      <c r="AK68" s="34"/>
      <c r="AL68" s="34"/>
      <c r="AM68" s="34"/>
      <c r="AN68" s="34"/>
      <c r="AQ68" s="67"/>
      <c r="AR68" s="67"/>
      <c r="AS68" s="67"/>
      <c r="AT68" s="67"/>
      <c r="AU68" s="67"/>
      <c r="AW68" s="68"/>
      <c r="AX68" s="68"/>
      <c r="AY68" s="68"/>
      <c r="AZ68" s="68"/>
      <c r="BA68" s="68"/>
      <c r="BB68" s="68"/>
    </row>
    <row r="69" spans="1:54" ht="13.5" thickBot="1">
      <c r="A69" s="103">
        <v>38804</v>
      </c>
      <c r="B69" s="104">
        <v>5.308499813079834</v>
      </c>
      <c r="C69" s="105">
        <v>1293.22998046875</v>
      </c>
      <c r="D69" s="104">
        <v>1.7446999549865723</v>
      </c>
      <c r="E69">
        <v>117.82726342272618</v>
      </c>
      <c r="F69">
        <v>567.16851806640625</v>
      </c>
      <c r="H69" s="34"/>
      <c r="I69" s="34"/>
      <c r="J69" s="34"/>
      <c r="K69" s="34"/>
      <c r="L69" s="34"/>
      <c r="N69" s="34"/>
      <c r="O69" s="35"/>
      <c r="P69" s="35"/>
      <c r="Q69" s="35"/>
      <c r="R69" s="35"/>
      <c r="S69" s="74"/>
      <c r="AJ69" s="34"/>
      <c r="AK69" s="34"/>
      <c r="AL69" s="34"/>
      <c r="AM69" s="34"/>
      <c r="AN69" s="34"/>
      <c r="AQ69" s="67"/>
      <c r="AR69" s="67"/>
      <c r="AS69" s="67"/>
      <c r="AT69" s="67"/>
      <c r="AU69" s="67"/>
      <c r="AW69" s="68"/>
      <c r="AX69" s="68"/>
      <c r="AY69" s="68"/>
      <c r="AZ69" s="68"/>
      <c r="BA69" s="68"/>
      <c r="BB69" s="68"/>
    </row>
    <row r="70" spans="1:54" ht="13.5" thickBot="1">
      <c r="A70" s="103">
        <v>38805</v>
      </c>
      <c r="B70" s="104">
        <v>5.3429999351501465</v>
      </c>
      <c r="C70" s="105">
        <v>1302.8900146484375</v>
      </c>
      <c r="D70" s="104">
        <v>1.7345999479293823</v>
      </c>
      <c r="E70">
        <v>117.75788421770224</v>
      </c>
      <c r="F70">
        <v>573.4681396484375</v>
      </c>
      <c r="H70" s="34"/>
      <c r="I70" s="34"/>
      <c r="J70" s="34"/>
      <c r="K70" s="34"/>
      <c r="L70" s="34"/>
      <c r="N70" s="34"/>
      <c r="O70" s="35"/>
      <c r="P70" s="35"/>
      <c r="Q70" s="35"/>
      <c r="R70" s="35"/>
      <c r="S70" s="74"/>
      <c r="AJ70" s="34"/>
      <c r="AK70" s="34"/>
      <c r="AL70" s="34"/>
      <c r="AM70" s="34"/>
      <c r="AN70" s="34"/>
      <c r="AQ70" s="67"/>
      <c r="AR70" s="67"/>
      <c r="AS70" s="67"/>
      <c r="AT70" s="67"/>
      <c r="AU70" s="67"/>
      <c r="AW70" s="68"/>
      <c r="AX70" s="68"/>
      <c r="AY70" s="68"/>
      <c r="AZ70" s="68"/>
      <c r="BA70" s="68"/>
      <c r="BB70" s="68"/>
    </row>
    <row r="71" spans="1:54" ht="13.5" thickBot="1">
      <c r="A71" s="103">
        <v>38806</v>
      </c>
      <c r="B71" s="104">
        <v>5.3955001831054687</v>
      </c>
      <c r="C71" s="105">
        <v>1300.25</v>
      </c>
      <c r="D71" s="104">
        <v>1.746399998664856</v>
      </c>
      <c r="E71">
        <v>117.32957322196947</v>
      </c>
      <c r="F71">
        <v>586.73480224609375</v>
      </c>
      <c r="H71" s="34"/>
      <c r="I71" s="34"/>
      <c r="J71" s="34"/>
      <c r="K71" s="34"/>
      <c r="L71" s="34"/>
      <c r="N71" s="34"/>
      <c r="O71" s="35"/>
      <c r="P71" s="35"/>
      <c r="Q71" s="35"/>
      <c r="R71" s="35"/>
      <c r="S71" s="74"/>
      <c r="AJ71" s="34"/>
      <c r="AK71" s="34"/>
      <c r="AL71" s="34"/>
      <c r="AM71" s="34"/>
      <c r="AN71" s="34"/>
      <c r="AQ71" s="67"/>
      <c r="AR71" s="67"/>
      <c r="AS71" s="67"/>
      <c r="AT71" s="67"/>
      <c r="AU71" s="67"/>
      <c r="AW71" s="68"/>
      <c r="AX71" s="68"/>
      <c r="AY71" s="68"/>
      <c r="AZ71" s="68"/>
      <c r="BA71" s="68"/>
      <c r="BB71" s="68"/>
    </row>
    <row r="72" spans="1:54" ht="13.5" thickBot="1">
      <c r="A72" s="103">
        <v>38807</v>
      </c>
      <c r="B72" s="104">
        <v>5.3930001258850098</v>
      </c>
      <c r="C72" s="105">
        <v>1294.8299560546875</v>
      </c>
      <c r="D72" s="104">
        <v>1.7365000247955322</v>
      </c>
      <c r="E72">
        <v>117.68859956788911</v>
      </c>
      <c r="F72">
        <v>581.7353515625</v>
      </c>
      <c r="H72" s="34"/>
      <c r="I72" s="34"/>
      <c r="J72" s="34"/>
      <c r="K72" s="34"/>
      <c r="L72" s="34"/>
      <c r="N72" s="34"/>
      <c r="O72" s="35"/>
      <c r="P72" s="35"/>
      <c r="Q72" s="35"/>
      <c r="R72" s="35"/>
      <c r="S72" s="74"/>
      <c r="AJ72" s="34"/>
      <c r="AK72" s="34"/>
      <c r="AL72" s="34"/>
      <c r="AM72" s="34"/>
      <c r="AN72" s="34"/>
      <c r="AQ72" s="67"/>
      <c r="AR72" s="67"/>
      <c r="AS72" s="67"/>
      <c r="AT72" s="67"/>
      <c r="AU72" s="67"/>
      <c r="AW72" s="68"/>
      <c r="AX72" s="68"/>
      <c r="AY72" s="68"/>
      <c r="AZ72" s="68"/>
      <c r="BA72" s="68"/>
      <c r="BB72" s="68"/>
    </row>
    <row r="73" spans="1:54" ht="13.5" thickBot="1">
      <c r="A73" s="103">
        <v>38810</v>
      </c>
      <c r="B73" s="104">
        <v>5.4210000038146973</v>
      </c>
      <c r="C73" s="105">
        <v>1297.81005859375</v>
      </c>
      <c r="D73" s="104">
        <v>1.7389999628067017</v>
      </c>
      <c r="E73">
        <v>117.71630106089644</v>
      </c>
      <c r="F73">
        <v>589.417236328125</v>
      </c>
      <c r="H73" s="34"/>
      <c r="I73" s="34"/>
      <c r="J73" s="34"/>
      <c r="K73" s="34"/>
      <c r="L73" s="34"/>
      <c r="N73" s="34"/>
      <c r="O73" s="35"/>
      <c r="P73" s="35"/>
      <c r="Q73" s="35"/>
      <c r="R73" s="35"/>
      <c r="S73" s="74"/>
      <c r="AJ73" s="34"/>
      <c r="AK73" s="34"/>
      <c r="AL73" s="34"/>
      <c r="AM73" s="34"/>
      <c r="AN73" s="34"/>
      <c r="AQ73" s="67"/>
      <c r="AR73" s="67"/>
      <c r="AS73" s="67"/>
      <c r="AT73" s="67"/>
      <c r="AU73" s="67"/>
      <c r="AW73" s="68"/>
      <c r="AX73" s="68"/>
      <c r="AY73" s="68"/>
      <c r="AZ73" s="68"/>
      <c r="BA73" s="68"/>
      <c r="BB73" s="68"/>
    </row>
    <row r="74" spans="1:54" ht="13.5" thickBot="1">
      <c r="A74" s="103">
        <v>38811</v>
      </c>
      <c r="B74" s="104">
        <v>5.4145002365112305</v>
      </c>
      <c r="C74" s="105">
        <v>1305.9300537109375</v>
      </c>
      <c r="D74" s="104">
        <v>1.7560000419616699</v>
      </c>
      <c r="E74">
        <v>117.45360440646618</v>
      </c>
      <c r="F74">
        <v>585.81744384765625</v>
      </c>
      <c r="H74" s="34"/>
      <c r="I74" s="34"/>
      <c r="J74" s="34"/>
      <c r="K74" s="34"/>
      <c r="L74" s="34"/>
      <c r="N74" s="34"/>
      <c r="O74" s="35"/>
      <c r="P74" s="35"/>
      <c r="Q74" s="35"/>
      <c r="R74" s="35"/>
      <c r="S74" s="74"/>
      <c r="AJ74" s="34"/>
      <c r="AK74" s="34"/>
      <c r="AL74" s="34"/>
      <c r="AM74" s="34"/>
      <c r="AN74" s="34"/>
      <c r="AQ74" s="67"/>
      <c r="AR74" s="67"/>
      <c r="AS74" s="67"/>
      <c r="AT74" s="67"/>
      <c r="AU74" s="67"/>
      <c r="AW74" s="68"/>
      <c r="AX74" s="68"/>
      <c r="AY74" s="68"/>
      <c r="AZ74" s="68"/>
      <c r="BA74" s="68"/>
      <c r="BB74" s="68"/>
    </row>
    <row r="75" spans="1:54" ht="13.5" thickBot="1">
      <c r="A75" s="103">
        <v>38812</v>
      </c>
      <c r="B75" s="104">
        <v>5.3744997978210449</v>
      </c>
      <c r="C75" s="105">
        <v>1311.56005859375</v>
      </c>
      <c r="D75" s="104">
        <v>1.7532000541687012</v>
      </c>
      <c r="E75">
        <v>117.38466441177071</v>
      </c>
      <c r="F75">
        <v>587.81732177734375</v>
      </c>
      <c r="H75" s="34"/>
      <c r="I75" s="34"/>
      <c r="J75" s="34"/>
      <c r="K75" s="34"/>
      <c r="L75" s="34"/>
      <c r="N75" s="34"/>
      <c r="O75" s="35"/>
      <c r="P75" s="35"/>
      <c r="Q75" s="35"/>
      <c r="R75" s="35"/>
      <c r="S75" s="74"/>
      <c r="AJ75" s="34"/>
      <c r="AK75" s="34"/>
      <c r="AL75" s="34"/>
      <c r="AM75" s="34"/>
      <c r="AN75" s="34"/>
      <c r="AQ75" s="67"/>
      <c r="AR75" s="67"/>
      <c r="AS75" s="67"/>
      <c r="AT75" s="67"/>
      <c r="AU75" s="67"/>
      <c r="AW75" s="68"/>
      <c r="AX75" s="68"/>
      <c r="AY75" s="68"/>
      <c r="AZ75" s="68"/>
      <c r="BA75" s="68"/>
      <c r="BB75" s="68"/>
    </row>
    <row r="76" spans="1:54" ht="13.5" thickBot="1">
      <c r="A76" s="103">
        <v>38813</v>
      </c>
      <c r="B76" s="104">
        <v>5.4330000877380371</v>
      </c>
      <c r="C76" s="105">
        <v>1309.0400390625</v>
      </c>
      <c r="D76" s="104">
        <v>1.7527999877929687</v>
      </c>
      <c r="E76">
        <v>117.67474726176039</v>
      </c>
      <c r="F76">
        <v>595.13385009765625</v>
      </c>
      <c r="H76" s="34"/>
      <c r="I76" s="34"/>
      <c r="J76" s="34"/>
      <c r="K76" s="34"/>
      <c r="L76" s="34"/>
      <c r="N76" s="34"/>
      <c r="O76" s="35"/>
      <c r="P76" s="35"/>
      <c r="Q76" s="35"/>
      <c r="R76" s="35"/>
      <c r="S76" s="74"/>
      <c r="AJ76" s="34"/>
      <c r="AK76" s="34"/>
      <c r="AL76" s="34"/>
      <c r="AM76" s="34"/>
      <c r="AN76" s="34"/>
      <c r="AQ76" s="67"/>
      <c r="AR76" s="67"/>
      <c r="AS76" s="67"/>
      <c r="AT76" s="67"/>
      <c r="AU76" s="67"/>
      <c r="AW76" s="68"/>
      <c r="AX76" s="68"/>
      <c r="AY76" s="68"/>
      <c r="AZ76" s="68"/>
      <c r="BA76" s="68"/>
      <c r="BB76" s="68"/>
    </row>
    <row r="77" spans="1:54" ht="13.5" thickBot="1">
      <c r="A77" s="103">
        <v>38814</v>
      </c>
      <c r="B77" s="104">
        <v>5.5085000991821289</v>
      </c>
      <c r="C77" s="105">
        <v>1295.5</v>
      </c>
      <c r="D77" s="104">
        <v>1.7423000335693359</v>
      </c>
      <c r="E77">
        <v>118.30119012729801</v>
      </c>
      <c r="F77">
        <v>588.3345947265625</v>
      </c>
      <c r="H77" s="34"/>
      <c r="I77" s="34"/>
      <c r="J77" s="34"/>
      <c r="K77" s="34"/>
      <c r="L77" s="34"/>
      <c r="N77" s="34"/>
      <c r="O77" s="35"/>
      <c r="P77" s="35"/>
      <c r="Q77" s="35"/>
      <c r="R77" s="35"/>
      <c r="S77" s="74"/>
      <c r="AJ77" s="34"/>
      <c r="AK77" s="34"/>
      <c r="AL77" s="34"/>
      <c r="AM77" s="34"/>
      <c r="AN77" s="34"/>
      <c r="AQ77" s="67"/>
      <c r="AR77" s="67"/>
      <c r="AS77" s="67"/>
      <c r="AT77" s="67"/>
      <c r="AU77" s="67"/>
      <c r="AW77" s="68"/>
      <c r="AX77" s="68"/>
      <c r="AY77" s="68"/>
      <c r="AZ77" s="68"/>
      <c r="BA77" s="68"/>
      <c r="BB77" s="68"/>
    </row>
    <row r="78" spans="1:54" ht="13.5" thickBot="1">
      <c r="A78" s="103">
        <v>38817</v>
      </c>
      <c r="B78" s="104">
        <v>5.5079998970031738</v>
      </c>
      <c r="C78" s="105">
        <v>1296.5999755859375</v>
      </c>
      <c r="D78" s="104">
        <v>1.7419999837875366</v>
      </c>
      <c r="E78">
        <v>118.45534858516626</v>
      </c>
      <c r="F78">
        <v>597.466796875</v>
      </c>
      <c r="H78" s="34"/>
      <c r="I78" s="34"/>
      <c r="J78" s="34"/>
      <c r="K78" s="34"/>
      <c r="L78" s="34"/>
      <c r="N78" s="34"/>
      <c r="O78" s="35"/>
      <c r="P78" s="35"/>
      <c r="Q78" s="35"/>
      <c r="R78" s="35"/>
      <c r="S78" s="74"/>
      <c r="AJ78" s="34"/>
      <c r="AK78" s="34"/>
      <c r="AL78" s="34"/>
      <c r="AM78" s="34"/>
      <c r="AN78" s="34"/>
      <c r="AQ78" s="67"/>
      <c r="AR78" s="67"/>
      <c r="AS78" s="67"/>
      <c r="AT78" s="67"/>
      <c r="AU78" s="67"/>
      <c r="AW78" s="68"/>
      <c r="AX78" s="68"/>
      <c r="AY78" s="68"/>
      <c r="AZ78" s="68"/>
      <c r="BA78" s="68"/>
      <c r="BB78" s="68"/>
    </row>
    <row r="79" spans="1:54" ht="13.5" thickBot="1">
      <c r="A79" s="103">
        <v>38818</v>
      </c>
      <c r="B79" s="104">
        <v>5.4695000648498535</v>
      </c>
      <c r="C79" s="105">
        <v>1286.5699462890625</v>
      </c>
      <c r="D79" s="104">
        <v>1.7488000392913818</v>
      </c>
      <c r="E79">
        <v>118.28720627782387</v>
      </c>
      <c r="F79">
        <v>595.31695556640625</v>
      </c>
      <c r="H79" s="34"/>
      <c r="I79" s="34"/>
      <c r="J79" s="34"/>
      <c r="K79" s="34"/>
      <c r="L79" s="34"/>
      <c r="N79" s="34"/>
      <c r="O79" s="35"/>
      <c r="P79" s="35"/>
      <c r="Q79" s="35"/>
      <c r="R79" s="35"/>
      <c r="S79" s="74"/>
      <c r="AJ79" s="34"/>
      <c r="AK79" s="34"/>
      <c r="AL79" s="34"/>
      <c r="AM79" s="34"/>
      <c r="AN79" s="34"/>
      <c r="AQ79" s="67"/>
      <c r="AR79" s="67"/>
      <c r="AS79" s="67"/>
      <c r="AT79" s="67"/>
      <c r="AU79" s="67"/>
      <c r="AW79" s="68"/>
      <c r="AX79" s="68"/>
      <c r="AY79" s="68"/>
      <c r="AZ79" s="68"/>
      <c r="BA79" s="68"/>
      <c r="BB79" s="68"/>
    </row>
    <row r="80" spans="1:54" ht="13.5" thickBot="1">
      <c r="A80" s="103">
        <v>38819</v>
      </c>
      <c r="B80" s="104">
        <v>5.5184998512268066</v>
      </c>
      <c r="C80" s="105">
        <v>1288.1199951171875</v>
      </c>
      <c r="D80" s="104">
        <v>1.7503999471664429</v>
      </c>
      <c r="E80">
        <v>118.59582621246724</v>
      </c>
      <c r="F80">
        <v>597.51702880859375</v>
      </c>
      <c r="H80" s="34"/>
      <c r="I80" s="34"/>
      <c r="J80" s="34"/>
      <c r="K80" s="34"/>
      <c r="L80" s="34"/>
      <c r="N80" s="34"/>
      <c r="O80" s="35"/>
      <c r="P80" s="35"/>
      <c r="Q80" s="35"/>
      <c r="R80" s="35"/>
      <c r="S80" s="74"/>
      <c r="AJ80" s="34"/>
      <c r="AK80" s="34"/>
      <c r="AL80" s="34"/>
      <c r="AM80" s="34"/>
      <c r="AN80" s="34"/>
      <c r="AQ80" s="67"/>
      <c r="AR80" s="67"/>
      <c r="AS80" s="67"/>
      <c r="AT80" s="67"/>
      <c r="AU80" s="67"/>
      <c r="AW80" s="68"/>
      <c r="AX80" s="68"/>
      <c r="AY80" s="68"/>
      <c r="AZ80" s="68"/>
      <c r="BA80" s="68"/>
      <c r="BB80" s="68"/>
    </row>
    <row r="81" spans="1:54" ht="13.5" thickBot="1">
      <c r="A81" s="103">
        <v>38820</v>
      </c>
      <c r="B81" s="104">
        <v>5.5815000534057617</v>
      </c>
      <c r="C81" s="105">
        <v>1289.1199951171875</v>
      </c>
      <c r="D81" s="104">
        <v>1.7532000541687012</v>
      </c>
      <c r="E81">
        <v>118.45534858516626</v>
      </c>
      <c r="F81">
        <v>596.31719970703125</v>
      </c>
      <c r="H81" s="34"/>
      <c r="I81" s="34"/>
      <c r="J81" s="34"/>
      <c r="K81" s="34"/>
      <c r="L81" s="34"/>
      <c r="N81" s="34"/>
      <c r="O81" s="35"/>
      <c r="P81" s="35"/>
      <c r="Q81" s="35"/>
      <c r="R81" s="35"/>
      <c r="S81" s="74"/>
      <c r="AJ81" s="34"/>
      <c r="AK81" s="34"/>
      <c r="AL81" s="34"/>
      <c r="AM81" s="34"/>
      <c r="AN81" s="34"/>
      <c r="AQ81" s="67"/>
      <c r="AR81" s="67"/>
      <c r="AS81" s="67"/>
      <c r="AT81" s="67"/>
      <c r="AU81" s="67"/>
      <c r="AW81" s="68"/>
      <c r="AX81" s="68"/>
      <c r="AY81" s="68"/>
      <c r="AZ81" s="68"/>
      <c r="BA81" s="68"/>
      <c r="BB81" s="68"/>
    </row>
    <row r="82" spans="1:54" ht="13.5" thickBot="1">
      <c r="A82" s="103">
        <v>38821</v>
      </c>
      <c r="B82" s="104">
        <v>5.5813069343566895</v>
      </c>
      <c r="C82" s="105">
        <v>1289.1199951171875</v>
      </c>
      <c r="D82" s="104">
        <v>1.7513999938964844</v>
      </c>
      <c r="E82">
        <v>118.65211322265903</v>
      </c>
      <c r="F82">
        <v>596.31719970703125</v>
      </c>
      <c r="H82" s="34"/>
      <c r="I82" s="34"/>
      <c r="J82" s="34"/>
      <c r="K82" s="34"/>
      <c r="L82" s="34"/>
      <c r="N82" s="34"/>
      <c r="O82" s="35"/>
      <c r="P82" s="35"/>
      <c r="Q82" s="35"/>
      <c r="R82" s="35"/>
      <c r="S82" s="74"/>
      <c r="AJ82" s="34"/>
      <c r="AK82" s="34"/>
      <c r="AL82" s="34"/>
      <c r="AM82" s="34"/>
      <c r="AN82" s="34"/>
      <c r="AQ82" s="67"/>
      <c r="AR82" s="67"/>
      <c r="AS82" s="67"/>
      <c r="AT82" s="67"/>
      <c r="AU82" s="67"/>
      <c r="AW82" s="68"/>
      <c r="AX82" s="68"/>
      <c r="AY82" s="68"/>
      <c r="AZ82" s="68"/>
      <c r="BA82" s="68"/>
      <c r="BB82" s="68"/>
    </row>
    <row r="83" spans="1:54" ht="13.5" thickBot="1">
      <c r="A83" s="103">
        <v>38824</v>
      </c>
      <c r="B83" s="104">
        <v>5.5496249198913574</v>
      </c>
      <c r="C83" s="105">
        <v>1285.3299560546875</v>
      </c>
      <c r="D83" s="104">
        <v>1.7692999839782715</v>
      </c>
      <c r="E83">
        <v>117.82726342272618</v>
      </c>
      <c r="F83">
        <v>615.06585693359375</v>
      </c>
      <c r="H83" s="34"/>
      <c r="I83" s="34"/>
      <c r="J83" s="34"/>
      <c r="K83" s="34"/>
      <c r="L83" s="34"/>
      <c r="N83" s="34"/>
      <c r="O83" s="35"/>
      <c r="P83" s="35"/>
      <c r="Q83" s="35"/>
      <c r="R83" s="35"/>
      <c r="S83" s="74"/>
      <c r="AJ83" s="34"/>
      <c r="AK83" s="34"/>
      <c r="AL83" s="34"/>
      <c r="AM83" s="34"/>
      <c r="AN83" s="34"/>
      <c r="AQ83" s="67"/>
      <c r="AR83" s="67"/>
      <c r="AS83" s="67"/>
      <c r="AT83" s="67"/>
      <c r="AU83" s="67"/>
      <c r="AW83" s="68"/>
      <c r="AX83" s="68"/>
      <c r="AY83" s="68"/>
      <c r="AZ83" s="68"/>
      <c r="BA83" s="68"/>
      <c r="BB83" s="68"/>
    </row>
    <row r="84" spans="1:54" ht="13.5" thickBot="1">
      <c r="A84" s="103">
        <v>38825</v>
      </c>
      <c r="B84" s="104">
        <v>5.5060000419616699</v>
      </c>
      <c r="C84" s="105">
        <v>1307.6500244140625</v>
      </c>
      <c r="D84" s="104">
        <v>1.7799999713897705</v>
      </c>
      <c r="E84">
        <v>117.32957322196947</v>
      </c>
      <c r="F84">
        <v>619.8155517578125</v>
      </c>
      <c r="H84" s="34"/>
      <c r="I84" s="34"/>
      <c r="J84" s="34"/>
      <c r="K84" s="34"/>
      <c r="L84" s="34"/>
      <c r="N84" s="34"/>
      <c r="O84" s="35"/>
      <c r="P84" s="35"/>
      <c r="Q84" s="35"/>
      <c r="R84" s="35"/>
      <c r="S84" s="74"/>
      <c r="AJ84" s="34"/>
      <c r="AK84" s="34"/>
      <c r="AL84" s="34"/>
      <c r="AM84" s="34"/>
      <c r="AN84" s="34"/>
      <c r="AQ84" s="67"/>
      <c r="AR84" s="67"/>
      <c r="AS84" s="67"/>
      <c r="AT84" s="67"/>
      <c r="AU84" s="67"/>
      <c r="AW84" s="68"/>
      <c r="AX84" s="68"/>
      <c r="AY84" s="68"/>
      <c r="AZ84" s="68"/>
      <c r="BA84" s="68"/>
      <c r="BB84" s="68"/>
    </row>
    <row r="85" spans="1:54" ht="13.5" thickBot="1">
      <c r="A85" s="103">
        <v>38826</v>
      </c>
      <c r="B85" s="104">
        <v>5.5560002326965332</v>
      </c>
      <c r="C85" s="105">
        <v>1309.9300537109375</v>
      </c>
      <c r="D85" s="104">
        <v>1.7927000522613525</v>
      </c>
      <c r="E85">
        <v>117.16462226711097</v>
      </c>
      <c r="F85">
        <v>632.56488037109375</v>
      </c>
      <c r="H85" s="34"/>
      <c r="I85" s="34"/>
      <c r="J85" s="34"/>
      <c r="K85" s="34"/>
      <c r="L85" s="34"/>
      <c r="N85" s="34"/>
      <c r="O85" s="35"/>
      <c r="P85" s="35"/>
      <c r="Q85" s="35"/>
      <c r="R85" s="35"/>
      <c r="S85" s="74"/>
      <c r="AJ85" s="34"/>
      <c r="AK85" s="34"/>
      <c r="AL85" s="34"/>
      <c r="AM85" s="34"/>
      <c r="AN85" s="34"/>
      <c r="AQ85" s="67"/>
      <c r="AR85" s="67"/>
      <c r="AS85" s="67"/>
      <c r="AT85" s="67"/>
      <c r="AU85" s="67"/>
      <c r="AW85" s="68"/>
      <c r="AX85" s="68"/>
      <c r="AY85" s="68"/>
      <c r="AZ85" s="68"/>
      <c r="BA85" s="68"/>
      <c r="BB85" s="68"/>
    </row>
    <row r="86" spans="1:54" ht="13.5" thickBot="1">
      <c r="A86" s="103">
        <v>38827</v>
      </c>
      <c r="B86" s="104">
        <v>5.5669999122619629</v>
      </c>
      <c r="C86" s="105">
        <v>1311.4599609375</v>
      </c>
      <c r="D86" s="104">
        <v>1.7785999774932861</v>
      </c>
      <c r="E86">
        <v>117.5226254256431</v>
      </c>
      <c r="F86">
        <v>619.80615234375</v>
      </c>
      <c r="H86" s="34"/>
      <c r="I86" s="34"/>
      <c r="J86" s="34"/>
      <c r="K86" s="34"/>
      <c r="L86" s="34"/>
      <c r="N86" s="34"/>
      <c r="O86" s="35"/>
      <c r="P86" s="35"/>
      <c r="Q86" s="35"/>
      <c r="R86" s="35"/>
      <c r="S86" s="74"/>
      <c r="AJ86" s="34"/>
      <c r="AK86" s="34"/>
      <c r="AL86" s="34"/>
      <c r="AM86" s="34"/>
      <c r="AN86" s="34"/>
      <c r="AQ86" s="67"/>
      <c r="AR86" s="67"/>
      <c r="AS86" s="67"/>
      <c r="AT86" s="67"/>
      <c r="AU86" s="67"/>
      <c r="AW86" s="68"/>
      <c r="AX86" s="68"/>
      <c r="AY86" s="68"/>
      <c r="AZ86" s="68"/>
      <c r="BA86" s="68"/>
      <c r="BB86" s="68"/>
    </row>
    <row r="87" spans="1:54" ht="13.5" thickBot="1">
      <c r="A87" s="103">
        <v>38828</v>
      </c>
      <c r="B87" s="104">
        <v>5.5345001220703125</v>
      </c>
      <c r="C87" s="105">
        <v>1311.280029296875</v>
      </c>
      <c r="D87" s="104">
        <v>1.781499981880188</v>
      </c>
      <c r="E87">
        <v>116.64527735389247</v>
      </c>
      <c r="F87">
        <v>632.42974853515625</v>
      </c>
      <c r="H87" s="34"/>
      <c r="I87" s="34"/>
      <c r="J87" s="34"/>
      <c r="K87" s="34"/>
      <c r="L87" s="34"/>
      <c r="N87" s="34"/>
      <c r="O87" s="35"/>
      <c r="P87" s="35"/>
      <c r="Q87" s="35"/>
      <c r="R87" s="35"/>
      <c r="S87" s="74"/>
      <c r="AJ87" s="34"/>
      <c r="AK87" s="34"/>
      <c r="AL87" s="34"/>
      <c r="AM87" s="34"/>
      <c r="AN87" s="34"/>
      <c r="AQ87" s="67"/>
      <c r="AR87" s="67"/>
      <c r="AS87" s="67"/>
      <c r="AT87" s="67"/>
      <c r="AU87" s="67"/>
      <c r="AW87" s="68"/>
      <c r="AX87" s="68"/>
      <c r="AY87" s="68"/>
      <c r="AZ87" s="68"/>
      <c r="BA87" s="68"/>
      <c r="BB87" s="68"/>
    </row>
    <row r="88" spans="1:54" ht="13.5" thickBot="1">
      <c r="A88" s="103">
        <v>38831</v>
      </c>
      <c r="B88" s="104">
        <v>5.5</v>
      </c>
      <c r="C88" s="105">
        <v>1308.1099853515625</v>
      </c>
      <c r="D88" s="104">
        <v>1.7898000478744507</v>
      </c>
      <c r="E88">
        <v>114.39030001221948</v>
      </c>
      <c r="F88">
        <v>620.96551513671875</v>
      </c>
      <c r="H88" s="34"/>
      <c r="I88" s="34"/>
      <c r="J88" s="34"/>
      <c r="K88" s="34"/>
      <c r="L88" s="34"/>
      <c r="N88" s="34"/>
      <c r="O88" s="35"/>
      <c r="P88" s="35"/>
      <c r="Q88" s="35"/>
      <c r="R88" s="35"/>
      <c r="S88" s="74"/>
      <c r="AJ88" s="34"/>
      <c r="AK88" s="34"/>
      <c r="AL88" s="34"/>
      <c r="AM88" s="34"/>
      <c r="AN88" s="34"/>
      <c r="AQ88" s="67"/>
      <c r="AR88" s="67"/>
      <c r="AS88" s="67"/>
      <c r="AT88" s="67"/>
      <c r="AU88" s="67"/>
      <c r="AW88" s="68"/>
      <c r="AX88" s="68"/>
      <c r="AY88" s="68"/>
      <c r="AZ88" s="68"/>
      <c r="BA88" s="68"/>
      <c r="BB88" s="68"/>
    </row>
    <row r="89" spans="1:54" ht="13.5" thickBot="1">
      <c r="A89" s="103">
        <v>38832</v>
      </c>
      <c r="B89" s="104">
        <v>5.5859999656677246</v>
      </c>
      <c r="C89" s="105">
        <v>1301.739990234375</v>
      </c>
      <c r="D89" s="104">
        <v>1.7879999876022339</v>
      </c>
      <c r="E89">
        <v>114.83692914248165</v>
      </c>
      <c r="F89">
        <v>631.4149169921875</v>
      </c>
      <c r="H89" s="34"/>
      <c r="I89" s="34"/>
      <c r="J89" s="34"/>
      <c r="K89" s="34"/>
      <c r="L89" s="34"/>
      <c r="N89" s="34"/>
      <c r="O89" s="35"/>
      <c r="P89" s="35"/>
      <c r="Q89" s="35"/>
      <c r="R89" s="35"/>
      <c r="S89" s="74"/>
      <c r="AJ89" s="34"/>
      <c r="AK89" s="34"/>
      <c r="AL89" s="34"/>
      <c r="AM89" s="34"/>
      <c r="AN89" s="34"/>
      <c r="AQ89" s="67"/>
      <c r="AR89" s="67"/>
      <c r="AS89" s="67"/>
      <c r="AT89" s="67"/>
      <c r="AU89" s="67"/>
      <c r="AW89" s="68"/>
      <c r="AX89" s="68"/>
      <c r="AY89" s="68"/>
      <c r="AZ89" s="68"/>
      <c r="BA89" s="68"/>
      <c r="BB89" s="68"/>
    </row>
    <row r="90" spans="1:54" ht="13.5" thickBot="1">
      <c r="A90" s="103">
        <v>38833</v>
      </c>
      <c r="B90" s="104">
        <v>5.622499942779541</v>
      </c>
      <c r="C90" s="105">
        <v>1305.4100341796875</v>
      </c>
      <c r="D90" s="104">
        <v>1.7846000194549561</v>
      </c>
      <c r="E90">
        <v>114.74469301085955</v>
      </c>
      <c r="F90">
        <v>639.314453125</v>
      </c>
      <c r="H90" s="34"/>
      <c r="I90" s="34"/>
      <c r="J90" s="34"/>
      <c r="K90" s="34"/>
      <c r="L90" s="34"/>
      <c r="N90" s="34"/>
      <c r="O90" s="35"/>
      <c r="P90" s="35"/>
      <c r="Q90" s="35"/>
      <c r="R90" s="35"/>
      <c r="S90" s="74"/>
      <c r="AJ90" s="34"/>
      <c r="AK90" s="34"/>
      <c r="AL90" s="34"/>
      <c r="AM90" s="34"/>
      <c r="AN90" s="34"/>
      <c r="AQ90" s="67"/>
      <c r="AR90" s="67"/>
      <c r="AS90" s="67"/>
      <c r="AT90" s="67"/>
      <c r="AU90" s="67"/>
      <c r="AW90" s="68"/>
      <c r="AX90" s="68"/>
      <c r="AY90" s="68"/>
      <c r="AZ90" s="68"/>
      <c r="BA90" s="68"/>
      <c r="BB90" s="68"/>
    </row>
    <row r="91" spans="1:54" ht="13.5" thickBot="1">
      <c r="A91" s="103">
        <v>38834</v>
      </c>
      <c r="B91" s="104">
        <v>5.5939998626708984</v>
      </c>
      <c r="C91" s="105">
        <v>1309.719970703125</v>
      </c>
      <c r="D91" s="104">
        <v>1.802899956703186</v>
      </c>
      <c r="E91">
        <v>114.14222266444365</v>
      </c>
      <c r="F91">
        <v>633.82958984375</v>
      </c>
      <c r="H91" s="34"/>
      <c r="I91" s="34"/>
      <c r="J91" s="34"/>
      <c r="K91" s="34"/>
      <c r="L91" s="34"/>
      <c r="N91" s="34"/>
      <c r="O91" s="35"/>
      <c r="P91" s="35"/>
      <c r="Q91" s="35"/>
      <c r="R91" s="35"/>
      <c r="S91" s="74"/>
      <c r="AJ91" s="34"/>
      <c r="AK91" s="34"/>
      <c r="AL91" s="34"/>
      <c r="AM91" s="34"/>
      <c r="AN91" s="34"/>
      <c r="AQ91" s="67"/>
      <c r="AR91" s="67"/>
      <c r="AS91" s="67"/>
      <c r="AT91" s="67"/>
      <c r="AU91" s="67"/>
      <c r="AW91" s="68"/>
      <c r="AX91" s="68"/>
      <c r="AY91" s="68"/>
      <c r="AZ91" s="68"/>
      <c r="BA91" s="68"/>
      <c r="BB91" s="68"/>
    </row>
    <row r="92" spans="1:54" ht="13.5" thickBot="1">
      <c r="A92" s="103">
        <v>38835</v>
      </c>
      <c r="B92" s="104">
        <v>5.5745000839233398</v>
      </c>
      <c r="C92" s="105">
        <v>1310.6099853515625</v>
      </c>
      <c r="D92" s="104">
        <v>1.8230999708175659</v>
      </c>
      <c r="E92">
        <v>113.80448881178094</v>
      </c>
      <c r="F92">
        <v>652.02752685546875</v>
      </c>
      <c r="H92" s="34"/>
      <c r="I92" s="34"/>
      <c r="J92" s="34"/>
      <c r="K92" s="34"/>
      <c r="L92" s="34"/>
      <c r="N92" s="34"/>
      <c r="O92" s="35"/>
      <c r="P92" s="35"/>
      <c r="Q92" s="35"/>
      <c r="R92" s="35"/>
      <c r="S92" s="74"/>
      <c r="AJ92" s="34"/>
      <c r="AK92" s="34"/>
      <c r="AL92" s="34"/>
      <c r="AM92" s="34"/>
      <c r="AN92" s="34"/>
      <c r="AQ92" s="67"/>
      <c r="AR92" s="67"/>
      <c r="AS92" s="67"/>
      <c r="AT92" s="67"/>
      <c r="AU92" s="67"/>
      <c r="AW92" s="68"/>
      <c r="AX92" s="68"/>
      <c r="AY92" s="68"/>
      <c r="AZ92" s="68"/>
      <c r="BA92" s="68"/>
      <c r="BB92" s="68"/>
    </row>
    <row r="93" spans="1:54" ht="13.5" thickBot="1">
      <c r="A93" s="103">
        <v>38838</v>
      </c>
      <c r="B93" s="104">
        <v>5.6382660865783691</v>
      </c>
      <c r="C93" s="105">
        <v>1305.18994140625</v>
      </c>
      <c r="D93" s="104">
        <v>1.8237999677658081</v>
      </c>
      <c r="E93">
        <v>113.59764049424105</v>
      </c>
      <c r="F93">
        <v>657.96343994140625</v>
      </c>
      <c r="H93" s="34"/>
      <c r="I93" s="34"/>
      <c r="J93" s="34"/>
      <c r="K93" s="34"/>
      <c r="L93" s="34"/>
      <c r="N93" s="34"/>
      <c r="O93" s="35"/>
      <c r="P93" s="35"/>
      <c r="Q93" s="35"/>
      <c r="R93" s="35"/>
      <c r="S93" s="74"/>
      <c r="AJ93" s="34"/>
      <c r="AK93" s="34"/>
      <c r="AL93" s="34"/>
      <c r="AM93" s="34"/>
      <c r="AN93" s="34"/>
      <c r="AQ93" s="67"/>
      <c r="AR93" s="67"/>
      <c r="AS93" s="67"/>
      <c r="AT93" s="67"/>
      <c r="AU93" s="67"/>
      <c r="AW93" s="68"/>
      <c r="AX93" s="68"/>
      <c r="AY93" s="68"/>
      <c r="AZ93" s="68"/>
      <c r="BA93" s="68"/>
      <c r="BB93" s="68"/>
    </row>
    <row r="94" spans="1:54" ht="13.5" thickBot="1">
      <c r="A94" s="103">
        <v>38839</v>
      </c>
      <c r="B94" s="104">
        <v>5.622499942779541</v>
      </c>
      <c r="C94" s="105">
        <v>1313.2099609375</v>
      </c>
      <c r="D94" s="104">
        <v>1.8408000469207764</v>
      </c>
      <c r="E94">
        <v>113.26310499704275</v>
      </c>
      <c r="F94">
        <v>665.16302490234375</v>
      </c>
      <c r="H94" s="34"/>
      <c r="I94" s="34"/>
      <c r="J94" s="34"/>
      <c r="K94" s="34"/>
      <c r="L94" s="34"/>
      <c r="N94" s="34"/>
      <c r="O94" s="35"/>
      <c r="P94" s="35"/>
      <c r="Q94" s="35"/>
      <c r="R94" s="35"/>
      <c r="S94" s="74"/>
      <c r="AJ94" s="34"/>
      <c r="AK94" s="34"/>
      <c r="AL94" s="34"/>
      <c r="AM94" s="34"/>
      <c r="AN94" s="34"/>
      <c r="AQ94" s="67"/>
      <c r="AR94" s="67"/>
      <c r="AS94" s="67"/>
      <c r="AT94" s="67"/>
      <c r="AU94" s="67"/>
      <c r="AW94" s="68"/>
      <c r="AX94" s="68"/>
      <c r="AY94" s="68"/>
      <c r="AZ94" s="68"/>
      <c r="BA94" s="68"/>
      <c r="BB94" s="68"/>
    </row>
    <row r="95" spans="1:54" ht="13.5" thickBot="1">
      <c r="A95" s="103">
        <v>38840</v>
      </c>
      <c r="B95" s="104">
        <v>5.6684999465942383</v>
      </c>
      <c r="C95" s="105">
        <v>1307.8499755859375</v>
      </c>
      <c r="D95" s="104">
        <v>1.8411999940872192</v>
      </c>
      <c r="E95">
        <v>113.71389102403752</v>
      </c>
      <c r="F95">
        <v>666.36297607421875</v>
      </c>
      <c r="H95" s="34"/>
      <c r="I95" s="34"/>
      <c r="J95" s="34"/>
      <c r="K95" s="34"/>
      <c r="L95" s="34"/>
      <c r="N95" s="34"/>
      <c r="O95" s="35"/>
      <c r="P95" s="35"/>
      <c r="Q95" s="35"/>
      <c r="R95" s="35"/>
      <c r="S95" s="74"/>
      <c r="AJ95" s="34"/>
      <c r="AK95" s="34"/>
      <c r="AL95" s="34"/>
      <c r="AM95" s="34"/>
      <c r="AN95" s="34"/>
      <c r="AQ95" s="67"/>
      <c r="AR95" s="67"/>
      <c r="AS95" s="67"/>
      <c r="AT95" s="67"/>
      <c r="AU95" s="67"/>
      <c r="AW95" s="68"/>
      <c r="AX95" s="68"/>
      <c r="AY95" s="68"/>
      <c r="AZ95" s="68"/>
      <c r="BA95" s="68"/>
      <c r="BB95" s="68"/>
    </row>
    <row r="96" spans="1:54" ht="13.5" thickBot="1">
      <c r="A96" s="103">
        <v>38841</v>
      </c>
      <c r="B96" s="104">
        <v>5.6754999160766602</v>
      </c>
      <c r="C96" s="105">
        <v>1312.25</v>
      </c>
      <c r="D96" s="104">
        <v>1.8535000085830688</v>
      </c>
      <c r="E96">
        <v>113.46873570401929</v>
      </c>
      <c r="F96">
        <v>674.625</v>
      </c>
      <c r="H96" s="34"/>
      <c r="I96" s="34"/>
      <c r="J96" s="34"/>
      <c r="K96" s="34"/>
      <c r="L96" s="34"/>
      <c r="N96" s="34"/>
      <c r="O96" s="35"/>
      <c r="P96" s="35"/>
      <c r="Q96" s="35"/>
      <c r="R96" s="35"/>
      <c r="S96" s="74"/>
      <c r="AJ96" s="34"/>
      <c r="AK96" s="34"/>
      <c r="AL96" s="34"/>
      <c r="AM96" s="34"/>
      <c r="AN96" s="34"/>
      <c r="AQ96" s="67"/>
      <c r="AR96" s="67"/>
      <c r="AS96" s="67"/>
      <c r="AT96" s="67"/>
      <c r="AU96" s="67"/>
      <c r="AW96" s="68"/>
      <c r="AX96" s="68"/>
      <c r="AY96" s="68"/>
      <c r="AZ96" s="68"/>
      <c r="BA96" s="68"/>
      <c r="BB96" s="68"/>
    </row>
    <row r="97" spans="1:54" ht="13.5" thickBot="1">
      <c r="A97" s="103">
        <v>38842</v>
      </c>
      <c r="B97" s="104">
        <v>5.632500171661377</v>
      </c>
      <c r="C97" s="105">
        <v>1325.760009765625</v>
      </c>
      <c r="D97" s="104">
        <v>1.8593000173568726</v>
      </c>
      <c r="E97">
        <v>112.47328237718007</v>
      </c>
      <c r="F97">
        <v>682.4241943359375</v>
      </c>
      <c r="H97" s="34"/>
      <c r="I97" s="34"/>
      <c r="J97" s="34"/>
      <c r="K97" s="34"/>
      <c r="L97" s="34"/>
      <c r="N97" s="34"/>
      <c r="O97" s="35"/>
      <c r="P97" s="35"/>
      <c r="Q97" s="35"/>
      <c r="R97" s="35"/>
      <c r="S97" s="74"/>
      <c r="AJ97" s="34"/>
      <c r="AK97" s="34"/>
      <c r="AL97" s="34"/>
      <c r="AM97" s="34"/>
      <c r="AN97" s="34"/>
      <c r="AQ97" s="67"/>
      <c r="AR97" s="67"/>
      <c r="AS97" s="67"/>
      <c r="AT97" s="67"/>
      <c r="AU97" s="67"/>
      <c r="AW97" s="68"/>
      <c r="AX97" s="68"/>
      <c r="AY97" s="68"/>
      <c r="AZ97" s="68"/>
      <c r="BA97" s="68"/>
      <c r="BB97" s="68"/>
    </row>
    <row r="98" spans="1:54" ht="13.5" thickBot="1">
      <c r="A98" s="103">
        <v>38845</v>
      </c>
      <c r="B98" s="104">
        <v>5.6345000267028809</v>
      </c>
      <c r="C98" s="105">
        <v>1324.6600341796875</v>
      </c>
      <c r="D98" s="104">
        <v>1.8569999933242798</v>
      </c>
      <c r="E98">
        <v>111.71936173969519</v>
      </c>
      <c r="F98">
        <v>678.21234130859375</v>
      </c>
      <c r="H98" s="34"/>
      <c r="I98" s="34"/>
      <c r="J98" s="34"/>
      <c r="K98" s="34"/>
      <c r="L98" s="34"/>
      <c r="N98" s="34"/>
      <c r="O98" s="35"/>
      <c r="P98" s="35"/>
      <c r="Q98" s="35"/>
      <c r="R98" s="35"/>
      <c r="S98" s="74"/>
      <c r="AJ98" s="34"/>
      <c r="AK98" s="34"/>
      <c r="AL98" s="34"/>
      <c r="AM98" s="34"/>
      <c r="AN98" s="34"/>
      <c r="AQ98" s="67"/>
      <c r="AR98" s="67"/>
      <c r="AS98" s="67"/>
      <c r="AT98" s="67"/>
      <c r="AU98" s="67"/>
      <c r="AW98" s="68"/>
      <c r="AX98" s="68"/>
      <c r="AY98" s="68"/>
      <c r="AZ98" s="68"/>
      <c r="BA98" s="68"/>
      <c r="BB98" s="68"/>
    </row>
    <row r="99" spans="1:54" ht="13.5" thickBot="1">
      <c r="A99" s="103">
        <v>38846</v>
      </c>
      <c r="B99" s="104">
        <v>5.630000114440918</v>
      </c>
      <c r="C99" s="105">
        <v>1325.1400146484375</v>
      </c>
      <c r="D99" s="104">
        <v>1.8661999702453613</v>
      </c>
      <c r="E99">
        <v>111.14816269005964</v>
      </c>
      <c r="F99">
        <v>699.9111328125</v>
      </c>
      <c r="H99" s="34"/>
      <c r="I99" s="34"/>
      <c r="J99" s="34"/>
      <c r="K99" s="34"/>
      <c r="L99" s="34"/>
      <c r="N99" s="34"/>
      <c r="O99" s="35"/>
      <c r="P99" s="35"/>
      <c r="Q99" s="35"/>
      <c r="R99" s="35"/>
      <c r="S99" s="74"/>
      <c r="AJ99" s="34"/>
      <c r="AK99" s="34"/>
      <c r="AL99" s="34"/>
      <c r="AM99" s="34"/>
      <c r="AN99" s="34"/>
      <c r="AQ99" s="67"/>
      <c r="AR99" s="67"/>
      <c r="AS99" s="67"/>
      <c r="AT99" s="67"/>
      <c r="AU99" s="67"/>
      <c r="AW99" s="68"/>
      <c r="AX99" s="68"/>
      <c r="AY99" s="68"/>
      <c r="AZ99" s="68"/>
      <c r="BA99" s="68"/>
      <c r="BB99" s="68"/>
    </row>
    <row r="100" spans="1:54" ht="13.5" thickBot="1">
      <c r="A100" s="103">
        <v>38847</v>
      </c>
      <c r="B100" s="104">
        <v>5.630000114440918</v>
      </c>
      <c r="C100" s="105">
        <v>1322.8499755859375</v>
      </c>
      <c r="D100" s="104">
        <v>1.8664000034332275</v>
      </c>
      <c r="E100">
        <v>110.19283806265609</v>
      </c>
      <c r="F100">
        <v>704.11090087890625</v>
      </c>
      <c r="H100" s="34"/>
      <c r="I100" s="34"/>
      <c r="J100" s="34"/>
      <c r="K100" s="34"/>
      <c r="L100" s="34"/>
      <c r="N100" s="34"/>
      <c r="O100" s="35"/>
      <c r="P100" s="35"/>
      <c r="Q100" s="35"/>
      <c r="R100" s="35"/>
      <c r="S100" s="74"/>
      <c r="Z100" s="102" t="s">
        <v>87</v>
      </c>
      <c r="AJ100" s="34"/>
      <c r="AK100" s="34"/>
      <c r="AL100" s="34"/>
      <c r="AM100" s="34"/>
      <c r="AN100" s="34"/>
      <c r="AQ100" s="67"/>
      <c r="AR100" s="67"/>
      <c r="AS100" s="67"/>
      <c r="AT100" s="67"/>
      <c r="AU100" s="67"/>
      <c r="AW100" s="68"/>
      <c r="AX100" s="68"/>
      <c r="AY100" s="68"/>
      <c r="AZ100" s="68"/>
      <c r="BA100" s="68"/>
      <c r="BB100" s="68"/>
    </row>
    <row r="101" spans="1:54" ht="13.5" thickBot="1">
      <c r="A101" s="103">
        <v>38848</v>
      </c>
      <c r="B101" s="104">
        <v>5.6529998779296875</v>
      </c>
      <c r="C101" s="105">
        <v>1305.9200439453125</v>
      </c>
      <c r="D101" s="104">
        <v>1.8845000267028809</v>
      </c>
      <c r="E101">
        <v>110.49723196537661</v>
      </c>
      <c r="F101">
        <v>720.36993408203125</v>
      </c>
      <c r="H101" s="34"/>
      <c r="I101" s="34"/>
      <c r="J101" s="34"/>
      <c r="K101" s="34"/>
      <c r="L101" s="34"/>
      <c r="N101" s="34"/>
      <c r="O101" s="35"/>
      <c r="P101" s="35"/>
      <c r="Q101" s="35"/>
      <c r="R101" s="35"/>
      <c r="S101" s="74"/>
      <c r="AJ101" s="34"/>
      <c r="AK101" s="34"/>
      <c r="AL101" s="34"/>
      <c r="AM101" s="34"/>
      <c r="AN101" s="34"/>
      <c r="AQ101" s="67"/>
      <c r="AR101" s="67"/>
      <c r="AS101" s="67"/>
      <c r="AT101" s="67"/>
      <c r="AU101" s="67"/>
      <c r="AW101" s="68"/>
      <c r="AX101" s="68"/>
      <c r="AY101" s="68"/>
      <c r="AZ101" s="68"/>
      <c r="BA101" s="68"/>
      <c r="BB101" s="68"/>
    </row>
    <row r="102" spans="1:54" ht="13.5" thickBot="1">
      <c r="A102" s="103">
        <v>38849</v>
      </c>
      <c r="B102" s="104">
        <v>5.7034997940063477</v>
      </c>
      <c r="C102" s="105">
        <v>1291.239990234375</v>
      </c>
      <c r="D102" s="104">
        <v>1.8935999870300293</v>
      </c>
      <c r="E102">
        <v>110.08366052821491</v>
      </c>
      <c r="F102">
        <v>710.52105712890625</v>
      </c>
      <c r="H102" s="34"/>
      <c r="I102" s="34"/>
      <c r="J102" s="34"/>
      <c r="K102" s="34"/>
      <c r="L102" s="34"/>
      <c r="N102" s="34"/>
      <c r="O102" s="35"/>
      <c r="P102" s="35"/>
      <c r="Q102" s="35"/>
      <c r="R102" s="35"/>
      <c r="S102" s="74"/>
      <c r="AJ102" s="34"/>
      <c r="AK102" s="34"/>
      <c r="AL102" s="34"/>
      <c r="AM102" s="34"/>
      <c r="AN102" s="34"/>
      <c r="AQ102" s="67"/>
      <c r="AR102" s="67"/>
      <c r="AS102" s="67"/>
      <c r="AT102" s="67"/>
      <c r="AU102" s="67"/>
      <c r="AW102" s="68"/>
      <c r="AX102" s="68"/>
      <c r="AY102" s="68"/>
      <c r="AZ102" s="68"/>
      <c r="BA102" s="68"/>
      <c r="BB102" s="68"/>
    </row>
    <row r="103" spans="1:54" ht="13.5" thickBot="1">
      <c r="A103" s="103">
        <v>38852</v>
      </c>
      <c r="B103" s="104">
        <v>5.6680002212524414</v>
      </c>
      <c r="C103" s="105">
        <v>1294.5</v>
      </c>
      <c r="D103" s="104">
        <v>1.8789000511169434</v>
      </c>
      <c r="E103">
        <v>110.25358713226362</v>
      </c>
      <c r="F103">
        <v>684.06201171875</v>
      </c>
      <c r="H103" s="34"/>
      <c r="I103" s="34"/>
      <c r="J103" s="34"/>
      <c r="K103" s="34"/>
      <c r="L103" s="34"/>
      <c r="N103" s="34"/>
      <c r="O103" s="35"/>
      <c r="P103" s="35"/>
      <c r="Q103" s="35"/>
      <c r="R103" s="35"/>
      <c r="S103" s="74"/>
      <c r="AJ103" s="34"/>
      <c r="AK103" s="34"/>
      <c r="AL103" s="34"/>
      <c r="AM103" s="34"/>
      <c r="AN103" s="34"/>
      <c r="AQ103" s="67"/>
      <c r="AR103" s="67"/>
      <c r="AS103" s="67"/>
      <c r="AT103" s="67"/>
      <c r="AU103" s="67"/>
      <c r="AW103" s="68"/>
      <c r="AX103" s="68"/>
      <c r="AY103" s="68"/>
      <c r="AZ103" s="68"/>
      <c r="BA103" s="68"/>
      <c r="BB103" s="68"/>
    </row>
    <row r="104" spans="1:54" ht="13.5" thickBot="1">
      <c r="A104" s="103">
        <v>38853</v>
      </c>
      <c r="B104" s="104">
        <v>5.6195001602172852</v>
      </c>
      <c r="C104" s="105">
        <v>1292.0799560546875</v>
      </c>
      <c r="D104" s="104">
        <v>1.8883999586105347</v>
      </c>
      <c r="E104">
        <v>109.70926735925458</v>
      </c>
      <c r="F104">
        <v>691.9615478515625</v>
      </c>
      <c r="H104" s="34"/>
      <c r="I104" s="34"/>
      <c r="J104" s="34"/>
      <c r="K104" s="34"/>
      <c r="L104" s="34"/>
      <c r="N104" s="34"/>
      <c r="O104" s="35"/>
      <c r="P104" s="35"/>
      <c r="Q104" s="35"/>
      <c r="R104" s="35"/>
      <c r="S104" s="74"/>
      <c r="AJ104" s="34"/>
      <c r="AK104" s="34"/>
      <c r="AL104" s="34"/>
      <c r="AM104" s="34"/>
      <c r="AN104" s="34"/>
      <c r="AQ104" s="67"/>
      <c r="AR104" s="67"/>
      <c r="AS104" s="67"/>
      <c r="AT104" s="67"/>
      <c r="AU104" s="67"/>
      <c r="AW104" s="68"/>
      <c r="AX104" s="68"/>
      <c r="AY104" s="68"/>
      <c r="AZ104" s="68"/>
      <c r="BA104" s="68"/>
      <c r="BB104" s="68"/>
    </row>
    <row r="105" spans="1:54" ht="13.5" thickBot="1">
      <c r="A105" s="103">
        <v>38854</v>
      </c>
      <c r="B105" s="104">
        <v>5.6754999160766602</v>
      </c>
      <c r="C105" s="105">
        <v>1270.3199462890625</v>
      </c>
      <c r="D105" s="104">
        <v>1.8817000389099121</v>
      </c>
      <c r="E105">
        <v>111.02475402982859</v>
      </c>
      <c r="F105">
        <v>691.2615966796875</v>
      </c>
      <c r="H105" s="34"/>
      <c r="I105" s="34"/>
      <c r="J105" s="34"/>
      <c r="K105" s="34"/>
      <c r="L105" s="34"/>
      <c r="N105" s="34"/>
      <c r="O105" s="35"/>
      <c r="P105" s="35"/>
      <c r="Q105" s="35"/>
      <c r="R105" s="35"/>
      <c r="S105" s="74"/>
      <c r="AJ105" s="34"/>
      <c r="AK105" s="34"/>
      <c r="AL105" s="34"/>
      <c r="AM105" s="34"/>
      <c r="AN105" s="34"/>
      <c r="AQ105" s="67"/>
      <c r="AR105" s="67"/>
      <c r="AS105" s="67"/>
      <c r="AT105" s="67"/>
      <c r="AU105" s="67"/>
      <c r="AW105" s="68"/>
      <c r="AX105" s="68"/>
      <c r="AY105" s="68"/>
      <c r="AZ105" s="68"/>
      <c r="BA105" s="68"/>
      <c r="BB105" s="68"/>
    </row>
    <row r="106" spans="1:54" ht="13.5" thickBot="1">
      <c r="A106" s="103">
        <v>38855</v>
      </c>
      <c r="B106" s="104">
        <v>5.5980000495910645</v>
      </c>
      <c r="C106" s="105">
        <v>1261.81005859375</v>
      </c>
      <c r="D106" s="104">
        <v>1.8904000520706177</v>
      </c>
      <c r="E106">
        <v>110.98778944130363</v>
      </c>
      <c r="F106">
        <v>680.32440185546875</v>
      </c>
      <c r="H106" s="34"/>
      <c r="I106" s="34"/>
      <c r="J106" s="34"/>
      <c r="K106" s="34"/>
      <c r="L106" s="34"/>
      <c r="N106" s="34"/>
      <c r="O106" s="35"/>
      <c r="P106" s="35"/>
      <c r="Q106" s="35"/>
      <c r="R106" s="35"/>
      <c r="S106" s="74"/>
      <c r="AJ106" s="34"/>
      <c r="AK106" s="34"/>
      <c r="AL106" s="34"/>
      <c r="AM106" s="34"/>
      <c r="AN106" s="34"/>
      <c r="AQ106" s="67"/>
      <c r="AR106" s="67"/>
      <c r="AS106" s="67"/>
      <c r="AT106" s="67"/>
      <c r="AU106" s="67"/>
      <c r="AW106" s="68"/>
      <c r="AX106" s="68"/>
      <c r="AY106" s="68"/>
      <c r="AZ106" s="68"/>
      <c r="BA106" s="68"/>
      <c r="BB106" s="68"/>
    </row>
    <row r="107" spans="1:54" ht="13.5" thickBot="1">
      <c r="A107" s="103">
        <v>38856</v>
      </c>
      <c r="B107" s="104">
        <v>5.5914998054504395</v>
      </c>
      <c r="C107" s="105">
        <v>1267.030029296875</v>
      </c>
      <c r="D107" s="104">
        <v>1.8784999847412109</v>
      </c>
      <c r="E107">
        <v>111.68193325680831</v>
      </c>
      <c r="F107">
        <v>656.927001953125</v>
      </c>
      <c r="H107" s="34"/>
      <c r="I107" s="34"/>
      <c r="J107" s="34"/>
      <c r="K107" s="34"/>
      <c r="L107" s="34"/>
      <c r="N107" s="34"/>
      <c r="O107" s="35"/>
      <c r="P107" s="35"/>
      <c r="Q107" s="35"/>
      <c r="R107" s="35"/>
      <c r="S107" s="74"/>
      <c r="AJ107" s="34"/>
      <c r="AK107" s="34"/>
      <c r="AL107" s="34"/>
      <c r="AM107" s="34"/>
      <c r="AN107" s="34"/>
      <c r="AQ107" s="67"/>
      <c r="AR107" s="67"/>
      <c r="AS107" s="67"/>
      <c r="AT107" s="67"/>
      <c r="AU107" s="67"/>
      <c r="AW107" s="68"/>
      <c r="AX107" s="68"/>
      <c r="AY107" s="68"/>
      <c r="AZ107" s="68"/>
      <c r="BA107" s="68"/>
      <c r="BB107" s="68"/>
    </row>
    <row r="108" spans="1:54" ht="13.5" thickBot="1">
      <c r="A108" s="103">
        <v>38859</v>
      </c>
      <c r="B108" s="104">
        <v>5.5859999656677246</v>
      </c>
      <c r="C108" s="105">
        <v>1262.0699462890625</v>
      </c>
      <c r="D108" s="104">
        <v>1.8874000310897827</v>
      </c>
      <c r="E108">
        <v>111.3461789692817</v>
      </c>
      <c r="F108">
        <v>657.6634521484375</v>
      </c>
      <c r="H108" s="34"/>
      <c r="I108" s="34"/>
      <c r="J108" s="34"/>
      <c r="K108" s="34"/>
      <c r="L108" s="34"/>
      <c r="N108" s="34"/>
      <c r="O108" s="35"/>
      <c r="P108" s="35"/>
      <c r="Q108" s="35"/>
      <c r="R108" s="35"/>
      <c r="S108" s="74"/>
      <c r="AJ108" s="34"/>
      <c r="AK108" s="34"/>
      <c r="AL108" s="34"/>
      <c r="AM108" s="34"/>
      <c r="AN108" s="34"/>
      <c r="AQ108" s="67"/>
      <c r="AR108" s="67"/>
      <c r="AS108" s="67"/>
      <c r="AT108" s="67"/>
      <c r="AU108" s="67"/>
      <c r="AW108" s="68"/>
      <c r="AX108" s="68"/>
      <c r="AY108" s="68"/>
      <c r="AZ108" s="68"/>
      <c r="BA108" s="68"/>
      <c r="BB108" s="68"/>
    </row>
    <row r="109" spans="1:54" ht="13.5" thickBot="1">
      <c r="A109" s="103">
        <v>38860</v>
      </c>
      <c r="B109" s="104">
        <v>5.6090002059936523</v>
      </c>
      <c r="C109" s="105">
        <v>1256.5799560546875</v>
      </c>
      <c r="D109" s="104">
        <v>1.885200023651123</v>
      </c>
      <c r="E109">
        <v>111.3461789692817</v>
      </c>
      <c r="F109">
        <v>673.66259765625</v>
      </c>
      <c r="H109" s="34"/>
      <c r="I109" s="34"/>
      <c r="J109" s="34"/>
      <c r="K109" s="34"/>
      <c r="L109" s="34"/>
      <c r="N109" s="34"/>
      <c r="O109" s="35"/>
      <c r="P109" s="35"/>
      <c r="Q109" s="35"/>
      <c r="R109" s="35"/>
      <c r="S109" s="74"/>
      <c r="AJ109" s="34"/>
      <c r="AK109" s="34"/>
      <c r="AL109" s="34"/>
      <c r="AM109" s="34"/>
      <c r="AN109" s="34"/>
      <c r="AQ109" s="67"/>
      <c r="AR109" s="67"/>
      <c r="AS109" s="67"/>
      <c r="AT109" s="67"/>
      <c r="AU109" s="67"/>
      <c r="AW109" s="68"/>
      <c r="AX109" s="68"/>
      <c r="AY109" s="68"/>
      <c r="AZ109" s="68"/>
      <c r="BA109" s="68"/>
      <c r="BB109" s="68"/>
    </row>
    <row r="110" spans="1:54" ht="13.5" thickBot="1">
      <c r="A110" s="103">
        <v>38861</v>
      </c>
      <c r="B110" s="104">
        <v>5.5815000534057617</v>
      </c>
      <c r="C110" s="105">
        <v>1258.5699462890625</v>
      </c>
      <c r="D110" s="104">
        <v>1.8717999458312988</v>
      </c>
      <c r="E110">
        <v>112.70145626609649</v>
      </c>
      <c r="F110">
        <v>637.5645751953125</v>
      </c>
      <c r="H110" s="34"/>
      <c r="I110" s="34"/>
      <c r="J110" s="34"/>
      <c r="K110" s="34"/>
      <c r="L110" s="34"/>
      <c r="N110" s="34"/>
      <c r="O110" s="35"/>
      <c r="P110" s="35"/>
      <c r="Q110" s="35"/>
      <c r="R110" s="35"/>
      <c r="S110" s="74"/>
      <c r="AJ110" s="34"/>
      <c r="AK110" s="34"/>
      <c r="AL110" s="34"/>
      <c r="AM110" s="34"/>
      <c r="AN110" s="34"/>
      <c r="AQ110" s="67"/>
      <c r="AR110" s="67"/>
      <c r="AS110" s="67"/>
      <c r="AT110" s="67"/>
      <c r="AU110" s="67"/>
      <c r="AW110" s="68"/>
      <c r="AX110" s="68"/>
      <c r="AY110" s="68"/>
      <c r="AZ110" s="68"/>
      <c r="BA110" s="68"/>
      <c r="BB110" s="68"/>
    </row>
    <row r="111" spans="1:54" ht="13.5" thickBot="1">
      <c r="A111" s="103">
        <v>38862</v>
      </c>
      <c r="B111" s="104">
        <v>5.626500129699707</v>
      </c>
      <c r="C111" s="105">
        <v>1272.8800048828125</v>
      </c>
      <c r="D111" s="104">
        <v>1.8717999458312988</v>
      </c>
      <c r="E111">
        <v>111.78180608293373</v>
      </c>
      <c r="F111">
        <v>648.659912109375</v>
      </c>
      <c r="H111" s="34"/>
      <c r="I111" s="34"/>
      <c r="J111" s="34"/>
      <c r="K111" s="34"/>
      <c r="L111" s="34"/>
      <c r="N111" s="34"/>
      <c r="O111" s="35"/>
      <c r="P111" s="35"/>
      <c r="Q111" s="35"/>
      <c r="R111" s="35"/>
      <c r="S111" s="74"/>
      <c r="AJ111" s="34"/>
      <c r="AK111" s="34"/>
      <c r="AL111" s="34"/>
      <c r="AM111" s="34"/>
      <c r="AN111" s="34"/>
      <c r="AQ111" s="67"/>
      <c r="AR111" s="67"/>
      <c r="AS111" s="67"/>
      <c r="AT111" s="67"/>
      <c r="AU111" s="67"/>
      <c r="AW111" s="68"/>
      <c r="AX111" s="68"/>
      <c r="AY111" s="68"/>
      <c r="AZ111" s="68"/>
      <c r="BA111" s="68"/>
      <c r="BB111" s="68"/>
    </row>
    <row r="112" spans="1:54" ht="13.5" thickBot="1">
      <c r="A112" s="103">
        <v>38863</v>
      </c>
      <c r="B112" s="104">
        <v>5.5995001792907715</v>
      </c>
      <c r="C112" s="105">
        <v>1280.1600341796875</v>
      </c>
      <c r="D112" s="104">
        <v>1.8592000007629395</v>
      </c>
      <c r="E112">
        <v>112.70145626609649</v>
      </c>
      <c r="F112">
        <v>651.1595458984375</v>
      </c>
      <c r="H112" s="34"/>
      <c r="I112" s="34"/>
      <c r="J112" s="34"/>
      <c r="K112" s="34"/>
      <c r="L112" s="34"/>
      <c r="N112" s="34"/>
      <c r="O112" s="35"/>
      <c r="P112" s="35"/>
      <c r="Q112" s="35"/>
      <c r="R112" s="35"/>
      <c r="S112" s="74"/>
      <c r="AJ112" s="34"/>
      <c r="AK112" s="34"/>
      <c r="AL112" s="34"/>
      <c r="AM112" s="34"/>
      <c r="AN112" s="34"/>
      <c r="AQ112" s="67"/>
      <c r="AR112" s="67"/>
      <c r="AS112" s="67"/>
      <c r="AT112" s="67"/>
      <c r="AU112" s="67"/>
      <c r="AW112" s="68"/>
      <c r="AX112" s="68"/>
      <c r="AY112" s="68"/>
      <c r="AZ112" s="68"/>
      <c r="BA112" s="68"/>
      <c r="BB112" s="68"/>
    </row>
    <row r="113" spans="1:54" ht="13.5" thickBot="1">
      <c r="A113" s="103">
        <v>38866</v>
      </c>
      <c r="B113" s="104">
        <v>5.5987510681152344</v>
      </c>
      <c r="C113" s="105">
        <v>1280.1600341796875</v>
      </c>
      <c r="D113" s="104">
        <v>1.8597999811172485</v>
      </c>
      <c r="E113">
        <v>112.37218243248617</v>
      </c>
      <c r="F113">
        <v>651.1595458984375</v>
      </c>
      <c r="H113" s="34"/>
      <c r="I113" s="34"/>
      <c r="J113" s="34"/>
      <c r="K113" s="34"/>
      <c r="L113" s="34"/>
      <c r="N113" s="34"/>
      <c r="O113" s="35"/>
      <c r="P113" s="35"/>
      <c r="Q113" s="35"/>
      <c r="R113" s="35"/>
      <c r="S113" s="74"/>
      <c r="AJ113" s="34"/>
      <c r="AK113" s="34"/>
      <c r="AL113" s="34"/>
      <c r="AM113" s="34"/>
      <c r="AN113" s="34"/>
      <c r="AQ113" s="67"/>
      <c r="AR113" s="67"/>
      <c r="AS113" s="67"/>
      <c r="AT113" s="67"/>
      <c r="AU113" s="67"/>
      <c r="AW113" s="68"/>
      <c r="AX113" s="68"/>
      <c r="AY113" s="68"/>
      <c r="AZ113" s="68"/>
      <c r="BA113" s="68"/>
      <c r="BB113" s="68"/>
    </row>
    <row r="114" spans="1:54" ht="13.5" thickBot="1">
      <c r="A114" s="103">
        <v>38867</v>
      </c>
      <c r="B114" s="104">
        <v>5.6345000267028809</v>
      </c>
      <c r="C114" s="105">
        <v>1259.8399658203125</v>
      </c>
      <c r="D114" s="104">
        <v>1.8839999437332153</v>
      </c>
      <c r="E114">
        <v>112.17050338848908</v>
      </c>
      <c r="F114">
        <v>654.66363525390625</v>
      </c>
      <c r="H114" s="34"/>
      <c r="I114" s="34"/>
      <c r="J114" s="34"/>
      <c r="K114" s="34"/>
      <c r="L114" s="34"/>
      <c r="N114" s="34"/>
      <c r="O114" s="35"/>
      <c r="P114" s="35"/>
      <c r="Q114" s="35"/>
      <c r="R114" s="35"/>
      <c r="S114" s="74"/>
      <c r="AJ114" s="34"/>
      <c r="AK114" s="34"/>
      <c r="AL114" s="34"/>
      <c r="AM114" s="34"/>
      <c r="AN114" s="34"/>
      <c r="AQ114" s="67"/>
      <c r="AR114" s="67"/>
      <c r="AS114" s="67"/>
      <c r="AT114" s="67"/>
      <c r="AU114" s="67"/>
      <c r="AW114" s="68"/>
      <c r="AX114" s="68"/>
      <c r="AY114" s="68"/>
      <c r="AZ114" s="68"/>
      <c r="BA114" s="68"/>
      <c r="BB114" s="68"/>
    </row>
    <row r="115" spans="1:54" ht="13.5" thickBot="1">
      <c r="A115" s="103">
        <v>38868</v>
      </c>
      <c r="B115" s="104">
        <v>5.6725001335144043</v>
      </c>
      <c r="C115" s="105">
        <v>1270.0899658203125</v>
      </c>
      <c r="D115" s="104">
        <v>1.8696000576019287</v>
      </c>
      <c r="E115">
        <v>112.57457620525959</v>
      </c>
      <c r="F115">
        <v>643.51422119140625</v>
      </c>
      <c r="H115" s="34"/>
      <c r="I115" s="34"/>
      <c r="J115" s="34"/>
      <c r="K115" s="34"/>
      <c r="L115" s="34"/>
      <c r="N115" s="34"/>
      <c r="O115" s="35"/>
      <c r="P115" s="35"/>
      <c r="Q115" s="35"/>
      <c r="R115" s="35"/>
      <c r="S115" s="74"/>
      <c r="AJ115" s="34"/>
      <c r="AK115" s="34"/>
      <c r="AL115" s="34"/>
      <c r="AM115" s="34"/>
      <c r="AN115" s="34"/>
      <c r="AQ115" s="67"/>
      <c r="AR115" s="67"/>
      <c r="AS115" s="67"/>
      <c r="AT115" s="67"/>
      <c r="AU115" s="67"/>
      <c r="AW115" s="68"/>
      <c r="AX115" s="68"/>
      <c r="AY115" s="68"/>
      <c r="AZ115" s="68"/>
      <c r="BA115" s="68"/>
      <c r="BB115" s="68"/>
    </row>
    <row r="116" spans="1:54" ht="13.5" thickBot="1">
      <c r="A116" s="103">
        <v>38869</v>
      </c>
      <c r="B116" s="104">
        <v>5.6680002212524414</v>
      </c>
      <c r="C116" s="105">
        <v>1285.7099609375</v>
      </c>
      <c r="D116" s="104">
        <v>1.8634999990463257</v>
      </c>
      <c r="E116">
        <v>112.71416237072414</v>
      </c>
      <c r="F116">
        <v>628.48016357421875</v>
      </c>
      <c r="H116" s="34"/>
      <c r="I116" s="34"/>
      <c r="J116" s="34"/>
      <c r="K116" s="34"/>
      <c r="L116" s="34"/>
      <c r="N116" s="34"/>
      <c r="O116" s="35"/>
      <c r="P116" s="35"/>
      <c r="Q116" s="35"/>
      <c r="R116" s="35"/>
      <c r="S116" s="74"/>
      <c r="AJ116" s="34"/>
      <c r="AK116" s="34"/>
      <c r="AL116" s="34"/>
      <c r="AM116" s="34"/>
      <c r="AN116" s="34"/>
      <c r="AQ116" s="67"/>
      <c r="AR116" s="67"/>
      <c r="AS116" s="67"/>
      <c r="AT116" s="67"/>
      <c r="AU116" s="67"/>
      <c r="AW116" s="68"/>
      <c r="AX116" s="68"/>
      <c r="AY116" s="68"/>
      <c r="AZ116" s="68"/>
      <c r="BA116" s="68"/>
      <c r="BB116" s="68"/>
    </row>
    <row r="117" spans="1:54" ht="13.5" thickBot="1">
      <c r="A117" s="103">
        <v>38870</v>
      </c>
      <c r="B117" s="104">
        <v>5.5440001487731934</v>
      </c>
      <c r="C117" s="105">
        <v>1288.219970703125</v>
      </c>
      <c r="D117" s="104">
        <v>1.8835999965667725</v>
      </c>
      <c r="E117">
        <v>111.63206373831311</v>
      </c>
      <c r="F117">
        <v>636.12933349609375</v>
      </c>
      <c r="H117" s="34"/>
      <c r="I117" s="34"/>
      <c r="J117" s="34"/>
      <c r="K117" s="34"/>
      <c r="L117" s="34"/>
      <c r="N117" s="34"/>
      <c r="O117" s="35"/>
      <c r="P117" s="35"/>
      <c r="Q117" s="35"/>
      <c r="R117" s="35"/>
      <c r="S117" s="74"/>
      <c r="AJ117" s="34"/>
      <c r="AK117" s="34"/>
      <c r="AL117" s="34"/>
      <c r="AM117" s="34"/>
      <c r="AN117" s="34"/>
      <c r="AQ117" s="67"/>
      <c r="AR117" s="67"/>
      <c r="AS117" s="67"/>
      <c r="AT117" s="67"/>
      <c r="AU117" s="67"/>
      <c r="AW117" s="68"/>
      <c r="AX117" s="68"/>
      <c r="AY117" s="68"/>
      <c r="AZ117" s="68"/>
      <c r="BA117" s="68"/>
      <c r="BB117" s="68"/>
    </row>
    <row r="118" spans="1:54" ht="13.5" thickBot="1">
      <c r="A118" s="103">
        <v>38873</v>
      </c>
      <c r="B118" s="104">
        <v>5.5739998817443848</v>
      </c>
      <c r="C118" s="105">
        <v>1265.2900390625</v>
      </c>
      <c r="D118" s="104">
        <v>1.8726999759674072</v>
      </c>
      <c r="E118">
        <v>112.14533854102477</v>
      </c>
      <c r="F118">
        <v>641.16436767578125</v>
      </c>
      <c r="H118" s="34"/>
      <c r="I118" s="34"/>
      <c r="J118" s="34"/>
      <c r="K118" s="34"/>
      <c r="L118" s="34"/>
      <c r="N118" s="34"/>
      <c r="O118" s="35"/>
      <c r="P118" s="35"/>
      <c r="Q118" s="35"/>
      <c r="R118" s="35"/>
      <c r="S118" s="74"/>
      <c r="AJ118" s="34"/>
      <c r="AK118" s="34"/>
      <c r="AL118" s="34"/>
      <c r="AM118" s="34"/>
      <c r="AN118" s="34"/>
      <c r="AQ118" s="67"/>
      <c r="AR118" s="67"/>
      <c r="AS118" s="67"/>
      <c r="AT118" s="67"/>
      <c r="AU118" s="67"/>
      <c r="AW118" s="68"/>
      <c r="AX118" s="68"/>
      <c r="AY118" s="68"/>
      <c r="AZ118" s="68"/>
      <c r="BA118" s="68"/>
      <c r="BB118" s="68"/>
    </row>
    <row r="119" spans="1:54" ht="13.5" thickBot="1">
      <c r="A119" s="103">
        <v>38874</v>
      </c>
      <c r="B119" s="104">
        <v>5.5560002326965332</v>
      </c>
      <c r="C119" s="105">
        <v>1263.8499755859375</v>
      </c>
      <c r="D119" s="104">
        <v>1.8609000444412231</v>
      </c>
      <c r="E119">
        <v>113.19900710932076</v>
      </c>
      <c r="F119">
        <v>630.0150146484375</v>
      </c>
      <c r="H119" s="34"/>
      <c r="I119" s="34"/>
      <c r="J119" s="34"/>
      <c r="K119" s="34"/>
      <c r="L119" s="34"/>
      <c r="N119" s="34"/>
      <c r="O119" s="35"/>
      <c r="P119" s="35"/>
      <c r="Q119" s="35"/>
      <c r="R119" s="35"/>
      <c r="S119" s="74"/>
      <c r="AJ119" s="34"/>
      <c r="AK119" s="34"/>
      <c r="AL119" s="34"/>
      <c r="AM119" s="34"/>
      <c r="AN119" s="34"/>
      <c r="AQ119" s="67"/>
      <c r="AR119" s="67"/>
      <c r="AS119" s="67"/>
      <c r="AT119" s="67"/>
      <c r="AU119" s="67"/>
      <c r="AW119" s="68"/>
      <c r="AX119" s="68"/>
      <c r="AY119" s="68"/>
      <c r="AZ119" s="68"/>
      <c r="BA119" s="68"/>
      <c r="BB119" s="68"/>
    </row>
    <row r="120" spans="1:54" ht="13.5" thickBot="1">
      <c r="A120" s="103">
        <v>38875</v>
      </c>
      <c r="B120" s="104">
        <v>5.5789999961853027</v>
      </c>
      <c r="C120" s="105">
        <v>1256.1500244140625</v>
      </c>
      <c r="D120" s="104">
        <v>1.8560999631881714</v>
      </c>
      <c r="E120">
        <v>113.48161541556571</v>
      </c>
      <c r="F120">
        <v>628.06512451171875</v>
      </c>
      <c r="H120" s="34"/>
      <c r="I120" s="34"/>
      <c r="J120" s="34"/>
      <c r="K120" s="34"/>
      <c r="L120" s="34"/>
      <c r="N120" s="34"/>
      <c r="O120" s="35"/>
      <c r="P120" s="35"/>
      <c r="Q120" s="35"/>
      <c r="R120" s="35"/>
      <c r="S120" s="74"/>
      <c r="AJ120" s="34"/>
      <c r="AK120" s="34"/>
      <c r="AL120" s="34"/>
      <c r="AM120" s="34"/>
      <c r="AN120" s="34"/>
      <c r="AQ120" s="67"/>
      <c r="AR120" s="67"/>
      <c r="AS120" s="67"/>
      <c r="AT120" s="67"/>
      <c r="AU120" s="67"/>
      <c r="AW120" s="68"/>
      <c r="AX120" s="68"/>
      <c r="AY120" s="68"/>
      <c r="AZ120" s="68"/>
      <c r="BA120" s="68"/>
      <c r="BB120" s="68"/>
    </row>
    <row r="121" spans="1:54" ht="13.5" thickBot="1">
      <c r="A121" s="103">
        <v>38876</v>
      </c>
      <c r="B121" s="104">
        <v>5.5520000457763672</v>
      </c>
      <c r="C121" s="105">
        <v>1257.9300537109375</v>
      </c>
      <c r="D121" s="104">
        <v>1.8425999879837036</v>
      </c>
      <c r="E121">
        <v>114.18131865619448</v>
      </c>
      <c r="F121">
        <v>609.4322509765625</v>
      </c>
      <c r="H121" s="34"/>
      <c r="I121" s="34"/>
      <c r="J121" s="34"/>
      <c r="K121" s="34"/>
      <c r="L121" s="34"/>
      <c r="N121" s="34"/>
      <c r="O121" s="35"/>
      <c r="P121" s="35"/>
      <c r="Q121" s="35"/>
      <c r="R121" s="35"/>
      <c r="S121" s="74"/>
      <c r="AJ121" s="34"/>
      <c r="AK121" s="34"/>
      <c r="AL121" s="34"/>
      <c r="AM121" s="34"/>
      <c r="AN121" s="34"/>
      <c r="AQ121" s="67"/>
      <c r="AR121" s="67"/>
      <c r="AS121" s="67"/>
      <c r="AT121" s="67"/>
      <c r="AU121" s="67"/>
      <c r="AW121" s="68"/>
      <c r="AX121" s="68"/>
      <c r="AY121" s="68"/>
      <c r="AZ121" s="68"/>
      <c r="BA121" s="68"/>
      <c r="BB121" s="68"/>
    </row>
    <row r="122" spans="1:54" ht="13.5" thickBot="1">
      <c r="A122" s="103">
        <v>38877</v>
      </c>
      <c r="B122" s="104">
        <v>5.5430002212524414</v>
      </c>
      <c r="C122" s="105">
        <v>1252.300048828125</v>
      </c>
      <c r="D122" s="104">
        <v>1.8410999774932861</v>
      </c>
      <c r="E122">
        <v>113.93414593358906</v>
      </c>
      <c r="F122">
        <v>608.73236083984375</v>
      </c>
      <c r="H122" s="34"/>
      <c r="I122" s="34"/>
      <c r="J122" s="34"/>
      <c r="K122" s="34"/>
      <c r="L122" s="34"/>
      <c r="N122" s="34"/>
      <c r="O122" s="35"/>
      <c r="P122" s="35"/>
      <c r="Q122" s="35"/>
      <c r="R122" s="35"/>
      <c r="S122" s="74"/>
      <c r="AJ122" s="34"/>
      <c r="AK122" s="34"/>
      <c r="AL122" s="34"/>
      <c r="AM122" s="34"/>
      <c r="AN122" s="34"/>
      <c r="AQ122" s="67"/>
      <c r="AR122" s="67"/>
      <c r="AS122" s="67"/>
      <c r="AT122" s="67"/>
      <c r="AU122" s="67"/>
      <c r="AW122" s="68"/>
      <c r="AX122" s="68"/>
      <c r="AY122" s="68"/>
      <c r="AZ122" s="68"/>
      <c r="BA122" s="68"/>
      <c r="BB122" s="68"/>
    </row>
    <row r="123" spans="1:54" ht="13.5" thickBot="1">
      <c r="A123" s="103">
        <v>38880</v>
      </c>
      <c r="B123" s="104">
        <v>5.5450000762939453</v>
      </c>
      <c r="C123" s="105">
        <v>1236.4000244140625</v>
      </c>
      <c r="D123" s="104">
        <v>1.8445999622344971</v>
      </c>
      <c r="E123">
        <v>114.23349237664497</v>
      </c>
      <c r="F123">
        <v>607.2662353515625</v>
      </c>
      <c r="H123" s="34"/>
      <c r="I123" s="34"/>
      <c r="J123" s="34"/>
      <c r="K123" s="34"/>
      <c r="L123" s="34"/>
      <c r="N123" s="34"/>
      <c r="O123" s="35"/>
      <c r="P123" s="35"/>
      <c r="Q123" s="35"/>
      <c r="R123" s="35"/>
      <c r="S123" s="74"/>
      <c r="AJ123" s="34"/>
      <c r="AK123" s="34"/>
      <c r="AL123" s="34"/>
      <c r="AM123" s="34"/>
      <c r="AN123" s="34"/>
      <c r="AQ123" s="67"/>
      <c r="AR123" s="67"/>
      <c r="AS123" s="67"/>
      <c r="AT123" s="67"/>
      <c r="AU123" s="67"/>
      <c r="AW123" s="68"/>
      <c r="AX123" s="68"/>
      <c r="AY123" s="68"/>
      <c r="AZ123" s="68"/>
      <c r="BA123" s="68"/>
      <c r="BB123" s="68"/>
    </row>
    <row r="124" spans="1:54" ht="13.5" thickBot="1">
      <c r="A124" s="103">
        <v>38881</v>
      </c>
      <c r="B124" s="104">
        <v>5.5190000534057617</v>
      </c>
      <c r="C124" s="105">
        <v>1223.68994140625</v>
      </c>
      <c r="D124" s="104">
        <v>1.8342000246047974</v>
      </c>
      <c r="E124">
        <v>115.27377921588541</v>
      </c>
      <c r="F124">
        <v>562.86871337890625</v>
      </c>
      <c r="H124" s="34"/>
      <c r="I124" s="34"/>
      <c r="J124" s="34"/>
      <c r="K124" s="34"/>
      <c r="L124" s="34"/>
      <c r="N124" s="34"/>
      <c r="O124" s="35"/>
      <c r="P124" s="35"/>
      <c r="Q124" s="35"/>
      <c r="R124" s="35"/>
      <c r="S124" s="74"/>
      <c r="AJ124" s="34"/>
      <c r="AK124" s="34"/>
      <c r="AL124" s="34"/>
      <c r="AM124" s="34"/>
      <c r="AN124" s="34"/>
      <c r="AQ124" s="67"/>
      <c r="AR124" s="67"/>
      <c r="AS124" s="67"/>
      <c r="AT124" s="67"/>
      <c r="AU124" s="67"/>
      <c r="AW124" s="68"/>
      <c r="AX124" s="68"/>
      <c r="AY124" s="68"/>
      <c r="AZ124" s="68"/>
      <c r="BA124" s="68"/>
      <c r="BB124" s="68"/>
    </row>
    <row r="125" spans="1:54" ht="13.5" thickBot="1">
      <c r="A125" s="103">
        <v>38882</v>
      </c>
      <c r="B125" s="104">
        <v>5.6180000305175781</v>
      </c>
      <c r="C125" s="105">
        <v>1230.0400390625</v>
      </c>
      <c r="D125" s="104">
        <v>1.8436000347137451</v>
      </c>
      <c r="E125">
        <v>115.03508170847387</v>
      </c>
      <c r="F125">
        <v>562.71875</v>
      </c>
      <c r="H125" s="34"/>
      <c r="I125" s="34"/>
      <c r="J125" s="34"/>
      <c r="K125" s="34"/>
      <c r="L125" s="34"/>
      <c r="N125" s="34"/>
      <c r="O125" s="35"/>
      <c r="P125" s="35"/>
      <c r="Q125" s="35"/>
      <c r="R125" s="35"/>
      <c r="S125" s="74"/>
      <c r="AJ125" s="34"/>
      <c r="AK125" s="34"/>
      <c r="AL125" s="34"/>
      <c r="AM125" s="34"/>
      <c r="AN125" s="34"/>
      <c r="AQ125" s="67"/>
      <c r="AR125" s="67"/>
      <c r="AS125" s="67"/>
      <c r="AT125" s="67"/>
      <c r="AU125" s="67"/>
      <c r="AW125" s="68"/>
      <c r="AX125" s="68"/>
      <c r="AY125" s="68"/>
      <c r="AZ125" s="68"/>
      <c r="BA125" s="68"/>
      <c r="BB125" s="68"/>
    </row>
    <row r="126" spans="1:54" ht="13.5" thickBot="1">
      <c r="A126" s="103">
        <v>38883</v>
      </c>
      <c r="B126" s="104">
        <v>5.6684999465942383</v>
      </c>
      <c r="C126" s="105">
        <v>1256.1600341796875</v>
      </c>
      <c r="D126" s="104">
        <v>1.847599983215332</v>
      </c>
      <c r="E126">
        <v>114.94252712129052</v>
      </c>
      <c r="F126">
        <v>566.73699951171875</v>
      </c>
      <c r="H126" s="34"/>
      <c r="I126" s="34"/>
      <c r="J126" s="34"/>
      <c r="K126" s="34"/>
      <c r="L126" s="34"/>
      <c r="N126" s="34"/>
      <c r="O126" s="35"/>
      <c r="P126" s="35"/>
      <c r="Q126" s="35"/>
      <c r="R126" s="35"/>
      <c r="S126" s="74"/>
      <c r="AJ126" s="34"/>
      <c r="AK126" s="34"/>
      <c r="AL126" s="34"/>
      <c r="AM126" s="34"/>
      <c r="AN126" s="34"/>
      <c r="AQ126" s="67"/>
      <c r="AR126" s="67"/>
      <c r="AS126" s="67"/>
      <c r="AT126" s="67"/>
      <c r="AU126" s="67"/>
      <c r="AW126" s="68"/>
      <c r="AX126" s="68"/>
      <c r="AY126" s="68"/>
      <c r="AZ126" s="68"/>
      <c r="BA126" s="68"/>
      <c r="BB126" s="68"/>
    </row>
    <row r="127" spans="1:54" ht="13.5" thickBot="1">
      <c r="A127" s="103">
        <v>38884</v>
      </c>
      <c r="B127" s="104">
        <v>5.7010002136230469</v>
      </c>
      <c r="C127" s="105">
        <v>1251.5400390625</v>
      </c>
      <c r="D127" s="104">
        <v>1.8507000207901001</v>
      </c>
      <c r="E127">
        <v>115.12779781442619</v>
      </c>
      <c r="F127">
        <v>578.1357421875</v>
      </c>
      <c r="H127" s="34"/>
      <c r="I127" s="34"/>
      <c r="J127" s="34"/>
      <c r="K127" s="34"/>
      <c r="L127" s="34"/>
      <c r="N127" s="34"/>
      <c r="O127" s="35"/>
      <c r="P127" s="35"/>
      <c r="Q127" s="35"/>
      <c r="R127" s="35"/>
      <c r="S127" s="74"/>
      <c r="AJ127" s="34"/>
      <c r="AK127" s="34"/>
      <c r="AL127" s="34"/>
      <c r="AM127" s="34"/>
      <c r="AN127" s="34"/>
      <c r="AQ127" s="67"/>
      <c r="AR127" s="67"/>
      <c r="AS127" s="67"/>
      <c r="AT127" s="67"/>
      <c r="AU127" s="67"/>
      <c r="AW127" s="68"/>
      <c r="AX127" s="68"/>
      <c r="AY127" s="68"/>
      <c r="AZ127" s="68"/>
      <c r="BA127" s="68"/>
      <c r="BB127" s="68"/>
    </row>
    <row r="128" spans="1:54" ht="13.5" thickBot="1">
      <c r="A128" s="103">
        <v>38887</v>
      </c>
      <c r="B128" s="104">
        <v>5.7204999923706055</v>
      </c>
      <c r="C128" s="105">
        <v>1240.1400146484375</v>
      </c>
      <c r="D128" s="104">
        <v>1.8407000303268433</v>
      </c>
      <c r="E128">
        <v>115.43345784295018</v>
      </c>
      <c r="F128">
        <v>571.46826171875</v>
      </c>
      <c r="H128" s="34"/>
      <c r="I128" s="34"/>
      <c r="J128" s="34"/>
      <c r="K128" s="34"/>
      <c r="L128" s="34"/>
      <c r="N128" s="34"/>
      <c r="O128" s="35"/>
      <c r="P128" s="35"/>
      <c r="Q128" s="35"/>
      <c r="R128" s="35"/>
      <c r="S128" s="74"/>
      <c r="AJ128" s="34"/>
      <c r="AK128" s="34"/>
      <c r="AL128" s="34"/>
      <c r="AM128" s="34"/>
      <c r="AN128" s="34"/>
      <c r="AQ128" s="67"/>
      <c r="AR128" s="67"/>
      <c r="AS128" s="67"/>
      <c r="AT128" s="67"/>
      <c r="AU128" s="67"/>
      <c r="AW128" s="68"/>
      <c r="AX128" s="68"/>
      <c r="AY128" s="68"/>
      <c r="AZ128" s="68"/>
      <c r="BA128" s="68"/>
      <c r="BB128" s="68"/>
    </row>
    <row r="129" spans="1:54" ht="13.5" thickBot="1">
      <c r="A129" s="103">
        <v>38888</v>
      </c>
      <c r="B129" s="104">
        <v>5.7300000190734863</v>
      </c>
      <c r="C129" s="105">
        <v>1240.1199951171875</v>
      </c>
      <c r="D129" s="104">
        <v>1.8427000045776367</v>
      </c>
      <c r="E129">
        <v>114.94252712129052</v>
      </c>
      <c r="F129">
        <v>577.31793212890625</v>
      </c>
      <c r="H129" s="34"/>
      <c r="I129" s="34"/>
      <c r="J129" s="34"/>
      <c r="K129" s="34"/>
      <c r="L129" s="34"/>
      <c r="N129" s="34"/>
      <c r="O129" s="35"/>
      <c r="P129" s="35"/>
      <c r="Q129" s="35"/>
      <c r="R129" s="35"/>
      <c r="S129" s="74"/>
      <c r="AJ129" s="34"/>
      <c r="AK129" s="34"/>
      <c r="AL129" s="34"/>
      <c r="AM129" s="34"/>
      <c r="AN129" s="34"/>
      <c r="AQ129" s="67"/>
      <c r="AR129" s="67"/>
      <c r="AS129" s="67"/>
      <c r="AT129" s="67"/>
      <c r="AU129" s="67"/>
      <c r="AW129" s="68"/>
      <c r="AX129" s="68"/>
      <c r="AY129" s="68"/>
      <c r="AZ129" s="68"/>
      <c r="BA129" s="68"/>
      <c r="BB129" s="68"/>
    </row>
    <row r="130" spans="1:54" ht="13.5" thickBot="1">
      <c r="A130" s="103">
        <v>38889</v>
      </c>
      <c r="B130" s="104">
        <v>5.7325000762939453</v>
      </c>
      <c r="C130" s="105">
        <v>1252.199951171875</v>
      </c>
      <c r="D130" s="104">
        <v>1.8452999591827393</v>
      </c>
      <c r="E130">
        <v>114.78420287950993</v>
      </c>
      <c r="F130">
        <v>585.81744384765625</v>
      </c>
      <c r="H130" s="34"/>
      <c r="I130" s="34"/>
      <c r="J130" s="34"/>
      <c r="K130" s="34"/>
      <c r="L130" s="34"/>
      <c r="N130" s="34"/>
      <c r="O130" s="35"/>
      <c r="P130" s="35"/>
      <c r="Q130" s="35"/>
      <c r="R130" s="35"/>
      <c r="S130" s="74"/>
      <c r="AJ130" s="34"/>
      <c r="AK130" s="34"/>
      <c r="AL130" s="34"/>
      <c r="AM130" s="34"/>
      <c r="AN130" s="34"/>
      <c r="AQ130" s="67"/>
      <c r="AR130" s="67"/>
      <c r="AS130" s="67"/>
      <c r="AT130" s="67"/>
      <c r="AU130" s="67"/>
      <c r="AW130" s="68"/>
      <c r="AX130" s="68"/>
      <c r="AY130" s="68"/>
      <c r="AZ130" s="68"/>
      <c r="BA130" s="68"/>
      <c r="BB130" s="68"/>
    </row>
    <row r="131" spans="1:54" ht="13.5" thickBot="1">
      <c r="A131" s="103">
        <v>38890</v>
      </c>
      <c r="B131" s="104">
        <v>5.7829999923706055</v>
      </c>
      <c r="C131" s="105">
        <v>1245.5999755859375</v>
      </c>
      <c r="D131" s="104">
        <v>1.8280999660491943</v>
      </c>
      <c r="E131">
        <v>116.11704081240913</v>
      </c>
      <c r="F131">
        <v>582.48529052734375</v>
      </c>
      <c r="H131" s="34"/>
      <c r="I131" s="34"/>
      <c r="J131" s="34"/>
      <c r="K131" s="34"/>
      <c r="L131" s="34"/>
      <c r="N131" s="34"/>
      <c r="O131" s="35"/>
      <c r="P131" s="35"/>
      <c r="Q131" s="35"/>
      <c r="R131" s="35"/>
      <c r="S131" s="74"/>
      <c r="AJ131" s="34"/>
      <c r="AK131" s="34"/>
      <c r="AL131" s="34"/>
      <c r="AM131" s="34"/>
      <c r="AN131" s="34"/>
      <c r="AQ131" s="67"/>
      <c r="AR131" s="67"/>
      <c r="AS131" s="67"/>
      <c r="AT131" s="67"/>
      <c r="AU131" s="67"/>
      <c r="AW131" s="68"/>
      <c r="AX131" s="68"/>
      <c r="AY131" s="68"/>
      <c r="AZ131" s="68"/>
      <c r="BA131" s="68"/>
      <c r="BB131" s="68"/>
    </row>
    <row r="132" spans="1:54" ht="13.5" thickBot="1">
      <c r="A132" s="103">
        <v>38891</v>
      </c>
      <c r="B132" s="104">
        <v>5.8154997825622559</v>
      </c>
      <c r="C132" s="105">
        <v>1244.5</v>
      </c>
      <c r="D132" s="104">
        <v>1.8180999755859375</v>
      </c>
      <c r="E132">
        <v>116.53652903982177</v>
      </c>
      <c r="F132">
        <v>579.5855712890625</v>
      </c>
      <c r="H132" s="34"/>
      <c r="I132" s="34"/>
      <c r="J132" s="34"/>
      <c r="K132" s="34"/>
      <c r="L132" s="34"/>
      <c r="N132" s="34"/>
      <c r="O132" s="35"/>
      <c r="P132" s="35"/>
      <c r="Q132" s="35"/>
      <c r="R132" s="35"/>
      <c r="S132" s="74"/>
      <c r="AJ132" s="34"/>
      <c r="AK132" s="34"/>
      <c r="AL132" s="34"/>
      <c r="AM132" s="34"/>
      <c r="AN132" s="34"/>
      <c r="AQ132" s="67"/>
      <c r="AR132" s="67"/>
      <c r="AS132" s="67"/>
      <c r="AT132" s="67"/>
      <c r="AU132" s="67"/>
      <c r="AW132" s="68"/>
      <c r="AX132" s="68"/>
      <c r="AY132" s="68"/>
      <c r="AZ132" s="68"/>
      <c r="BA132" s="68"/>
      <c r="BB132" s="68"/>
    </row>
    <row r="133" spans="1:54" ht="13.5" thickBot="1">
      <c r="A133" s="103">
        <v>38894</v>
      </c>
      <c r="B133" s="104">
        <v>5.8270001411437988</v>
      </c>
      <c r="C133" s="105">
        <v>1250.56005859375</v>
      </c>
      <c r="D133" s="104">
        <v>1.8228000402450562</v>
      </c>
      <c r="E133">
        <v>116.34671291892315</v>
      </c>
      <c r="F133">
        <v>585.0675048828125</v>
      </c>
      <c r="H133" s="34"/>
      <c r="I133" s="34"/>
      <c r="J133" s="34"/>
      <c r="K133" s="34"/>
      <c r="L133" s="34"/>
      <c r="N133" s="34"/>
      <c r="O133" s="35"/>
      <c r="P133" s="35"/>
      <c r="Q133" s="35"/>
      <c r="R133" s="35"/>
      <c r="S133" s="74"/>
      <c r="AJ133" s="34"/>
      <c r="AK133" s="34"/>
      <c r="AL133" s="34"/>
      <c r="AM133" s="34"/>
      <c r="AN133" s="34"/>
      <c r="AQ133" s="67"/>
      <c r="AR133" s="67"/>
      <c r="AS133" s="67"/>
      <c r="AT133" s="67"/>
      <c r="AU133" s="67"/>
      <c r="AW133" s="68"/>
      <c r="AX133" s="68"/>
      <c r="AY133" s="68"/>
      <c r="AZ133" s="68"/>
      <c r="BA133" s="68"/>
      <c r="BB133" s="68"/>
    </row>
    <row r="134" spans="1:54" ht="13.5" thickBot="1">
      <c r="A134" s="103">
        <v>38895</v>
      </c>
      <c r="B134" s="104">
        <v>5.7930002212524414</v>
      </c>
      <c r="C134" s="105">
        <v>1239.199951171875</v>
      </c>
      <c r="D134" s="104">
        <v>1.8229000568389893</v>
      </c>
      <c r="E134">
        <v>116.27906581851339</v>
      </c>
      <c r="F134">
        <v>581.86767578125</v>
      </c>
      <c r="H134" s="34"/>
      <c r="I134" s="34"/>
      <c r="J134" s="34"/>
      <c r="K134" s="34"/>
      <c r="L134" s="34"/>
      <c r="N134" s="34"/>
      <c r="O134" s="35"/>
      <c r="P134" s="35"/>
      <c r="Q134" s="35"/>
      <c r="R134" s="35"/>
      <c r="S134" s="74"/>
      <c r="AJ134" s="34"/>
      <c r="AK134" s="34"/>
      <c r="AL134" s="34"/>
      <c r="AM134" s="34"/>
      <c r="AN134" s="34"/>
      <c r="AQ134" s="67"/>
      <c r="AR134" s="67"/>
      <c r="AS134" s="67"/>
      <c r="AT134" s="67"/>
      <c r="AU134" s="67"/>
      <c r="AW134" s="68"/>
      <c r="AX134" s="68"/>
      <c r="AY134" s="68"/>
      <c r="AZ134" s="68"/>
      <c r="BA134" s="68"/>
      <c r="BB134" s="68"/>
    </row>
    <row r="135" spans="1:54" ht="13.5" thickBot="1">
      <c r="A135" s="103">
        <v>38896</v>
      </c>
      <c r="B135" s="104">
        <v>5.8330001831054687</v>
      </c>
      <c r="C135" s="105">
        <v>1246</v>
      </c>
      <c r="D135" s="104">
        <v>1.8188999891281128</v>
      </c>
      <c r="E135">
        <v>116.44154362266904</v>
      </c>
      <c r="F135">
        <v>578.56787109375</v>
      </c>
      <c r="H135" s="34"/>
      <c r="I135" s="34"/>
      <c r="J135" s="34"/>
      <c r="K135" s="34"/>
      <c r="L135" s="34"/>
      <c r="N135" s="34"/>
      <c r="O135" s="35"/>
      <c r="P135" s="35"/>
      <c r="Q135" s="35"/>
      <c r="R135" s="35"/>
      <c r="S135" s="74"/>
      <c r="AJ135" s="34"/>
      <c r="AK135" s="34"/>
      <c r="AL135" s="34"/>
      <c r="AM135" s="34"/>
      <c r="AN135" s="34"/>
      <c r="AQ135" s="67"/>
      <c r="AR135" s="67"/>
      <c r="AS135" s="67"/>
      <c r="AT135" s="67"/>
      <c r="AU135" s="67"/>
      <c r="AW135" s="68"/>
      <c r="AX135" s="68"/>
      <c r="AY135" s="68"/>
      <c r="AZ135" s="68"/>
      <c r="BA135" s="68"/>
      <c r="BB135" s="68"/>
    </row>
    <row r="136" spans="1:54" ht="13.5" thickBot="1">
      <c r="A136" s="103">
        <v>38897</v>
      </c>
      <c r="B136" s="104">
        <v>5.7890000343322754</v>
      </c>
      <c r="C136" s="105">
        <v>1272.8699951171875</v>
      </c>
      <c r="D136" s="104">
        <v>1.8272000551223755</v>
      </c>
      <c r="E136">
        <v>115.00862761395581</v>
      </c>
      <c r="F136">
        <v>586.5848388671875</v>
      </c>
      <c r="H136" s="34"/>
      <c r="I136" s="34"/>
      <c r="J136" s="34"/>
      <c r="K136" s="34"/>
      <c r="L136" s="34"/>
      <c r="N136" s="34"/>
      <c r="O136" s="35"/>
      <c r="P136" s="35"/>
      <c r="Q136" s="35"/>
      <c r="R136" s="35"/>
      <c r="S136" s="74"/>
      <c r="AJ136" s="34"/>
      <c r="AK136" s="34"/>
      <c r="AL136" s="34"/>
      <c r="AM136" s="34"/>
      <c r="AN136" s="34"/>
      <c r="AQ136" s="67"/>
      <c r="AR136" s="67"/>
      <c r="AS136" s="67"/>
      <c r="AT136" s="67"/>
      <c r="AU136" s="67"/>
      <c r="AW136" s="68"/>
      <c r="AX136" s="68"/>
      <c r="AY136" s="68"/>
      <c r="AZ136" s="68"/>
      <c r="BA136" s="68"/>
      <c r="BB136" s="68"/>
    </row>
    <row r="137" spans="1:54" ht="13.5" thickBot="1">
      <c r="A137" s="103">
        <v>38898</v>
      </c>
      <c r="B137" s="104">
        <v>5.7305002212524414</v>
      </c>
      <c r="C137" s="105">
        <v>1270.199951171875</v>
      </c>
      <c r="D137" s="104">
        <v>1.8482999801635742</v>
      </c>
      <c r="E137">
        <v>114.41647038564851</v>
      </c>
      <c r="F137">
        <v>613.91473388671875</v>
      </c>
      <c r="H137" s="34"/>
      <c r="I137" s="34"/>
      <c r="J137" s="34"/>
      <c r="K137" s="34"/>
      <c r="L137" s="34"/>
      <c r="N137" s="34"/>
      <c r="O137" s="35"/>
      <c r="P137" s="35"/>
      <c r="Q137" s="35"/>
      <c r="R137" s="35"/>
      <c r="S137" s="74"/>
      <c r="AJ137" s="34"/>
      <c r="AK137" s="34"/>
      <c r="AL137" s="34"/>
      <c r="AM137" s="34"/>
      <c r="AN137" s="34"/>
      <c r="AQ137" s="67"/>
      <c r="AR137" s="67"/>
      <c r="AS137" s="67"/>
      <c r="AT137" s="67"/>
      <c r="AU137" s="67"/>
      <c r="AW137" s="68"/>
      <c r="AX137" s="68"/>
      <c r="AY137" s="68"/>
      <c r="AZ137" s="68"/>
      <c r="BA137" s="68"/>
      <c r="BB137" s="68"/>
    </row>
    <row r="138" spans="1:54" ht="13.5" thickBot="1">
      <c r="A138" s="103">
        <v>38901</v>
      </c>
      <c r="B138" s="104">
        <v>5.750330924987793</v>
      </c>
      <c r="C138" s="105">
        <v>1280.18994140625</v>
      </c>
      <c r="D138" s="104">
        <v>1.8428000211715698</v>
      </c>
      <c r="E138">
        <v>114.62631419602866</v>
      </c>
      <c r="F138">
        <v>623.947998046875</v>
      </c>
      <c r="H138" s="34"/>
      <c r="I138" s="34"/>
      <c r="J138" s="34"/>
      <c r="K138" s="34"/>
      <c r="L138" s="34"/>
      <c r="N138" s="34"/>
      <c r="O138" s="35"/>
      <c r="P138" s="35"/>
      <c r="Q138" s="35"/>
      <c r="R138" s="35"/>
      <c r="S138" s="74"/>
      <c r="AJ138" s="34"/>
      <c r="AK138" s="34"/>
      <c r="AL138" s="34"/>
      <c r="AM138" s="34"/>
      <c r="AN138" s="34"/>
      <c r="AQ138" s="67"/>
      <c r="AR138" s="67"/>
      <c r="AS138" s="67"/>
      <c r="AT138" s="67"/>
      <c r="AU138" s="67"/>
      <c r="AW138" s="68"/>
      <c r="AX138" s="68"/>
      <c r="AY138" s="68"/>
      <c r="AZ138" s="68"/>
      <c r="BA138" s="68"/>
      <c r="BB138" s="68"/>
    </row>
    <row r="139" spans="1:54" ht="13.5" thickBot="1">
      <c r="A139" s="103">
        <v>38902</v>
      </c>
      <c r="B139" s="104">
        <v>5.750330924987793</v>
      </c>
      <c r="C139" s="105">
        <v>1280.18994140625</v>
      </c>
      <c r="D139" s="104">
        <v>1.846500039100647</v>
      </c>
      <c r="E139">
        <v>114.6394580541839</v>
      </c>
      <c r="F139">
        <v>624.59283447265625</v>
      </c>
      <c r="H139" s="34"/>
      <c r="I139" s="34"/>
      <c r="J139" s="34"/>
      <c r="K139" s="34"/>
      <c r="L139" s="34"/>
      <c r="N139" s="34"/>
      <c r="O139" s="35"/>
      <c r="P139" s="35"/>
      <c r="Q139" s="35"/>
      <c r="R139" s="35"/>
      <c r="S139" s="74"/>
      <c r="AJ139" s="34"/>
      <c r="AK139" s="34"/>
      <c r="AL139" s="34"/>
      <c r="AM139" s="34"/>
      <c r="AN139" s="34"/>
      <c r="AQ139" s="67"/>
      <c r="AR139" s="67"/>
      <c r="AS139" s="67"/>
      <c r="AT139" s="67"/>
      <c r="AU139" s="67"/>
      <c r="AW139" s="68"/>
      <c r="AX139" s="68"/>
      <c r="AY139" s="68"/>
      <c r="AZ139" s="68"/>
      <c r="BA139" s="68"/>
      <c r="BB139" s="68"/>
    </row>
    <row r="140" spans="1:54" ht="13.5" thickBot="1">
      <c r="A140" s="103">
        <v>38903</v>
      </c>
      <c r="B140" s="104">
        <v>5.8289999961853027</v>
      </c>
      <c r="C140" s="105">
        <v>1270.9100341796875</v>
      </c>
      <c r="D140" s="104">
        <v>1.8348000049591064</v>
      </c>
      <c r="E140">
        <v>115.71395314527199</v>
      </c>
      <c r="F140">
        <v>627.91510009765625</v>
      </c>
      <c r="H140" s="34"/>
      <c r="I140" s="34"/>
      <c r="J140" s="34"/>
      <c r="K140" s="34"/>
      <c r="L140" s="34"/>
      <c r="N140" s="34"/>
      <c r="O140" s="35"/>
      <c r="P140" s="35"/>
      <c r="Q140" s="35"/>
      <c r="R140" s="35"/>
      <c r="S140" s="74"/>
      <c r="AJ140" s="34"/>
      <c r="AK140" s="34"/>
      <c r="AL140" s="34"/>
      <c r="AM140" s="34"/>
      <c r="AN140" s="34"/>
      <c r="AQ140" s="67"/>
      <c r="AR140" s="67"/>
      <c r="AS140" s="67"/>
      <c r="AT140" s="67"/>
      <c r="AU140" s="67"/>
      <c r="AW140" s="68"/>
      <c r="AX140" s="68"/>
      <c r="AY140" s="68"/>
      <c r="AZ140" s="68"/>
      <c r="BA140" s="68"/>
      <c r="BB140" s="68"/>
    </row>
    <row r="141" spans="1:54" ht="13.5" thickBot="1">
      <c r="A141" s="103">
        <v>38904</v>
      </c>
      <c r="B141" s="104">
        <v>5.7950000762939453</v>
      </c>
      <c r="C141" s="105">
        <v>1274.0799560546875</v>
      </c>
      <c r="D141" s="104">
        <v>1.8372000455856323</v>
      </c>
      <c r="E141">
        <v>115.14104459110168</v>
      </c>
      <c r="F141">
        <v>634.679443359375</v>
      </c>
      <c r="H141" s="34"/>
      <c r="I141" s="34"/>
      <c r="J141" s="34"/>
      <c r="K141" s="34"/>
      <c r="L141" s="34"/>
      <c r="N141" s="34"/>
      <c r="O141" s="35"/>
      <c r="P141" s="35"/>
      <c r="Q141" s="35"/>
      <c r="R141" s="35"/>
      <c r="S141" s="74"/>
      <c r="AJ141" s="34"/>
      <c r="AK141" s="34"/>
      <c r="AL141" s="34"/>
      <c r="AM141" s="34"/>
      <c r="AN141" s="34"/>
      <c r="AQ141" s="67"/>
      <c r="AR141" s="67"/>
      <c r="AS141" s="67"/>
      <c r="AT141" s="67"/>
      <c r="AU141" s="67"/>
      <c r="AW141" s="68"/>
      <c r="AX141" s="68"/>
      <c r="AY141" s="68"/>
      <c r="AZ141" s="68"/>
      <c r="BA141" s="68"/>
      <c r="BB141" s="68"/>
    </row>
    <row r="142" spans="1:54" ht="13.5" thickBot="1">
      <c r="A142" s="103">
        <v>38905</v>
      </c>
      <c r="B142" s="104">
        <v>5.7369999885559082</v>
      </c>
      <c r="C142" s="105">
        <v>1265.47998046875</v>
      </c>
      <c r="D142" s="104">
        <v>1.8517999649047852</v>
      </c>
      <c r="E142">
        <v>113.8952189949926</v>
      </c>
      <c r="F142">
        <v>633.17962646484375</v>
      </c>
      <c r="H142" s="34"/>
      <c r="I142" s="34"/>
      <c r="J142" s="34"/>
      <c r="K142" s="34"/>
      <c r="L142" s="34"/>
      <c r="N142" s="34"/>
      <c r="O142" s="35"/>
      <c r="P142" s="35"/>
      <c r="Q142" s="35"/>
      <c r="R142" s="35"/>
      <c r="S142" s="74"/>
      <c r="AJ142" s="34"/>
      <c r="AK142" s="34"/>
      <c r="AL142" s="34"/>
      <c r="AM142" s="34"/>
      <c r="AN142" s="34"/>
      <c r="AQ142" s="67"/>
      <c r="AR142" s="67"/>
      <c r="AS142" s="67"/>
      <c r="AT142" s="67"/>
      <c r="AU142" s="67"/>
      <c r="AW142" s="68"/>
      <c r="AX142" s="68"/>
      <c r="AY142" s="68"/>
      <c r="AZ142" s="68"/>
      <c r="BA142" s="68"/>
      <c r="BB142" s="68"/>
    </row>
    <row r="143" spans="1:54" ht="13.5" thickBot="1">
      <c r="A143" s="103">
        <v>38908</v>
      </c>
      <c r="B143" s="104">
        <v>5.7350001335144043</v>
      </c>
      <c r="C143" s="105">
        <v>1267.3399658203125</v>
      </c>
      <c r="D143" s="104">
        <v>1.8415000438690186</v>
      </c>
      <c r="E143">
        <v>114.15525573204616</v>
      </c>
      <c r="F143">
        <v>624.665283203125</v>
      </c>
      <c r="H143" s="34"/>
      <c r="I143" s="34"/>
      <c r="J143" s="34"/>
      <c r="K143" s="34"/>
      <c r="L143" s="34"/>
      <c r="N143" s="34"/>
      <c r="O143" s="35"/>
      <c r="P143" s="35"/>
      <c r="Q143" s="35"/>
      <c r="R143" s="35"/>
      <c r="S143" s="74"/>
      <c r="AJ143" s="34"/>
      <c r="AK143" s="34"/>
      <c r="AL143" s="34"/>
      <c r="AM143" s="34"/>
      <c r="AN143" s="34"/>
      <c r="AQ143" s="67"/>
      <c r="AR143" s="67"/>
      <c r="AS143" s="67"/>
      <c r="AT143" s="67"/>
      <c r="AU143" s="67"/>
      <c r="AW143" s="68"/>
      <c r="AX143" s="68"/>
      <c r="AY143" s="68"/>
      <c r="AZ143" s="68"/>
      <c r="BA143" s="68"/>
      <c r="BB143" s="68"/>
    </row>
    <row r="144" spans="1:54" ht="13.5" thickBot="1">
      <c r="A144" s="103">
        <v>38909</v>
      </c>
      <c r="B144" s="104">
        <v>5.7024998664855957</v>
      </c>
      <c r="C144" s="105">
        <v>1272.52001953125</v>
      </c>
      <c r="D144" s="104">
        <v>1.8466000556945801</v>
      </c>
      <c r="E144">
        <v>114.18131865619448</v>
      </c>
      <c r="F144">
        <v>641.66436767578125</v>
      </c>
      <c r="H144" s="34"/>
      <c r="I144" s="34"/>
      <c r="J144" s="34"/>
      <c r="K144" s="34"/>
      <c r="L144" s="34"/>
      <c r="N144" s="34"/>
      <c r="O144" s="35"/>
      <c r="P144" s="35"/>
      <c r="Q144" s="35"/>
      <c r="R144" s="35"/>
      <c r="S144" s="74"/>
      <c r="AJ144" s="34"/>
      <c r="AK144" s="34"/>
      <c r="AL144" s="34"/>
      <c r="AM144" s="34"/>
      <c r="AN144" s="34"/>
      <c r="AQ144" s="67"/>
      <c r="AR144" s="67"/>
      <c r="AS144" s="67"/>
      <c r="AT144" s="67"/>
      <c r="AU144" s="67"/>
      <c r="AW144" s="68"/>
      <c r="AX144" s="68"/>
      <c r="AY144" s="68"/>
      <c r="AZ144" s="68"/>
      <c r="BA144" s="68"/>
      <c r="BB144" s="68"/>
    </row>
    <row r="145" spans="1:54" ht="13.5" thickBot="1">
      <c r="A145" s="103">
        <v>38910</v>
      </c>
      <c r="B145" s="104">
        <v>5.6999998092651367</v>
      </c>
      <c r="C145" s="105">
        <v>1258.5999755859375</v>
      </c>
      <c r="D145" s="104">
        <v>1.8341000080108643</v>
      </c>
      <c r="E145">
        <v>115.51345694954151</v>
      </c>
      <c r="F145">
        <v>649.81390380859375</v>
      </c>
      <c r="H145" s="34"/>
      <c r="I145" s="34"/>
      <c r="J145" s="34"/>
      <c r="K145" s="34"/>
      <c r="L145" s="34"/>
      <c r="N145" s="34"/>
      <c r="O145" s="35"/>
      <c r="P145" s="35"/>
      <c r="Q145" s="35"/>
      <c r="R145" s="35"/>
      <c r="S145" s="74"/>
      <c r="AJ145" s="34"/>
      <c r="AK145" s="34"/>
      <c r="AL145" s="34"/>
      <c r="AM145" s="34"/>
      <c r="AN145" s="34"/>
      <c r="AQ145" s="67"/>
      <c r="AR145" s="67"/>
      <c r="AS145" s="67"/>
      <c r="AT145" s="67"/>
      <c r="AU145" s="67"/>
      <c r="AW145" s="68"/>
      <c r="AX145" s="68"/>
      <c r="AY145" s="68"/>
      <c r="AZ145" s="68"/>
      <c r="BA145" s="68"/>
      <c r="BB145" s="68"/>
    </row>
    <row r="146" spans="1:54" ht="13.5" thickBot="1">
      <c r="A146" s="103">
        <v>38911</v>
      </c>
      <c r="B146" s="104">
        <v>5.6754999160766602</v>
      </c>
      <c r="C146" s="105">
        <v>1242.2900390625</v>
      </c>
      <c r="D146" s="104">
        <v>1.8432999849319458</v>
      </c>
      <c r="E146">
        <v>115.35355707420543</v>
      </c>
      <c r="F146">
        <v>662.7763671875</v>
      </c>
      <c r="H146" s="34"/>
      <c r="I146" s="34"/>
      <c r="J146" s="34"/>
      <c r="K146" s="34"/>
      <c r="L146" s="34"/>
      <c r="N146" s="34"/>
      <c r="O146" s="35"/>
      <c r="P146" s="35"/>
      <c r="Q146" s="35"/>
      <c r="R146" s="35"/>
      <c r="S146" s="74"/>
      <c r="AJ146" s="34"/>
      <c r="AK146" s="34"/>
      <c r="AL146" s="34"/>
      <c r="AM146" s="34"/>
      <c r="AN146" s="34"/>
      <c r="AQ146" s="67"/>
      <c r="AR146" s="67"/>
      <c r="AS146" s="67"/>
      <c r="AT146" s="67"/>
      <c r="AU146" s="67"/>
      <c r="AW146" s="68"/>
      <c r="AX146" s="68"/>
      <c r="AY146" s="68"/>
      <c r="AZ146" s="68"/>
      <c r="BA146" s="68"/>
      <c r="BB146" s="68"/>
    </row>
    <row r="147" spans="1:54" ht="13.5" thickBot="1">
      <c r="A147" s="103">
        <v>38912</v>
      </c>
      <c r="B147" s="104">
        <v>5.6684999465942383</v>
      </c>
      <c r="C147" s="105">
        <v>1236.199951171875</v>
      </c>
      <c r="D147" s="104">
        <v>1.8386000394821167</v>
      </c>
      <c r="E147">
        <v>116.22500726580957</v>
      </c>
      <c r="F147">
        <v>665.87603759765625</v>
      </c>
      <c r="H147" s="34"/>
      <c r="I147" s="34"/>
      <c r="J147" s="34"/>
      <c r="K147" s="34"/>
      <c r="L147" s="34"/>
      <c r="N147" s="34"/>
      <c r="O147" s="35"/>
      <c r="P147" s="35"/>
      <c r="Q147" s="35"/>
      <c r="R147" s="35"/>
      <c r="S147" s="74"/>
      <c r="AJ147" s="34"/>
      <c r="AK147" s="34"/>
      <c r="AL147" s="34"/>
      <c r="AM147" s="34"/>
      <c r="AN147" s="34"/>
      <c r="AQ147" s="67"/>
      <c r="AR147" s="67"/>
      <c r="AS147" s="67"/>
      <c r="AT147" s="67"/>
      <c r="AU147" s="67"/>
      <c r="AW147" s="68"/>
      <c r="AX147" s="68"/>
      <c r="AY147" s="68"/>
      <c r="AZ147" s="68"/>
      <c r="BA147" s="68"/>
      <c r="BB147" s="68"/>
    </row>
    <row r="148" spans="1:54" ht="13.5" thickBot="1">
      <c r="A148" s="103">
        <v>38915</v>
      </c>
      <c r="B148" s="104">
        <v>5.6719999313354492</v>
      </c>
      <c r="C148" s="105">
        <v>1234.489990234375</v>
      </c>
      <c r="D148" s="104">
        <v>1.8181999921798706</v>
      </c>
      <c r="E148">
        <v>117.20581650914485</v>
      </c>
      <c r="F148">
        <v>652.06378173828125</v>
      </c>
      <c r="H148" s="34"/>
      <c r="I148" s="34"/>
      <c r="J148" s="34"/>
      <c r="K148" s="34"/>
      <c r="L148" s="34"/>
      <c r="N148" s="34"/>
      <c r="O148" s="35"/>
      <c r="P148" s="35"/>
      <c r="Q148" s="35"/>
      <c r="R148" s="35"/>
      <c r="S148" s="74"/>
      <c r="AJ148" s="34"/>
      <c r="AK148" s="34"/>
      <c r="AL148" s="34"/>
      <c r="AM148" s="34"/>
      <c r="AN148" s="34"/>
      <c r="AQ148" s="67"/>
      <c r="AR148" s="67"/>
      <c r="AS148" s="67"/>
      <c r="AT148" s="67"/>
      <c r="AU148" s="67"/>
      <c r="AW148" s="68"/>
      <c r="AX148" s="68"/>
      <c r="AY148" s="68"/>
      <c r="AZ148" s="68"/>
      <c r="BA148" s="68"/>
      <c r="BB148" s="68"/>
    </row>
    <row r="149" spans="1:54" ht="13.5" thickBot="1">
      <c r="A149" s="103">
        <v>38916</v>
      </c>
      <c r="B149" s="104">
        <v>5.7420001029968262</v>
      </c>
      <c r="C149" s="105">
        <v>1236.8599853515625</v>
      </c>
      <c r="D149" s="104">
        <v>1.82669997215271</v>
      </c>
      <c r="E149">
        <v>117.37089638708041</v>
      </c>
      <c r="F149">
        <v>633.26483154296875</v>
      </c>
      <c r="H149" s="34"/>
      <c r="I149" s="34"/>
      <c r="J149" s="34"/>
      <c r="K149" s="34"/>
      <c r="L149" s="34"/>
      <c r="N149" s="34"/>
      <c r="O149" s="35"/>
      <c r="P149" s="35"/>
      <c r="Q149" s="35"/>
      <c r="R149" s="35"/>
      <c r="S149" s="74"/>
      <c r="AJ149" s="34"/>
      <c r="AK149" s="34"/>
      <c r="AL149" s="34"/>
      <c r="AM149" s="34"/>
      <c r="AN149" s="34"/>
      <c r="AQ149" s="67"/>
      <c r="AR149" s="67"/>
      <c r="AS149" s="67"/>
      <c r="AT149" s="67"/>
      <c r="AU149" s="67"/>
      <c r="AW149" s="68"/>
      <c r="AX149" s="68"/>
      <c r="AY149" s="68"/>
      <c r="AZ149" s="68"/>
      <c r="BA149" s="68"/>
      <c r="BB149" s="68"/>
    </row>
    <row r="150" spans="1:54" ht="13.5" thickBot="1">
      <c r="A150" s="103">
        <v>38917</v>
      </c>
      <c r="B150" s="104">
        <v>5.6595001220703125</v>
      </c>
      <c r="C150" s="105">
        <v>1259.81005859375</v>
      </c>
      <c r="D150" s="104">
        <v>1.8430999517440796</v>
      </c>
      <c r="E150">
        <v>116.84972526638403</v>
      </c>
      <c r="F150">
        <v>639.26446533203125</v>
      </c>
      <c r="H150" s="34"/>
      <c r="I150" s="34"/>
      <c r="J150" s="34"/>
      <c r="K150" s="34"/>
      <c r="L150" s="34"/>
      <c r="N150" s="34"/>
      <c r="O150" s="35"/>
      <c r="P150" s="35"/>
      <c r="Q150" s="35"/>
      <c r="R150" s="35"/>
      <c r="S150" s="74"/>
      <c r="AJ150" s="34"/>
      <c r="AK150" s="34"/>
      <c r="AL150" s="34"/>
      <c r="AM150" s="34"/>
      <c r="AN150" s="34"/>
      <c r="AQ150" s="67"/>
      <c r="AR150" s="67"/>
      <c r="AS150" s="67"/>
      <c r="AT150" s="67"/>
      <c r="AU150" s="67"/>
      <c r="AW150" s="68"/>
      <c r="AX150" s="68"/>
      <c r="AY150" s="68"/>
      <c r="AZ150" s="68"/>
      <c r="BA150" s="68"/>
      <c r="BB150" s="68"/>
    </row>
    <row r="151" spans="1:54" ht="13.5" thickBot="1">
      <c r="A151" s="103">
        <v>38918</v>
      </c>
      <c r="B151" s="104">
        <v>5.6180000305175781</v>
      </c>
      <c r="C151" s="105">
        <v>1249.1300048828125</v>
      </c>
      <c r="D151" s="104">
        <v>1.8483999967575073</v>
      </c>
      <c r="E151">
        <v>116.89071106127123</v>
      </c>
      <c r="F151">
        <v>632.229736328125</v>
      </c>
      <c r="H151" s="34"/>
      <c r="I151" s="34"/>
      <c r="J151" s="34"/>
      <c r="K151" s="34"/>
      <c r="L151" s="34"/>
      <c r="N151" s="34"/>
      <c r="O151" s="35"/>
      <c r="P151" s="35"/>
      <c r="Q151" s="35"/>
      <c r="R151" s="35"/>
      <c r="S151" s="74"/>
      <c r="AJ151" s="34"/>
      <c r="AK151" s="34"/>
      <c r="AL151" s="34"/>
      <c r="AM151" s="34"/>
      <c r="AN151" s="34"/>
      <c r="AQ151" s="67"/>
      <c r="AR151" s="67"/>
      <c r="AS151" s="67"/>
      <c r="AT151" s="67"/>
      <c r="AU151" s="67"/>
      <c r="AW151" s="68"/>
      <c r="AX151" s="68"/>
      <c r="AY151" s="68"/>
      <c r="AZ151" s="68"/>
      <c r="BA151" s="68"/>
      <c r="BB151" s="68"/>
    </row>
    <row r="152" spans="1:54" ht="13.5" thickBot="1">
      <c r="A152" s="103">
        <v>38919</v>
      </c>
      <c r="B152" s="104">
        <v>5.6294999122619629</v>
      </c>
      <c r="C152" s="105">
        <v>1240.2900390625</v>
      </c>
      <c r="D152" s="104">
        <v>1.8592000007629395</v>
      </c>
      <c r="E152">
        <v>116.22500726580957</v>
      </c>
      <c r="F152">
        <v>619.68115234375</v>
      </c>
      <c r="H152" s="34"/>
      <c r="I152" s="34"/>
      <c r="J152" s="34"/>
      <c r="K152" s="34"/>
      <c r="L152" s="34"/>
      <c r="N152" s="34"/>
      <c r="O152" s="35"/>
      <c r="P152" s="35"/>
      <c r="Q152" s="35"/>
      <c r="R152" s="35"/>
      <c r="S152" s="74"/>
      <c r="AJ152" s="34"/>
      <c r="AK152" s="34"/>
      <c r="AL152" s="34"/>
      <c r="AM152" s="34"/>
      <c r="AN152" s="34"/>
      <c r="AQ152" s="67"/>
      <c r="AR152" s="67"/>
      <c r="AS152" s="67"/>
      <c r="AT152" s="67"/>
      <c r="AU152" s="67"/>
      <c r="AW152" s="68"/>
      <c r="AX152" s="68"/>
      <c r="AY152" s="68"/>
      <c r="AZ152" s="68"/>
      <c r="BA152" s="68"/>
      <c r="BB152" s="68"/>
    </row>
    <row r="153" spans="1:54" ht="13.5" thickBot="1">
      <c r="A153" s="103">
        <v>38922</v>
      </c>
      <c r="B153" s="104">
        <v>5.6244997978210449</v>
      </c>
      <c r="C153" s="105">
        <v>1260.9100341796875</v>
      </c>
      <c r="D153" s="104">
        <v>1.8502000570297241</v>
      </c>
      <c r="E153">
        <v>116.80878091064002</v>
      </c>
      <c r="F153">
        <v>608.7161865234375</v>
      </c>
      <c r="H153" s="34"/>
      <c r="I153" s="34"/>
      <c r="J153" s="34"/>
      <c r="K153" s="34"/>
      <c r="L153" s="34"/>
      <c r="N153" s="34"/>
      <c r="O153" s="35"/>
      <c r="P153" s="35"/>
      <c r="Q153" s="35"/>
      <c r="R153" s="35"/>
      <c r="S153" s="74"/>
      <c r="AJ153" s="34"/>
      <c r="AK153" s="34"/>
      <c r="AL153" s="34"/>
      <c r="AM153" s="34"/>
      <c r="AN153" s="34"/>
      <c r="AQ153" s="67"/>
      <c r="AR153" s="67"/>
      <c r="AS153" s="67"/>
      <c r="AT153" s="67"/>
      <c r="AU153" s="67"/>
      <c r="AW153" s="68"/>
      <c r="AX153" s="68"/>
      <c r="AY153" s="68"/>
      <c r="AZ153" s="68"/>
      <c r="BA153" s="68"/>
      <c r="BB153" s="68"/>
    </row>
    <row r="154" spans="1:54" ht="13.5" thickBot="1">
      <c r="A154" s="103">
        <v>38923</v>
      </c>
      <c r="B154" s="104">
        <v>5.6430001258850098</v>
      </c>
      <c r="C154" s="105">
        <v>1268.8800048828125</v>
      </c>
      <c r="D154" s="104">
        <v>1.8400000333786011</v>
      </c>
      <c r="E154">
        <v>117.20581650914485</v>
      </c>
      <c r="F154">
        <v>613.4659423828125</v>
      </c>
      <c r="H154" s="34"/>
      <c r="I154" s="34"/>
      <c r="J154" s="34"/>
      <c r="K154" s="34"/>
      <c r="L154" s="34"/>
      <c r="N154" s="34"/>
      <c r="O154" s="35"/>
      <c r="P154" s="35"/>
      <c r="Q154" s="35"/>
      <c r="R154" s="35"/>
      <c r="S154" s="74"/>
      <c r="AJ154" s="34"/>
      <c r="AK154" s="34"/>
      <c r="AL154" s="34"/>
      <c r="AM154" s="34"/>
      <c r="AN154" s="34"/>
      <c r="AQ154" s="67"/>
      <c r="AR154" s="67"/>
      <c r="AS154" s="67"/>
      <c r="AT154" s="67"/>
      <c r="AU154" s="67"/>
      <c r="AW154" s="68"/>
      <c r="AX154" s="68"/>
      <c r="AY154" s="68"/>
      <c r="AZ154" s="68"/>
      <c r="BA154" s="68"/>
      <c r="BB154" s="68"/>
    </row>
    <row r="155" spans="1:54" ht="13.5" thickBot="1">
      <c r="A155" s="103">
        <v>38924</v>
      </c>
      <c r="B155" s="104">
        <v>5.6110000610351563</v>
      </c>
      <c r="C155" s="105">
        <v>1268.4000244140625</v>
      </c>
      <c r="D155" s="104">
        <v>1.8529000282287598</v>
      </c>
      <c r="E155">
        <v>116.33317468202475</v>
      </c>
      <c r="F155">
        <v>618.1656494140625</v>
      </c>
      <c r="H155" s="34"/>
      <c r="I155" s="34"/>
      <c r="J155" s="34"/>
      <c r="K155" s="34"/>
      <c r="L155" s="34"/>
      <c r="N155" s="34"/>
      <c r="O155" s="35"/>
      <c r="P155" s="35"/>
      <c r="Q155" s="35"/>
      <c r="R155" s="35"/>
      <c r="S155" s="74"/>
      <c r="AJ155" s="34"/>
      <c r="AK155" s="34"/>
      <c r="AL155" s="34"/>
      <c r="AM155" s="34"/>
      <c r="AN155" s="34"/>
      <c r="AQ155" s="67"/>
      <c r="AR155" s="67"/>
      <c r="AS155" s="67"/>
      <c r="AT155" s="67"/>
      <c r="AU155" s="67"/>
      <c r="AW155" s="68"/>
      <c r="AX155" s="68"/>
      <c r="AY155" s="68"/>
      <c r="AZ155" s="68"/>
      <c r="BA155" s="68"/>
      <c r="BB155" s="68"/>
    </row>
    <row r="156" spans="1:54" ht="13.5" thickBot="1">
      <c r="A156" s="103">
        <v>38925</v>
      </c>
      <c r="B156" s="104">
        <v>5.6125001907348633</v>
      </c>
      <c r="C156" s="105">
        <v>1263.199951171875</v>
      </c>
      <c r="D156" s="104">
        <v>1.8582999706268311</v>
      </c>
      <c r="E156">
        <v>115.76753723080002</v>
      </c>
      <c r="F156">
        <v>630.92987060546875</v>
      </c>
      <c r="H156" s="34"/>
      <c r="I156" s="34"/>
      <c r="J156" s="34"/>
      <c r="K156" s="34"/>
      <c r="L156" s="34"/>
      <c r="N156" s="34"/>
      <c r="O156" s="35"/>
      <c r="P156" s="35"/>
      <c r="Q156" s="35"/>
      <c r="R156" s="35"/>
      <c r="S156" s="74"/>
      <c r="AJ156" s="34"/>
      <c r="AK156" s="34"/>
      <c r="AL156" s="34"/>
      <c r="AM156" s="34"/>
      <c r="AN156" s="34"/>
      <c r="AQ156" s="67"/>
      <c r="AR156" s="67"/>
      <c r="AS156" s="67"/>
      <c r="AT156" s="67"/>
      <c r="AU156" s="67"/>
      <c r="AW156" s="68"/>
      <c r="AX156" s="68"/>
      <c r="AY156" s="68"/>
      <c r="AZ156" s="68"/>
      <c r="BA156" s="68"/>
      <c r="BB156" s="68"/>
    </row>
    <row r="157" spans="1:54" ht="13.5" thickBot="1">
      <c r="A157" s="103">
        <v>38926</v>
      </c>
      <c r="B157" s="104">
        <v>5.559999942779541</v>
      </c>
      <c r="C157" s="105">
        <v>1278.550048828125</v>
      </c>
      <c r="D157" s="104">
        <v>1.864300012588501</v>
      </c>
      <c r="E157">
        <v>114.74469301085955</v>
      </c>
      <c r="F157">
        <v>635.9293212890625</v>
      </c>
      <c r="H157" s="34"/>
      <c r="I157" s="34"/>
      <c r="J157" s="34"/>
      <c r="K157" s="34"/>
      <c r="L157" s="34"/>
      <c r="N157" s="34"/>
      <c r="O157" s="35"/>
      <c r="P157" s="35"/>
      <c r="Q157" s="35"/>
      <c r="R157" s="35"/>
      <c r="S157" s="74"/>
      <c r="AJ157" s="34"/>
      <c r="AK157" s="34"/>
      <c r="AL157" s="34"/>
      <c r="AM157" s="34"/>
      <c r="AN157" s="34"/>
      <c r="AQ157" s="67"/>
      <c r="AR157" s="67"/>
      <c r="AS157" s="67"/>
      <c r="AT157" s="67"/>
      <c r="AU157" s="67"/>
      <c r="AW157" s="68"/>
      <c r="AX157" s="68"/>
      <c r="AY157" s="68"/>
      <c r="AZ157" s="68"/>
      <c r="BA157" s="68"/>
      <c r="BB157" s="68"/>
    </row>
    <row r="158" spans="1:54" ht="13.5" thickBot="1">
      <c r="A158" s="103">
        <v>38929</v>
      </c>
      <c r="B158" s="104">
        <v>5.5450000762939453</v>
      </c>
      <c r="C158" s="105">
        <v>1276.6600341796875</v>
      </c>
      <c r="D158" s="104">
        <v>1.8681000471115112</v>
      </c>
      <c r="E158">
        <v>114.62631419602866</v>
      </c>
      <c r="F158">
        <v>636.5902099609375</v>
      </c>
      <c r="H158" s="34"/>
      <c r="I158" s="34"/>
      <c r="J158" s="34"/>
      <c r="K158" s="34"/>
      <c r="L158" s="34"/>
      <c r="N158" s="34"/>
      <c r="O158" s="35"/>
      <c r="P158" s="35"/>
      <c r="Q158" s="35"/>
      <c r="R158" s="35"/>
      <c r="S158" s="74"/>
      <c r="AJ158" s="34"/>
      <c r="AK158" s="34"/>
      <c r="AL158" s="34"/>
      <c r="AM158" s="34"/>
      <c r="AN158" s="34"/>
      <c r="AQ158" s="67"/>
      <c r="AR158" s="67"/>
      <c r="AS158" s="67"/>
      <c r="AT158" s="67"/>
      <c r="AU158" s="67"/>
      <c r="AW158" s="68"/>
      <c r="AX158" s="68"/>
      <c r="AY158" s="68"/>
      <c r="AZ158" s="68"/>
      <c r="BA158" s="68"/>
      <c r="BB158" s="68"/>
    </row>
    <row r="159" spans="1:54" ht="13.5" thickBot="1">
      <c r="A159" s="103">
        <v>38930</v>
      </c>
      <c r="B159" s="104">
        <v>5.5434999465942383</v>
      </c>
      <c r="C159" s="105">
        <v>1270.9200439453125</v>
      </c>
      <c r="D159" s="104">
        <v>1.8760000467300415</v>
      </c>
      <c r="E159">
        <v>114.50819159715162</v>
      </c>
      <c r="F159">
        <v>645.41412353515625</v>
      </c>
      <c r="H159" s="34"/>
      <c r="I159" s="34"/>
      <c r="J159" s="34"/>
      <c r="K159" s="34"/>
      <c r="L159" s="34"/>
      <c r="N159" s="34"/>
      <c r="O159" s="35"/>
      <c r="P159" s="35"/>
      <c r="Q159" s="35"/>
      <c r="R159" s="35"/>
      <c r="S159" s="74"/>
      <c r="AJ159" s="34"/>
      <c r="AK159" s="34"/>
      <c r="AL159" s="34"/>
      <c r="AM159" s="34"/>
      <c r="AN159" s="34"/>
      <c r="AQ159" s="67"/>
      <c r="AR159" s="67"/>
      <c r="AS159" s="67"/>
      <c r="AT159" s="67"/>
      <c r="AU159" s="67"/>
      <c r="AW159" s="68"/>
      <c r="AX159" s="68"/>
      <c r="AY159" s="68"/>
      <c r="AZ159" s="68"/>
      <c r="BA159" s="68"/>
      <c r="BB159" s="68"/>
    </row>
    <row r="160" spans="1:54" ht="13.5" thickBot="1">
      <c r="A160" s="103">
        <v>38931</v>
      </c>
      <c r="B160" s="104">
        <v>5.5234999656677246</v>
      </c>
      <c r="C160" s="105">
        <v>1278.550048828125</v>
      </c>
      <c r="D160" s="104">
        <v>1.8774000406265259</v>
      </c>
      <c r="E160">
        <v>114.57378111508801</v>
      </c>
      <c r="F160">
        <v>650.4638671875</v>
      </c>
      <c r="H160" s="34"/>
      <c r="I160" s="34"/>
      <c r="J160" s="34"/>
      <c r="K160" s="34"/>
      <c r="L160" s="34"/>
      <c r="N160" s="34"/>
      <c r="O160" s="35"/>
      <c r="P160" s="35"/>
      <c r="Q160" s="35"/>
      <c r="R160" s="35"/>
      <c r="S160" s="74"/>
      <c r="AJ160" s="34"/>
      <c r="AK160" s="34"/>
      <c r="AL160" s="34"/>
      <c r="AM160" s="34"/>
      <c r="AN160" s="34"/>
      <c r="AQ160" s="67"/>
      <c r="AR160" s="67"/>
      <c r="AS160" s="67"/>
      <c r="AT160" s="67"/>
      <c r="AU160" s="67"/>
      <c r="AW160" s="68"/>
      <c r="AX160" s="68"/>
      <c r="AY160" s="68"/>
      <c r="AZ160" s="68"/>
      <c r="BA160" s="68"/>
      <c r="BB160" s="68"/>
    </row>
    <row r="161" spans="1:54" ht="13.5" thickBot="1">
      <c r="A161" s="103">
        <v>38932</v>
      </c>
      <c r="B161" s="104">
        <v>5.5184998512268066</v>
      </c>
      <c r="C161" s="105">
        <v>1280.27001953125</v>
      </c>
      <c r="D161" s="104">
        <v>1.8885999917984009</v>
      </c>
      <c r="E161">
        <v>114.92931367919176</v>
      </c>
      <c r="F161">
        <v>641.5787353515625</v>
      </c>
      <c r="H161" s="34"/>
      <c r="I161" s="34"/>
      <c r="J161" s="34"/>
      <c r="K161" s="34"/>
      <c r="L161" s="34"/>
      <c r="N161" s="34"/>
      <c r="O161" s="35"/>
      <c r="P161" s="35"/>
      <c r="Q161" s="35"/>
      <c r="R161" s="35"/>
      <c r="S161" s="74"/>
      <c r="AJ161" s="34"/>
      <c r="AK161" s="34"/>
      <c r="AL161" s="34"/>
      <c r="AM161" s="34"/>
      <c r="AN161" s="34"/>
      <c r="AQ161" s="67"/>
      <c r="AR161" s="67"/>
      <c r="AS161" s="67"/>
      <c r="AT161" s="67"/>
      <c r="AU161" s="67"/>
      <c r="AW161" s="68"/>
      <c r="AX161" s="68"/>
      <c r="AY161" s="68"/>
      <c r="AZ161" s="68"/>
      <c r="BA161" s="68"/>
      <c r="BB161" s="68"/>
    </row>
    <row r="162" spans="1:54" ht="13.5" thickBot="1">
      <c r="A162" s="103">
        <v>38933</v>
      </c>
      <c r="B162" s="104">
        <v>5.4584999084472656</v>
      </c>
      <c r="C162" s="105">
        <v>1279.3599853515625</v>
      </c>
      <c r="D162" s="104">
        <v>1.9088000059127808</v>
      </c>
      <c r="E162">
        <v>114.4295661607749</v>
      </c>
      <c r="F162">
        <v>647.6280517578125</v>
      </c>
      <c r="H162" s="34"/>
      <c r="I162" s="34"/>
      <c r="J162" s="34"/>
      <c r="K162" s="34"/>
      <c r="L162" s="34"/>
      <c r="N162" s="34"/>
      <c r="O162" s="35"/>
      <c r="P162" s="35"/>
      <c r="Q162" s="35"/>
      <c r="R162" s="35"/>
      <c r="S162" s="74"/>
      <c r="AJ162" s="34"/>
      <c r="AK162" s="34"/>
      <c r="AL162" s="34"/>
      <c r="AM162" s="34"/>
      <c r="AN162" s="34"/>
      <c r="AQ162" s="67"/>
      <c r="AR162" s="67"/>
      <c r="AS162" s="67"/>
      <c r="AT162" s="67"/>
      <c r="AU162" s="67"/>
      <c r="AW162" s="68"/>
      <c r="AX162" s="68"/>
      <c r="AY162" s="68"/>
      <c r="AZ162" s="68"/>
      <c r="BA162" s="68"/>
      <c r="BB162" s="68"/>
    </row>
    <row r="163" spans="1:54" ht="13.5" thickBot="1">
      <c r="A163" s="103">
        <v>38936</v>
      </c>
      <c r="B163" s="104">
        <v>5.4734997749328613</v>
      </c>
      <c r="C163" s="105">
        <v>1275.77001953125</v>
      </c>
      <c r="D163" s="104">
        <v>1.9069000482559204</v>
      </c>
      <c r="E163">
        <v>115.10128872618377</v>
      </c>
      <c r="F163">
        <v>650.76385498046875</v>
      </c>
      <c r="H163" s="34"/>
      <c r="I163" s="34"/>
      <c r="J163" s="34"/>
      <c r="K163" s="34"/>
      <c r="L163" s="34"/>
      <c r="N163" s="34"/>
      <c r="O163" s="35"/>
      <c r="P163" s="35"/>
      <c r="Q163" s="35"/>
      <c r="R163" s="35"/>
      <c r="S163" s="74"/>
      <c r="AJ163" s="34"/>
      <c r="AK163" s="34"/>
      <c r="AL163" s="34"/>
      <c r="AM163" s="34"/>
      <c r="AN163" s="34"/>
      <c r="AQ163" s="67"/>
      <c r="AR163" s="67"/>
      <c r="AS163" s="67"/>
      <c r="AT163" s="67"/>
      <c r="AU163" s="67"/>
      <c r="AW163" s="68"/>
      <c r="AX163" s="68"/>
      <c r="AY163" s="68"/>
      <c r="AZ163" s="68"/>
      <c r="BA163" s="68"/>
      <c r="BB163" s="68"/>
    </row>
    <row r="164" spans="1:54" ht="13.5" thickBot="1">
      <c r="A164" s="103">
        <v>38937</v>
      </c>
      <c r="B164" s="104">
        <v>5.4685001373291016</v>
      </c>
      <c r="C164" s="105">
        <v>1271.47998046875</v>
      </c>
      <c r="D164" s="104">
        <v>1.909000039100647</v>
      </c>
      <c r="E164">
        <v>114.98217337077185</v>
      </c>
      <c r="F164">
        <v>647.46405029296875</v>
      </c>
      <c r="H164" s="34"/>
      <c r="I164" s="34"/>
      <c r="J164" s="34"/>
      <c r="K164" s="34"/>
      <c r="L164" s="34"/>
      <c r="N164" s="34"/>
      <c r="O164" s="35"/>
      <c r="P164" s="35"/>
      <c r="Q164" s="35"/>
      <c r="R164" s="35"/>
      <c r="S164" s="74"/>
      <c r="AJ164" s="34"/>
      <c r="AK164" s="34"/>
      <c r="AL164" s="34"/>
      <c r="AM164" s="34"/>
      <c r="AN164" s="34"/>
      <c r="AQ164" s="67"/>
      <c r="AR164" s="67"/>
      <c r="AS164" s="67"/>
      <c r="AT164" s="67"/>
      <c r="AU164" s="67"/>
      <c r="AW164" s="68"/>
      <c r="AX164" s="68"/>
      <c r="AY164" s="68"/>
      <c r="AZ164" s="68"/>
      <c r="BA164" s="68"/>
      <c r="BB164" s="68"/>
    </row>
    <row r="165" spans="1:54" ht="13.5" thickBot="1">
      <c r="A165" s="103">
        <v>38938</v>
      </c>
      <c r="B165" s="104">
        <v>5.4724998474121094</v>
      </c>
      <c r="C165" s="105">
        <v>1265.949951171875</v>
      </c>
      <c r="D165" s="104">
        <v>1.9053000211715698</v>
      </c>
      <c r="E165">
        <v>115.27377921588541</v>
      </c>
      <c r="F165">
        <v>654.013671875</v>
      </c>
      <c r="H165" s="34"/>
      <c r="I165" s="34"/>
      <c r="J165" s="34"/>
      <c r="K165" s="34"/>
      <c r="L165" s="34"/>
      <c r="N165" s="34"/>
      <c r="O165" s="35"/>
      <c r="P165" s="35"/>
      <c r="Q165" s="35"/>
      <c r="R165" s="35"/>
      <c r="S165" s="74"/>
      <c r="AJ165" s="34"/>
      <c r="AK165" s="34"/>
      <c r="AL165" s="34"/>
      <c r="AM165" s="34"/>
      <c r="AN165" s="34"/>
      <c r="AQ165" s="67"/>
      <c r="AR165" s="67"/>
      <c r="AS165" s="67"/>
      <c r="AT165" s="67"/>
      <c r="AU165" s="67"/>
      <c r="AW165" s="68"/>
      <c r="AX165" s="68"/>
      <c r="AY165" s="68"/>
      <c r="AZ165" s="68"/>
      <c r="BA165" s="68"/>
      <c r="BB165" s="68"/>
    </row>
    <row r="166" spans="1:54" ht="13.5" thickBot="1">
      <c r="A166" s="103">
        <v>38939</v>
      </c>
      <c r="B166" s="104">
        <v>5.4794998168945312</v>
      </c>
      <c r="C166" s="105">
        <v>1271.81005859375</v>
      </c>
      <c r="D166" s="104">
        <v>1.8935999870300293</v>
      </c>
      <c r="E166">
        <v>115.27377921588541</v>
      </c>
      <c r="F166">
        <v>638.32904052734375</v>
      </c>
      <c r="H166" s="34"/>
      <c r="I166" s="34"/>
      <c r="J166" s="34"/>
      <c r="K166" s="34"/>
      <c r="L166" s="34"/>
      <c r="N166" s="34"/>
      <c r="O166" s="35"/>
      <c r="P166" s="35"/>
      <c r="Q166" s="35"/>
      <c r="R166" s="35"/>
      <c r="S166" s="74"/>
      <c r="AJ166" s="34"/>
      <c r="AK166" s="34"/>
      <c r="AL166" s="34"/>
      <c r="AM166" s="34"/>
      <c r="AN166" s="34"/>
      <c r="AQ166" s="67"/>
      <c r="AR166" s="67"/>
      <c r="AS166" s="67"/>
      <c r="AT166" s="67"/>
      <c r="AU166" s="67"/>
      <c r="AW166" s="68"/>
      <c r="AX166" s="68"/>
      <c r="AY166" s="68"/>
      <c r="AZ166" s="68"/>
      <c r="BA166" s="68"/>
      <c r="BB166" s="68"/>
    </row>
    <row r="167" spans="1:54" ht="13.5" thickBot="1">
      <c r="A167" s="103">
        <v>38940</v>
      </c>
      <c r="B167" s="104">
        <v>5.5149998664855957</v>
      </c>
      <c r="C167" s="105">
        <v>1266.739990234375</v>
      </c>
      <c r="D167" s="104">
        <v>1.8901000022888184</v>
      </c>
      <c r="E167">
        <v>116.29259146380427</v>
      </c>
      <c r="F167">
        <v>632.3297119140625</v>
      </c>
      <c r="H167" s="34"/>
      <c r="I167" s="34"/>
      <c r="J167" s="34"/>
      <c r="K167" s="34"/>
      <c r="L167" s="34"/>
      <c r="N167" s="34"/>
      <c r="O167" s="35"/>
      <c r="P167" s="35"/>
      <c r="Q167" s="35"/>
      <c r="R167" s="35"/>
      <c r="S167" s="74"/>
      <c r="AJ167" s="34"/>
      <c r="AK167" s="34"/>
      <c r="AL167" s="34"/>
      <c r="AM167" s="34"/>
      <c r="AN167" s="34"/>
      <c r="AQ167" s="67"/>
      <c r="AR167" s="67"/>
      <c r="AS167" s="67"/>
      <c r="AT167" s="67"/>
      <c r="AU167" s="67"/>
      <c r="AW167" s="68"/>
      <c r="AX167" s="68"/>
      <c r="AY167" s="68"/>
      <c r="AZ167" s="68"/>
      <c r="BA167" s="68"/>
      <c r="BB167" s="68"/>
    </row>
    <row r="168" spans="1:54" ht="13.5" thickBot="1">
      <c r="A168" s="103">
        <v>38943</v>
      </c>
      <c r="B168" s="104">
        <v>5.5539999008178711</v>
      </c>
      <c r="C168" s="105">
        <v>1268.2099609375</v>
      </c>
      <c r="D168" s="104">
        <v>1.8871999979019165</v>
      </c>
      <c r="E168">
        <v>116.72697822072705</v>
      </c>
      <c r="F168">
        <v>627.8651123046875</v>
      </c>
      <c r="H168" s="34"/>
      <c r="I168" s="34"/>
      <c r="J168" s="34"/>
      <c r="K168" s="34"/>
      <c r="L168" s="34"/>
      <c r="N168" s="34"/>
      <c r="O168" s="35"/>
      <c r="P168" s="35"/>
      <c r="Q168" s="35"/>
      <c r="R168" s="35"/>
      <c r="S168" s="74"/>
      <c r="AJ168" s="34"/>
      <c r="AK168" s="34"/>
      <c r="AL168" s="34"/>
      <c r="AM168" s="34"/>
      <c r="AN168" s="34"/>
      <c r="AQ168" s="67"/>
      <c r="AR168" s="67"/>
      <c r="AS168" s="67"/>
      <c r="AT168" s="67"/>
      <c r="AU168" s="67"/>
      <c r="AW168" s="68"/>
      <c r="AX168" s="68"/>
      <c r="AY168" s="68"/>
      <c r="AZ168" s="68"/>
      <c r="BA168" s="68"/>
      <c r="BB168" s="68"/>
    </row>
    <row r="169" spans="1:54" ht="13.5" thickBot="1">
      <c r="A169" s="103">
        <v>38944</v>
      </c>
      <c r="B169" s="104">
        <v>5.4784998893737793</v>
      </c>
      <c r="C169" s="105">
        <v>1285.5799560546875</v>
      </c>
      <c r="D169" s="104">
        <v>1.8937000036239624</v>
      </c>
      <c r="E169">
        <v>116.09008680955739</v>
      </c>
      <c r="F169">
        <v>624.86529541015625</v>
      </c>
      <c r="H169" s="34"/>
      <c r="I169" s="34"/>
      <c r="J169" s="34"/>
      <c r="K169" s="34"/>
      <c r="L169" s="34"/>
      <c r="N169" s="34"/>
      <c r="O169" s="35"/>
      <c r="P169" s="35"/>
      <c r="Q169" s="35"/>
      <c r="R169" s="35"/>
      <c r="S169" s="74"/>
      <c r="AJ169" s="34"/>
      <c r="AK169" s="34"/>
      <c r="AL169" s="34"/>
      <c r="AM169" s="34"/>
      <c r="AN169" s="34"/>
      <c r="AQ169" s="67"/>
      <c r="AR169" s="67"/>
      <c r="AS169" s="67"/>
      <c r="AT169" s="67"/>
      <c r="AU169" s="67"/>
      <c r="AW169" s="68"/>
      <c r="AX169" s="68"/>
      <c r="AY169" s="68"/>
      <c r="AZ169" s="68"/>
      <c r="BA169" s="68"/>
      <c r="BB169" s="68"/>
    </row>
    <row r="170" spans="1:54" ht="13.5" thickBot="1">
      <c r="A170" s="103">
        <v>38945</v>
      </c>
      <c r="B170" s="104">
        <v>5.4105000495910645</v>
      </c>
      <c r="C170" s="105">
        <v>1295.4300537109375</v>
      </c>
      <c r="D170" s="104">
        <v>1.8950999975204468</v>
      </c>
      <c r="E170">
        <v>115.90172106865924</v>
      </c>
      <c r="F170">
        <v>631.01495361328125</v>
      </c>
      <c r="H170" s="34"/>
      <c r="I170" s="34"/>
      <c r="J170" s="34"/>
      <c r="K170" s="34"/>
      <c r="L170" s="34"/>
      <c r="N170" s="34"/>
      <c r="O170" s="35"/>
      <c r="P170" s="35"/>
      <c r="Q170" s="35"/>
      <c r="R170" s="35"/>
      <c r="S170" s="74"/>
      <c r="AJ170" s="34"/>
      <c r="AK170" s="34"/>
      <c r="AL170" s="34"/>
      <c r="AM170" s="34"/>
      <c r="AN170" s="34"/>
      <c r="AQ170" s="67"/>
      <c r="AR170" s="67"/>
      <c r="AS170" s="67"/>
      <c r="AT170" s="67"/>
      <c r="AU170" s="67"/>
      <c r="AW170" s="68"/>
      <c r="AX170" s="68"/>
      <c r="AY170" s="68"/>
      <c r="AZ170" s="68"/>
      <c r="BA170" s="68"/>
      <c r="BB170" s="68"/>
    </row>
    <row r="171" spans="1:54" ht="13.5" thickBot="1">
      <c r="A171" s="103">
        <v>38946</v>
      </c>
      <c r="B171" s="104">
        <v>5.3944997787475586</v>
      </c>
      <c r="C171" s="105">
        <v>1297.47998046875</v>
      </c>
      <c r="D171" s="104">
        <v>1.8842999935150146</v>
      </c>
      <c r="E171">
        <v>115.94203188999747</v>
      </c>
      <c r="F171">
        <v>614.081787109375</v>
      </c>
      <c r="H171" s="34"/>
      <c r="I171" s="34"/>
      <c r="J171" s="34"/>
      <c r="K171" s="34"/>
      <c r="L171" s="34"/>
      <c r="N171" s="34"/>
      <c r="O171" s="35"/>
      <c r="P171" s="35"/>
      <c r="Q171" s="35"/>
      <c r="R171" s="35"/>
      <c r="S171" s="74"/>
      <c r="AJ171" s="34"/>
      <c r="AK171" s="34"/>
      <c r="AL171" s="34"/>
      <c r="AM171" s="34"/>
      <c r="AN171" s="34"/>
      <c r="AQ171" s="67"/>
      <c r="AR171" s="67"/>
      <c r="AS171" s="67"/>
      <c r="AT171" s="67"/>
      <c r="AU171" s="67"/>
      <c r="AW171" s="68"/>
      <c r="AX171" s="68"/>
      <c r="AY171" s="68"/>
      <c r="AZ171" s="68"/>
      <c r="BA171" s="68"/>
      <c r="BB171" s="68"/>
    </row>
    <row r="172" spans="1:54" ht="13.5" thickBot="1">
      <c r="A172" s="103">
        <v>38947</v>
      </c>
      <c r="B172" s="104">
        <v>5.3625001907348633</v>
      </c>
      <c r="C172" s="105">
        <v>1302.300048828125</v>
      </c>
      <c r="D172" s="104">
        <v>1.8812999725341797</v>
      </c>
      <c r="E172">
        <v>115.82117096607836</v>
      </c>
      <c r="F172">
        <v>609.63226318359375</v>
      </c>
      <c r="H172" s="34"/>
      <c r="I172" s="34"/>
      <c r="J172" s="34"/>
      <c r="K172" s="34"/>
      <c r="L172" s="34"/>
      <c r="N172" s="34"/>
      <c r="O172" s="35"/>
      <c r="P172" s="35"/>
      <c r="Q172" s="35"/>
      <c r="R172" s="35"/>
      <c r="S172" s="74"/>
      <c r="AJ172" s="34"/>
      <c r="AK172" s="34"/>
      <c r="AL172" s="34"/>
      <c r="AM172" s="34"/>
      <c r="AN172" s="34"/>
      <c r="AQ172" s="67"/>
      <c r="AR172" s="67"/>
      <c r="AS172" s="67"/>
      <c r="AT172" s="67"/>
      <c r="AU172" s="67"/>
      <c r="AW172" s="68"/>
      <c r="AX172" s="68"/>
      <c r="AY172" s="68"/>
      <c r="AZ172" s="68"/>
      <c r="BA172" s="68"/>
      <c r="BB172" s="68"/>
    </row>
    <row r="173" spans="1:54" ht="13.5" thickBot="1">
      <c r="A173" s="103">
        <v>38950</v>
      </c>
      <c r="B173" s="104">
        <v>5.3515000343322754</v>
      </c>
      <c r="C173" s="105">
        <v>1297.52001953125</v>
      </c>
      <c r="D173" s="104">
        <v>1.8938000202178955</v>
      </c>
      <c r="E173">
        <v>115.84801272347238</v>
      </c>
      <c r="F173">
        <v>623.71533203125</v>
      </c>
      <c r="H173" s="34"/>
      <c r="I173" s="34"/>
      <c r="J173" s="34"/>
      <c r="K173" s="34"/>
      <c r="L173" s="34"/>
      <c r="N173" s="34"/>
      <c r="O173" s="35"/>
      <c r="P173" s="35"/>
      <c r="Q173" s="35"/>
      <c r="R173" s="35"/>
      <c r="S173" s="74"/>
      <c r="AJ173" s="34"/>
      <c r="AK173" s="34"/>
      <c r="AL173" s="34"/>
      <c r="AM173" s="34"/>
      <c r="AN173" s="34"/>
      <c r="AQ173" s="67"/>
      <c r="AR173" s="67"/>
      <c r="AS173" s="67"/>
      <c r="AT173" s="67"/>
      <c r="AU173" s="67"/>
      <c r="AW173" s="68"/>
      <c r="AX173" s="68"/>
      <c r="AY173" s="68"/>
      <c r="AZ173" s="68"/>
      <c r="BA173" s="68"/>
      <c r="BB173" s="68"/>
    </row>
    <row r="174" spans="1:54" ht="13.5" thickBot="1">
      <c r="A174" s="103">
        <v>38951</v>
      </c>
      <c r="B174" s="104">
        <v>5.3484997749328613</v>
      </c>
      <c r="C174" s="105">
        <v>1298.8199462890625</v>
      </c>
      <c r="D174" s="104">
        <v>1.8874000310897827</v>
      </c>
      <c r="E174">
        <v>116.57729537963883</v>
      </c>
      <c r="F174">
        <v>624.86529541015625</v>
      </c>
      <c r="H174" s="34"/>
      <c r="I174" s="34"/>
      <c r="J174" s="34"/>
      <c r="K174" s="34"/>
      <c r="L174" s="34"/>
      <c r="N174" s="34"/>
      <c r="O174" s="35"/>
      <c r="P174" s="35"/>
      <c r="Q174" s="35"/>
      <c r="R174" s="35"/>
      <c r="S174" s="74"/>
      <c r="AJ174" s="34"/>
      <c r="AK174" s="34"/>
      <c r="AL174" s="34"/>
      <c r="AM174" s="34"/>
      <c r="AN174" s="34"/>
      <c r="AQ174" s="67"/>
      <c r="AR174" s="67"/>
      <c r="AS174" s="67"/>
      <c r="AT174" s="67"/>
      <c r="AU174" s="67"/>
      <c r="AW174" s="68"/>
      <c r="AX174" s="68"/>
      <c r="AY174" s="68"/>
      <c r="AZ174" s="68"/>
      <c r="BA174" s="68"/>
      <c r="BB174" s="68"/>
    </row>
    <row r="175" spans="1:54" ht="13.5" thickBot="1">
      <c r="A175" s="103">
        <v>38952</v>
      </c>
      <c r="B175" s="104">
        <v>5.3579998016357422</v>
      </c>
      <c r="C175" s="105">
        <v>1292.989990234375</v>
      </c>
      <c r="D175" s="104">
        <v>1.8933000564575195</v>
      </c>
      <c r="E175">
        <v>116.34671291892315</v>
      </c>
      <c r="F175">
        <v>624.86529541015625</v>
      </c>
      <c r="H175" s="34"/>
      <c r="I175" s="34"/>
      <c r="J175" s="34"/>
      <c r="K175" s="34"/>
      <c r="L175" s="34"/>
      <c r="N175" s="34"/>
      <c r="O175" s="35"/>
      <c r="P175" s="35"/>
      <c r="Q175" s="35"/>
      <c r="R175" s="35"/>
      <c r="S175" s="74"/>
      <c r="AJ175" s="34"/>
      <c r="AK175" s="34"/>
      <c r="AL175" s="34"/>
      <c r="AM175" s="34"/>
      <c r="AN175" s="34"/>
      <c r="AQ175" s="67"/>
      <c r="AR175" s="67"/>
      <c r="AS175" s="67"/>
      <c r="AT175" s="67"/>
      <c r="AU175" s="67"/>
      <c r="AW175" s="68"/>
      <c r="AX175" s="68"/>
      <c r="AY175" s="68"/>
      <c r="AZ175" s="68"/>
      <c r="BA175" s="68"/>
      <c r="BB175" s="68"/>
    </row>
    <row r="176" spans="1:54" ht="13.5" thickBot="1">
      <c r="A176" s="103">
        <v>38953</v>
      </c>
      <c r="B176" s="104">
        <v>5.3579998016357422</v>
      </c>
      <c r="C176" s="105">
        <v>1296.06005859375</v>
      </c>
      <c r="D176" s="104">
        <v>1.8876999616622925</v>
      </c>
      <c r="E176">
        <v>116.55011465145145</v>
      </c>
      <c r="F176">
        <v>621.73089599609375</v>
      </c>
      <c r="H176" s="34"/>
      <c r="I176" s="34"/>
      <c r="J176" s="34"/>
      <c r="K176" s="34"/>
      <c r="L176" s="34"/>
      <c r="N176" s="34"/>
      <c r="O176" s="35"/>
      <c r="P176" s="35"/>
      <c r="Q176" s="35"/>
      <c r="R176" s="35"/>
      <c r="S176" s="74"/>
      <c r="AJ176" s="34"/>
      <c r="AK176" s="34"/>
      <c r="AL176" s="34"/>
      <c r="AM176" s="34"/>
      <c r="AN176" s="34"/>
      <c r="AQ176" s="67"/>
      <c r="AR176" s="67"/>
      <c r="AS176" s="67"/>
      <c r="AT176" s="67"/>
      <c r="AU176" s="67"/>
      <c r="AW176" s="68"/>
      <c r="AX176" s="68"/>
      <c r="AY176" s="68"/>
      <c r="AZ176" s="68"/>
      <c r="BA176" s="68"/>
      <c r="BB176" s="68"/>
    </row>
    <row r="177" spans="1:54" ht="13.5" thickBot="1">
      <c r="A177" s="103">
        <v>38954</v>
      </c>
      <c r="B177" s="104">
        <v>5.3435001373291016</v>
      </c>
      <c r="C177" s="105">
        <v>1295.0899658203125</v>
      </c>
      <c r="D177" s="104">
        <v>1.8874000310897827</v>
      </c>
      <c r="E177">
        <v>117.30205342153714</v>
      </c>
      <c r="F177">
        <v>622.33087158203125</v>
      </c>
      <c r="H177" s="34"/>
      <c r="I177" s="34"/>
      <c r="J177" s="34"/>
      <c r="K177" s="34"/>
      <c r="L177" s="34"/>
      <c r="N177" s="34"/>
      <c r="O177" s="35"/>
      <c r="P177" s="35"/>
      <c r="Q177" s="35"/>
      <c r="R177" s="35"/>
      <c r="S177" s="74"/>
      <c r="AJ177" s="34"/>
      <c r="AK177" s="34"/>
      <c r="AL177" s="34"/>
      <c r="AM177" s="34"/>
      <c r="AN177" s="34"/>
      <c r="AQ177" s="67"/>
      <c r="AR177" s="67"/>
      <c r="AS177" s="67"/>
      <c r="AT177" s="67"/>
      <c r="AU177" s="67"/>
      <c r="AW177" s="68"/>
      <c r="AX177" s="68"/>
      <c r="AY177" s="68"/>
      <c r="AZ177" s="68"/>
      <c r="BA177" s="68"/>
      <c r="BB177" s="68"/>
    </row>
    <row r="178" spans="1:54" ht="13.5" thickBot="1">
      <c r="A178" s="103">
        <v>38957</v>
      </c>
      <c r="B178" s="104">
        <v>5.3590049743652344</v>
      </c>
      <c r="C178" s="105">
        <v>1301.780029296875</v>
      </c>
      <c r="D178" s="104">
        <v>1.8948999643325806</v>
      </c>
      <c r="E178">
        <v>117.1783419381178</v>
      </c>
      <c r="F178">
        <v>613.96588134765625</v>
      </c>
      <c r="H178" s="34"/>
      <c r="I178" s="34"/>
      <c r="J178" s="34"/>
      <c r="K178" s="34"/>
      <c r="L178" s="34"/>
      <c r="N178" s="34"/>
      <c r="O178" s="35"/>
      <c r="P178" s="35"/>
      <c r="Q178" s="35"/>
      <c r="R178" s="35"/>
      <c r="S178" s="74"/>
      <c r="AJ178" s="34"/>
      <c r="AK178" s="34"/>
      <c r="AL178" s="34"/>
      <c r="AM178" s="34"/>
      <c r="AN178" s="34"/>
      <c r="AQ178" s="67"/>
      <c r="AR178" s="67"/>
      <c r="AS178" s="67"/>
      <c r="AT178" s="67"/>
      <c r="AU178" s="67"/>
      <c r="AW178" s="68"/>
      <c r="AX178" s="68"/>
      <c r="AY178" s="68"/>
      <c r="AZ178" s="68"/>
      <c r="BA178" s="68"/>
      <c r="BB178" s="68"/>
    </row>
    <row r="179" spans="1:54" ht="13.5" thickBot="1">
      <c r="A179" s="103">
        <v>38958</v>
      </c>
      <c r="B179" s="104">
        <v>5.3330001831054687</v>
      </c>
      <c r="C179" s="105">
        <v>1304.280029296875</v>
      </c>
      <c r="D179" s="104">
        <v>1.8988000154495239</v>
      </c>
      <c r="E179">
        <v>116.65888833418531</v>
      </c>
      <c r="F179">
        <v>611.0660400390625</v>
      </c>
      <c r="H179" s="34"/>
      <c r="I179" s="34"/>
      <c r="J179" s="34"/>
      <c r="K179" s="34"/>
      <c r="L179" s="34"/>
      <c r="N179" s="34"/>
      <c r="O179" s="35"/>
      <c r="P179" s="35"/>
      <c r="Q179" s="35"/>
      <c r="R179" s="35"/>
      <c r="S179" s="74"/>
      <c r="AJ179" s="34"/>
      <c r="AK179" s="34"/>
      <c r="AL179" s="34"/>
      <c r="AM179" s="34"/>
      <c r="AN179" s="34"/>
      <c r="AQ179" s="67"/>
      <c r="AR179" s="67"/>
      <c r="AS179" s="67"/>
      <c r="AT179" s="67"/>
      <c r="AU179" s="67"/>
      <c r="AW179" s="68"/>
      <c r="AX179" s="68"/>
      <c r="AY179" s="68"/>
      <c r="AZ179" s="68"/>
      <c r="BA179" s="68"/>
      <c r="BB179" s="68"/>
    </row>
    <row r="180" spans="1:54" ht="13.5" thickBot="1">
      <c r="A180" s="103">
        <v>38959</v>
      </c>
      <c r="B180" s="104">
        <v>5.320000171661377</v>
      </c>
      <c r="C180" s="105">
        <v>1304.27001953125</v>
      </c>
      <c r="D180" s="104">
        <v>1.9043999910354614</v>
      </c>
      <c r="E180">
        <v>117.10973737661938</v>
      </c>
      <c r="F180">
        <v>616.66571044921875</v>
      </c>
      <c r="H180" s="34"/>
      <c r="I180" s="34"/>
      <c r="J180" s="34"/>
      <c r="K180" s="34"/>
      <c r="L180" s="34"/>
      <c r="N180" s="34"/>
      <c r="O180" s="35"/>
      <c r="P180" s="35"/>
      <c r="Q180" s="35"/>
      <c r="R180" s="35"/>
      <c r="S180" s="74"/>
      <c r="AJ180" s="34"/>
      <c r="AK180" s="34"/>
      <c r="AL180" s="34"/>
      <c r="AM180" s="34"/>
      <c r="AN180" s="34"/>
      <c r="AQ180" s="67"/>
      <c r="AR180" s="67"/>
      <c r="AS180" s="67"/>
      <c r="AT180" s="67"/>
      <c r="AU180" s="67"/>
      <c r="AW180" s="68"/>
      <c r="AX180" s="68"/>
      <c r="AY180" s="68"/>
      <c r="AZ180" s="68"/>
      <c r="BA180" s="68"/>
      <c r="BB180" s="68"/>
    </row>
    <row r="181" spans="1:54" ht="13.5" thickBot="1">
      <c r="A181" s="103">
        <v>38960</v>
      </c>
      <c r="B181" s="104">
        <v>5.2895002365112305</v>
      </c>
      <c r="C181" s="105">
        <v>1303.8199462890625</v>
      </c>
      <c r="D181" s="104">
        <v>1.9039000272750854</v>
      </c>
      <c r="E181">
        <v>117.35711876488766</v>
      </c>
      <c r="F181">
        <v>625.41314697265625</v>
      </c>
      <c r="H181" s="34"/>
      <c r="I181" s="34"/>
      <c r="J181" s="34"/>
      <c r="K181" s="34"/>
      <c r="L181" s="34"/>
      <c r="N181" s="34"/>
      <c r="O181" s="35"/>
      <c r="P181" s="35"/>
      <c r="Q181" s="35"/>
      <c r="R181" s="35"/>
      <c r="S181" s="74"/>
      <c r="AJ181" s="34"/>
      <c r="AK181" s="34"/>
      <c r="AL181" s="34"/>
      <c r="AM181" s="34"/>
      <c r="AN181" s="34"/>
      <c r="AQ181" s="67"/>
      <c r="AR181" s="67"/>
      <c r="AS181" s="67"/>
      <c r="AT181" s="67"/>
      <c r="AU181" s="67"/>
      <c r="AW181" s="68"/>
      <c r="AX181" s="68"/>
      <c r="AY181" s="68"/>
      <c r="AZ181" s="68"/>
      <c r="BA181" s="68"/>
      <c r="BB181" s="68"/>
    </row>
    <row r="182" spans="1:54" ht="13.5" thickBot="1">
      <c r="A182" s="103">
        <v>38961</v>
      </c>
      <c r="B182" s="104">
        <v>5.2788357734680176</v>
      </c>
      <c r="C182" s="105">
        <v>1311.010009765625</v>
      </c>
      <c r="D182" s="104">
        <v>1.9055999517440796</v>
      </c>
      <c r="E182">
        <v>117.12344419613055</v>
      </c>
      <c r="F182">
        <v>622.9134521484375</v>
      </c>
      <c r="H182" s="34"/>
      <c r="I182" s="34"/>
      <c r="J182" s="34"/>
      <c r="K182" s="34"/>
      <c r="L182" s="34"/>
      <c r="N182" s="34"/>
      <c r="O182" s="35"/>
      <c r="P182" s="35"/>
      <c r="Q182" s="35"/>
      <c r="R182" s="35"/>
      <c r="S182" s="74"/>
      <c r="AJ182" s="34"/>
      <c r="AK182" s="34"/>
      <c r="AL182" s="34"/>
      <c r="AM182" s="34"/>
      <c r="AN182" s="34"/>
      <c r="AQ182" s="67"/>
      <c r="AR182" s="67"/>
      <c r="AS182" s="67"/>
      <c r="AT182" s="67"/>
      <c r="AU182" s="67"/>
      <c r="AW182" s="68"/>
      <c r="AX182" s="68"/>
      <c r="AY182" s="68"/>
      <c r="AZ182" s="68"/>
      <c r="BA182" s="68"/>
      <c r="BB182" s="68"/>
    </row>
    <row r="183" spans="1:54" ht="13.5" thickBot="1">
      <c r="A183" s="103">
        <v>38964</v>
      </c>
      <c r="B183" s="104">
        <v>5.2788357734680176</v>
      </c>
      <c r="C183" s="105">
        <v>1311.010009765625</v>
      </c>
      <c r="D183" s="104">
        <v>1.9059000015258789</v>
      </c>
      <c r="E183">
        <v>115.9958274673297</v>
      </c>
      <c r="F183">
        <v>625.9652099609375</v>
      </c>
      <c r="H183" s="34"/>
      <c r="I183" s="34"/>
      <c r="J183" s="34"/>
      <c r="K183" s="34"/>
      <c r="L183" s="34"/>
      <c r="N183" s="34"/>
      <c r="O183" s="35"/>
      <c r="P183" s="35"/>
      <c r="Q183" s="35"/>
      <c r="R183" s="35"/>
      <c r="S183" s="74"/>
      <c r="AJ183" s="34"/>
      <c r="AK183" s="34"/>
      <c r="AL183" s="34"/>
      <c r="AM183" s="34"/>
      <c r="AN183" s="34"/>
      <c r="AQ183" s="67"/>
      <c r="AR183" s="67"/>
      <c r="AS183" s="67"/>
      <c r="AT183" s="67"/>
      <c r="AU183" s="67"/>
      <c r="AW183" s="68"/>
      <c r="AX183" s="68"/>
      <c r="AY183" s="68"/>
      <c r="AZ183" s="68"/>
      <c r="BA183" s="68"/>
      <c r="BB183" s="68"/>
    </row>
    <row r="184" spans="1:54" ht="13.5" thickBot="1">
      <c r="A184" s="103">
        <v>38965</v>
      </c>
      <c r="B184" s="104">
        <v>5.316500186920166</v>
      </c>
      <c r="C184" s="105">
        <v>1313.25</v>
      </c>
      <c r="D184" s="104">
        <v>1.8938000202178955</v>
      </c>
      <c r="E184">
        <v>115.94203188999747</v>
      </c>
      <c r="F184">
        <v>639.66448974609375</v>
      </c>
      <c r="H184" s="34"/>
      <c r="I184" s="34"/>
      <c r="J184" s="34"/>
      <c r="K184" s="34"/>
      <c r="L184" s="34"/>
      <c r="N184" s="34"/>
      <c r="O184" s="35"/>
      <c r="P184" s="35"/>
      <c r="Q184" s="35"/>
      <c r="R184" s="35"/>
      <c r="S184" s="74"/>
      <c r="AJ184" s="34"/>
      <c r="AK184" s="34"/>
      <c r="AL184" s="34"/>
      <c r="AM184" s="34"/>
      <c r="AN184" s="34"/>
      <c r="AQ184" s="67"/>
      <c r="AR184" s="67"/>
      <c r="AS184" s="67"/>
      <c r="AT184" s="67"/>
      <c r="AU184" s="67"/>
      <c r="AW184" s="68"/>
      <c r="AX184" s="68"/>
      <c r="AY184" s="68"/>
      <c r="AZ184" s="68"/>
      <c r="BA184" s="68"/>
      <c r="BB184" s="68"/>
    </row>
    <row r="185" spans="1:54" ht="13.5" thickBot="1">
      <c r="A185" s="103">
        <v>38966</v>
      </c>
      <c r="B185" s="104">
        <v>5.3260002136230469</v>
      </c>
      <c r="C185" s="105">
        <v>1300.260009765625</v>
      </c>
      <c r="D185" s="104">
        <v>1.8846999406814575</v>
      </c>
      <c r="E185">
        <v>116.60447612562864</v>
      </c>
      <c r="F185">
        <v>635.6646728515625</v>
      </c>
      <c r="H185" s="34"/>
      <c r="I185" s="34"/>
      <c r="J185" s="34"/>
      <c r="K185" s="34"/>
      <c r="L185" s="34"/>
      <c r="N185" s="34"/>
      <c r="O185" s="35"/>
      <c r="P185" s="35"/>
      <c r="Q185" s="35"/>
      <c r="R185" s="35"/>
      <c r="S185" s="74"/>
      <c r="AJ185" s="34"/>
      <c r="AK185" s="34"/>
      <c r="AL185" s="34"/>
      <c r="AM185" s="34"/>
      <c r="AN185" s="34"/>
      <c r="AQ185" s="67"/>
      <c r="AR185" s="67"/>
      <c r="AS185" s="67"/>
      <c r="AT185" s="67"/>
      <c r="AU185" s="67"/>
      <c r="AW185" s="68"/>
      <c r="AX185" s="68"/>
      <c r="AY185" s="68"/>
      <c r="AZ185" s="68"/>
      <c r="BA185" s="68"/>
      <c r="BB185" s="68"/>
    </row>
    <row r="186" spans="1:54" ht="13.5" thickBot="1">
      <c r="A186" s="103">
        <v>38967</v>
      </c>
      <c r="B186" s="104">
        <v>5.3185000419616699</v>
      </c>
      <c r="C186" s="105">
        <v>1294.02001953125</v>
      </c>
      <c r="D186" s="104">
        <v>1.8752000331878662</v>
      </c>
      <c r="E186">
        <v>116.41443877459196</v>
      </c>
      <c r="F186">
        <v>615.23162841796875</v>
      </c>
      <c r="H186" s="34"/>
      <c r="I186" s="34"/>
      <c r="J186" s="34"/>
      <c r="K186" s="34"/>
      <c r="L186" s="34"/>
      <c r="N186" s="34"/>
      <c r="O186" s="35"/>
      <c r="P186" s="35"/>
      <c r="Q186" s="35"/>
      <c r="R186" s="35"/>
      <c r="S186" s="74"/>
      <c r="AJ186" s="34"/>
      <c r="AK186" s="34"/>
      <c r="AL186" s="34"/>
      <c r="AM186" s="34"/>
      <c r="AN186" s="34"/>
      <c r="AQ186" s="67"/>
      <c r="AR186" s="67"/>
      <c r="AS186" s="67"/>
      <c r="AT186" s="67"/>
      <c r="AU186" s="67"/>
      <c r="AW186" s="68"/>
      <c r="AX186" s="68"/>
      <c r="AY186" s="68"/>
      <c r="AZ186" s="68"/>
      <c r="BA186" s="68"/>
      <c r="BB186" s="68"/>
    </row>
    <row r="187" spans="1:54" ht="13.5" thickBot="1">
      <c r="A187" s="103">
        <v>38968</v>
      </c>
      <c r="B187" s="104">
        <v>5.3014998435974121</v>
      </c>
      <c r="C187" s="105">
        <v>1298.9200439453125</v>
      </c>
      <c r="D187" s="104">
        <v>1.8653000593185425</v>
      </c>
      <c r="E187">
        <v>116.90436665495164</v>
      </c>
      <c r="F187">
        <v>609.73223876953125</v>
      </c>
      <c r="H187" s="34"/>
      <c r="I187" s="34"/>
      <c r="J187" s="34"/>
      <c r="K187" s="34"/>
      <c r="L187" s="34"/>
      <c r="N187" s="34"/>
      <c r="O187" s="35"/>
      <c r="P187" s="35"/>
      <c r="Q187" s="35"/>
      <c r="R187" s="35"/>
      <c r="S187" s="74"/>
      <c r="AJ187" s="34"/>
      <c r="AK187" s="34"/>
      <c r="AL187" s="34"/>
      <c r="AM187" s="34"/>
      <c r="AN187" s="34"/>
      <c r="AQ187" s="67"/>
      <c r="AR187" s="67"/>
      <c r="AS187" s="67"/>
      <c r="AT187" s="67"/>
      <c r="AU187" s="67"/>
      <c r="AW187" s="68"/>
      <c r="AX187" s="68"/>
      <c r="AY187" s="68"/>
      <c r="AZ187" s="68"/>
      <c r="BA187" s="68"/>
      <c r="BB187" s="68"/>
    </row>
    <row r="188" spans="1:54" ht="13.5" thickBot="1">
      <c r="A188" s="103">
        <v>38971</v>
      </c>
      <c r="B188" s="104">
        <v>5.3315000534057617</v>
      </c>
      <c r="C188" s="105">
        <v>1299.5400390625</v>
      </c>
      <c r="D188" s="104">
        <v>1.864799976348877</v>
      </c>
      <c r="E188">
        <v>117.53644193819753</v>
      </c>
      <c r="F188">
        <v>587.6673583984375</v>
      </c>
      <c r="H188" s="34"/>
      <c r="I188" s="34"/>
      <c r="J188" s="34"/>
      <c r="K188" s="34"/>
      <c r="L188" s="34"/>
      <c r="N188" s="34"/>
      <c r="O188" s="35"/>
      <c r="P188" s="35"/>
      <c r="Q188" s="35"/>
      <c r="R188" s="35"/>
      <c r="S188" s="74"/>
      <c r="AJ188" s="34"/>
      <c r="AK188" s="34"/>
      <c r="AL188" s="34"/>
      <c r="AM188" s="34"/>
      <c r="AN188" s="34"/>
      <c r="AQ188" s="67"/>
      <c r="AR188" s="67"/>
      <c r="AS188" s="67"/>
      <c r="AT188" s="67"/>
      <c r="AU188" s="67"/>
      <c r="AW188" s="68"/>
      <c r="AX188" s="68"/>
      <c r="AY188" s="68"/>
      <c r="AZ188" s="68"/>
      <c r="BA188" s="68"/>
      <c r="BB188" s="68"/>
    </row>
    <row r="189" spans="1:54" ht="13.5" thickBot="1">
      <c r="A189" s="103">
        <v>38972</v>
      </c>
      <c r="B189" s="104">
        <v>5.2985000610351563</v>
      </c>
      <c r="C189" s="105">
        <v>1313.1099853515625</v>
      </c>
      <c r="D189" s="104">
        <v>1.8746999502182007</v>
      </c>
      <c r="E189">
        <v>117.96626737825267</v>
      </c>
      <c r="F189">
        <v>591.76715087890625</v>
      </c>
      <c r="H189" s="34"/>
      <c r="I189" s="34"/>
      <c r="J189" s="34"/>
      <c r="K189" s="34"/>
      <c r="L189" s="34"/>
      <c r="N189" s="34"/>
      <c r="O189" s="35"/>
      <c r="P189" s="35"/>
      <c r="Q189" s="35"/>
      <c r="R189" s="35"/>
      <c r="S189" s="74"/>
      <c r="AJ189" s="34"/>
      <c r="AK189" s="34"/>
      <c r="AL189" s="34"/>
      <c r="AM189" s="34"/>
      <c r="AN189" s="34"/>
      <c r="AQ189" s="67"/>
      <c r="AR189" s="67"/>
      <c r="AS189" s="67"/>
      <c r="AT189" s="67"/>
      <c r="AU189" s="67"/>
      <c r="AW189" s="68"/>
      <c r="AX189" s="68"/>
      <c r="AY189" s="68"/>
      <c r="AZ189" s="68"/>
      <c r="BA189" s="68"/>
      <c r="BB189" s="68"/>
    </row>
    <row r="190" spans="1:54" ht="13.5" thickBot="1">
      <c r="A190" s="103">
        <v>38973</v>
      </c>
      <c r="B190" s="104">
        <v>5.2975001335144043</v>
      </c>
      <c r="C190" s="105">
        <v>1318.0699462890625</v>
      </c>
      <c r="D190" s="104">
        <v>1.8766000270843506</v>
      </c>
      <c r="E190">
        <v>117.56407183950331</v>
      </c>
      <c r="F190">
        <v>592.3778076171875</v>
      </c>
      <c r="H190" s="34"/>
      <c r="I190" s="34"/>
      <c r="J190" s="34"/>
      <c r="K190" s="34"/>
      <c r="L190" s="34"/>
      <c r="N190" s="34"/>
      <c r="O190" s="35"/>
      <c r="P190" s="35"/>
      <c r="Q190" s="35"/>
      <c r="R190" s="35"/>
      <c r="S190" s="74"/>
      <c r="AJ190" s="34"/>
      <c r="AK190" s="34"/>
      <c r="AL190" s="34"/>
      <c r="AM190" s="34"/>
      <c r="AN190" s="34"/>
      <c r="AQ190" s="67"/>
      <c r="AR190" s="67"/>
      <c r="AS190" s="67"/>
      <c r="AT190" s="67"/>
      <c r="AU190" s="67"/>
      <c r="AW190" s="68"/>
      <c r="AX190" s="68"/>
      <c r="AY190" s="68"/>
      <c r="AZ190" s="68"/>
      <c r="BA190" s="68"/>
      <c r="BB190" s="68"/>
    </row>
    <row r="191" spans="1:54" ht="13.5" thickBot="1">
      <c r="A191" s="103">
        <v>38974</v>
      </c>
      <c r="B191" s="104">
        <v>5.3260002136230469</v>
      </c>
      <c r="C191" s="105">
        <v>1316.280029296875</v>
      </c>
      <c r="D191" s="104">
        <v>1.8868000507354736</v>
      </c>
      <c r="E191">
        <v>117.49500214310328</v>
      </c>
      <c r="F191">
        <v>575.43603515625</v>
      </c>
      <c r="H191" s="34"/>
      <c r="I191" s="34"/>
      <c r="J191" s="34"/>
      <c r="K191" s="34"/>
      <c r="L191" s="34"/>
      <c r="N191" s="34"/>
      <c r="O191" s="35"/>
      <c r="P191" s="35"/>
      <c r="Q191" s="35"/>
      <c r="R191" s="35"/>
      <c r="S191" s="74"/>
      <c r="AJ191" s="34"/>
      <c r="AK191" s="34"/>
      <c r="AL191" s="34"/>
      <c r="AM191" s="34"/>
      <c r="AN191" s="34"/>
      <c r="AQ191" s="67"/>
      <c r="AR191" s="67"/>
      <c r="AS191" s="67"/>
      <c r="AT191" s="67"/>
      <c r="AU191" s="67"/>
      <c r="AW191" s="68"/>
      <c r="AX191" s="68"/>
      <c r="AY191" s="68"/>
      <c r="AZ191" s="68"/>
      <c r="BA191" s="68"/>
      <c r="BB191" s="68"/>
    </row>
    <row r="192" spans="1:54" ht="13.5" thickBot="1">
      <c r="A192" s="103">
        <v>38975</v>
      </c>
      <c r="B192" s="104">
        <v>5.3410000801086426</v>
      </c>
      <c r="C192" s="105">
        <v>1319.8699951171875</v>
      </c>
      <c r="D192" s="104">
        <v>1.8813999891281128</v>
      </c>
      <c r="E192">
        <v>117.6055474972856</v>
      </c>
      <c r="F192">
        <v>577.73577880859375</v>
      </c>
      <c r="H192" s="34"/>
      <c r="I192" s="34"/>
      <c r="J192" s="34"/>
      <c r="K192" s="34"/>
      <c r="L192" s="34"/>
      <c r="N192" s="34"/>
      <c r="O192" s="35"/>
      <c r="P192" s="35"/>
      <c r="Q192" s="35"/>
      <c r="R192" s="35"/>
      <c r="S192" s="74"/>
      <c r="AJ192" s="34"/>
      <c r="AK192" s="34"/>
      <c r="AL192" s="34"/>
      <c r="AM192" s="34"/>
      <c r="AN192" s="34"/>
      <c r="AQ192" s="67"/>
      <c r="AR192" s="67"/>
      <c r="AS192" s="67"/>
      <c r="AT192" s="67"/>
      <c r="AU192" s="67"/>
      <c r="AW192" s="68"/>
      <c r="AX192" s="68"/>
      <c r="AY192" s="68"/>
      <c r="AZ192" s="68"/>
      <c r="BA192" s="68"/>
      <c r="BB192" s="68"/>
    </row>
    <row r="193" spans="1:54" ht="13.5" thickBot="1">
      <c r="A193" s="103">
        <v>38978</v>
      </c>
      <c r="B193" s="104">
        <v>5.3575000762939453</v>
      </c>
      <c r="C193" s="105">
        <v>1321.1800537109375</v>
      </c>
      <c r="D193" s="104">
        <v>1.8808000087738037</v>
      </c>
      <c r="E193">
        <v>117.88282308757748</v>
      </c>
      <c r="F193">
        <v>584.967529296875</v>
      </c>
      <c r="H193" s="34"/>
      <c r="I193" s="34"/>
      <c r="J193" s="34"/>
      <c r="K193" s="34"/>
      <c r="L193" s="34"/>
      <c r="N193" s="34"/>
      <c r="O193" s="35"/>
      <c r="P193" s="35"/>
      <c r="Q193" s="35"/>
      <c r="R193" s="35"/>
      <c r="S193" s="74"/>
      <c r="AJ193" s="34"/>
      <c r="AK193" s="34"/>
      <c r="AL193" s="34"/>
      <c r="AM193" s="34"/>
      <c r="AN193" s="34"/>
      <c r="AQ193" s="67"/>
      <c r="AR193" s="67"/>
      <c r="AS193" s="67"/>
      <c r="AT193" s="67"/>
      <c r="AU193" s="67"/>
      <c r="AW193" s="68"/>
      <c r="AX193" s="68"/>
      <c r="AY193" s="68"/>
      <c r="AZ193" s="68"/>
      <c r="BA193" s="68"/>
      <c r="BB193" s="68"/>
    </row>
    <row r="194" spans="1:54" ht="13.5" thickBot="1">
      <c r="A194" s="103">
        <v>38979</v>
      </c>
      <c r="B194" s="104">
        <v>5.2849998474121094</v>
      </c>
      <c r="C194" s="105">
        <v>1318.31005859375</v>
      </c>
      <c r="D194" s="104">
        <v>1.881600022315979</v>
      </c>
      <c r="E194">
        <v>117.6055474972856</v>
      </c>
      <c r="F194">
        <v>576.96795654296875</v>
      </c>
      <c r="H194" s="34"/>
      <c r="I194" s="34"/>
      <c r="J194" s="34"/>
      <c r="K194" s="34"/>
      <c r="L194" s="34"/>
      <c r="N194" s="34"/>
      <c r="O194" s="35"/>
      <c r="P194" s="35"/>
      <c r="Q194" s="35"/>
      <c r="R194" s="35"/>
      <c r="S194" s="74"/>
      <c r="AJ194" s="34"/>
      <c r="AK194" s="34"/>
      <c r="AL194" s="34"/>
      <c r="AM194" s="34"/>
      <c r="AN194" s="34"/>
      <c r="AQ194" s="67"/>
      <c r="AR194" s="67"/>
      <c r="AS194" s="67"/>
      <c r="AT194" s="67"/>
      <c r="AU194" s="67"/>
      <c r="AW194" s="68"/>
      <c r="AX194" s="68"/>
      <c r="AY194" s="68"/>
      <c r="AZ194" s="68"/>
      <c r="BA194" s="68"/>
      <c r="BB194" s="68"/>
    </row>
    <row r="195" spans="1:54" ht="13.5" thickBot="1">
      <c r="A195" s="103">
        <v>38980</v>
      </c>
      <c r="B195" s="104">
        <v>5.2740001678466797</v>
      </c>
      <c r="C195" s="105">
        <v>1325.1800537109375</v>
      </c>
      <c r="D195" s="104">
        <v>1.8880000114440918</v>
      </c>
      <c r="E195">
        <v>117.43980736115583</v>
      </c>
      <c r="F195">
        <v>577.56329345703125</v>
      </c>
      <c r="H195" s="34"/>
      <c r="I195" s="34"/>
      <c r="J195" s="34"/>
      <c r="K195" s="34"/>
      <c r="L195" s="34"/>
      <c r="N195" s="34"/>
      <c r="O195" s="35"/>
      <c r="P195" s="35"/>
      <c r="Q195" s="35"/>
      <c r="R195" s="35"/>
      <c r="S195" s="74"/>
      <c r="AJ195" s="34"/>
      <c r="AK195" s="34"/>
      <c r="AL195" s="34"/>
      <c r="AM195" s="34"/>
      <c r="AN195" s="34"/>
      <c r="AQ195" s="67"/>
      <c r="AR195" s="67"/>
      <c r="AS195" s="67"/>
      <c r="AT195" s="67"/>
      <c r="AU195" s="67"/>
      <c r="AW195" s="68"/>
      <c r="AX195" s="68"/>
      <c r="AY195" s="68"/>
      <c r="AZ195" s="68"/>
      <c r="BA195" s="68"/>
      <c r="BB195" s="68"/>
    </row>
    <row r="196" spans="1:54" ht="13.5" thickBot="1">
      <c r="A196" s="103">
        <v>38981</v>
      </c>
      <c r="B196" s="104">
        <v>5.1875</v>
      </c>
      <c r="C196" s="105">
        <v>1318.030029296875</v>
      </c>
      <c r="D196" s="104">
        <v>1.9026999473571777</v>
      </c>
      <c r="E196">
        <v>116.30612025608229</v>
      </c>
      <c r="F196">
        <v>584.43505859375</v>
      </c>
      <c r="H196" s="34"/>
      <c r="I196" s="34"/>
      <c r="J196" s="34"/>
      <c r="K196" s="34"/>
      <c r="L196" s="34"/>
      <c r="N196" s="34"/>
      <c r="O196" s="35"/>
      <c r="P196" s="35"/>
      <c r="Q196" s="35"/>
      <c r="R196" s="35"/>
      <c r="S196" s="74"/>
      <c r="AJ196" s="34"/>
      <c r="AK196" s="34"/>
      <c r="AL196" s="34"/>
      <c r="AM196" s="34"/>
      <c r="AN196" s="34"/>
      <c r="AQ196" s="67"/>
      <c r="AR196" s="67"/>
      <c r="AS196" s="67"/>
      <c r="AT196" s="67"/>
      <c r="AU196" s="67"/>
      <c r="AW196" s="68"/>
      <c r="AX196" s="68"/>
      <c r="AY196" s="68"/>
      <c r="AZ196" s="68"/>
      <c r="BA196" s="68"/>
      <c r="BB196" s="68"/>
    </row>
    <row r="197" spans="1:54" ht="13.5" thickBot="1">
      <c r="A197" s="103">
        <v>38982</v>
      </c>
      <c r="B197" s="104">
        <v>5.1319999694824219</v>
      </c>
      <c r="C197" s="105">
        <v>1314.780029296875</v>
      </c>
      <c r="D197" s="104">
        <v>1.9006999731063843</v>
      </c>
      <c r="E197">
        <v>116.49580384072908</v>
      </c>
      <c r="F197">
        <v>587.9346923828125</v>
      </c>
      <c r="H197" s="34"/>
      <c r="I197" s="34"/>
      <c r="J197" s="34"/>
      <c r="K197" s="34"/>
      <c r="L197" s="34"/>
      <c r="N197" s="34"/>
      <c r="O197" s="35"/>
      <c r="P197" s="35"/>
      <c r="Q197" s="35"/>
      <c r="R197" s="35"/>
      <c r="S197" s="74"/>
      <c r="AJ197" s="34"/>
      <c r="AK197" s="34"/>
      <c r="AL197" s="34"/>
      <c r="AM197" s="34"/>
      <c r="AN197" s="34"/>
      <c r="AQ197" s="67"/>
      <c r="AR197" s="67"/>
      <c r="AS197" s="67"/>
      <c r="AT197" s="67"/>
      <c r="AU197" s="67"/>
      <c r="AW197" s="68"/>
      <c r="AX197" s="68"/>
      <c r="AY197" s="68"/>
      <c r="AZ197" s="68"/>
      <c r="BA197" s="68"/>
      <c r="BB197" s="68"/>
    </row>
    <row r="198" spans="1:54" ht="13.5" thickBot="1">
      <c r="A198" s="103">
        <v>38985</v>
      </c>
      <c r="B198" s="104">
        <v>5.0789999961853027</v>
      </c>
      <c r="C198" s="105">
        <v>1326.3699951171875</v>
      </c>
      <c r="D198" s="104">
        <v>1.9013999700546265</v>
      </c>
      <c r="E198">
        <v>116.52295924014841</v>
      </c>
      <c r="F198">
        <v>588.46728515625</v>
      </c>
      <c r="H198" s="34"/>
      <c r="I198" s="34"/>
      <c r="J198" s="34"/>
      <c r="K198" s="34"/>
      <c r="L198" s="34"/>
      <c r="N198" s="34"/>
      <c r="O198" s="35"/>
      <c r="P198" s="35"/>
      <c r="Q198" s="35"/>
      <c r="R198" s="35"/>
      <c r="S198" s="74"/>
      <c r="AJ198" s="34"/>
      <c r="AK198" s="34"/>
      <c r="AL198" s="34"/>
      <c r="AM198" s="34"/>
      <c r="AN198" s="34"/>
      <c r="AQ198" s="67"/>
      <c r="AR198" s="67"/>
      <c r="AS198" s="67"/>
      <c r="AT198" s="67"/>
      <c r="AU198" s="67"/>
      <c r="AW198" s="68"/>
      <c r="AX198" s="68"/>
      <c r="AY198" s="68"/>
      <c r="AZ198" s="68"/>
      <c r="BA198" s="68"/>
      <c r="BB198" s="68"/>
    </row>
    <row r="199" spans="1:54" ht="13.5" thickBot="1">
      <c r="A199" s="103">
        <v>38986</v>
      </c>
      <c r="B199" s="104">
        <v>5.1154999732971191</v>
      </c>
      <c r="C199" s="105">
        <v>1336.3399658203125</v>
      </c>
      <c r="D199" s="104">
        <v>1.8949999809265137</v>
      </c>
      <c r="E199">
        <v>117.13716700336245</v>
      </c>
      <c r="F199">
        <v>591.4671630859375</v>
      </c>
      <c r="H199" s="34"/>
      <c r="I199" s="34"/>
      <c r="J199" s="34"/>
      <c r="K199" s="34"/>
      <c r="L199" s="34"/>
      <c r="N199" s="34"/>
      <c r="O199" s="35"/>
      <c r="P199" s="35"/>
      <c r="Q199" s="35"/>
      <c r="R199" s="35"/>
      <c r="S199" s="74"/>
      <c r="AJ199" s="34"/>
      <c r="AK199" s="34"/>
      <c r="AL199" s="34"/>
      <c r="AM199" s="34"/>
      <c r="AN199" s="34"/>
      <c r="AQ199" s="67"/>
      <c r="AR199" s="67"/>
      <c r="AS199" s="67"/>
      <c r="AT199" s="67"/>
      <c r="AU199" s="67"/>
      <c r="AW199" s="68"/>
      <c r="AX199" s="68"/>
      <c r="AY199" s="68"/>
      <c r="AZ199" s="68"/>
      <c r="BA199" s="68"/>
      <c r="BB199" s="68"/>
    </row>
    <row r="200" spans="1:54" ht="13.5" thickBot="1">
      <c r="A200" s="103">
        <v>38987</v>
      </c>
      <c r="B200" s="104">
        <v>5.1195001602172852</v>
      </c>
      <c r="C200" s="105">
        <v>1336.5899658203125</v>
      </c>
      <c r="D200" s="104">
        <v>1.888700008392334</v>
      </c>
      <c r="E200">
        <v>117.50881216099339</v>
      </c>
      <c r="F200">
        <v>595.16693115234375</v>
      </c>
      <c r="H200" s="34"/>
      <c r="I200" s="34"/>
      <c r="J200" s="34"/>
      <c r="K200" s="34"/>
      <c r="L200" s="34"/>
      <c r="N200" s="34"/>
      <c r="O200" s="35"/>
      <c r="P200" s="35"/>
      <c r="Q200" s="35"/>
      <c r="R200" s="35"/>
      <c r="S200" s="74"/>
      <c r="AJ200" s="34"/>
      <c r="AK200" s="34"/>
      <c r="AL200" s="34"/>
      <c r="AM200" s="34"/>
      <c r="AN200" s="34"/>
      <c r="AQ200" s="67"/>
      <c r="AR200" s="67"/>
      <c r="AS200" s="67"/>
      <c r="AT200" s="67"/>
      <c r="AU200" s="67"/>
      <c r="AW200" s="68"/>
      <c r="AX200" s="68"/>
      <c r="AY200" s="68"/>
      <c r="AZ200" s="68"/>
      <c r="BA200" s="68"/>
      <c r="BB200" s="68"/>
    </row>
    <row r="201" spans="1:54" ht="13.5" thickBot="1">
      <c r="A201" s="103">
        <v>38988</v>
      </c>
      <c r="B201" s="104">
        <v>5.1564998626708984</v>
      </c>
      <c r="C201" s="105">
        <v>1339.1500244140625</v>
      </c>
      <c r="D201" s="104">
        <v>1.8759000301361084</v>
      </c>
      <c r="E201">
        <v>117.84115166170184</v>
      </c>
      <c r="F201">
        <v>606.23260498046875</v>
      </c>
      <c r="H201" s="34"/>
      <c r="I201" s="34"/>
      <c r="J201" s="34"/>
      <c r="K201" s="34"/>
      <c r="L201" s="34"/>
      <c r="N201" s="34"/>
      <c r="O201" s="35"/>
      <c r="P201" s="35"/>
      <c r="Q201" s="35"/>
      <c r="R201" s="35"/>
      <c r="S201" s="74"/>
      <c r="AJ201" s="34"/>
      <c r="AK201" s="34"/>
      <c r="AL201" s="34"/>
      <c r="AM201" s="34"/>
      <c r="AN201" s="34"/>
      <c r="AQ201" s="67"/>
      <c r="AR201" s="67"/>
      <c r="AS201" s="67"/>
      <c r="AT201" s="67"/>
      <c r="AU201" s="67"/>
      <c r="AW201" s="68"/>
      <c r="AX201" s="68"/>
      <c r="AY201" s="68"/>
      <c r="AZ201" s="68"/>
      <c r="BA201" s="68"/>
      <c r="BB201" s="68"/>
    </row>
    <row r="202" spans="1:54" ht="13.5" thickBot="1">
      <c r="A202" s="103">
        <v>38989</v>
      </c>
      <c r="B202" s="104">
        <v>5.1684999465942383</v>
      </c>
      <c r="C202" s="105">
        <v>1335.8499755859375</v>
      </c>
      <c r="D202" s="104">
        <v>1.8716000318527222</v>
      </c>
      <c r="E202">
        <v>118.14744539345791</v>
      </c>
      <c r="F202">
        <v>596.83367919921875</v>
      </c>
      <c r="H202" s="34"/>
      <c r="I202" s="34"/>
      <c r="J202" s="34"/>
      <c r="K202" s="34"/>
      <c r="L202" s="34"/>
      <c r="N202" s="34"/>
      <c r="O202" s="35"/>
      <c r="P202" s="35"/>
      <c r="Q202" s="35"/>
      <c r="R202" s="35"/>
      <c r="S202" s="74"/>
      <c r="AJ202" s="34"/>
      <c r="AK202" s="34"/>
      <c r="AL202" s="34"/>
      <c r="AM202" s="34"/>
      <c r="AN202" s="34"/>
      <c r="AQ202" s="67"/>
      <c r="AR202" s="67"/>
      <c r="AS202" s="67"/>
      <c r="AT202" s="67"/>
      <c r="AU202" s="67"/>
      <c r="AW202" s="68"/>
      <c r="AX202" s="68"/>
      <c r="AY202" s="68"/>
      <c r="AZ202" s="68"/>
      <c r="BA202" s="68"/>
      <c r="BB202" s="68"/>
    </row>
    <row r="203" spans="1:54" ht="13.5" thickBot="1">
      <c r="A203" s="103">
        <v>38992</v>
      </c>
      <c r="B203" s="104">
        <v>5.1579999923706055</v>
      </c>
      <c r="C203" s="105">
        <v>1331.3199462890625</v>
      </c>
      <c r="D203" s="104">
        <v>1.8867000341415405</v>
      </c>
      <c r="E203">
        <v>117.66089821616501</v>
      </c>
      <c r="F203">
        <v>598.86669921875</v>
      </c>
      <c r="H203" s="34"/>
      <c r="I203" s="34"/>
      <c r="J203" s="34"/>
      <c r="K203" s="34"/>
      <c r="L203" s="34"/>
      <c r="N203" s="34"/>
      <c r="O203" s="35"/>
      <c r="P203" s="35"/>
      <c r="Q203" s="35"/>
      <c r="R203" s="35"/>
      <c r="S203" s="74"/>
      <c r="AJ203" s="34"/>
      <c r="AK203" s="34"/>
      <c r="AL203" s="34"/>
      <c r="AM203" s="34"/>
      <c r="AN203" s="34"/>
      <c r="AQ203" s="67"/>
      <c r="AR203" s="67"/>
      <c r="AS203" s="67"/>
      <c r="AT203" s="67"/>
      <c r="AU203" s="67"/>
      <c r="AW203" s="68"/>
      <c r="AX203" s="68"/>
      <c r="AY203" s="68"/>
      <c r="AZ203" s="68"/>
      <c r="BA203" s="68"/>
      <c r="BB203" s="68"/>
    </row>
    <row r="204" spans="1:54" ht="13.5" thickBot="1">
      <c r="A204" s="103">
        <v>38993</v>
      </c>
      <c r="B204" s="104">
        <v>5.1539998054504395</v>
      </c>
      <c r="C204" s="105">
        <v>1334.1099853515625</v>
      </c>
      <c r="D204" s="104">
        <v>1.8875999450683594</v>
      </c>
      <c r="E204">
        <v>117.91062904742641</v>
      </c>
      <c r="F204">
        <v>599.4842529296875</v>
      </c>
      <c r="H204" s="34"/>
      <c r="I204" s="34"/>
      <c r="J204" s="34"/>
      <c r="K204" s="34"/>
      <c r="L204" s="34"/>
      <c r="N204" s="34"/>
      <c r="O204" s="35"/>
      <c r="P204" s="35"/>
      <c r="Q204" s="35"/>
      <c r="R204" s="35"/>
      <c r="S204" s="74"/>
      <c r="AJ204" s="34"/>
      <c r="AK204" s="34"/>
      <c r="AL204" s="34"/>
      <c r="AM204" s="34"/>
      <c r="AN204" s="34"/>
      <c r="AQ204" s="67"/>
      <c r="AR204" s="67"/>
      <c r="AS204" s="67"/>
      <c r="AT204" s="67"/>
      <c r="AU204" s="67"/>
      <c r="AW204" s="68"/>
      <c r="AX204" s="68"/>
      <c r="AY204" s="68"/>
      <c r="AZ204" s="68"/>
      <c r="BA204" s="68"/>
      <c r="BB204" s="68"/>
    </row>
    <row r="205" spans="1:54" ht="13.5" thickBot="1">
      <c r="A205" s="103">
        <v>38994</v>
      </c>
      <c r="B205" s="104">
        <v>5.0999999046325684</v>
      </c>
      <c r="C205" s="105">
        <v>1350.219970703125</v>
      </c>
      <c r="D205" s="104">
        <v>1.8866000175476074</v>
      </c>
      <c r="E205">
        <v>117.89672442799203</v>
      </c>
      <c r="F205">
        <v>561.46881103515625</v>
      </c>
      <c r="H205" s="34"/>
      <c r="I205" s="34"/>
      <c r="J205" s="34"/>
      <c r="K205" s="34"/>
      <c r="L205" s="34"/>
      <c r="N205" s="34"/>
      <c r="O205" s="35"/>
      <c r="P205" s="35"/>
      <c r="Q205" s="35"/>
      <c r="R205" s="35"/>
      <c r="S205" s="74"/>
      <c r="AJ205" s="34"/>
      <c r="AK205" s="34"/>
      <c r="AL205" s="34"/>
      <c r="AM205" s="34"/>
      <c r="AN205" s="34"/>
      <c r="AQ205" s="67"/>
      <c r="AR205" s="67"/>
      <c r="AS205" s="67"/>
      <c r="AT205" s="67"/>
      <c r="AU205" s="67"/>
      <c r="AW205" s="68"/>
      <c r="AX205" s="68"/>
      <c r="AY205" s="68"/>
      <c r="AZ205" s="68"/>
      <c r="BA205" s="68"/>
      <c r="BB205" s="68"/>
    </row>
    <row r="206" spans="1:54" ht="13.5" thickBot="1">
      <c r="A206" s="103">
        <v>38995</v>
      </c>
      <c r="B206" s="104">
        <v>5.1409997940063477</v>
      </c>
      <c r="C206" s="105">
        <v>1353.219970703125</v>
      </c>
      <c r="D206" s="104">
        <v>1.8789999485015869</v>
      </c>
      <c r="E206">
        <v>117.63322278921532</v>
      </c>
      <c r="F206">
        <v>569.43670654296875</v>
      </c>
      <c r="H206" s="34"/>
      <c r="I206" s="34"/>
      <c r="J206" s="34"/>
      <c r="K206" s="34"/>
      <c r="L206" s="34"/>
      <c r="N206" s="34"/>
      <c r="O206" s="35"/>
      <c r="P206" s="35"/>
      <c r="Q206" s="35"/>
      <c r="R206" s="35"/>
      <c r="S206" s="74"/>
      <c r="AJ206" s="34"/>
      <c r="AK206" s="34"/>
      <c r="AL206" s="34"/>
      <c r="AM206" s="34"/>
      <c r="AN206" s="34"/>
      <c r="AQ206" s="67"/>
      <c r="AR206" s="67"/>
      <c r="AS206" s="67"/>
      <c r="AT206" s="67"/>
      <c r="AU206" s="67"/>
      <c r="AW206" s="68"/>
      <c r="AX206" s="68"/>
      <c r="AY206" s="68"/>
      <c r="AZ206" s="68"/>
      <c r="BA206" s="68"/>
      <c r="BB206" s="68"/>
    </row>
    <row r="207" spans="1:54" ht="13.5" thickBot="1">
      <c r="A207" s="103">
        <v>38996</v>
      </c>
      <c r="B207" s="104">
        <v>5.241243839263916</v>
      </c>
      <c r="C207" s="105">
        <v>1349.5799560546875</v>
      </c>
      <c r="D207" s="104">
        <v>1.8707000017166138</v>
      </c>
      <c r="E207">
        <v>119.00511124610466</v>
      </c>
      <c r="F207">
        <v>568.8367919921875</v>
      </c>
      <c r="H207" s="34"/>
      <c r="I207" s="34"/>
      <c r="J207" s="34"/>
      <c r="K207" s="34"/>
      <c r="L207" s="34"/>
      <c r="N207" s="34"/>
      <c r="O207" s="35"/>
      <c r="P207" s="35"/>
      <c r="Q207" s="35"/>
      <c r="R207" s="35"/>
      <c r="S207" s="74"/>
      <c r="AJ207" s="34"/>
      <c r="AK207" s="34"/>
      <c r="AL207" s="34"/>
      <c r="AM207" s="34"/>
      <c r="AN207" s="34"/>
      <c r="AQ207" s="67"/>
      <c r="AR207" s="67"/>
      <c r="AS207" s="67"/>
      <c r="AT207" s="67"/>
      <c r="AU207" s="67"/>
      <c r="AW207" s="68"/>
      <c r="AX207" s="68"/>
      <c r="AY207" s="68"/>
      <c r="AZ207" s="68"/>
      <c r="BA207" s="68"/>
      <c r="BB207" s="68"/>
    </row>
    <row r="208" spans="1:54" ht="13.5" thickBot="1">
      <c r="A208" s="103">
        <v>38999</v>
      </c>
      <c r="B208" s="104">
        <v>5.241243839263916</v>
      </c>
      <c r="C208" s="105">
        <v>1350.6600341796875</v>
      </c>
      <c r="D208" s="104">
        <v>1.8672000169754028</v>
      </c>
      <c r="E208">
        <v>119.11851780933858</v>
      </c>
      <c r="F208">
        <v>578.86785888671875</v>
      </c>
      <c r="H208" s="34"/>
      <c r="I208" s="34"/>
      <c r="J208" s="34"/>
      <c r="K208" s="34"/>
      <c r="L208" s="34"/>
      <c r="N208" s="34"/>
      <c r="O208" s="35"/>
      <c r="P208" s="35"/>
      <c r="Q208" s="35"/>
      <c r="R208" s="35"/>
      <c r="S208" s="74"/>
      <c r="AJ208" s="34"/>
      <c r="AK208" s="34"/>
      <c r="AL208" s="34"/>
      <c r="AM208" s="34"/>
      <c r="AN208" s="34"/>
      <c r="AQ208" s="67"/>
      <c r="AR208" s="67"/>
      <c r="AS208" s="67"/>
      <c r="AT208" s="67"/>
      <c r="AU208" s="67"/>
      <c r="AW208" s="68"/>
      <c r="AX208" s="68"/>
      <c r="AY208" s="68"/>
      <c r="AZ208" s="68"/>
      <c r="BA208" s="68"/>
      <c r="BB208" s="68"/>
    </row>
    <row r="209" spans="1:54" ht="13.5" thickBot="1">
      <c r="A209" s="103">
        <v>39000</v>
      </c>
      <c r="B209" s="104">
        <v>5.3004999160766602</v>
      </c>
      <c r="C209" s="105">
        <v>1353.4200439453125</v>
      </c>
      <c r="D209" s="104">
        <v>1.8547999858856201</v>
      </c>
      <c r="E209">
        <v>119.71747286336829</v>
      </c>
      <c r="F209">
        <v>572.36822509765625</v>
      </c>
      <c r="H209" s="34"/>
      <c r="I209" s="34"/>
      <c r="J209" s="34"/>
      <c r="K209" s="34"/>
      <c r="L209" s="34"/>
      <c r="N209" s="34"/>
      <c r="O209" s="35"/>
      <c r="P209" s="35"/>
      <c r="Q209" s="35"/>
      <c r="R209" s="35"/>
      <c r="S209" s="74"/>
      <c r="AJ209" s="34"/>
      <c r="AK209" s="34"/>
      <c r="AL209" s="34"/>
      <c r="AM209" s="34"/>
      <c r="AN209" s="34"/>
      <c r="AQ209" s="67"/>
      <c r="AR209" s="67"/>
      <c r="AS209" s="67"/>
      <c r="AT209" s="67"/>
      <c r="AU209" s="67"/>
      <c r="AW209" s="68"/>
      <c r="AX209" s="68"/>
      <c r="AY209" s="68"/>
      <c r="AZ209" s="68"/>
      <c r="BA209" s="68"/>
      <c r="BB209" s="68"/>
    </row>
    <row r="210" spans="1:54" ht="13.5" thickBot="1">
      <c r="A210" s="103">
        <v>39001</v>
      </c>
      <c r="B210" s="104">
        <v>5.3390002250671387</v>
      </c>
      <c r="C210" s="105">
        <v>1349.949951171875</v>
      </c>
      <c r="D210" s="104">
        <v>1.8549000024795532</v>
      </c>
      <c r="E210">
        <v>119.66017077405536</v>
      </c>
      <c r="F210">
        <v>576.867919921875</v>
      </c>
      <c r="H210" s="34"/>
      <c r="I210" s="34"/>
      <c r="J210" s="34"/>
      <c r="K210" s="34"/>
      <c r="L210" s="34"/>
      <c r="N210" s="34"/>
      <c r="O210" s="35"/>
      <c r="P210" s="35"/>
      <c r="Q210" s="35"/>
      <c r="R210" s="35"/>
      <c r="S210" s="74"/>
      <c r="AJ210" s="34"/>
      <c r="AK210" s="34"/>
      <c r="AL210" s="34"/>
      <c r="AM210" s="34"/>
      <c r="AN210" s="34"/>
      <c r="AQ210" s="67"/>
      <c r="AR210" s="67"/>
      <c r="AS210" s="67"/>
      <c r="AT210" s="67"/>
      <c r="AU210" s="67"/>
      <c r="AW210" s="68"/>
      <c r="AX210" s="68"/>
      <c r="AY210" s="68"/>
      <c r="AZ210" s="68"/>
      <c r="BA210" s="68"/>
      <c r="BB210" s="68"/>
    </row>
    <row r="211" spans="1:54" ht="13.5" thickBot="1">
      <c r="A211" s="103">
        <v>39002</v>
      </c>
      <c r="B211" s="104">
        <v>5.3305001258850098</v>
      </c>
      <c r="C211" s="105">
        <v>1362.8299560546875</v>
      </c>
      <c r="D211" s="104">
        <v>1.8582999706268311</v>
      </c>
      <c r="E211">
        <v>119.40298210036977</v>
      </c>
      <c r="F211">
        <v>575.93597412109375</v>
      </c>
      <c r="H211" s="34"/>
      <c r="I211" s="34"/>
      <c r="J211" s="34"/>
      <c r="K211" s="34"/>
      <c r="L211" s="34"/>
      <c r="N211" s="34"/>
      <c r="O211" s="35"/>
      <c r="P211" s="35"/>
      <c r="Q211" s="35"/>
      <c r="R211" s="35"/>
      <c r="S211" s="74"/>
      <c r="AJ211" s="34"/>
      <c r="AK211" s="34"/>
      <c r="AL211" s="34"/>
      <c r="AM211" s="34"/>
      <c r="AN211" s="34"/>
      <c r="AQ211" s="67"/>
      <c r="AR211" s="67"/>
      <c r="AS211" s="67"/>
      <c r="AT211" s="67"/>
      <c r="AU211" s="67"/>
      <c r="AW211" s="68"/>
      <c r="AX211" s="68"/>
      <c r="AY211" s="68"/>
      <c r="AZ211" s="68"/>
      <c r="BA211" s="68"/>
      <c r="BB211" s="68"/>
    </row>
    <row r="212" spans="1:54" ht="13.5" thickBot="1">
      <c r="A212" s="103">
        <v>39003</v>
      </c>
      <c r="B212" s="104">
        <v>5.3559999465942383</v>
      </c>
      <c r="C212" s="105">
        <v>1365.6199951171875</v>
      </c>
      <c r="D212" s="104">
        <v>1.8561999797821045</v>
      </c>
      <c r="E212">
        <v>119.67448114935634</v>
      </c>
      <c r="F212">
        <v>586.53485107421875</v>
      </c>
      <c r="H212" s="34"/>
      <c r="I212" s="34"/>
      <c r="J212" s="34"/>
      <c r="K212" s="34"/>
      <c r="L212" s="34"/>
      <c r="N212" s="34"/>
      <c r="O212" s="35"/>
      <c r="P212" s="35"/>
      <c r="Q212" s="35"/>
      <c r="R212" s="35"/>
      <c r="S212" s="74"/>
      <c r="AJ212" s="34"/>
      <c r="AK212" s="34"/>
      <c r="AL212" s="34"/>
      <c r="AM212" s="34"/>
      <c r="AN212" s="34"/>
      <c r="AQ212" s="67"/>
      <c r="AR212" s="67"/>
      <c r="AS212" s="67"/>
      <c r="AT212" s="67"/>
      <c r="AU212" s="67"/>
      <c r="AW212" s="68"/>
      <c r="AX212" s="68"/>
      <c r="AY212" s="68"/>
      <c r="AZ212" s="68"/>
      <c r="BA212" s="68"/>
      <c r="BB212" s="68"/>
    </row>
    <row r="213" spans="1:54" ht="13.5" thickBot="1">
      <c r="A213" s="103">
        <v>39006</v>
      </c>
      <c r="B213" s="104">
        <v>5.3330001831054687</v>
      </c>
      <c r="C213" s="105">
        <v>1369.050048828125</v>
      </c>
      <c r="D213" s="104">
        <v>1.8605999946594238</v>
      </c>
      <c r="E213">
        <v>119.13271213356634</v>
      </c>
      <c r="F213">
        <v>594.46697998046875</v>
      </c>
      <c r="H213" s="34"/>
      <c r="I213" s="34"/>
      <c r="J213" s="34"/>
      <c r="K213" s="34"/>
      <c r="L213" s="34"/>
      <c r="N213" s="34"/>
      <c r="O213" s="35"/>
      <c r="P213" s="35"/>
      <c r="Q213" s="35"/>
      <c r="R213" s="35"/>
      <c r="S213" s="74"/>
      <c r="AJ213" s="34"/>
      <c r="AK213" s="34"/>
      <c r="AL213" s="34"/>
      <c r="AM213" s="34"/>
      <c r="AN213" s="34"/>
      <c r="AQ213" s="67"/>
      <c r="AR213" s="67"/>
      <c r="AS213" s="67"/>
      <c r="AT213" s="67"/>
      <c r="AU213" s="67"/>
      <c r="AW213" s="68"/>
      <c r="AX213" s="68"/>
      <c r="AY213" s="68"/>
      <c r="AZ213" s="68"/>
      <c r="BA213" s="68"/>
      <c r="BB213" s="68"/>
    </row>
    <row r="214" spans="1:54" ht="13.5" thickBot="1">
      <c r="A214" s="103">
        <v>39007</v>
      </c>
      <c r="B214" s="104">
        <v>5.3159999847412109</v>
      </c>
      <c r="C214" s="105">
        <v>1364.050048828125</v>
      </c>
      <c r="D214" s="104">
        <v>1.8710000514984131</v>
      </c>
      <c r="E214">
        <v>118.8636629216717</v>
      </c>
      <c r="F214">
        <v>587.46734619140625</v>
      </c>
      <c r="H214" s="34"/>
      <c r="I214" s="34"/>
      <c r="J214" s="34"/>
      <c r="K214" s="34"/>
      <c r="L214" s="34"/>
      <c r="N214" s="34"/>
      <c r="O214" s="35"/>
      <c r="P214" s="35"/>
      <c r="Q214" s="35"/>
      <c r="R214" s="35"/>
      <c r="S214" s="74"/>
      <c r="AJ214" s="34"/>
      <c r="AK214" s="34"/>
      <c r="AL214" s="34"/>
      <c r="AM214" s="34"/>
      <c r="AN214" s="34"/>
      <c r="AQ214" s="67"/>
      <c r="AR214" s="67"/>
      <c r="AS214" s="67"/>
      <c r="AT214" s="67"/>
      <c r="AU214" s="67"/>
      <c r="AW214" s="68"/>
      <c r="AX214" s="68"/>
      <c r="AY214" s="68"/>
      <c r="AZ214" s="68"/>
      <c r="BA214" s="68"/>
      <c r="BB214" s="68"/>
    </row>
    <row r="215" spans="1:54" ht="13.5" thickBot="1">
      <c r="A215" s="103">
        <v>39008</v>
      </c>
      <c r="B215" s="104">
        <v>5.3014998435974121</v>
      </c>
      <c r="C215" s="105">
        <v>1365.9599609375</v>
      </c>
      <c r="D215" s="104">
        <v>1.8675999641418457</v>
      </c>
      <c r="E215">
        <v>118.92020451662098</v>
      </c>
      <c r="F215">
        <v>593.467041015625</v>
      </c>
      <c r="H215" s="34"/>
      <c r="I215" s="34"/>
      <c r="J215" s="34"/>
      <c r="K215" s="34"/>
      <c r="L215" s="34"/>
      <c r="N215" s="34"/>
      <c r="O215" s="35"/>
      <c r="P215" s="35"/>
      <c r="Q215" s="35"/>
      <c r="R215" s="35"/>
      <c r="S215" s="74"/>
      <c r="AJ215" s="34"/>
      <c r="AK215" s="34"/>
      <c r="AL215" s="34"/>
      <c r="AM215" s="34"/>
      <c r="AN215" s="34"/>
      <c r="AQ215" s="67"/>
      <c r="AR215" s="67"/>
      <c r="AS215" s="67"/>
      <c r="AT215" s="67"/>
      <c r="AU215" s="67"/>
      <c r="AW215" s="68"/>
      <c r="AX215" s="68"/>
      <c r="AY215" s="68"/>
      <c r="AZ215" s="68"/>
      <c r="BA215" s="68"/>
      <c r="BB215" s="68"/>
    </row>
    <row r="216" spans="1:54" ht="13.5" thickBot="1">
      <c r="A216" s="103">
        <v>39009</v>
      </c>
      <c r="B216" s="104">
        <v>5.3220000267028809</v>
      </c>
      <c r="C216" s="105">
        <v>1366.9599609375</v>
      </c>
      <c r="D216" s="104">
        <v>1.877500057220459</v>
      </c>
      <c r="E216">
        <v>118.17537634535229</v>
      </c>
      <c r="F216">
        <v>599.43341064453125</v>
      </c>
      <c r="H216" s="34"/>
      <c r="I216" s="34"/>
      <c r="J216" s="34"/>
      <c r="K216" s="34"/>
      <c r="L216" s="34"/>
      <c r="N216" s="34"/>
      <c r="O216" s="35"/>
      <c r="P216" s="35"/>
      <c r="Q216" s="35"/>
      <c r="R216" s="35"/>
      <c r="S216" s="74"/>
      <c r="AJ216" s="34"/>
      <c r="AK216" s="34"/>
      <c r="AL216" s="34"/>
      <c r="AM216" s="34"/>
      <c r="AN216" s="34"/>
      <c r="AQ216" s="67"/>
      <c r="AR216" s="67"/>
      <c r="AS216" s="67"/>
      <c r="AT216" s="67"/>
      <c r="AU216" s="67"/>
      <c r="AW216" s="68"/>
      <c r="AX216" s="68"/>
      <c r="AY216" s="68"/>
      <c r="AZ216" s="68"/>
      <c r="BA216" s="68"/>
      <c r="BB216" s="68"/>
    </row>
    <row r="217" spans="1:54" ht="13.5" thickBot="1">
      <c r="A217" s="103">
        <v>39010</v>
      </c>
      <c r="B217" s="104">
        <v>5.3220000267028809</v>
      </c>
      <c r="C217" s="105">
        <v>1368.5999755859375</v>
      </c>
      <c r="D217" s="104">
        <v>1.8838000297546387</v>
      </c>
      <c r="E217">
        <v>118.69436027536196</v>
      </c>
      <c r="F217">
        <v>594.07830810546875</v>
      </c>
      <c r="H217" s="34"/>
      <c r="I217" s="34"/>
      <c r="J217" s="34"/>
      <c r="K217" s="34"/>
      <c r="L217" s="34"/>
      <c r="N217" s="34"/>
      <c r="O217" s="35"/>
      <c r="P217" s="35"/>
      <c r="Q217" s="35"/>
      <c r="R217" s="35"/>
      <c r="S217" s="74"/>
      <c r="AJ217" s="34"/>
      <c r="AK217" s="34"/>
      <c r="AL217" s="34"/>
      <c r="AM217" s="34"/>
      <c r="AN217" s="34"/>
      <c r="AQ217" s="67"/>
      <c r="AR217" s="67"/>
      <c r="AS217" s="67"/>
      <c r="AT217" s="67"/>
      <c r="AU217" s="67"/>
      <c r="AW217" s="68"/>
      <c r="AX217" s="68"/>
      <c r="AY217" s="68"/>
      <c r="AZ217" s="68"/>
      <c r="BA217" s="68"/>
      <c r="BB217" s="68"/>
    </row>
    <row r="218" spans="1:54" ht="13.5" thickBot="1">
      <c r="A218" s="103">
        <v>39013</v>
      </c>
      <c r="B218" s="104">
        <v>5.3619999885559082</v>
      </c>
      <c r="C218" s="105">
        <v>1377.02001953125</v>
      </c>
      <c r="D218" s="104">
        <v>1.8739000558853149</v>
      </c>
      <c r="E218">
        <v>119.30326849556405</v>
      </c>
      <c r="F218">
        <v>583.46759033203125</v>
      </c>
      <c r="H218" s="34"/>
      <c r="I218" s="34"/>
      <c r="J218" s="34"/>
      <c r="K218" s="34"/>
      <c r="L218" s="34"/>
      <c r="N218" s="34"/>
      <c r="O218" s="35"/>
      <c r="P218" s="35"/>
      <c r="Q218" s="35"/>
      <c r="R218" s="35"/>
      <c r="S218" s="74"/>
      <c r="AJ218" s="34"/>
      <c r="AK218" s="34"/>
      <c r="AL218" s="34"/>
      <c r="AM218" s="34"/>
      <c r="AN218" s="34"/>
      <c r="AQ218" s="67"/>
      <c r="AR218" s="67"/>
      <c r="AS218" s="67"/>
      <c r="AT218" s="67"/>
      <c r="AU218" s="67"/>
      <c r="AW218" s="68"/>
      <c r="AX218" s="68"/>
      <c r="AY218" s="68"/>
      <c r="AZ218" s="68"/>
      <c r="BA218" s="68"/>
      <c r="BB218" s="68"/>
    </row>
    <row r="219" spans="1:54" ht="13.5" thickBot="1">
      <c r="A219" s="103">
        <v>39014</v>
      </c>
      <c r="B219" s="104">
        <v>5.3614997863769531</v>
      </c>
      <c r="C219" s="105">
        <v>1377.3800048828125</v>
      </c>
      <c r="D219" s="104">
        <v>1.8734999895095825</v>
      </c>
      <c r="E219">
        <v>119.30326849556405</v>
      </c>
      <c r="F219">
        <v>583.967529296875</v>
      </c>
      <c r="H219" s="34"/>
      <c r="I219" s="34"/>
      <c r="J219" s="34"/>
      <c r="K219" s="34"/>
      <c r="L219" s="34"/>
      <c r="N219" s="34"/>
      <c r="O219" s="35"/>
      <c r="P219" s="35"/>
      <c r="Q219" s="35"/>
      <c r="R219" s="35"/>
      <c r="S219" s="74"/>
      <c r="AJ219" s="34"/>
      <c r="AK219" s="34"/>
      <c r="AL219" s="34"/>
      <c r="AM219" s="34"/>
      <c r="AN219" s="34"/>
      <c r="AQ219" s="67"/>
      <c r="AR219" s="67"/>
      <c r="AS219" s="67"/>
      <c r="AT219" s="67"/>
      <c r="AU219" s="67"/>
      <c r="AW219" s="68"/>
      <c r="AX219" s="68"/>
      <c r="AY219" s="68"/>
      <c r="AZ219" s="68"/>
      <c r="BA219" s="68"/>
      <c r="BB219" s="68"/>
    </row>
    <row r="220" spans="1:54" ht="13.5" thickBot="1">
      <c r="A220" s="103">
        <v>39015</v>
      </c>
      <c r="B220" s="104">
        <v>5.304999828338623</v>
      </c>
      <c r="C220" s="105">
        <v>1382.219970703125</v>
      </c>
      <c r="D220" s="104">
        <v>1.87909996509552</v>
      </c>
      <c r="E220">
        <v>119.01927855423092</v>
      </c>
      <c r="F220">
        <v>589.46722412109375</v>
      </c>
      <c r="H220" s="34"/>
      <c r="I220" s="34"/>
      <c r="J220" s="34"/>
      <c r="K220" s="34"/>
      <c r="L220" s="34"/>
      <c r="N220" s="34"/>
      <c r="O220" s="35"/>
      <c r="P220" s="35"/>
      <c r="Q220" s="35"/>
      <c r="R220" s="35"/>
      <c r="S220" s="74"/>
      <c r="AJ220" s="34"/>
      <c r="AK220" s="34"/>
      <c r="AL220" s="34"/>
      <c r="AM220" s="34"/>
      <c r="AN220" s="34"/>
      <c r="AQ220" s="67"/>
      <c r="AR220" s="67"/>
      <c r="AS220" s="67"/>
      <c r="AT220" s="67"/>
      <c r="AU220" s="67"/>
      <c r="AW220" s="68"/>
      <c r="AX220" s="68"/>
      <c r="AY220" s="68"/>
      <c r="AZ220" s="68"/>
      <c r="BA220" s="68"/>
      <c r="BB220" s="68"/>
    </row>
    <row r="221" spans="1:54" ht="13.5" thickBot="1">
      <c r="A221" s="103">
        <v>39016</v>
      </c>
      <c r="B221" s="104">
        <v>5.2465000152587891</v>
      </c>
      <c r="C221" s="105">
        <v>1389.0799560546875</v>
      </c>
      <c r="D221" s="104">
        <v>1.8906999826431274</v>
      </c>
      <c r="E221">
        <v>118.39924806118721</v>
      </c>
      <c r="F221">
        <v>596.4337158203125</v>
      </c>
      <c r="H221" s="34"/>
      <c r="I221" s="34"/>
      <c r="J221" s="34"/>
      <c r="K221" s="34"/>
      <c r="L221" s="34"/>
      <c r="N221" s="34"/>
      <c r="O221" s="35"/>
      <c r="P221" s="35"/>
      <c r="Q221" s="35"/>
      <c r="R221" s="35"/>
      <c r="S221" s="74"/>
      <c r="AJ221" s="34"/>
      <c r="AK221" s="34"/>
      <c r="AL221" s="34"/>
      <c r="AM221" s="34"/>
      <c r="AN221" s="34"/>
      <c r="AQ221" s="67"/>
      <c r="AR221" s="67"/>
      <c r="AS221" s="67"/>
      <c r="AT221" s="67"/>
      <c r="AU221" s="67"/>
      <c r="AW221" s="68"/>
      <c r="AX221" s="68"/>
      <c r="AY221" s="68"/>
      <c r="AZ221" s="68"/>
      <c r="BA221" s="68"/>
      <c r="BB221" s="68"/>
    </row>
    <row r="222" spans="1:54" ht="13.5" thickBot="1">
      <c r="A222" s="103">
        <v>39017</v>
      </c>
      <c r="B222" s="104">
        <v>5.1999998092651367</v>
      </c>
      <c r="C222" s="105">
        <v>1377.3399658203125</v>
      </c>
      <c r="D222" s="104">
        <v>1.8964999914169312</v>
      </c>
      <c r="E222">
        <v>117.50881216099339</v>
      </c>
      <c r="F222">
        <v>596.4337158203125</v>
      </c>
      <c r="H222" s="34"/>
      <c r="I222" s="34"/>
      <c r="J222" s="34"/>
      <c r="K222" s="34"/>
      <c r="L222" s="34"/>
      <c r="N222" s="34"/>
      <c r="O222" s="35"/>
      <c r="P222" s="35"/>
      <c r="Q222" s="35"/>
      <c r="R222" s="35"/>
      <c r="S222" s="74"/>
      <c r="AJ222" s="34"/>
      <c r="AK222" s="34"/>
      <c r="AL222" s="34"/>
      <c r="AM222" s="34"/>
      <c r="AN222" s="34"/>
      <c r="AQ222" s="67"/>
      <c r="AR222" s="67"/>
      <c r="AS222" s="67"/>
      <c r="AT222" s="67"/>
      <c r="AU222" s="67"/>
      <c r="AW222" s="68"/>
      <c r="AX222" s="68"/>
      <c r="AY222" s="68"/>
      <c r="AZ222" s="68"/>
      <c r="BA222" s="68"/>
      <c r="BB222" s="68"/>
    </row>
    <row r="223" spans="1:54" ht="13.5" thickBot="1">
      <c r="A223" s="103">
        <v>39020</v>
      </c>
      <c r="B223" s="104">
        <v>5.2005000114440918</v>
      </c>
      <c r="C223" s="105">
        <v>1377.9300537109375</v>
      </c>
      <c r="D223" s="104">
        <v>1.9019999504089355</v>
      </c>
      <c r="E223">
        <v>117.38466441177071</v>
      </c>
      <c r="F223">
        <v>604.4664306640625</v>
      </c>
      <c r="H223" s="34"/>
      <c r="I223" s="34"/>
      <c r="J223" s="34"/>
      <c r="K223" s="34"/>
      <c r="L223" s="34"/>
      <c r="N223" s="34"/>
      <c r="O223" s="35"/>
      <c r="P223" s="35"/>
      <c r="Q223" s="35"/>
      <c r="R223" s="35"/>
      <c r="S223" s="74"/>
      <c r="AJ223" s="34"/>
      <c r="AK223" s="34"/>
      <c r="AL223" s="34"/>
      <c r="AM223" s="34"/>
      <c r="AN223" s="34"/>
      <c r="AQ223" s="67"/>
      <c r="AR223" s="67"/>
      <c r="AS223" s="67"/>
      <c r="AT223" s="67"/>
      <c r="AU223" s="67"/>
      <c r="AW223" s="68"/>
      <c r="AX223" s="68"/>
      <c r="AY223" s="68"/>
      <c r="AZ223" s="68"/>
      <c r="BA223" s="68"/>
      <c r="BB223" s="68"/>
    </row>
    <row r="224" spans="1:54" ht="13.5" thickBot="1">
      <c r="A224" s="103">
        <v>39021</v>
      </c>
      <c r="B224" s="104">
        <v>5.1314997673034668</v>
      </c>
      <c r="C224" s="105">
        <v>1377.93994140625</v>
      </c>
      <c r="D224" s="104">
        <v>1.9077999591827393</v>
      </c>
      <c r="E224">
        <v>116.94539079716903</v>
      </c>
      <c r="F224">
        <v>604.51641845703125</v>
      </c>
      <c r="H224" s="34"/>
      <c r="I224" s="34"/>
      <c r="J224" s="34"/>
      <c r="K224" s="34"/>
      <c r="L224" s="34"/>
      <c r="N224" s="34"/>
      <c r="O224" s="35"/>
      <c r="P224" s="35"/>
      <c r="Q224" s="35"/>
      <c r="R224" s="35"/>
      <c r="S224" s="74"/>
      <c r="AJ224" s="34"/>
      <c r="AK224" s="34"/>
      <c r="AL224" s="34"/>
      <c r="AM224" s="34"/>
      <c r="AN224" s="34"/>
      <c r="AQ224" s="67"/>
      <c r="AR224" s="67"/>
      <c r="AS224" s="67"/>
      <c r="AT224" s="67"/>
      <c r="AU224" s="67"/>
      <c r="AW224" s="68"/>
      <c r="AX224" s="68"/>
      <c r="AY224" s="68"/>
      <c r="AZ224" s="68"/>
      <c r="BA224" s="68"/>
      <c r="BB224" s="68"/>
    </row>
    <row r="225" spans="1:54" ht="13.5" thickBot="1">
      <c r="A225" s="103">
        <v>39022</v>
      </c>
      <c r="B225" s="104">
        <v>5.0834999084472656</v>
      </c>
      <c r="C225" s="105">
        <v>1367.81005859375</v>
      </c>
      <c r="D225" s="104">
        <v>1.9081000089645386</v>
      </c>
      <c r="E225">
        <v>117.05490388288381</v>
      </c>
      <c r="F225">
        <v>614.8658447265625</v>
      </c>
      <c r="H225" s="34"/>
      <c r="I225" s="34"/>
      <c r="J225" s="34"/>
      <c r="K225" s="34"/>
      <c r="L225" s="34"/>
      <c r="N225" s="34"/>
      <c r="O225" s="35"/>
      <c r="P225" s="35"/>
      <c r="Q225" s="35"/>
      <c r="R225" s="35"/>
      <c r="S225" s="74"/>
      <c r="AJ225" s="34"/>
      <c r="AK225" s="34"/>
      <c r="AL225" s="34"/>
      <c r="AM225" s="34"/>
      <c r="AN225" s="34"/>
      <c r="AQ225" s="67"/>
      <c r="AR225" s="67"/>
      <c r="AS225" s="67"/>
      <c r="AT225" s="67"/>
      <c r="AU225" s="67"/>
      <c r="AW225" s="68"/>
      <c r="AX225" s="68"/>
      <c r="AY225" s="68"/>
      <c r="AZ225" s="68"/>
      <c r="BA225" s="68"/>
      <c r="BB225" s="68"/>
    </row>
    <row r="226" spans="1:54" ht="13.5" thickBot="1">
      <c r="A226" s="103">
        <v>39023</v>
      </c>
      <c r="B226" s="104">
        <v>5.1185002326965332</v>
      </c>
      <c r="C226" s="105">
        <v>1367.3399658203125</v>
      </c>
      <c r="D226" s="104">
        <v>1.9085999727249146</v>
      </c>
      <c r="E226">
        <v>117.15089302664569</v>
      </c>
      <c r="F226">
        <v>623.03076171875</v>
      </c>
      <c r="H226" s="34"/>
      <c r="I226" s="34"/>
      <c r="J226" s="34"/>
      <c r="K226" s="34"/>
      <c r="L226" s="34"/>
      <c r="N226" s="34"/>
      <c r="O226" s="35"/>
      <c r="P226" s="35"/>
      <c r="Q226" s="35"/>
      <c r="R226" s="35"/>
      <c r="S226" s="74"/>
      <c r="AJ226" s="34"/>
      <c r="AK226" s="34"/>
      <c r="AL226" s="34"/>
      <c r="AM226" s="34"/>
      <c r="AN226" s="34"/>
      <c r="AQ226" s="67"/>
      <c r="AR226" s="67"/>
      <c r="AS226" s="67"/>
      <c r="AT226" s="67"/>
      <c r="AU226" s="67"/>
      <c r="AW226" s="68"/>
      <c r="AX226" s="68"/>
      <c r="AY226" s="68"/>
      <c r="AZ226" s="68"/>
      <c r="BA226" s="68"/>
      <c r="BB226" s="68"/>
    </row>
    <row r="227" spans="1:54" ht="13.5" thickBot="1">
      <c r="A227" s="103">
        <v>39024</v>
      </c>
      <c r="B227" s="104">
        <v>5.2480001449584961</v>
      </c>
      <c r="C227" s="105">
        <v>1364.300048828125</v>
      </c>
      <c r="D227" s="104">
        <v>1.8999999761581421</v>
      </c>
      <c r="E227">
        <v>118.03587944297854</v>
      </c>
      <c r="F227">
        <v>628.13018798828125</v>
      </c>
      <c r="H227" s="34"/>
      <c r="I227" s="34"/>
      <c r="J227" s="34"/>
      <c r="K227" s="34"/>
      <c r="L227" s="34"/>
      <c r="N227" s="34"/>
      <c r="O227" s="35"/>
      <c r="P227" s="35"/>
      <c r="Q227" s="35"/>
      <c r="R227" s="35"/>
      <c r="S227" s="74"/>
      <c r="AJ227" s="34"/>
      <c r="AK227" s="34"/>
      <c r="AL227" s="34"/>
      <c r="AM227" s="34"/>
      <c r="AN227" s="34"/>
      <c r="AQ227" s="67"/>
      <c r="AR227" s="67"/>
      <c r="AS227" s="67"/>
      <c r="AT227" s="67"/>
      <c r="AU227" s="67"/>
      <c r="AW227" s="68"/>
      <c r="AX227" s="68"/>
      <c r="AY227" s="68"/>
      <c r="AZ227" s="68"/>
      <c r="BA227" s="68"/>
      <c r="BB227" s="68"/>
    </row>
    <row r="228" spans="1:54" ht="13.5" thickBot="1">
      <c r="A228" s="103">
        <v>39027</v>
      </c>
      <c r="B228" s="104">
        <v>5.2395000457763672</v>
      </c>
      <c r="C228" s="105">
        <v>1379.780029296875</v>
      </c>
      <c r="D228" s="104">
        <v>1.8970999717712402</v>
      </c>
      <c r="E228">
        <v>118.27321270603791</v>
      </c>
      <c r="F228">
        <v>627.1651611328125</v>
      </c>
      <c r="H228" s="34"/>
      <c r="I228" s="34"/>
      <c r="J228" s="34"/>
      <c r="K228" s="34"/>
      <c r="L228" s="34"/>
      <c r="N228" s="34"/>
      <c r="O228" s="35"/>
      <c r="P228" s="35"/>
      <c r="Q228" s="35"/>
      <c r="R228" s="35"/>
      <c r="S228" s="74"/>
      <c r="AJ228" s="34"/>
      <c r="AK228" s="34"/>
      <c r="AL228" s="34"/>
      <c r="AM228" s="34"/>
      <c r="AN228" s="34"/>
      <c r="AQ228" s="67"/>
      <c r="AR228" s="67"/>
      <c r="AS228" s="67"/>
      <c r="AT228" s="67"/>
      <c r="AU228" s="67"/>
      <c r="AW228" s="68"/>
      <c r="AX228" s="68"/>
      <c r="AY228" s="68"/>
      <c r="AZ228" s="68"/>
      <c r="BA228" s="68"/>
      <c r="BB228" s="68"/>
    </row>
    <row r="229" spans="1:54" ht="13.5" thickBot="1">
      <c r="A229" s="103">
        <v>39028</v>
      </c>
      <c r="B229" s="104">
        <v>5.1840000152587891</v>
      </c>
      <c r="C229" s="105">
        <v>1382.8399658203125</v>
      </c>
      <c r="D229" s="104">
        <v>1.9055999517440796</v>
      </c>
      <c r="E229">
        <v>117.67474726176039</v>
      </c>
      <c r="F229">
        <v>628.26507568359375</v>
      </c>
      <c r="H229" s="34"/>
      <c r="I229" s="34"/>
      <c r="J229" s="34"/>
      <c r="K229" s="34"/>
      <c r="L229" s="34"/>
      <c r="N229" s="34"/>
      <c r="O229" s="35"/>
      <c r="P229" s="35"/>
      <c r="Q229" s="35"/>
      <c r="R229" s="35"/>
      <c r="S229" s="74"/>
      <c r="AJ229" s="34"/>
      <c r="AK229" s="34"/>
      <c r="AL229" s="34"/>
      <c r="AM229" s="34"/>
      <c r="AN229" s="34"/>
      <c r="AQ229" s="67"/>
      <c r="AR229" s="67"/>
      <c r="AS229" s="67"/>
      <c r="AT229" s="67"/>
      <c r="AU229" s="67"/>
      <c r="AW229" s="68"/>
      <c r="AX229" s="68"/>
      <c r="AY229" s="68"/>
      <c r="AZ229" s="68"/>
      <c r="BA229" s="68"/>
      <c r="BB229" s="68"/>
    </row>
    <row r="230" spans="1:54" ht="13.5" thickBot="1">
      <c r="A230" s="103">
        <v>39029</v>
      </c>
      <c r="B230" s="104">
        <v>5.1554999351501465</v>
      </c>
      <c r="C230" s="105">
        <v>1385.719970703125</v>
      </c>
      <c r="D230" s="104">
        <v>1.9059000015258789</v>
      </c>
      <c r="E230">
        <v>117.75788421770224</v>
      </c>
      <c r="F230">
        <v>621.4654541015625</v>
      </c>
      <c r="H230" s="34"/>
      <c r="I230" s="34"/>
      <c r="J230" s="34"/>
      <c r="K230" s="34"/>
      <c r="L230" s="34"/>
      <c r="N230" s="34"/>
      <c r="O230" s="35"/>
      <c r="P230" s="35"/>
      <c r="Q230" s="35"/>
      <c r="R230" s="35"/>
      <c r="S230" s="74"/>
      <c r="AJ230" s="34"/>
      <c r="AK230" s="34"/>
      <c r="AL230" s="34"/>
      <c r="AM230" s="34"/>
      <c r="AN230" s="34"/>
      <c r="AQ230" s="67"/>
      <c r="AR230" s="67"/>
      <c r="AS230" s="67"/>
      <c r="AT230" s="67"/>
      <c r="AU230" s="67"/>
      <c r="AW230" s="68"/>
      <c r="AX230" s="68"/>
      <c r="AY230" s="68"/>
      <c r="AZ230" s="68"/>
      <c r="BA230" s="68"/>
      <c r="BB230" s="68"/>
    </row>
    <row r="231" spans="1:54" ht="13.5" thickBot="1">
      <c r="A231" s="103">
        <v>39030</v>
      </c>
      <c r="B231" s="104">
        <v>5.1554999351501465</v>
      </c>
      <c r="C231" s="105">
        <v>1378.3299560546875</v>
      </c>
      <c r="D231" s="104">
        <v>1.9050999879837036</v>
      </c>
      <c r="E231">
        <v>117.92452399588768</v>
      </c>
      <c r="F231">
        <v>633.42962646484375</v>
      </c>
      <c r="H231" s="34"/>
      <c r="I231" s="34"/>
      <c r="J231" s="34"/>
      <c r="K231" s="34"/>
      <c r="L231" s="34"/>
      <c r="N231" s="34"/>
      <c r="O231" s="35"/>
      <c r="P231" s="35"/>
      <c r="Q231" s="35"/>
      <c r="R231" s="35"/>
      <c r="S231" s="74"/>
      <c r="AJ231" s="34"/>
      <c r="AK231" s="34"/>
      <c r="AL231" s="34"/>
      <c r="AM231" s="34"/>
      <c r="AN231" s="34"/>
      <c r="AQ231" s="67"/>
      <c r="AR231" s="67"/>
      <c r="AS231" s="67"/>
      <c r="AT231" s="67"/>
      <c r="AU231" s="67"/>
      <c r="AW231" s="68"/>
      <c r="AX231" s="68"/>
      <c r="AY231" s="68"/>
      <c r="AZ231" s="68"/>
      <c r="BA231" s="68"/>
      <c r="BB231" s="68"/>
    </row>
    <row r="232" spans="1:54" ht="13.5" thickBot="1">
      <c r="A232" s="103">
        <v>39031</v>
      </c>
      <c r="B232" s="104">
        <v>5.1135001182556152</v>
      </c>
      <c r="C232" s="105">
        <v>1380.9000244140625</v>
      </c>
      <c r="D232" s="104">
        <v>1.9112000465393066</v>
      </c>
      <c r="E232">
        <v>117.6055474972856</v>
      </c>
      <c r="F232">
        <v>628.23016357421875</v>
      </c>
      <c r="H232" s="34"/>
      <c r="I232" s="34"/>
      <c r="J232" s="34"/>
      <c r="K232" s="34"/>
      <c r="L232" s="34"/>
      <c r="N232" s="34"/>
      <c r="O232" s="35"/>
      <c r="P232" s="35"/>
      <c r="Q232" s="35"/>
      <c r="R232" s="35"/>
      <c r="S232" s="74"/>
      <c r="AJ232" s="34"/>
      <c r="AK232" s="34"/>
      <c r="AL232" s="34"/>
      <c r="AM232" s="34"/>
      <c r="AN232" s="34"/>
      <c r="AQ232" s="67"/>
      <c r="AR232" s="67"/>
      <c r="AS232" s="67"/>
      <c r="AT232" s="67"/>
      <c r="AU232" s="67"/>
      <c r="AW232" s="68"/>
      <c r="AX232" s="68"/>
      <c r="AY232" s="68"/>
      <c r="AZ232" s="68"/>
      <c r="BA232" s="68"/>
      <c r="BB232" s="68"/>
    </row>
    <row r="233" spans="1:54" ht="13.5" thickBot="1">
      <c r="A233" s="103">
        <v>39034</v>
      </c>
      <c r="B233" s="104">
        <v>5.132500171661377</v>
      </c>
      <c r="C233" s="105">
        <v>1384.4200439453125</v>
      </c>
      <c r="D233" s="104">
        <v>1.9010000228881836</v>
      </c>
      <c r="E233">
        <v>118.20330749408622</v>
      </c>
      <c r="F233">
        <v>623.76531982421875</v>
      </c>
      <c r="H233" s="34"/>
      <c r="I233" s="34"/>
      <c r="J233" s="34"/>
      <c r="K233" s="34"/>
      <c r="L233" s="34"/>
      <c r="N233" s="34"/>
      <c r="O233" s="35"/>
      <c r="P233" s="35"/>
      <c r="Q233" s="35"/>
      <c r="R233" s="35"/>
      <c r="S233" s="74"/>
      <c r="AJ233" s="34"/>
      <c r="AK233" s="34"/>
      <c r="AL233" s="34"/>
      <c r="AM233" s="34"/>
      <c r="AN233" s="34"/>
      <c r="AQ233" s="67"/>
      <c r="AR233" s="67"/>
      <c r="AS233" s="67"/>
      <c r="AT233" s="67"/>
      <c r="AU233" s="67"/>
      <c r="AW233" s="68"/>
      <c r="AX233" s="68"/>
      <c r="AY233" s="68"/>
      <c r="AZ233" s="68"/>
      <c r="BA233" s="68"/>
      <c r="BB233" s="68"/>
    </row>
    <row r="234" spans="1:54" ht="13.5" thickBot="1">
      <c r="A234" s="103">
        <v>39035</v>
      </c>
      <c r="B234" s="104">
        <v>5.0859999656677246</v>
      </c>
      <c r="C234" s="105">
        <v>1393.219970703125</v>
      </c>
      <c r="D234" s="104">
        <v>1.8973000049591064</v>
      </c>
      <c r="E234">
        <v>117.50881216099339</v>
      </c>
      <c r="F234">
        <v>622.0654296875</v>
      </c>
      <c r="H234" s="34"/>
      <c r="I234" s="34"/>
      <c r="J234" s="34"/>
      <c r="K234" s="34"/>
      <c r="L234" s="34"/>
      <c r="N234" s="34"/>
      <c r="O234" s="35"/>
      <c r="P234" s="35"/>
      <c r="Q234" s="35"/>
      <c r="R234" s="35"/>
      <c r="S234" s="74"/>
      <c r="AJ234" s="34"/>
      <c r="AK234" s="34"/>
      <c r="AL234" s="34"/>
      <c r="AM234" s="34"/>
      <c r="AN234" s="34"/>
      <c r="AQ234" s="67"/>
      <c r="AR234" s="67"/>
      <c r="AS234" s="67"/>
      <c r="AT234" s="67"/>
      <c r="AU234" s="67"/>
      <c r="AW234" s="68"/>
      <c r="AX234" s="68"/>
      <c r="AY234" s="68"/>
      <c r="AZ234" s="68"/>
      <c r="BA234" s="68"/>
      <c r="BB234" s="68"/>
    </row>
    <row r="235" spans="1:54" ht="13.5" thickBot="1">
      <c r="A235" s="103">
        <v>39036</v>
      </c>
      <c r="B235" s="104">
        <v>5.132500171661377</v>
      </c>
      <c r="C235" s="105">
        <v>1396.5699462890625</v>
      </c>
      <c r="D235" s="104">
        <v>1.88919997215271</v>
      </c>
      <c r="E235">
        <v>118.04981690732521</v>
      </c>
      <c r="F235">
        <v>623.265380859375</v>
      </c>
      <c r="H235" s="34"/>
      <c r="I235" s="34"/>
      <c r="J235" s="34"/>
      <c r="K235" s="34"/>
      <c r="L235" s="34"/>
      <c r="N235" s="34"/>
      <c r="O235" s="35"/>
      <c r="P235" s="35"/>
      <c r="Q235" s="35"/>
      <c r="R235" s="35"/>
      <c r="S235" s="74"/>
      <c r="AJ235" s="34"/>
      <c r="AK235" s="34"/>
      <c r="AL235" s="34"/>
      <c r="AM235" s="34"/>
      <c r="AN235" s="34"/>
      <c r="AQ235" s="67"/>
      <c r="AR235" s="67"/>
      <c r="AS235" s="67"/>
      <c r="AT235" s="67"/>
      <c r="AU235" s="67"/>
      <c r="AW235" s="68"/>
      <c r="AX235" s="68"/>
      <c r="AY235" s="68"/>
      <c r="AZ235" s="68"/>
      <c r="BA235" s="68"/>
      <c r="BB235" s="68"/>
    </row>
    <row r="236" spans="1:54" ht="13.5" thickBot="1">
      <c r="A236" s="103">
        <v>39037</v>
      </c>
      <c r="B236" s="104">
        <v>5.1574997901916504</v>
      </c>
      <c r="C236" s="105">
        <v>1399.760009765625</v>
      </c>
      <c r="D236" s="104">
        <v>1.888700008392334</v>
      </c>
      <c r="E236">
        <v>118.21728452802236</v>
      </c>
      <c r="F236">
        <v>621.23095703125</v>
      </c>
      <c r="H236" s="34"/>
      <c r="I236" s="34"/>
      <c r="J236" s="34"/>
      <c r="K236" s="34"/>
      <c r="L236" s="34"/>
      <c r="N236" s="34"/>
      <c r="O236" s="35"/>
      <c r="P236" s="35"/>
      <c r="Q236" s="35"/>
      <c r="R236" s="35"/>
      <c r="S236" s="74"/>
      <c r="AJ236" s="34"/>
      <c r="AK236" s="34"/>
      <c r="AL236" s="34"/>
      <c r="AM236" s="34"/>
      <c r="AN236" s="34"/>
      <c r="AQ236" s="67"/>
      <c r="AR236" s="67"/>
      <c r="AS236" s="67"/>
      <c r="AT236" s="67"/>
      <c r="AU236" s="67"/>
      <c r="AW236" s="68"/>
      <c r="AX236" s="68"/>
      <c r="AY236" s="68"/>
      <c r="AZ236" s="68"/>
      <c r="BA236" s="68"/>
      <c r="BB236" s="68"/>
    </row>
    <row r="237" spans="1:54" ht="13.5" thickBot="1">
      <c r="A237" s="103">
        <v>39038</v>
      </c>
      <c r="B237" s="104">
        <v>5.0980000495910645</v>
      </c>
      <c r="C237" s="105">
        <v>1401.199951171875</v>
      </c>
      <c r="D237" s="104">
        <v>1.8939000368118286</v>
      </c>
      <c r="E237">
        <v>117.78563126119727</v>
      </c>
      <c r="F237">
        <v>621.23095703125</v>
      </c>
      <c r="H237" s="34"/>
      <c r="I237" s="34"/>
      <c r="J237" s="34"/>
      <c r="K237" s="34"/>
      <c r="L237" s="34"/>
      <c r="N237" s="34"/>
      <c r="O237" s="35"/>
      <c r="P237" s="35"/>
      <c r="Q237" s="35"/>
      <c r="R237" s="35"/>
      <c r="S237" s="74"/>
      <c r="AJ237" s="34"/>
      <c r="AK237" s="34"/>
      <c r="AL237" s="34"/>
      <c r="AM237" s="34"/>
      <c r="AN237" s="34"/>
      <c r="AQ237" s="67"/>
      <c r="AR237" s="67"/>
      <c r="AS237" s="67"/>
      <c r="AT237" s="67"/>
      <c r="AU237" s="67"/>
      <c r="AW237" s="68"/>
      <c r="AX237" s="68"/>
      <c r="AY237" s="68"/>
      <c r="AZ237" s="68"/>
      <c r="BA237" s="68"/>
      <c r="BB237" s="68"/>
    </row>
    <row r="238" spans="1:54" ht="13.5" thickBot="1">
      <c r="A238" s="103">
        <v>39041</v>
      </c>
      <c r="B238" s="104">
        <v>5.0900001525878906</v>
      </c>
      <c r="C238" s="105">
        <v>1400.5</v>
      </c>
      <c r="D238" s="104">
        <v>1.8968000411987305</v>
      </c>
      <c r="E238">
        <v>118.06375766348202</v>
      </c>
      <c r="F238">
        <v>621.76544189453125</v>
      </c>
      <c r="H238" s="34"/>
      <c r="I238" s="34"/>
      <c r="J238" s="34"/>
      <c r="K238" s="34"/>
      <c r="L238" s="34"/>
      <c r="N238" s="34"/>
      <c r="O238" s="35"/>
      <c r="P238" s="35"/>
      <c r="Q238" s="35"/>
      <c r="R238" s="35"/>
      <c r="S238" s="74"/>
      <c r="AJ238" s="34"/>
      <c r="AK238" s="34"/>
      <c r="AL238" s="34"/>
      <c r="AM238" s="34"/>
      <c r="AN238" s="34"/>
      <c r="AQ238" s="67"/>
      <c r="AR238" s="67"/>
      <c r="AS238" s="67"/>
      <c r="AT238" s="67"/>
      <c r="AU238" s="67"/>
      <c r="AW238" s="68"/>
      <c r="AX238" s="68"/>
      <c r="AY238" s="68"/>
      <c r="AZ238" s="68"/>
      <c r="BA238" s="68"/>
      <c r="BB238" s="68"/>
    </row>
    <row r="239" spans="1:54" ht="13.5" thickBot="1">
      <c r="A239" s="103">
        <v>39042</v>
      </c>
      <c r="B239" s="104">
        <v>5.0704998970031738</v>
      </c>
      <c r="C239" s="105">
        <v>1402.81005859375</v>
      </c>
      <c r="D239" s="104">
        <v>1.899899959564209</v>
      </c>
      <c r="E239">
        <v>117.81337845697807</v>
      </c>
      <c r="F239">
        <v>628.1953125</v>
      </c>
      <c r="H239" s="34"/>
      <c r="I239" s="34"/>
      <c r="J239" s="34"/>
      <c r="K239" s="34"/>
      <c r="L239" s="34"/>
      <c r="N239" s="34"/>
      <c r="O239" s="35"/>
      <c r="P239" s="35"/>
      <c r="Q239" s="35"/>
      <c r="R239" s="35"/>
      <c r="S239" s="74"/>
      <c r="AJ239" s="34"/>
      <c r="AK239" s="34"/>
      <c r="AL239" s="34"/>
      <c r="AM239" s="34"/>
      <c r="AN239" s="34"/>
      <c r="AQ239" s="67"/>
      <c r="AR239" s="67"/>
      <c r="AS239" s="67"/>
      <c r="AT239" s="67"/>
      <c r="AU239" s="67"/>
      <c r="AW239" s="68"/>
      <c r="AX239" s="68"/>
      <c r="AY239" s="68"/>
      <c r="AZ239" s="68"/>
      <c r="BA239" s="68"/>
      <c r="BB239" s="68"/>
    </row>
    <row r="240" spans="1:54" ht="13.5" thickBot="1">
      <c r="A240" s="103">
        <v>39043</v>
      </c>
      <c r="B240" s="104">
        <v>5.0607719421386719</v>
      </c>
      <c r="C240" s="105">
        <v>1406.0899658203125</v>
      </c>
      <c r="D240" s="104">
        <v>1.9143999814987183</v>
      </c>
      <c r="E240">
        <v>116.75422881871874</v>
      </c>
      <c r="F240">
        <v>627.69537353515625</v>
      </c>
      <c r="H240" s="34"/>
      <c r="I240" s="34"/>
      <c r="J240" s="34"/>
      <c r="K240" s="34"/>
      <c r="L240" s="34"/>
      <c r="N240" s="34"/>
      <c r="O240" s="35"/>
      <c r="P240" s="35"/>
      <c r="Q240" s="35"/>
      <c r="R240" s="35"/>
      <c r="S240" s="74"/>
      <c r="AJ240" s="34"/>
      <c r="AK240" s="34"/>
      <c r="AL240" s="34"/>
      <c r="AM240" s="34"/>
      <c r="AN240" s="34"/>
      <c r="AQ240" s="67"/>
      <c r="AR240" s="67"/>
      <c r="AS240" s="67"/>
      <c r="AT240" s="67"/>
      <c r="AU240" s="67"/>
      <c r="AW240" s="68"/>
      <c r="AX240" s="68"/>
      <c r="AY240" s="68"/>
      <c r="AZ240" s="68"/>
      <c r="BA240" s="68"/>
      <c r="BB240" s="68"/>
    </row>
    <row r="241" spans="1:54" ht="13.5" thickBot="1">
      <c r="A241" s="103">
        <v>39044</v>
      </c>
      <c r="B241" s="104">
        <v>5.0607719421386719</v>
      </c>
      <c r="C241" s="105">
        <v>1406.0899658203125</v>
      </c>
      <c r="D241" s="104">
        <v>1.9155999422073364</v>
      </c>
      <c r="E241">
        <v>116.27906581851339</v>
      </c>
      <c r="F241">
        <v>629.7125244140625</v>
      </c>
      <c r="H241" s="34"/>
      <c r="I241" s="34"/>
      <c r="J241" s="34"/>
      <c r="K241" s="34"/>
      <c r="L241" s="34"/>
      <c r="N241" s="34"/>
      <c r="O241" s="35"/>
      <c r="P241" s="35"/>
      <c r="Q241" s="35"/>
      <c r="R241" s="35"/>
      <c r="S241" s="74"/>
      <c r="AJ241" s="34"/>
      <c r="AK241" s="34"/>
      <c r="AL241" s="34"/>
      <c r="AM241" s="34"/>
      <c r="AN241" s="34"/>
      <c r="AQ241" s="67"/>
      <c r="AR241" s="67"/>
      <c r="AS241" s="67"/>
      <c r="AT241" s="67"/>
      <c r="AU241" s="67"/>
      <c r="AW241" s="68"/>
      <c r="AX241" s="68"/>
      <c r="AY241" s="68"/>
      <c r="AZ241" s="68"/>
      <c r="BA241" s="68"/>
      <c r="BB241" s="68"/>
    </row>
    <row r="242" spans="1:54" ht="13.5" thickBot="1">
      <c r="A242" s="103">
        <v>39045</v>
      </c>
      <c r="B242" s="104">
        <v>5.0355000495910645</v>
      </c>
      <c r="C242" s="105">
        <v>1400.949951171875</v>
      </c>
      <c r="D242" s="104">
        <v>1.9321999549865723</v>
      </c>
      <c r="E242">
        <v>115.83459028979958</v>
      </c>
      <c r="F242">
        <v>635.7293701171875</v>
      </c>
      <c r="H242" s="34"/>
      <c r="I242" s="34"/>
      <c r="J242" s="34"/>
      <c r="K242" s="34"/>
      <c r="L242" s="34"/>
      <c r="N242" s="34"/>
      <c r="O242" s="35"/>
      <c r="P242" s="35"/>
      <c r="Q242" s="35"/>
      <c r="R242" s="35"/>
      <c r="S242" s="74"/>
      <c r="AJ242" s="34"/>
      <c r="AK242" s="34"/>
      <c r="AL242" s="34"/>
      <c r="AM242" s="34"/>
      <c r="AN242" s="34"/>
      <c r="AQ242" s="67"/>
      <c r="AR242" s="67"/>
      <c r="AS242" s="67"/>
      <c r="AT242" s="67"/>
      <c r="AU242" s="67"/>
      <c r="AW242" s="68"/>
      <c r="AX242" s="68"/>
      <c r="AY242" s="68"/>
      <c r="AZ242" s="68"/>
      <c r="BA242" s="68"/>
      <c r="BB242" s="68"/>
    </row>
    <row r="243" spans="1:54" ht="13.5" thickBot="1">
      <c r="A243" s="103">
        <v>39048</v>
      </c>
      <c r="B243" s="104">
        <v>5.0209999084472656</v>
      </c>
      <c r="C243" s="105">
        <v>1381.9000244140625</v>
      </c>
      <c r="D243" s="104">
        <v>1.9375</v>
      </c>
      <c r="E243">
        <v>116.07660822595106</v>
      </c>
      <c r="F243">
        <v>640.1644287109375</v>
      </c>
      <c r="H243" s="34"/>
      <c r="I243" s="34"/>
      <c r="J243" s="34"/>
      <c r="K243" s="34"/>
      <c r="L243" s="34"/>
      <c r="N243" s="34"/>
      <c r="O243" s="35"/>
      <c r="P243" s="35"/>
      <c r="Q243" s="35"/>
      <c r="R243" s="35"/>
      <c r="S243" s="74"/>
      <c r="AJ243" s="34"/>
      <c r="AK243" s="34"/>
      <c r="AL243" s="34"/>
      <c r="AM243" s="34"/>
      <c r="AN243" s="34"/>
      <c r="AQ243" s="67"/>
      <c r="AR243" s="67"/>
      <c r="AS243" s="67"/>
      <c r="AT243" s="67"/>
      <c r="AU243" s="67"/>
      <c r="AW243" s="68"/>
      <c r="AX243" s="68"/>
      <c r="AY243" s="68"/>
      <c r="AZ243" s="68"/>
      <c r="BA243" s="68"/>
      <c r="BB243" s="68"/>
    </row>
    <row r="244" spans="1:54" ht="13.5" thickBot="1">
      <c r="A244" s="103">
        <v>39049</v>
      </c>
      <c r="B244" s="104">
        <v>4.9844999313354492</v>
      </c>
      <c r="C244" s="105">
        <v>1386.719970703125</v>
      </c>
      <c r="D244" s="104">
        <v>1.9520000219345093</v>
      </c>
      <c r="E244">
        <v>116.07660822595106</v>
      </c>
      <c r="F244">
        <v>639.16448974609375</v>
      </c>
      <c r="H244" s="34"/>
      <c r="I244" s="34"/>
      <c r="J244" s="34"/>
      <c r="K244" s="34"/>
      <c r="L244" s="34"/>
      <c r="N244" s="34"/>
      <c r="O244" s="35"/>
      <c r="P244" s="35"/>
      <c r="Q244" s="35"/>
      <c r="R244" s="35"/>
      <c r="S244" s="74"/>
      <c r="AJ244" s="34"/>
      <c r="AK244" s="34"/>
      <c r="AL244" s="34"/>
      <c r="AM244" s="34"/>
      <c r="AN244" s="34"/>
      <c r="AQ244" s="67"/>
      <c r="AR244" s="67"/>
      <c r="AS244" s="67"/>
      <c r="AT244" s="67"/>
      <c r="AU244" s="67"/>
      <c r="AW244" s="68"/>
      <c r="AX244" s="68"/>
      <c r="AY244" s="68"/>
      <c r="AZ244" s="68"/>
      <c r="BA244" s="68"/>
      <c r="BB244" s="68"/>
    </row>
    <row r="245" spans="1:54" ht="13.5" thickBot="1">
      <c r="A245" s="103">
        <v>39050</v>
      </c>
      <c r="B245" s="104">
        <v>4.998499870300293</v>
      </c>
      <c r="C245" s="105">
        <v>1399.47998046875</v>
      </c>
      <c r="D245" s="104">
        <v>1.9457000494003296</v>
      </c>
      <c r="E245">
        <v>116.34671291892315</v>
      </c>
      <c r="F245">
        <v>637.464599609375</v>
      </c>
      <c r="H245" s="34"/>
      <c r="I245" s="34"/>
      <c r="J245" s="34"/>
      <c r="K245" s="34"/>
      <c r="L245" s="34"/>
      <c r="N245" s="34"/>
      <c r="O245" s="35"/>
      <c r="P245" s="35"/>
      <c r="Q245" s="35"/>
      <c r="R245" s="35"/>
      <c r="S245" s="74"/>
      <c r="AJ245" s="34"/>
      <c r="AK245" s="34"/>
      <c r="AL245" s="34"/>
      <c r="AM245" s="34"/>
      <c r="AN245" s="34"/>
      <c r="AQ245" s="67"/>
      <c r="AR245" s="67"/>
      <c r="AS245" s="67"/>
      <c r="AT245" s="67"/>
      <c r="AU245" s="67"/>
      <c r="AW245" s="68"/>
      <c r="AX245" s="68"/>
      <c r="AY245" s="68"/>
      <c r="AZ245" s="68"/>
      <c r="BA245" s="68"/>
      <c r="BB245" s="68"/>
    </row>
    <row r="246" spans="1:54" ht="13.5" thickBot="1">
      <c r="A246" s="103">
        <v>39051</v>
      </c>
      <c r="B246" s="104">
        <v>4.9375</v>
      </c>
      <c r="C246" s="105">
        <v>1400.6300048828125</v>
      </c>
      <c r="D246" s="104">
        <v>1.9665999412536621</v>
      </c>
      <c r="E246">
        <v>115.68718593181391</v>
      </c>
      <c r="F246">
        <v>647.52801513671875</v>
      </c>
      <c r="H246" s="34"/>
      <c r="I246" s="34"/>
      <c r="J246" s="34"/>
      <c r="K246" s="34"/>
      <c r="L246" s="34"/>
      <c r="N246" s="34"/>
      <c r="O246" s="35"/>
      <c r="P246" s="35"/>
      <c r="Q246" s="35"/>
      <c r="R246" s="35"/>
      <c r="S246" s="74"/>
      <c r="AJ246" s="34"/>
      <c r="AK246" s="34"/>
      <c r="AL246" s="34"/>
      <c r="AM246" s="34"/>
      <c r="AN246" s="34"/>
      <c r="AQ246" s="67"/>
      <c r="AR246" s="67"/>
      <c r="AS246" s="67"/>
      <c r="AT246" s="67"/>
      <c r="AU246" s="67"/>
      <c r="AW246" s="68"/>
      <c r="AX246" s="68"/>
      <c r="AY246" s="68"/>
      <c r="AZ246" s="68"/>
      <c r="BA246" s="68"/>
      <c r="BB246" s="68"/>
    </row>
    <row r="247" spans="1:54" ht="13.5" thickBot="1">
      <c r="A247" s="103">
        <v>39052</v>
      </c>
      <c r="B247" s="104">
        <v>4.8920001983642578</v>
      </c>
      <c r="C247" s="105">
        <v>1396.7099609375</v>
      </c>
      <c r="D247" s="104">
        <v>1.9802000522613525</v>
      </c>
      <c r="E247">
        <v>115.39348742676958</v>
      </c>
      <c r="F247">
        <v>647.028076171875</v>
      </c>
      <c r="H247" s="34"/>
      <c r="I247" s="34"/>
      <c r="J247" s="34"/>
      <c r="K247" s="34"/>
      <c r="L247" s="34"/>
      <c r="N247" s="34"/>
      <c r="O247" s="35"/>
      <c r="P247" s="35"/>
      <c r="Q247" s="35"/>
      <c r="R247" s="35"/>
      <c r="S247" s="74"/>
      <c r="AJ247" s="34"/>
      <c r="AK247" s="34"/>
      <c r="AL247" s="34"/>
      <c r="AM247" s="34"/>
      <c r="AN247" s="34"/>
      <c r="AQ247" s="67"/>
      <c r="AR247" s="67"/>
      <c r="AS247" s="67"/>
      <c r="AT247" s="67"/>
      <c r="AU247" s="67"/>
      <c r="AW247" s="68"/>
      <c r="AX247" s="68"/>
      <c r="AY247" s="68"/>
      <c r="AZ247" s="68"/>
      <c r="BA247" s="68"/>
      <c r="BB247" s="68"/>
    </row>
    <row r="248" spans="1:54" ht="13.5" thickBot="1">
      <c r="A248" s="103">
        <v>39055</v>
      </c>
      <c r="B248" s="104">
        <v>4.8885002136230469</v>
      </c>
      <c r="C248" s="105">
        <v>1409.1199951171875</v>
      </c>
      <c r="D248" s="104">
        <v>1.9800000190734863</v>
      </c>
      <c r="E248">
        <v>115.34024896711281</v>
      </c>
      <c r="F248">
        <v>644.76416015625</v>
      </c>
      <c r="H248" s="34"/>
      <c r="I248" s="34"/>
      <c r="J248" s="34"/>
      <c r="K248" s="34"/>
      <c r="L248" s="34"/>
      <c r="N248" s="34"/>
      <c r="O248" s="35"/>
      <c r="P248" s="35"/>
      <c r="Q248" s="35"/>
      <c r="R248" s="35"/>
      <c r="S248" s="74"/>
      <c r="AJ248" s="34"/>
      <c r="AK248" s="34"/>
      <c r="AL248" s="34"/>
      <c r="AM248" s="34"/>
      <c r="AN248" s="34"/>
      <c r="AQ248" s="67"/>
      <c r="AR248" s="67"/>
      <c r="AS248" s="67"/>
      <c r="AT248" s="67"/>
      <c r="AU248" s="67"/>
      <c r="AW248" s="68"/>
      <c r="AX248" s="68"/>
      <c r="AY248" s="68"/>
      <c r="AZ248" s="68"/>
      <c r="BA248" s="68"/>
      <c r="BB248" s="68"/>
    </row>
    <row r="249" spans="1:54" ht="13.5" thickBot="1">
      <c r="A249" s="103">
        <v>39056</v>
      </c>
      <c r="B249" s="104">
        <v>4.8924999237060547</v>
      </c>
      <c r="C249" s="105">
        <v>1414.760009765625</v>
      </c>
      <c r="D249" s="104">
        <v>1.9740999937057495</v>
      </c>
      <c r="E249">
        <v>114.83692914248165</v>
      </c>
      <c r="F249">
        <v>643.76422119140625</v>
      </c>
      <c r="H249" s="34"/>
      <c r="I249" s="34"/>
      <c r="J249" s="34"/>
      <c r="K249" s="34"/>
      <c r="L249" s="34"/>
      <c r="N249" s="34"/>
      <c r="O249" s="35"/>
      <c r="P249" s="35"/>
      <c r="Q249" s="35"/>
      <c r="R249" s="35"/>
      <c r="S249" s="74"/>
      <c r="AJ249" s="34"/>
      <c r="AK249" s="34"/>
      <c r="AL249" s="34"/>
      <c r="AM249" s="34"/>
      <c r="AN249" s="34"/>
      <c r="AQ249" s="67"/>
      <c r="AR249" s="67"/>
      <c r="AS249" s="67"/>
      <c r="AT249" s="67"/>
      <c r="AU249" s="67"/>
      <c r="AW249" s="68"/>
      <c r="AX249" s="68"/>
      <c r="AY249" s="68"/>
      <c r="AZ249" s="68"/>
      <c r="BA249" s="68"/>
      <c r="BB249" s="68"/>
    </row>
    <row r="250" spans="1:54" ht="13.5" thickBot="1">
      <c r="A250" s="103">
        <v>39057</v>
      </c>
      <c r="B250" s="104">
        <v>4.936500072479248</v>
      </c>
      <c r="C250" s="105">
        <v>1412.9000244140625</v>
      </c>
      <c r="D250" s="104">
        <v>1.9666999578475952</v>
      </c>
      <c r="E250">
        <v>115.22065113174637</v>
      </c>
      <c r="F250">
        <v>636.06463623046875</v>
      </c>
      <c r="H250" s="34"/>
      <c r="I250" s="34"/>
      <c r="J250" s="34"/>
      <c r="K250" s="34"/>
      <c r="L250" s="34"/>
      <c r="N250" s="34"/>
      <c r="O250" s="35"/>
      <c r="P250" s="35"/>
      <c r="Q250" s="35"/>
      <c r="R250" s="35"/>
      <c r="S250" s="74"/>
      <c r="AJ250" s="34"/>
      <c r="AK250" s="34"/>
      <c r="AL250" s="34"/>
      <c r="AM250" s="34"/>
      <c r="AN250" s="34"/>
      <c r="AQ250" s="67"/>
      <c r="AR250" s="67"/>
      <c r="AS250" s="67"/>
      <c r="AT250" s="67"/>
      <c r="AU250" s="67"/>
      <c r="AW250" s="68"/>
      <c r="AX250" s="68"/>
      <c r="AY250" s="68"/>
      <c r="AZ250" s="68"/>
      <c r="BA250" s="68"/>
      <c r="BB250" s="68"/>
    </row>
    <row r="251" spans="1:54" ht="13.5" thickBot="1">
      <c r="A251" s="103">
        <v>39058</v>
      </c>
      <c r="B251" s="104">
        <v>4.9679999351501465</v>
      </c>
      <c r="C251" s="105">
        <v>1407.2900390625</v>
      </c>
      <c r="D251" s="104">
        <v>1.9627000093460083</v>
      </c>
      <c r="E251">
        <v>115.26048950898819</v>
      </c>
      <c r="F251">
        <v>629.530029296875</v>
      </c>
      <c r="H251" s="34"/>
      <c r="I251" s="34"/>
      <c r="J251" s="34"/>
      <c r="K251" s="34"/>
      <c r="L251" s="34"/>
      <c r="N251" s="34"/>
      <c r="O251" s="35"/>
      <c r="P251" s="35"/>
      <c r="Q251" s="35"/>
      <c r="R251" s="35"/>
      <c r="S251" s="74"/>
      <c r="AJ251" s="34"/>
      <c r="AK251" s="34"/>
      <c r="AL251" s="34"/>
      <c r="AM251" s="34"/>
      <c r="AN251" s="34"/>
      <c r="AQ251" s="67"/>
      <c r="AR251" s="67"/>
      <c r="AS251" s="67"/>
      <c r="AT251" s="67"/>
      <c r="AU251" s="67"/>
      <c r="AW251" s="68"/>
      <c r="AX251" s="68"/>
      <c r="AY251" s="68"/>
      <c r="AZ251" s="68"/>
      <c r="BA251" s="68"/>
      <c r="BB251" s="68"/>
    </row>
    <row r="252" spans="1:54" ht="13.5" thickBot="1">
      <c r="A252" s="103">
        <v>39059</v>
      </c>
      <c r="B252" s="104">
        <v>5.0440001487731934</v>
      </c>
      <c r="C252" s="105">
        <v>1409.8399658203125</v>
      </c>
      <c r="D252" s="104">
        <v>1.9543999433517456</v>
      </c>
      <c r="E252">
        <v>116.41443877459196</v>
      </c>
      <c r="F252">
        <v>627.5302734375</v>
      </c>
      <c r="H252" s="34"/>
      <c r="I252" s="34"/>
      <c r="J252" s="34"/>
      <c r="K252" s="34"/>
      <c r="L252" s="34"/>
      <c r="N252" s="34"/>
      <c r="O252" s="35"/>
      <c r="P252" s="35"/>
      <c r="Q252" s="35"/>
      <c r="R252" s="35"/>
      <c r="S252" s="74"/>
      <c r="AJ252" s="34"/>
      <c r="AK252" s="34"/>
      <c r="AL252" s="34"/>
      <c r="AM252" s="34"/>
      <c r="AN252" s="34"/>
      <c r="AQ252" s="67"/>
      <c r="AR252" s="67"/>
      <c r="AS252" s="67"/>
      <c r="AT252" s="67"/>
      <c r="AU252" s="67"/>
      <c r="AW252" s="68"/>
      <c r="AX252" s="68"/>
      <c r="AY252" s="68"/>
      <c r="AZ252" s="68"/>
      <c r="BA252" s="68"/>
      <c r="BB252" s="68"/>
    </row>
    <row r="253" spans="1:54" ht="13.5" thickBot="1">
      <c r="A253" s="103">
        <v>39062</v>
      </c>
      <c r="B253" s="104">
        <v>5.0100002288818359</v>
      </c>
      <c r="C253" s="105">
        <v>1413.0400390625</v>
      </c>
      <c r="D253" s="104">
        <v>1.9565000534057617</v>
      </c>
      <c r="E253">
        <v>116.97274348191318</v>
      </c>
      <c r="F253">
        <v>628.76507568359375</v>
      </c>
      <c r="H253" s="34"/>
      <c r="I253" s="34"/>
      <c r="J253" s="34"/>
      <c r="K253" s="34"/>
      <c r="L253" s="34"/>
      <c r="N253" s="34"/>
      <c r="O253" s="35"/>
      <c r="P253" s="35"/>
      <c r="Q253" s="35"/>
      <c r="R253" s="35"/>
      <c r="S253" s="74"/>
      <c r="AJ253" s="34"/>
      <c r="AK253" s="34"/>
      <c r="AL253" s="34"/>
      <c r="AM253" s="34"/>
      <c r="AN253" s="34"/>
      <c r="AQ253" s="67"/>
      <c r="AR253" s="67"/>
      <c r="AS253" s="67"/>
      <c r="AT253" s="67"/>
      <c r="AU253" s="67"/>
      <c r="AW253" s="68"/>
      <c r="AX253" s="68"/>
      <c r="AY253" s="68"/>
      <c r="AZ253" s="68"/>
      <c r="BA253" s="68"/>
      <c r="BB253" s="68"/>
    </row>
    <row r="254" spans="1:54" ht="13.5" thickBot="1">
      <c r="A254" s="103">
        <v>39063</v>
      </c>
      <c r="B254" s="104">
        <v>4.9685001373291016</v>
      </c>
      <c r="C254" s="105">
        <v>1411.56005859375</v>
      </c>
      <c r="D254" s="104">
        <v>1.9709000587463379</v>
      </c>
      <c r="E254">
        <v>116.79514763726104</v>
      </c>
      <c r="F254">
        <v>627.76513671875</v>
      </c>
      <c r="H254" s="34"/>
      <c r="I254" s="34"/>
      <c r="J254" s="34"/>
      <c r="K254" s="34"/>
      <c r="L254" s="34"/>
      <c r="N254" s="34"/>
      <c r="O254" s="35"/>
      <c r="P254" s="35"/>
      <c r="Q254" s="35"/>
      <c r="R254" s="35"/>
      <c r="S254" s="74"/>
      <c r="AJ254" s="34"/>
      <c r="AK254" s="34"/>
      <c r="AL254" s="34"/>
      <c r="AM254" s="34"/>
      <c r="AN254" s="34"/>
      <c r="AQ254" s="67"/>
      <c r="AR254" s="67"/>
      <c r="AS254" s="67"/>
      <c r="AT254" s="67"/>
      <c r="AU254" s="67"/>
      <c r="AW254" s="68"/>
      <c r="AX254" s="68"/>
      <c r="AY254" s="68"/>
      <c r="AZ254" s="68"/>
      <c r="BA254" s="68"/>
      <c r="BB254" s="68"/>
    </row>
    <row r="255" spans="1:54" ht="13.5" thickBot="1">
      <c r="A255" s="103">
        <v>39064</v>
      </c>
      <c r="B255" s="104">
        <v>5.0425000190734863</v>
      </c>
      <c r="C255" s="105">
        <v>1413.2099609375</v>
      </c>
      <c r="D255" s="104">
        <v>1.9661999940872192</v>
      </c>
      <c r="E255">
        <v>117.53644193819753</v>
      </c>
      <c r="F255">
        <v>629.39501953125</v>
      </c>
      <c r="H255" s="34"/>
      <c r="I255" s="34"/>
      <c r="J255" s="34"/>
      <c r="K255" s="34"/>
      <c r="L255" s="34"/>
      <c r="N255" s="34"/>
      <c r="O255" s="35"/>
      <c r="P255" s="35"/>
      <c r="Q255" s="35"/>
      <c r="R255" s="35"/>
      <c r="S255" s="74"/>
      <c r="AJ255" s="34"/>
      <c r="AK255" s="34"/>
      <c r="AL255" s="34"/>
      <c r="AM255" s="34"/>
      <c r="AN255" s="34"/>
      <c r="AQ255" s="67"/>
      <c r="AR255" s="67"/>
      <c r="AS255" s="67"/>
      <c r="AT255" s="67"/>
      <c r="AU255" s="67"/>
      <c r="AW255" s="68"/>
      <c r="AX255" s="68"/>
      <c r="AY255" s="68"/>
      <c r="AZ255" s="68"/>
      <c r="BA255" s="68"/>
      <c r="BB255" s="68"/>
    </row>
    <row r="256" spans="1:54" ht="13.5" thickBot="1">
      <c r="A256" s="103">
        <v>39065</v>
      </c>
      <c r="B256" s="104">
        <v>5.0625</v>
      </c>
      <c r="C256" s="105">
        <v>1425.489990234375</v>
      </c>
      <c r="D256" s="104">
        <v>1.9613000154495239</v>
      </c>
      <c r="E256">
        <v>117.82726342272618</v>
      </c>
      <c r="F256">
        <v>628.83013916015625</v>
      </c>
      <c r="H256" s="34"/>
      <c r="I256" s="34"/>
      <c r="J256" s="34"/>
      <c r="K256" s="34"/>
      <c r="L256" s="34"/>
      <c r="N256" s="34"/>
      <c r="O256" s="35"/>
      <c r="P256" s="35"/>
      <c r="Q256" s="35"/>
      <c r="R256" s="35"/>
      <c r="S256" s="74"/>
      <c r="AJ256" s="34"/>
      <c r="AK256" s="34"/>
      <c r="AL256" s="34"/>
      <c r="AM256" s="34"/>
      <c r="AN256" s="34"/>
      <c r="AQ256" s="67"/>
      <c r="AR256" s="67"/>
      <c r="AS256" s="67"/>
      <c r="AT256" s="67"/>
      <c r="AU256" s="67"/>
      <c r="AW256" s="68"/>
      <c r="AX256" s="68"/>
      <c r="AY256" s="68"/>
      <c r="AZ256" s="68"/>
      <c r="BA256" s="68"/>
      <c r="BB256" s="68"/>
    </row>
    <row r="257" spans="1:54" ht="13.5" thickBot="1">
      <c r="A257" s="103">
        <v>39066</v>
      </c>
      <c r="B257" s="104">
        <v>5.067500114440918</v>
      </c>
      <c r="C257" s="105">
        <v>1427.0899658203125</v>
      </c>
      <c r="D257" s="104">
        <v>1.9515000581741333</v>
      </c>
      <c r="E257">
        <v>118.06375766348202</v>
      </c>
      <c r="F257">
        <v>616.33148193359375</v>
      </c>
      <c r="H257" s="34"/>
      <c r="I257" s="34"/>
      <c r="J257" s="34"/>
      <c r="K257" s="34"/>
      <c r="L257" s="34"/>
      <c r="N257" s="34"/>
      <c r="O257" s="35"/>
      <c r="P257" s="35"/>
      <c r="Q257" s="35"/>
      <c r="R257" s="35"/>
      <c r="S257" s="74"/>
      <c r="AJ257" s="34"/>
      <c r="AK257" s="34"/>
      <c r="AL257" s="34"/>
      <c r="AM257" s="34"/>
      <c r="AN257" s="34"/>
      <c r="AQ257" s="67"/>
      <c r="AR257" s="67"/>
      <c r="AS257" s="67"/>
      <c r="AT257" s="67"/>
      <c r="AU257" s="67"/>
      <c r="AW257" s="68"/>
      <c r="AX257" s="68"/>
      <c r="AY257" s="68"/>
      <c r="AZ257" s="68"/>
      <c r="BA257" s="68"/>
      <c r="BB257" s="68"/>
    </row>
    <row r="258" spans="1:54" ht="13.5" thickBot="1">
      <c r="A258" s="103">
        <v>39069</v>
      </c>
      <c r="B258" s="104">
        <v>5.0714998245239258</v>
      </c>
      <c r="C258" s="105">
        <v>1422.47998046875</v>
      </c>
      <c r="D258" s="104">
        <v>1.9484000205993652</v>
      </c>
      <c r="E258">
        <v>118.07768872779738</v>
      </c>
      <c r="F258">
        <v>613.36590576171875</v>
      </c>
      <c r="H258" s="34"/>
      <c r="I258" s="34"/>
      <c r="J258" s="34"/>
      <c r="K258" s="34"/>
      <c r="L258" s="34"/>
      <c r="N258" s="34"/>
      <c r="O258" s="35"/>
      <c r="P258" s="35"/>
      <c r="Q258" s="35"/>
      <c r="R258" s="35"/>
      <c r="S258" s="74"/>
      <c r="AJ258" s="34"/>
      <c r="AK258" s="34"/>
      <c r="AL258" s="34"/>
      <c r="AM258" s="34"/>
      <c r="AN258" s="34"/>
      <c r="AQ258" s="67"/>
      <c r="AR258" s="67"/>
      <c r="AS258" s="67"/>
      <c r="AT258" s="67"/>
      <c r="AU258" s="67"/>
      <c r="AW258" s="68"/>
      <c r="AX258" s="68"/>
      <c r="AY258" s="68"/>
      <c r="AZ258" s="68"/>
      <c r="BA258" s="68"/>
      <c r="BB258" s="68"/>
    </row>
    <row r="259" spans="1:54" ht="13.5" thickBot="1">
      <c r="A259" s="103">
        <v>39070</v>
      </c>
      <c r="B259" s="104">
        <v>5.0844998359680176</v>
      </c>
      <c r="C259" s="105">
        <v>1425.550048828125</v>
      </c>
      <c r="D259" s="104">
        <v>1.9687999486923218</v>
      </c>
      <c r="E259">
        <v>118.10558670352506</v>
      </c>
      <c r="F259">
        <v>621.365478515625</v>
      </c>
      <c r="H259" s="34"/>
      <c r="I259" s="34"/>
      <c r="J259" s="34"/>
      <c r="K259" s="34"/>
      <c r="L259" s="34"/>
      <c r="N259" s="34"/>
      <c r="O259" s="35"/>
      <c r="P259" s="35"/>
      <c r="Q259" s="35"/>
      <c r="R259" s="35"/>
      <c r="S259" s="74"/>
      <c r="AJ259" s="34"/>
      <c r="AK259" s="34"/>
      <c r="AL259" s="34"/>
      <c r="AM259" s="34"/>
      <c r="AN259" s="34"/>
      <c r="AQ259" s="67"/>
      <c r="AR259" s="67"/>
      <c r="AS259" s="67"/>
      <c r="AT259" s="67"/>
      <c r="AU259" s="67"/>
      <c r="AW259" s="68"/>
      <c r="AX259" s="68"/>
      <c r="AY259" s="68"/>
      <c r="AZ259" s="68"/>
      <c r="BA259" s="68"/>
      <c r="BB259" s="68"/>
    </row>
    <row r="260" spans="1:54" ht="13.5" thickBot="1">
      <c r="A260" s="103">
        <v>39071</v>
      </c>
      <c r="B260" s="104">
        <v>5.0850000381469727</v>
      </c>
      <c r="C260" s="105">
        <v>1423.530029296875</v>
      </c>
      <c r="D260" s="104">
        <v>1.9639999866485596</v>
      </c>
      <c r="E260">
        <v>118.3852279689615</v>
      </c>
      <c r="F260">
        <v>619.715576171875</v>
      </c>
      <c r="H260" s="34"/>
      <c r="I260" s="34"/>
      <c r="J260" s="34"/>
      <c r="K260" s="34"/>
      <c r="L260" s="34"/>
      <c r="N260" s="34"/>
      <c r="O260" s="35"/>
      <c r="P260" s="35"/>
      <c r="Q260" s="35"/>
      <c r="R260" s="35"/>
      <c r="S260" s="74"/>
      <c r="AJ260" s="34"/>
      <c r="AK260" s="34"/>
      <c r="AL260" s="34"/>
      <c r="AM260" s="34"/>
      <c r="AN260" s="34"/>
      <c r="AQ260" s="67"/>
      <c r="AR260" s="67"/>
      <c r="AS260" s="67"/>
      <c r="AT260" s="67"/>
      <c r="AU260" s="67"/>
      <c r="AW260" s="68"/>
      <c r="AX260" s="68"/>
      <c r="AY260" s="68"/>
      <c r="AZ260" s="68"/>
      <c r="BA260" s="68"/>
      <c r="BB260" s="68"/>
    </row>
    <row r="261" spans="1:54" ht="13.5" thickBot="1">
      <c r="A261" s="103">
        <v>39072</v>
      </c>
      <c r="B261" s="104">
        <v>5.0384998321533203</v>
      </c>
      <c r="C261" s="105">
        <v>1418.300048828125</v>
      </c>
      <c r="D261" s="104">
        <v>1.9601000547409058</v>
      </c>
      <c r="E261">
        <v>118.35719774317698</v>
      </c>
      <c r="F261">
        <v>619.6639404296875</v>
      </c>
      <c r="H261" s="34"/>
      <c r="I261" s="34"/>
      <c r="J261" s="34"/>
      <c r="K261" s="34"/>
      <c r="L261" s="34"/>
      <c r="N261" s="34"/>
      <c r="O261" s="35"/>
      <c r="P261" s="35"/>
      <c r="Q261" s="35"/>
      <c r="R261" s="35"/>
      <c r="S261" s="74"/>
      <c r="AJ261" s="34"/>
      <c r="AK261" s="34"/>
      <c r="AL261" s="34"/>
      <c r="AM261" s="34"/>
      <c r="AN261" s="34"/>
      <c r="AQ261" s="67"/>
      <c r="AR261" s="67"/>
      <c r="AS261" s="67"/>
      <c r="AT261" s="67"/>
      <c r="AU261" s="67"/>
      <c r="AW261" s="68"/>
      <c r="AX261" s="68"/>
      <c r="AY261" s="68"/>
      <c r="AZ261" s="68"/>
      <c r="BA261" s="68"/>
      <c r="BB261" s="68"/>
    </row>
    <row r="262" spans="1:54" ht="13.5" thickBot="1">
      <c r="A262" s="103">
        <v>39073</v>
      </c>
      <c r="B262" s="104">
        <v>5.1079998016357422</v>
      </c>
      <c r="C262" s="105">
        <v>1410.760009765625</v>
      </c>
      <c r="D262" s="104">
        <v>1.9595999717712402</v>
      </c>
      <c r="E262">
        <v>118.7930582063312</v>
      </c>
      <c r="F262">
        <v>619.16400146484375</v>
      </c>
      <c r="H262" s="34"/>
      <c r="I262" s="34"/>
      <c r="J262" s="34"/>
      <c r="K262" s="34"/>
      <c r="L262" s="34"/>
      <c r="N262" s="34"/>
      <c r="O262" s="35"/>
      <c r="P262" s="35"/>
      <c r="Q262" s="35"/>
      <c r="R262" s="35"/>
      <c r="S262" s="74"/>
      <c r="AJ262" s="34"/>
      <c r="AK262" s="34"/>
      <c r="AL262" s="34"/>
      <c r="AM262" s="34"/>
      <c r="AN262" s="34"/>
      <c r="AQ262" s="67"/>
      <c r="AR262" s="67"/>
      <c r="AS262" s="67"/>
      <c r="AT262" s="67"/>
      <c r="AU262" s="67"/>
      <c r="AW262" s="68"/>
      <c r="AX262" s="68"/>
      <c r="AY262" s="68"/>
      <c r="AZ262" s="68"/>
      <c r="BA262" s="68"/>
      <c r="BB262" s="68"/>
    </row>
    <row r="263" spans="1:54" ht="13.5" thickBot="1">
      <c r="A263" s="103">
        <v>39076</v>
      </c>
      <c r="B263" s="104">
        <v>5.1079998016357422</v>
      </c>
      <c r="C263" s="105">
        <v>1410.760009765625</v>
      </c>
      <c r="D263" s="104">
        <v>1.9744999408721924</v>
      </c>
      <c r="E263">
        <v>118.7930582063312</v>
      </c>
      <c r="F263">
        <v>619.16400146484375</v>
      </c>
      <c r="H263" s="34"/>
      <c r="I263" s="34"/>
      <c r="J263" s="34"/>
      <c r="K263" s="34"/>
      <c r="L263" s="34"/>
      <c r="N263" s="34"/>
      <c r="O263" s="35"/>
      <c r="P263" s="35"/>
      <c r="Q263" s="35"/>
      <c r="R263" s="35"/>
      <c r="S263" s="74"/>
      <c r="AJ263" s="34"/>
      <c r="AK263" s="34"/>
      <c r="AL263" s="34"/>
      <c r="AM263" s="34"/>
      <c r="AN263" s="34"/>
      <c r="AQ263" s="67"/>
      <c r="AR263" s="67"/>
      <c r="AS263" s="67"/>
      <c r="AT263" s="67"/>
      <c r="AU263" s="67"/>
      <c r="AW263" s="68"/>
      <c r="AX263" s="68"/>
      <c r="AY263" s="68"/>
      <c r="AZ263" s="68"/>
      <c r="BA263" s="68"/>
      <c r="BB263" s="68"/>
    </row>
    <row r="264" spans="1:54" ht="13.5" thickBot="1">
      <c r="A264" s="103">
        <v>39077</v>
      </c>
      <c r="B264" s="104">
        <v>5.0914878845214844</v>
      </c>
      <c r="C264" s="105">
        <v>1416.9000244140625</v>
      </c>
      <c r="D264" s="104">
        <v>1.9538999795913696</v>
      </c>
      <c r="E264">
        <v>119.07596832926633</v>
      </c>
      <c r="F264">
        <v>630.7149658203125</v>
      </c>
      <c r="H264" s="34"/>
      <c r="I264" s="34"/>
      <c r="J264" s="34"/>
      <c r="K264" s="34"/>
      <c r="L264" s="34"/>
      <c r="N264" s="34"/>
      <c r="O264" s="35"/>
      <c r="P264" s="35"/>
      <c r="Q264" s="35"/>
      <c r="R264" s="35"/>
      <c r="S264" s="74"/>
      <c r="AJ264" s="34"/>
      <c r="AK264" s="34"/>
      <c r="AL264" s="34"/>
      <c r="AM264" s="34"/>
      <c r="AN264" s="34"/>
      <c r="AQ264" s="67"/>
      <c r="AR264" s="67"/>
      <c r="AS264" s="67"/>
      <c r="AT264" s="67"/>
      <c r="AU264" s="67"/>
      <c r="AW264" s="68"/>
      <c r="AX264" s="68"/>
      <c r="AY264" s="68"/>
      <c r="AZ264" s="68"/>
      <c r="BA264" s="68"/>
      <c r="BB264" s="68"/>
    </row>
    <row r="265" spans="1:54" ht="13.5" thickBot="1">
      <c r="A265" s="103">
        <v>39078</v>
      </c>
      <c r="B265" s="104">
        <v>5.1339998245239258</v>
      </c>
      <c r="C265" s="105">
        <v>1426.8399658203125</v>
      </c>
      <c r="D265" s="104">
        <v>1.9565000534057617</v>
      </c>
      <c r="E265">
        <v>118.73663742359605</v>
      </c>
      <c r="F265">
        <v>627.31512451171875</v>
      </c>
      <c r="H265" s="34"/>
      <c r="I265" s="34"/>
      <c r="J265" s="34"/>
      <c r="K265" s="34"/>
      <c r="L265" s="34"/>
      <c r="N265" s="34"/>
      <c r="O265" s="35"/>
      <c r="P265" s="35"/>
      <c r="Q265" s="35"/>
      <c r="R265" s="35"/>
      <c r="S265" s="74"/>
      <c r="AJ265" s="34"/>
      <c r="AK265" s="34"/>
      <c r="AL265" s="34"/>
      <c r="AM265" s="34"/>
      <c r="AN265" s="34"/>
      <c r="AQ265" s="67"/>
      <c r="AR265" s="67"/>
      <c r="AS265" s="67"/>
      <c r="AT265" s="67"/>
      <c r="AU265" s="67"/>
      <c r="AW265" s="68"/>
      <c r="AX265" s="68"/>
      <c r="AY265" s="68"/>
      <c r="AZ265" s="68"/>
      <c r="BA265" s="68"/>
      <c r="BB265" s="68"/>
    </row>
    <row r="266" spans="1:54" ht="13.5" thickBot="1">
      <c r="A266" s="103">
        <v>39079</v>
      </c>
      <c r="B266" s="104">
        <v>5.1655001640319824</v>
      </c>
      <c r="C266" s="105">
        <v>1424.72998046875</v>
      </c>
      <c r="D266" s="104">
        <v>1.9630000591278076</v>
      </c>
      <c r="E266">
        <v>118.90606078358002</v>
      </c>
      <c r="F266">
        <v>632.7620849609375</v>
      </c>
      <c r="H266" s="34"/>
      <c r="I266" s="34"/>
      <c r="J266" s="34"/>
      <c r="K266" s="34"/>
      <c r="L266" s="34"/>
      <c r="N266" s="34"/>
      <c r="O266" s="35"/>
      <c r="P266" s="35"/>
      <c r="Q266" s="35"/>
      <c r="R266" s="35"/>
      <c r="S266" s="74"/>
      <c r="AJ266" s="34"/>
      <c r="AK266" s="34"/>
      <c r="AL266" s="34"/>
      <c r="AM266" s="34"/>
      <c r="AN266" s="34"/>
      <c r="AQ266" s="67"/>
      <c r="AR266" s="67"/>
      <c r="AS266" s="67"/>
      <c r="AT266" s="67"/>
      <c r="AU266" s="67"/>
      <c r="AW266" s="68"/>
      <c r="AX266" s="68"/>
      <c r="AY266" s="68"/>
      <c r="AZ266" s="68"/>
      <c r="BA266" s="68"/>
      <c r="BB266" s="68"/>
    </row>
    <row r="267" spans="1:54" ht="13.5" thickBot="1">
      <c r="A267" s="103">
        <v>39080</v>
      </c>
      <c r="B267" s="104">
        <v>5.183499813079834</v>
      </c>
      <c r="C267" s="105">
        <v>1418.300048828125</v>
      </c>
      <c r="D267" s="104">
        <v>1.957800030708313</v>
      </c>
      <c r="E267">
        <v>119.03344923593524</v>
      </c>
      <c r="F267">
        <v>634.71185302734375</v>
      </c>
      <c r="H267" s="34"/>
      <c r="I267" s="34"/>
      <c r="J267" s="34"/>
      <c r="K267" s="34"/>
      <c r="L267" s="34"/>
      <c r="N267" s="34"/>
      <c r="O267" s="35"/>
      <c r="P267" s="35"/>
      <c r="Q267" s="35"/>
      <c r="R267" s="35"/>
      <c r="S267" s="74"/>
      <c r="AJ267" s="34"/>
      <c r="AK267" s="34"/>
      <c r="AL267" s="34"/>
      <c r="AM267" s="34"/>
      <c r="AN267" s="34"/>
      <c r="AQ267" s="67"/>
      <c r="AR267" s="67"/>
      <c r="AS267" s="67"/>
      <c r="AT267" s="67"/>
      <c r="AU267" s="67"/>
      <c r="AW267" s="68"/>
      <c r="AX267" s="68"/>
      <c r="AY267" s="68"/>
      <c r="AZ267" s="68"/>
      <c r="BA267" s="68"/>
      <c r="BB267" s="68"/>
    </row>
    <row r="268" spans="1:54" ht="13.5" thickBot="1">
      <c r="A268" s="103">
        <v>39083</v>
      </c>
      <c r="B268" s="104">
        <v>5.183499813079834</v>
      </c>
      <c r="C268" s="105">
        <v>1418.300048828125</v>
      </c>
      <c r="D268" s="104">
        <v>1.957800030708313</v>
      </c>
      <c r="E268">
        <v>119.03344923593524</v>
      </c>
      <c r="F268">
        <v>634.71185302734375</v>
      </c>
      <c r="H268" s="34"/>
      <c r="I268" s="34"/>
      <c r="J268" s="34"/>
      <c r="K268" s="34"/>
      <c r="L268" s="34"/>
      <c r="N268" s="34"/>
      <c r="O268" s="35"/>
      <c r="P268" s="35"/>
      <c r="Q268" s="35"/>
      <c r="R268" s="35"/>
      <c r="S268" s="74"/>
      <c r="AJ268" s="34"/>
      <c r="AK268" s="34"/>
      <c r="AL268" s="34"/>
      <c r="AM268" s="34"/>
      <c r="AN268" s="34"/>
      <c r="AQ268" s="67"/>
      <c r="AR268" s="67"/>
      <c r="AS268" s="67"/>
      <c r="AT268" s="67"/>
      <c r="AU268" s="67"/>
      <c r="AW268" s="68"/>
      <c r="AX268" s="68"/>
      <c r="AY268" s="68"/>
      <c r="AZ268" s="68"/>
      <c r="BA268" s="68"/>
      <c r="BB268" s="68"/>
    </row>
    <row r="269" spans="1:54" ht="13.5" thickBot="1">
      <c r="A269" s="103">
        <v>39084</v>
      </c>
      <c r="B269" s="104">
        <v>5.1634998321533203</v>
      </c>
      <c r="C269" s="105">
        <v>1418.300048828125</v>
      </c>
      <c r="D269" s="104">
        <v>1.9730000495910645</v>
      </c>
      <c r="E269">
        <v>118.83541885778344</v>
      </c>
      <c r="F269">
        <v>639.76446533203125</v>
      </c>
      <c r="H269" s="34"/>
      <c r="I269" s="34"/>
      <c r="J269" s="34"/>
      <c r="K269" s="34"/>
      <c r="L269" s="34"/>
      <c r="N269" s="34"/>
      <c r="O269" s="35"/>
      <c r="P269" s="35"/>
      <c r="Q269" s="35"/>
      <c r="R269" s="35"/>
      <c r="S269" s="74"/>
      <c r="AJ269" s="34"/>
      <c r="AK269" s="34"/>
      <c r="AL269" s="34"/>
      <c r="AM269" s="34"/>
      <c r="AN269" s="34"/>
      <c r="AQ269" s="67"/>
      <c r="AR269" s="67"/>
      <c r="AS269" s="67"/>
      <c r="AT269" s="67"/>
      <c r="AU269" s="67"/>
      <c r="AW269" s="68"/>
      <c r="AX269" s="68"/>
      <c r="AY269" s="68"/>
      <c r="AZ269" s="68"/>
      <c r="BA269" s="68"/>
      <c r="BB269" s="68"/>
    </row>
    <row r="270" spans="1:54" ht="13.5" thickBot="1">
      <c r="A270" s="103">
        <v>39085</v>
      </c>
      <c r="B270" s="104">
        <v>5.1294999122619629</v>
      </c>
      <c r="C270" s="105">
        <v>1416.5999755859375</v>
      </c>
      <c r="D270" s="104">
        <v>1.9500000476837158</v>
      </c>
      <c r="E270">
        <v>119.37448118260293</v>
      </c>
      <c r="F270">
        <v>629.2650146484375</v>
      </c>
      <c r="H270" s="34"/>
      <c r="I270" s="34"/>
      <c r="J270" s="34"/>
      <c r="K270" s="34"/>
      <c r="L270" s="34"/>
      <c r="N270" s="34"/>
      <c r="O270" s="35"/>
      <c r="P270" s="35"/>
      <c r="Q270" s="35"/>
      <c r="R270" s="35"/>
      <c r="S270" s="74"/>
      <c r="AJ270" s="34"/>
      <c r="AK270" s="34"/>
      <c r="AL270" s="34"/>
      <c r="AM270" s="34"/>
      <c r="AN270" s="34"/>
      <c r="AQ270" s="67"/>
      <c r="AR270" s="67"/>
      <c r="AS270" s="67"/>
      <c r="AT270" s="67"/>
      <c r="AU270" s="67"/>
      <c r="AW270" s="68"/>
      <c r="AX270" s="68"/>
      <c r="AY270" s="68"/>
      <c r="AZ270" s="68"/>
      <c r="BA270" s="68"/>
      <c r="BB270" s="68"/>
    </row>
    <row r="271" spans="1:54" ht="13.5" thickBot="1">
      <c r="A271" s="103">
        <v>39086</v>
      </c>
      <c r="B271" s="104">
        <v>5.0805001258850098</v>
      </c>
      <c r="C271" s="105">
        <v>1418.3399658203125</v>
      </c>
      <c r="D271" s="104">
        <v>1.9428999423980713</v>
      </c>
      <c r="E271">
        <v>119.09015251419387</v>
      </c>
      <c r="F271">
        <v>626.13043212890625</v>
      </c>
      <c r="H271" s="34"/>
      <c r="I271" s="34"/>
      <c r="J271" s="34"/>
      <c r="K271" s="34"/>
      <c r="L271" s="34"/>
      <c r="N271" s="34"/>
      <c r="O271" s="35"/>
      <c r="P271" s="35"/>
      <c r="Q271" s="35"/>
      <c r="R271" s="35"/>
      <c r="S271" s="74"/>
      <c r="AJ271" s="34"/>
      <c r="AK271" s="34"/>
      <c r="AL271" s="34"/>
      <c r="AM271" s="34"/>
      <c r="AN271" s="34"/>
      <c r="AQ271" s="67"/>
      <c r="AR271" s="67"/>
      <c r="AS271" s="67"/>
      <c r="AT271" s="67"/>
      <c r="AU271" s="67"/>
      <c r="AW271" s="68"/>
      <c r="AX271" s="68"/>
      <c r="AY271" s="68"/>
      <c r="AZ271" s="68"/>
      <c r="BA271" s="68"/>
      <c r="BB271" s="68"/>
    </row>
    <row r="272" spans="1:54" ht="13.5" thickBot="1">
      <c r="A272" s="103">
        <v>39087</v>
      </c>
      <c r="B272" s="104">
        <v>5.1034998893737793</v>
      </c>
      <c r="C272" s="105">
        <v>1409.7099609375</v>
      </c>
      <c r="D272" s="104">
        <v>1.9301999807357788</v>
      </c>
      <c r="E272">
        <v>118.63803318465025</v>
      </c>
      <c r="F272">
        <v>603.6329345703125</v>
      </c>
      <c r="H272" s="34"/>
      <c r="I272" s="34"/>
      <c r="J272" s="34"/>
      <c r="K272" s="34"/>
      <c r="L272" s="34"/>
      <c r="N272" s="34"/>
      <c r="O272" s="35"/>
      <c r="P272" s="35"/>
      <c r="Q272" s="35"/>
      <c r="R272" s="35"/>
      <c r="S272" s="74"/>
      <c r="AJ272" s="34"/>
      <c r="AK272" s="34"/>
      <c r="AL272" s="34"/>
      <c r="AM272" s="34"/>
      <c r="AN272" s="34"/>
      <c r="AQ272" s="67"/>
      <c r="AR272" s="67"/>
      <c r="AS272" s="67"/>
      <c r="AT272" s="67"/>
      <c r="AU272" s="67"/>
      <c r="AW272" s="68"/>
      <c r="AX272" s="68"/>
      <c r="AY272" s="68"/>
      <c r="AZ272" s="68"/>
      <c r="BA272" s="68"/>
      <c r="BB272" s="68"/>
    </row>
    <row r="273" spans="1:54" ht="13.5" thickBot="1">
      <c r="A273" s="103">
        <v>39090</v>
      </c>
      <c r="B273" s="104">
        <v>5.1154999732971191</v>
      </c>
      <c r="C273" s="105">
        <v>1412.8399658203125</v>
      </c>
      <c r="D273" s="104">
        <v>1.937999963760376</v>
      </c>
      <c r="E273">
        <v>118.73663742359605</v>
      </c>
      <c r="F273">
        <v>607.7662353515625</v>
      </c>
      <c r="H273" s="34"/>
      <c r="I273" s="34"/>
      <c r="J273" s="34"/>
      <c r="K273" s="34"/>
      <c r="L273" s="34"/>
      <c r="N273" s="34"/>
      <c r="O273" s="35"/>
      <c r="P273" s="35"/>
      <c r="Q273" s="35"/>
      <c r="R273" s="35"/>
      <c r="S273" s="74"/>
      <c r="AJ273" s="34"/>
      <c r="AK273" s="34"/>
      <c r="AL273" s="34"/>
      <c r="AM273" s="34"/>
      <c r="AN273" s="34"/>
      <c r="AQ273" s="67"/>
      <c r="AR273" s="67"/>
      <c r="AS273" s="67"/>
      <c r="AT273" s="67"/>
      <c r="AU273" s="67"/>
      <c r="AW273" s="68"/>
      <c r="AX273" s="68"/>
      <c r="AY273" s="68"/>
      <c r="AZ273" s="68"/>
      <c r="BA273" s="68"/>
      <c r="BB273" s="68"/>
    </row>
    <row r="274" spans="1:54" ht="13.5" thickBot="1">
      <c r="A274" s="103">
        <v>39091</v>
      </c>
      <c r="B274" s="104">
        <v>5.123499870300293</v>
      </c>
      <c r="C274" s="105">
        <v>1412.1099853515625</v>
      </c>
      <c r="D274" s="104">
        <v>1.9393999576568604</v>
      </c>
      <c r="E274">
        <v>119.40298210036977</v>
      </c>
      <c r="F274">
        <v>611.7659912109375</v>
      </c>
      <c r="H274" s="34"/>
      <c r="I274" s="34"/>
      <c r="J274" s="34"/>
      <c r="K274" s="34"/>
      <c r="L274" s="34"/>
      <c r="N274" s="34"/>
      <c r="O274" s="35"/>
      <c r="P274" s="35"/>
      <c r="Q274" s="35"/>
      <c r="R274" s="35"/>
      <c r="S274" s="74"/>
      <c r="AJ274" s="34"/>
      <c r="AK274" s="34"/>
      <c r="AL274" s="34"/>
      <c r="AM274" s="34"/>
      <c r="AN274" s="34"/>
      <c r="AQ274" s="67"/>
      <c r="AR274" s="67"/>
      <c r="AS274" s="67"/>
      <c r="AT274" s="67"/>
      <c r="AU274" s="67"/>
      <c r="AW274" s="68"/>
      <c r="AX274" s="68"/>
      <c r="AY274" s="68"/>
      <c r="AZ274" s="68"/>
      <c r="BA274" s="68"/>
      <c r="BB274" s="68"/>
    </row>
    <row r="275" spans="1:54" ht="13.5" thickBot="1">
      <c r="A275" s="103">
        <v>39092</v>
      </c>
      <c r="B275" s="104">
        <v>5.1605000495910645</v>
      </c>
      <c r="C275" s="105">
        <v>1414.8499755859375</v>
      </c>
      <c r="D275" s="104">
        <v>1.9325000047683716</v>
      </c>
      <c r="E275">
        <v>119.6315336305603</v>
      </c>
      <c r="F275">
        <v>611.7659912109375</v>
      </c>
      <c r="H275" s="34"/>
      <c r="I275" s="34"/>
      <c r="J275" s="34"/>
      <c r="K275" s="34"/>
      <c r="L275" s="34"/>
      <c r="N275" s="34"/>
      <c r="O275" s="35"/>
      <c r="P275" s="35"/>
      <c r="Q275" s="35"/>
      <c r="R275" s="35"/>
      <c r="S275" s="74"/>
      <c r="AJ275" s="34"/>
      <c r="AK275" s="34"/>
      <c r="AL275" s="34"/>
      <c r="AM275" s="34"/>
      <c r="AN275" s="34"/>
      <c r="AQ275" s="67"/>
      <c r="AR275" s="67"/>
      <c r="AS275" s="67"/>
      <c r="AT275" s="67"/>
      <c r="AU275" s="67"/>
      <c r="AW275" s="68"/>
      <c r="AX275" s="68"/>
      <c r="AY275" s="68"/>
      <c r="AZ275" s="68"/>
      <c r="BA275" s="68"/>
      <c r="BB275" s="68"/>
    </row>
    <row r="276" spans="1:54" ht="13.5" thickBot="1">
      <c r="A276" s="103">
        <v>39093</v>
      </c>
      <c r="B276" s="104">
        <v>5.2220001220703125</v>
      </c>
      <c r="C276" s="105">
        <v>1423.8199462890625</v>
      </c>
      <c r="D276" s="104">
        <v>1.9449000358581543</v>
      </c>
      <c r="E276">
        <v>120.45289781870621</v>
      </c>
      <c r="F276">
        <v>611.26507568359375</v>
      </c>
      <c r="H276" s="34"/>
      <c r="I276" s="34"/>
      <c r="J276" s="34"/>
      <c r="K276" s="34"/>
      <c r="L276" s="34"/>
      <c r="N276" s="34"/>
      <c r="O276" s="35"/>
      <c r="P276" s="35"/>
      <c r="Q276" s="35"/>
      <c r="R276" s="35"/>
      <c r="S276" s="74"/>
      <c r="AJ276" s="34"/>
      <c r="AK276" s="34"/>
      <c r="AL276" s="34"/>
      <c r="AM276" s="34"/>
      <c r="AN276" s="34"/>
      <c r="AQ276" s="67"/>
      <c r="AR276" s="67"/>
      <c r="AS276" s="67"/>
      <c r="AT276" s="67"/>
      <c r="AU276" s="67"/>
      <c r="AW276" s="68"/>
      <c r="AX276" s="68"/>
      <c r="AY276" s="68"/>
      <c r="AZ276" s="68"/>
      <c r="BA276" s="68"/>
      <c r="BB276" s="68"/>
    </row>
    <row r="277" spans="1:54" ht="13.5" thickBot="1">
      <c r="A277" s="103">
        <v>39094</v>
      </c>
      <c r="B277" s="104">
        <v>5.2567172050476074</v>
      </c>
      <c r="C277" s="105">
        <v>1430.72998046875</v>
      </c>
      <c r="D277" s="104">
        <v>1.9585000276565552</v>
      </c>
      <c r="E277">
        <v>120.36591336928812</v>
      </c>
      <c r="F277">
        <v>618.26409912109375</v>
      </c>
      <c r="H277" s="34"/>
      <c r="I277" s="34"/>
      <c r="J277" s="34"/>
      <c r="K277" s="34"/>
      <c r="L277" s="34"/>
      <c r="N277" s="34"/>
      <c r="O277" s="35"/>
      <c r="P277" s="35"/>
      <c r="Q277" s="35"/>
      <c r="R277" s="35"/>
      <c r="S277" s="74"/>
      <c r="AJ277" s="34"/>
      <c r="AK277" s="34"/>
      <c r="AL277" s="34"/>
      <c r="AM277" s="34"/>
      <c r="AN277" s="34"/>
      <c r="AQ277" s="67"/>
      <c r="AR277" s="67"/>
      <c r="AS277" s="67"/>
      <c r="AT277" s="67"/>
      <c r="AU277" s="67"/>
      <c r="AW277" s="68"/>
      <c r="AX277" s="68"/>
      <c r="AY277" s="68"/>
      <c r="AZ277" s="68"/>
      <c r="BA277" s="68"/>
      <c r="BB277" s="68"/>
    </row>
    <row r="278" spans="1:54" ht="13.5" thickBot="1">
      <c r="A278" s="103">
        <v>39097</v>
      </c>
      <c r="B278" s="104">
        <v>5.2567172050476074</v>
      </c>
      <c r="C278" s="105">
        <v>1430.72998046875</v>
      </c>
      <c r="D278" s="104">
        <v>1.9639999866485596</v>
      </c>
      <c r="E278">
        <v>120.43840068700045</v>
      </c>
      <c r="F278">
        <v>626.315185546875</v>
      </c>
      <c r="H278" s="34"/>
      <c r="I278" s="34"/>
      <c r="J278" s="34"/>
      <c r="K278" s="34"/>
      <c r="L278" s="34"/>
      <c r="N278" s="34"/>
      <c r="O278" s="35"/>
      <c r="P278" s="35"/>
      <c r="Q278" s="35"/>
      <c r="R278" s="35"/>
      <c r="S278" s="74"/>
      <c r="AJ278" s="34"/>
      <c r="AK278" s="34"/>
      <c r="AL278" s="34"/>
      <c r="AM278" s="34"/>
      <c r="AN278" s="34"/>
      <c r="AQ278" s="67"/>
      <c r="AR278" s="67"/>
      <c r="AS278" s="67"/>
      <c r="AT278" s="67"/>
      <c r="AU278" s="67"/>
      <c r="AW278" s="68"/>
      <c r="AX278" s="68"/>
      <c r="AY278" s="68"/>
      <c r="AZ278" s="68"/>
      <c r="BA278" s="68"/>
      <c r="BB278" s="68"/>
    </row>
    <row r="279" spans="1:54" ht="13.5" thickBot="1">
      <c r="A279" s="103">
        <v>39098</v>
      </c>
      <c r="B279" s="104">
        <v>5.2410001754760742</v>
      </c>
      <c r="C279" s="105">
        <v>1431.9000244140625</v>
      </c>
      <c r="D279" s="104">
        <v>1.9620000123977661</v>
      </c>
      <c r="E279">
        <v>120.64181417008024</v>
      </c>
      <c r="F279">
        <v>625.31524658203125</v>
      </c>
      <c r="H279" s="34"/>
      <c r="I279" s="34"/>
      <c r="J279" s="34"/>
      <c r="K279" s="34"/>
      <c r="L279" s="34"/>
      <c r="N279" s="34"/>
      <c r="O279" s="35"/>
      <c r="P279" s="35"/>
      <c r="Q279" s="35"/>
      <c r="R279" s="35"/>
      <c r="S279" s="74"/>
      <c r="AJ279" s="34"/>
      <c r="AK279" s="34"/>
      <c r="AL279" s="34"/>
      <c r="AM279" s="34"/>
      <c r="AN279" s="34"/>
      <c r="AQ279" s="67"/>
      <c r="AR279" s="67"/>
      <c r="AS279" s="67"/>
      <c r="AT279" s="67"/>
      <c r="AU279" s="67"/>
      <c r="AW279" s="68"/>
      <c r="AX279" s="68"/>
      <c r="AY279" s="68"/>
      <c r="AZ279" s="68"/>
      <c r="BA279" s="68"/>
      <c r="BB279" s="68"/>
    </row>
    <row r="280" spans="1:54" ht="13.5" thickBot="1">
      <c r="A280" s="103">
        <v>39099</v>
      </c>
      <c r="B280" s="104">
        <v>5.2824997901916504</v>
      </c>
      <c r="C280" s="105">
        <v>1430.6199951171875</v>
      </c>
      <c r="D280" s="104">
        <v>1.9692000150680542</v>
      </c>
      <c r="E280">
        <v>120.65637387388399</v>
      </c>
      <c r="F280">
        <v>633.61480712890625</v>
      </c>
      <c r="H280" s="34"/>
      <c r="I280" s="34"/>
      <c r="J280" s="34"/>
      <c r="K280" s="34"/>
      <c r="L280" s="34"/>
      <c r="N280" s="34"/>
      <c r="O280" s="35"/>
      <c r="P280" s="35"/>
      <c r="Q280" s="35"/>
      <c r="R280" s="35"/>
      <c r="S280" s="74"/>
      <c r="AJ280" s="34"/>
      <c r="AK280" s="34"/>
      <c r="AL280" s="34"/>
      <c r="AM280" s="34"/>
      <c r="AN280" s="34"/>
      <c r="AQ280" s="67"/>
      <c r="AR280" s="67"/>
      <c r="AS280" s="67"/>
      <c r="AT280" s="67"/>
      <c r="AU280" s="67"/>
      <c r="AW280" s="68"/>
      <c r="AX280" s="68"/>
      <c r="AY280" s="68"/>
      <c r="AZ280" s="68"/>
      <c r="BA280" s="68"/>
      <c r="BB280" s="68"/>
    </row>
    <row r="281" spans="1:54" ht="13.5" thickBot="1">
      <c r="A281" s="103">
        <v>39100</v>
      </c>
      <c r="B281" s="104">
        <v>5.2435002326965332</v>
      </c>
      <c r="C281" s="105">
        <v>1426.3699951171875</v>
      </c>
      <c r="D281" s="104">
        <v>1.9744999408721924</v>
      </c>
      <c r="E281">
        <v>121.22681956208757</v>
      </c>
      <c r="F281">
        <v>632.7796630859375</v>
      </c>
      <c r="H281" s="34"/>
      <c r="I281" s="34"/>
      <c r="J281" s="34"/>
      <c r="K281" s="34"/>
      <c r="L281" s="34"/>
      <c r="N281" s="34"/>
      <c r="O281" s="35"/>
      <c r="P281" s="35"/>
      <c r="Q281" s="35"/>
      <c r="R281" s="35"/>
      <c r="S281" s="74"/>
      <c r="AJ281" s="34"/>
      <c r="AK281" s="34"/>
      <c r="AL281" s="34"/>
      <c r="AM281" s="34"/>
      <c r="AN281" s="34"/>
      <c r="AQ281" s="67"/>
      <c r="AR281" s="67"/>
      <c r="AS281" s="67"/>
      <c r="AT281" s="67"/>
      <c r="AU281" s="67"/>
      <c r="AW281" s="68"/>
      <c r="AX281" s="68"/>
      <c r="AY281" s="68"/>
      <c r="AZ281" s="68"/>
      <c r="BA281" s="68"/>
      <c r="BB281" s="68"/>
    </row>
    <row r="282" spans="1:54" ht="13.5" thickBot="1">
      <c r="A282" s="103">
        <v>39101</v>
      </c>
      <c r="B282" s="104">
        <v>5.2630000114440918</v>
      </c>
      <c r="C282" s="105">
        <v>1430.5</v>
      </c>
      <c r="D282" s="104">
        <v>1.9740999937057495</v>
      </c>
      <c r="E282">
        <v>121.25621195080964</v>
      </c>
      <c r="F282">
        <v>633.17962646484375</v>
      </c>
      <c r="H282" s="34"/>
      <c r="I282" s="34"/>
      <c r="J282" s="34"/>
      <c r="K282" s="34"/>
      <c r="L282" s="34"/>
      <c r="N282" s="34"/>
      <c r="O282" s="35"/>
      <c r="P282" s="35"/>
      <c r="Q282" s="35"/>
      <c r="R282" s="35"/>
      <c r="S282" s="74"/>
      <c r="AJ282" s="34"/>
      <c r="AK282" s="34"/>
      <c r="AL282" s="34"/>
      <c r="AM282" s="34"/>
      <c r="AN282" s="34"/>
      <c r="AQ282" s="67"/>
      <c r="AR282" s="67"/>
      <c r="AS282" s="67"/>
      <c r="AT282" s="67"/>
      <c r="AU282" s="67"/>
      <c r="AW282" s="68"/>
      <c r="AX282" s="68"/>
      <c r="AY282" s="68"/>
      <c r="AZ282" s="68"/>
      <c r="BA282" s="68"/>
      <c r="BB282" s="68"/>
    </row>
    <row r="283" spans="1:54" ht="13.5" thickBot="1">
      <c r="A283" s="103">
        <v>39104</v>
      </c>
      <c r="B283" s="104">
        <v>5.2389998435974121</v>
      </c>
      <c r="C283" s="105">
        <v>1422.949951171875</v>
      </c>
      <c r="D283" s="104">
        <v>1.9759000539779663</v>
      </c>
      <c r="E283">
        <v>121.62491259647237</v>
      </c>
      <c r="F283">
        <v>638.81451416015625</v>
      </c>
      <c r="H283" s="34"/>
      <c r="I283" s="34"/>
      <c r="J283" s="34"/>
      <c r="K283" s="34"/>
      <c r="L283" s="34"/>
      <c r="N283" s="34"/>
      <c r="O283" s="35"/>
      <c r="P283" s="35"/>
      <c r="Q283" s="35"/>
      <c r="R283" s="35"/>
      <c r="S283" s="74"/>
      <c r="AJ283" s="34"/>
      <c r="AK283" s="34"/>
      <c r="AL283" s="34"/>
      <c r="AM283" s="34"/>
      <c r="AN283" s="34"/>
      <c r="AQ283" s="67"/>
      <c r="AR283" s="67"/>
      <c r="AS283" s="67"/>
      <c r="AT283" s="67"/>
      <c r="AU283" s="67"/>
      <c r="AW283" s="68"/>
      <c r="AX283" s="68"/>
      <c r="AY283" s="68"/>
      <c r="AZ283" s="68"/>
      <c r="BA283" s="68"/>
      <c r="BB283" s="68"/>
    </row>
    <row r="284" spans="1:54" ht="13.5" thickBot="1">
      <c r="A284" s="103">
        <v>39105</v>
      </c>
      <c r="B284" s="104">
        <v>5.2849998474121094</v>
      </c>
      <c r="C284" s="105">
        <v>1427.989990234375</v>
      </c>
      <c r="D284" s="104">
        <v>1.9823999404907227</v>
      </c>
      <c r="E284">
        <v>121.61011822009226</v>
      </c>
      <c r="F284">
        <v>645.3641357421875</v>
      </c>
      <c r="H284" s="34"/>
      <c r="I284" s="34"/>
      <c r="J284" s="34"/>
      <c r="K284" s="34"/>
      <c r="L284" s="34"/>
      <c r="N284" s="34"/>
      <c r="O284" s="35"/>
      <c r="P284" s="35"/>
      <c r="Q284" s="35"/>
      <c r="R284" s="35"/>
      <c r="S284" s="74"/>
      <c r="AJ284" s="34"/>
      <c r="AK284" s="34"/>
      <c r="AL284" s="34"/>
      <c r="AM284" s="34"/>
      <c r="AN284" s="34"/>
      <c r="AQ284" s="67"/>
      <c r="AR284" s="67"/>
      <c r="AS284" s="67"/>
      <c r="AT284" s="67"/>
      <c r="AU284" s="67"/>
      <c r="AW284" s="68"/>
      <c r="AX284" s="68"/>
      <c r="AY284" s="68"/>
      <c r="AZ284" s="68"/>
      <c r="BA284" s="68"/>
      <c r="BB284" s="68"/>
    </row>
    <row r="285" spans="1:54" ht="13.5" thickBot="1">
      <c r="A285" s="103">
        <v>39106</v>
      </c>
      <c r="B285" s="104">
        <v>5.2930002212524414</v>
      </c>
      <c r="C285" s="105">
        <v>1440.1300048828125</v>
      </c>
      <c r="D285" s="104">
        <v>1.9672000408172607</v>
      </c>
      <c r="E285">
        <v>121.02141658633263</v>
      </c>
      <c r="F285">
        <v>644.96417236328125</v>
      </c>
      <c r="H285" s="34"/>
      <c r="I285" s="34"/>
      <c r="J285" s="34"/>
      <c r="K285" s="34"/>
      <c r="L285" s="34"/>
      <c r="N285" s="34"/>
      <c r="O285" s="35"/>
      <c r="P285" s="35"/>
      <c r="Q285" s="35"/>
      <c r="R285" s="35"/>
      <c r="S285" s="74"/>
      <c r="AJ285" s="34"/>
      <c r="AK285" s="34"/>
      <c r="AL285" s="34"/>
      <c r="AM285" s="34"/>
      <c r="AN285" s="34"/>
      <c r="AQ285" s="67"/>
      <c r="AR285" s="67"/>
      <c r="AS285" s="67"/>
      <c r="AT285" s="67"/>
      <c r="AU285" s="67"/>
      <c r="AW285" s="68"/>
      <c r="AX285" s="68"/>
      <c r="AY285" s="68"/>
      <c r="AZ285" s="68"/>
      <c r="BA285" s="68"/>
      <c r="BB285" s="68"/>
    </row>
    <row r="286" spans="1:54" ht="13.5" thickBot="1">
      <c r="A286" s="103">
        <v>39107</v>
      </c>
      <c r="B286" s="104">
        <v>5.3670001029968262</v>
      </c>
      <c r="C286" s="105">
        <v>1423.9000244140625</v>
      </c>
      <c r="D286" s="104">
        <v>1.9636000394821167</v>
      </c>
      <c r="E286">
        <v>121.12403782505484</v>
      </c>
      <c r="F286">
        <v>648.92791748046875</v>
      </c>
      <c r="H286" s="34"/>
      <c r="I286" s="34"/>
      <c r="J286" s="34"/>
      <c r="K286" s="34"/>
      <c r="L286" s="34"/>
      <c r="N286" s="34"/>
      <c r="O286" s="35"/>
      <c r="P286" s="35"/>
      <c r="Q286" s="35"/>
      <c r="R286" s="35"/>
      <c r="S286" s="74"/>
      <c r="AJ286" s="34"/>
      <c r="AK286" s="34"/>
      <c r="AL286" s="34"/>
      <c r="AM286" s="34"/>
      <c r="AN286" s="34"/>
      <c r="AQ286" s="67"/>
      <c r="AR286" s="67"/>
      <c r="AS286" s="67"/>
      <c r="AT286" s="67"/>
      <c r="AU286" s="67"/>
      <c r="AW286" s="68"/>
      <c r="AX286" s="68"/>
      <c r="AY286" s="68"/>
      <c r="AZ286" s="68"/>
      <c r="BA286" s="68"/>
      <c r="BB286" s="68"/>
    </row>
    <row r="287" spans="1:54" ht="13.5" thickBot="1">
      <c r="A287" s="103">
        <v>39108</v>
      </c>
      <c r="B287" s="104">
        <v>5.3870000839233398</v>
      </c>
      <c r="C287" s="105">
        <v>1422.1800537109375</v>
      </c>
      <c r="D287" s="104">
        <v>1.9594999551773071</v>
      </c>
      <c r="E287">
        <v>121.58054026217663</v>
      </c>
      <c r="F287">
        <v>644.9283447265625</v>
      </c>
      <c r="H287" s="34"/>
      <c r="I287" s="34"/>
      <c r="J287" s="34"/>
      <c r="K287" s="34"/>
      <c r="L287" s="34"/>
      <c r="N287" s="34"/>
      <c r="O287" s="35"/>
      <c r="P287" s="35"/>
      <c r="Q287" s="35"/>
      <c r="R287" s="35"/>
      <c r="S287" s="74"/>
      <c r="AJ287" s="34"/>
      <c r="AK287" s="34"/>
      <c r="AL287" s="34"/>
      <c r="AM287" s="34"/>
      <c r="AN287" s="34"/>
      <c r="AQ287" s="67"/>
      <c r="AR287" s="67"/>
      <c r="AS287" s="67"/>
      <c r="AT287" s="67"/>
      <c r="AU287" s="67"/>
      <c r="AW287" s="68"/>
      <c r="AX287" s="68"/>
      <c r="AY287" s="68"/>
      <c r="AZ287" s="68"/>
      <c r="BA287" s="68"/>
      <c r="BB287" s="68"/>
    </row>
    <row r="288" spans="1:54" ht="13.5" thickBot="1">
      <c r="A288" s="103">
        <v>39111</v>
      </c>
      <c r="B288" s="104">
        <v>5.4175000190734863</v>
      </c>
      <c r="C288" s="105">
        <v>1420.6199951171875</v>
      </c>
      <c r="D288" s="104">
        <v>1.9587999582290649</v>
      </c>
      <c r="E288">
        <v>121.8026848408811</v>
      </c>
      <c r="F288">
        <v>647.06402587890625</v>
      </c>
      <c r="H288" s="34"/>
      <c r="I288" s="34"/>
      <c r="J288" s="34"/>
      <c r="K288" s="34"/>
      <c r="L288" s="34"/>
      <c r="N288" s="34"/>
      <c r="O288" s="35"/>
      <c r="P288" s="35"/>
      <c r="Q288" s="35"/>
      <c r="R288" s="35"/>
      <c r="S288" s="74"/>
      <c r="AJ288" s="34"/>
      <c r="AK288" s="34"/>
      <c r="AL288" s="34"/>
      <c r="AM288" s="34"/>
      <c r="AN288" s="34"/>
      <c r="AQ288" s="67"/>
      <c r="AR288" s="67"/>
      <c r="AS288" s="67"/>
      <c r="AT288" s="67"/>
      <c r="AU288" s="67"/>
      <c r="AW288" s="68"/>
      <c r="AX288" s="68"/>
      <c r="AY288" s="68"/>
      <c r="AZ288" s="68"/>
      <c r="BA288" s="68"/>
      <c r="BB288" s="68"/>
    </row>
    <row r="289" spans="1:54" ht="13.5" thickBot="1">
      <c r="A289" s="103">
        <v>39112</v>
      </c>
      <c r="B289" s="104">
        <v>5.4025001525878906</v>
      </c>
      <c r="C289" s="105">
        <v>1428.8199462890625</v>
      </c>
      <c r="D289" s="104">
        <v>1.9620000123977661</v>
      </c>
      <c r="E289">
        <v>121.65449836723974</v>
      </c>
      <c r="F289">
        <v>644.96417236328125</v>
      </c>
      <c r="H289" s="34"/>
      <c r="I289" s="34"/>
      <c r="J289" s="34"/>
      <c r="K289" s="34"/>
      <c r="L289" s="34"/>
      <c r="N289" s="34"/>
      <c r="O289" s="35"/>
      <c r="P289" s="35"/>
      <c r="Q289" s="35"/>
      <c r="R289" s="35"/>
      <c r="S289" s="74"/>
      <c r="AJ289" s="34"/>
      <c r="AK289" s="34"/>
      <c r="AL289" s="34"/>
      <c r="AM289" s="34"/>
      <c r="AN289" s="34"/>
      <c r="AQ289" s="67"/>
      <c r="AR289" s="67"/>
      <c r="AS289" s="67"/>
      <c r="AT289" s="67"/>
      <c r="AU289" s="67"/>
      <c r="AW289" s="68"/>
      <c r="AX289" s="68"/>
      <c r="AY289" s="68"/>
      <c r="AZ289" s="68"/>
      <c r="BA289" s="68"/>
      <c r="BB289" s="68"/>
    </row>
    <row r="290" spans="1:54" ht="13.5" thickBot="1">
      <c r="A290" s="103">
        <v>39113</v>
      </c>
      <c r="B290" s="104">
        <v>5.3464999198913574</v>
      </c>
      <c r="C290" s="105">
        <v>1438.239990234375</v>
      </c>
      <c r="D290" s="104">
        <v>1.9639999866485596</v>
      </c>
      <c r="E290">
        <v>120.74377879458839</v>
      </c>
      <c r="F290">
        <v>652.4637451171875</v>
      </c>
      <c r="H290" s="34"/>
      <c r="I290" s="34"/>
      <c r="J290" s="34"/>
      <c r="K290" s="34"/>
      <c r="L290" s="34"/>
      <c r="N290" s="34"/>
      <c r="O290" s="35"/>
      <c r="P290" s="35"/>
      <c r="Q290" s="35"/>
      <c r="R290" s="35"/>
      <c r="S290" s="74"/>
      <c r="AJ290" s="34"/>
      <c r="AK290" s="34"/>
      <c r="AL290" s="34"/>
      <c r="AM290" s="34"/>
      <c r="AN290" s="34"/>
      <c r="AQ290" s="67"/>
      <c r="AR290" s="67"/>
      <c r="AS290" s="67"/>
      <c r="AT290" s="67"/>
      <c r="AU290" s="67"/>
      <c r="AW290" s="68"/>
      <c r="AX290" s="68"/>
      <c r="AY290" s="68"/>
      <c r="AZ290" s="68"/>
      <c r="BA290" s="68"/>
      <c r="BB290" s="68"/>
    </row>
    <row r="291" spans="1:54" ht="13.5" thickBot="1">
      <c r="A291" s="103">
        <v>39114</v>
      </c>
      <c r="B291" s="104">
        <v>5.3454999923706055</v>
      </c>
      <c r="C291" s="105">
        <v>1445.93994140625</v>
      </c>
      <c r="D291" s="104">
        <v>1.9672000408172607</v>
      </c>
      <c r="E291">
        <v>120.7146342776859</v>
      </c>
      <c r="F291">
        <v>658.12689208984375</v>
      </c>
      <c r="H291" s="34"/>
      <c r="I291" s="34"/>
      <c r="J291" s="34"/>
      <c r="K291" s="34"/>
      <c r="L291" s="34"/>
      <c r="N291" s="34"/>
      <c r="O291" s="35"/>
      <c r="P291" s="35"/>
      <c r="Q291" s="35"/>
      <c r="R291" s="35"/>
      <c r="S291" s="74"/>
      <c r="AJ291" s="34"/>
      <c r="AK291" s="34"/>
      <c r="AL291" s="34"/>
      <c r="AM291" s="34"/>
      <c r="AN291" s="34"/>
      <c r="AQ291" s="67"/>
      <c r="AR291" s="67"/>
      <c r="AS291" s="67"/>
      <c r="AT291" s="67"/>
      <c r="AU291" s="67"/>
      <c r="AW291" s="68"/>
      <c r="AX291" s="68"/>
      <c r="AY291" s="68"/>
      <c r="AZ291" s="68"/>
      <c r="BA291" s="68"/>
      <c r="BB291" s="68"/>
    </row>
    <row r="292" spans="1:54" ht="13.5" thickBot="1">
      <c r="A292" s="103">
        <v>39115</v>
      </c>
      <c r="B292" s="104">
        <v>5.3245000839233398</v>
      </c>
      <c r="C292" s="105">
        <v>1448.3900146484375</v>
      </c>
      <c r="D292" s="104">
        <v>1.9674999713897705</v>
      </c>
      <c r="E292">
        <v>121.06538166694799</v>
      </c>
      <c r="F292">
        <v>644.828369140625</v>
      </c>
      <c r="H292" s="34"/>
      <c r="I292" s="34"/>
      <c r="J292" s="34"/>
      <c r="K292" s="34"/>
      <c r="L292" s="34"/>
      <c r="N292" s="34"/>
      <c r="O292" s="35"/>
      <c r="P292" s="35"/>
      <c r="Q292" s="35"/>
      <c r="R292" s="35"/>
      <c r="S292" s="74"/>
      <c r="AJ292" s="34"/>
      <c r="AK292" s="34"/>
      <c r="AL292" s="34"/>
      <c r="AM292" s="34"/>
      <c r="AN292" s="34"/>
      <c r="AQ292" s="67"/>
      <c r="AR292" s="67"/>
      <c r="AS292" s="67"/>
      <c r="AT292" s="67"/>
      <c r="AU292" s="67"/>
      <c r="AW292" s="68"/>
      <c r="AX292" s="68"/>
      <c r="AY292" s="68"/>
      <c r="AZ292" s="68"/>
      <c r="BA292" s="68"/>
      <c r="BB292" s="68"/>
    </row>
    <row r="293" spans="1:54" ht="13.5" thickBot="1">
      <c r="A293" s="103">
        <v>39118</v>
      </c>
      <c r="B293" s="104">
        <v>5.2954998016357422</v>
      </c>
      <c r="C293" s="105">
        <v>1446.989990234375</v>
      </c>
      <c r="D293" s="104">
        <v>1.9600000381469727</v>
      </c>
      <c r="E293">
        <v>120.39488972360823</v>
      </c>
      <c r="F293">
        <v>650.5638427734375</v>
      </c>
      <c r="H293" s="34"/>
      <c r="I293" s="34"/>
      <c r="J293" s="34"/>
      <c r="K293" s="34"/>
      <c r="L293" s="34"/>
      <c r="N293" s="34"/>
      <c r="O293" s="35"/>
      <c r="P293" s="35"/>
      <c r="Q293" s="35"/>
      <c r="R293" s="35"/>
      <c r="S293" s="74"/>
      <c r="AJ293" s="34"/>
      <c r="AK293" s="34"/>
      <c r="AL293" s="34"/>
      <c r="AM293" s="34"/>
      <c r="AN293" s="34"/>
      <c r="AQ293" s="67"/>
      <c r="AR293" s="67"/>
      <c r="AS293" s="67"/>
      <c r="AT293" s="67"/>
      <c r="AU293" s="67"/>
      <c r="AW293" s="68"/>
      <c r="AX293" s="68"/>
      <c r="AY293" s="68"/>
      <c r="AZ293" s="68"/>
      <c r="BA293" s="68"/>
      <c r="BB293" s="68"/>
    </row>
    <row r="294" spans="1:54" ht="13.5" thickBot="1">
      <c r="A294" s="103">
        <v>39119</v>
      </c>
      <c r="B294" s="104">
        <v>5.252500057220459</v>
      </c>
      <c r="C294" s="105">
        <v>1448</v>
      </c>
      <c r="D294" s="104">
        <v>1.9711999893188477</v>
      </c>
      <c r="E294">
        <v>120.12011588449184</v>
      </c>
      <c r="F294">
        <v>654.76361083984375</v>
      </c>
      <c r="H294" s="34"/>
      <c r="I294" s="34"/>
      <c r="J294" s="34"/>
      <c r="K294" s="34"/>
      <c r="L294" s="34"/>
      <c r="N294" s="34"/>
      <c r="O294" s="35"/>
      <c r="P294" s="35"/>
      <c r="Q294" s="35"/>
      <c r="R294" s="35"/>
      <c r="S294" s="74"/>
      <c r="AJ294" s="34"/>
      <c r="AK294" s="34"/>
      <c r="AL294" s="34"/>
      <c r="AM294" s="34"/>
      <c r="AN294" s="34"/>
      <c r="AQ294" s="67"/>
      <c r="AR294" s="67"/>
      <c r="AS294" s="67"/>
      <c r="AT294" s="67"/>
      <c r="AU294" s="67"/>
      <c r="AW294" s="68"/>
      <c r="AX294" s="68"/>
      <c r="AY294" s="68"/>
      <c r="AZ294" s="68"/>
      <c r="BA294" s="68"/>
      <c r="BB294" s="68"/>
    </row>
    <row r="295" spans="1:54" ht="13.5" thickBot="1">
      <c r="A295" s="103">
        <v>39120</v>
      </c>
      <c r="B295" s="104">
        <v>5.2350001335144043</v>
      </c>
      <c r="C295" s="105">
        <v>1450.02001953125</v>
      </c>
      <c r="D295" s="104">
        <v>1.968999981880188</v>
      </c>
      <c r="E295">
        <v>120.68549026219439</v>
      </c>
      <c r="F295">
        <v>655.0635986328125</v>
      </c>
      <c r="H295" s="34"/>
      <c r="I295" s="34"/>
      <c r="J295" s="34"/>
      <c r="K295" s="34"/>
      <c r="L295" s="34"/>
      <c r="N295" s="34"/>
      <c r="O295" s="35"/>
      <c r="P295" s="35"/>
      <c r="Q295" s="35"/>
      <c r="R295" s="35"/>
      <c r="S295" s="74"/>
      <c r="AJ295" s="34"/>
      <c r="AK295" s="34"/>
      <c r="AL295" s="34"/>
      <c r="AM295" s="34"/>
      <c r="AN295" s="34"/>
      <c r="AQ295" s="67"/>
      <c r="AR295" s="67"/>
      <c r="AS295" s="67"/>
      <c r="AT295" s="67"/>
      <c r="AU295" s="67"/>
      <c r="AW295" s="68"/>
      <c r="AX295" s="68"/>
      <c r="AY295" s="68"/>
      <c r="AZ295" s="68"/>
      <c r="BA295" s="68"/>
      <c r="BB295" s="68"/>
    </row>
    <row r="296" spans="1:54" ht="13.5" thickBot="1">
      <c r="A296" s="103">
        <v>39121</v>
      </c>
      <c r="B296" s="104">
        <v>5.2280001640319824</v>
      </c>
      <c r="C296" s="105">
        <v>1448.31005859375</v>
      </c>
      <c r="D296" s="104">
        <v>1.957800030708313</v>
      </c>
      <c r="E296">
        <v>121.09469581457455</v>
      </c>
      <c r="F296">
        <v>659.7266845703125</v>
      </c>
      <c r="H296" s="34"/>
      <c r="I296" s="34"/>
      <c r="J296" s="34"/>
      <c r="K296" s="34"/>
      <c r="L296" s="34"/>
      <c r="N296" s="34"/>
      <c r="O296" s="35"/>
      <c r="P296" s="35"/>
      <c r="Q296" s="35"/>
      <c r="R296" s="35"/>
      <c r="S296" s="74"/>
      <c r="AJ296" s="34"/>
      <c r="AK296" s="34"/>
      <c r="AL296" s="34"/>
      <c r="AM296" s="34"/>
      <c r="AN296" s="34"/>
      <c r="AQ296" s="67"/>
      <c r="AR296" s="67"/>
      <c r="AS296" s="67"/>
      <c r="AT296" s="67"/>
      <c r="AU296" s="67"/>
      <c r="AW296" s="68"/>
      <c r="AX296" s="68"/>
      <c r="AY296" s="68"/>
      <c r="AZ296" s="68"/>
      <c r="BA296" s="68"/>
      <c r="BB296" s="68"/>
    </row>
    <row r="297" spans="1:54" ht="13.5" thickBot="1">
      <c r="A297" s="103">
        <v>39122</v>
      </c>
      <c r="B297" s="104">
        <v>5.3014998435974121</v>
      </c>
      <c r="C297" s="105">
        <v>1438.06005859375</v>
      </c>
      <c r="D297" s="104">
        <v>1.9506000280380249</v>
      </c>
      <c r="E297">
        <v>121.65449836723974</v>
      </c>
      <c r="F297">
        <v>667.225830078125</v>
      </c>
      <c r="H297" s="34"/>
      <c r="I297" s="34"/>
      <c r="J297" s="34"/>
      <c r="K297" s="34"/>
      <c r="L297" s="34"/>
      <c r="N297" s="34"/>
      <c r="O297" s="35"/>
      <c r="P297" s="35"/>
      <c r="Q297" s="35"/>
      <c r="R297" s="35"/>
      <c r="S297" s="74"/>
      <c r="AJ297" s="34"/>
      <c r="AK297" s="34"/>
      <c r="AL297" s="34"/>
      <c r="AM297" s="34"/>
      <c r="AN297" s="34"/>
      <c r="AQ297" s="67"/>
      <c r="AR297" s="67"/>
      <c r="AS297" s="67"/>
      <c r="AT297" s="67"/>
      <c r="AU297" s="67"/>
      <c r="AW297" s="68"/>
      <c r="AX297" s="68"/>
      <c r="AY297" s="68"/>
      <c r="AZ297" s="68"/>
      <c r="BA297" s="68"/>
      <c r="BB297" s="68"/>
    </row>
    <row r="298" spans="1:54" ht="13.5" thickBot="1">
      <c r="A298" s="103">
        <v>39125</v>
      </c>
      <c r="B298" s="104">
        <v>5.3245000839233398</v>
      </c>
      <c r="C298" s="105">
        <v>1433.3699951171875</v>
      </c>
      <c r="D298" s="104">
        <v>1.9474999904632568</v>
      </c>
      <c r="E298">
        <v>121.87689970501877</v>
      </c>
      <c r="F298">
        <v>662.063232421875</v>
      </c>
      <c r="H298" s="34"/>
      <c r="I298" s="34"/>
      <c r="J298" s="34"/>
      <c r="K298" s="34"/>
      <c r="L298" s="34"/>
      <c r="N298" s="34"/>
      <c r="O298" s="35"/>
      <c r="P298" s="35"/>
      <c r="Q298" s="35"/>
      <c r="R298" s="35"/>
      <c r="S298" s="74"/>
      <c r="AJ298" s="34"/>
      <c r="AK298" s="34"/>
      <c r="AL298" s="34"/>
      <c r="AM298" s="34"/>
      <c r="AN298" s="34"/>
      <c r="AQ298" s="67"/>
      <c r="AR298" s="67"/>
      <c r="AS298" s="67"/>
      <c r="AT298" s="67"/>
      <c r="AU298" s="67"/>
      <c r="AW298" s="68"/>
      <c r="AX298" s="68"/>
      <c r="AY298" s="68"/>
      <c r="AZ298" s="68"/>
      <c r="BA298" s="68"/>
      <c r="BB298" s="68"/>
    </row>
    <row r="299" spans="1:54" ht="13.5" thickBot="1">
      <c r="A299" s="103">
        <v>39126</v>
      </c>
      <c r="B299" s="104">
        <v>5.3245000839233398</v>
      </c>
      <c r="C299" s="105">
        <v>1444.260009765625</v>
      </c>
      <c r="D299" s="104">
        <v>1.9459999799728394</v>
      </c>
      <c r="E299">
        <v>121.18273717179966</v>
      </c>
      <c r="F299">
        <v>664.56304931640625</v>
      </c>
      <c r="H299" s="34"/>
      <c r="I299" s="34"/>
      <c r="J299" s="34"/>
      <c r="K299" s="34"/>
      <c r="L299" s="34"/>
      <c r="N299" s="34"/>
      <c r="O299" s="35"/>
      <c r="P299" s="35"/>
      <c r="Q299" s="35"/>
      <c r="R299" s="35"/>
      <c r="S299" s="74"/>
      <c r="AJ299" s="34"/>
      <c r="AK299" s="34"/>
      <c r="AL299" s="34"/>
      <c r="AM299" s="34"/>
      <c r="AN299" s="34"/>
      <c r="AQ299" s="67"/>
      <c r="AR299" s="67"/>
      <c r="AS299" s="67"/>
      <c r="AT299" s="67"/>
      <c r="AU299" s="67"/>
      <c r="AW299" s="68"/>
      <c r="AX299" s="68"/>
      <c r="AY299" s="68"/>
      <c r="AZ299" s="68"/>
      <c r="BA299" s="68"/>
      <c r="BB299" s="68"/>
    </row>
    <row r="300" spans="1:54" ht="13.5" thickBot="1">
      <c r="A300" s="103">
        <v>39127</v>
      </c>
      <c r="B300" s="104">
        <v>5.2274999618530273</v>
      </c>
      <c r="C300" s="105">
        <v>1455.300048828125</v>
      </c>
      <c r="D300" s="104">
        <v>1.9624999761581421</v>
      </c>
      <c r="E300">
        <v>120.72919798997144</v>
      </c>
      <c r="F300">
        <v>667.66290283203125</v>
      </c>
      <c r="H300" s="34"/>
      <c r="I300" s="34"/>
      <c r="J300" s="34"/>
      <c r="K300" s="34"/>
      <c r="L300" s="34"/>
      <c r="N300" s="34"/>
      <c r="O300" s="35"/>
      <c r="P300" s="35"/>
      <c r="Q300" s="35"/>
      <c r="R300" s="35"/>
      <c r="S300" s="74"/>
      <c r="AJ300" s="34"/>
      <c r="AK300" s="34"/>
      <c r="AL300" s="34"/>
      <c r="AM300" s="34"/>
      <c r="AN300" s="34"/>
      <c r="AQ300" s="67"/>
      <c r="AR300" s="67"/>
      <c r="AS300" s="67"/>
      <c r="AT300" s="67"/>
      <c r="AU300" s="67"/>
      <c r="AW300" s="68"/>
      <c r="AX300" s="68"/>
      <c r="AY300" s="68"/>
      <c r="AZ300" s="68"/>
      <c r="BA300" s="68"/>
      <c r="BB300" s="68"/>
    </row>
    <row r="301" spans="1:54" ht="13.5" thickBot="1">
      <c r="A301" s="103">
        <v>39128</v>
      </c>
      <c r="B301" s="104">
        <v>5.2065000534057617</v>
      </c>
      <c r="C301" s="105">
        <v>1456.81005859375</v>
      </c>
      <c r="D301" s="104">
        <v>1.9538999795913696</v>
      </c>
      <c r="E301">
        <v>119.24636213921661</v>
      </c>
      <c r="F301">
        <v>664.90765380859375</v>
      </c>
      <c r="H301" s="34"/>
      <c r="I301" s="34"/>
      <c r="J301" s="34"/>
      <c r="K301" s="34"/>
      <c r="L301" s="34"/>
      <c r="N301" s="34"/>
      <c r="O301" s="35"/>
      <c r="P301" s="35"/>
      <c r="Q301" s="35"/>
      <c r="R301" s="35"/>
      <c r="S301" s="74"/>
      <c r="AJ301" s="34"/>
      <c r="AK301" s="34"/>
      <c r="AL301" s="34"/>
      <c r="AM301" s="34"/>
      <c r="AN301" s="34"/>
      <c r="AQ301" s="67"/>
      <c r="AR301" s="67"/>
      <c r="AS301" s="67"/>
      <c r="AT301" s="67"/>
      <c r="AU301" s="67"/>
      <c r="AW301" s="68"/>
      <c r="AX301" s="68"/>
      <c r="AY301" s="68"/>
      <c r="AZ301" s="68"/>
      <c r="BA301" s="68"/>
      <c r="BB301" s="68"/>
    </row>
    <row r="302" spans="1:54" ht="13.5" thickBot="1">
      <c r="A302" s="103">
        <v>39129</v>
      </c>
      <c r="B302" s="104">
        <v>5.1999101638793945</v>
      </c>
      <c r="C302" s="105">
        <v>1455.5400390625</v>
      </c>
      <c r="D302" s="104">
        <v>1.9500000476837158</v>
      </c>
      <c r="E302">
        <v>119.30326849556405</v>
      </c>
      <c r="F302">
        <v>667.50726318359375</v>
      </c>
      <c r="H302" s="34"/>
      <c r="I302" s="34"/>
      <c r="J302" s="34"/>
      <c r="K302" s="34"/>
      <c r="L302" s="34"/>
      <c r="N302" s="34"/>
      <c r="O302" s="35"/>
      <c r="P302" s="35"/>
      <c r="Q302" s="35"/>
      <c r="R302" s="35"/>
      <c r="S302" s="74"/>
      <c r="AJ302" s="34"/>
      <c r="AK302" s="34"/>
      <c r="AL302" s="34"/>
      <c r="AM302" s="34"/>
      <c r="AN302" s="34"/>
      <c r="AQ302" s="67"/>
      <c r="AR302" s="67"/>
      <c r="AS302" s="67"/>
      <c r="AT302" s="67"/>
      <c r="AU302" s="67"/>
      <c r="AW302" s="68"/>
      <c r="AX302" s="68"/>
      <c r="AY302" s="68"/>
      <c r="AZ302" s="68"/>
      <c r="BA302" s="68"/>
      <c r="BB302" s="68"/>
    </row>
    <row r="303" spans="1:54" ht="13.5" thickBot="1">
      <c r="A303" s="103">
        <v>39132</v>
      </c>
      <c r="B303" s="104">
        <v>5.1999101638793945</v>
      </c>
      <c r="C303" s="105">
        <v>1455.5400390625</v>
      </c>
      <c r="D303" s="104">
        <v>1.95169997215271</v>
      </c>
      <c r="E303">
        <v>119.61722019829149</v>
      </c>
      <c r="F303">
        <v>670.062744140625</v>
      </c>
      <c r="H303" s="34"/>
      <c r="I303" s="34"/>
      <c r="J303" s="34"/>
      <c r="K303" s="34"/>
      <c r="L303" s="34"/>
      <c r="N303" s="34"/>
      <c r="O303" s="35"/>
      <c r="P303" s="35"/>
      <c r="Q303" s="35"/>
      <c r="R303" s="35"/>
      <c r="S303" s="74"/>
      <c r="AJ303" s="34"/>
      <c r="AK303" s="34"/>
      <c r="AL303" s="34"/>
      <c r="AM303" s="34"/>
      <c r="AN303" s="34"/>
      <c r="AQ303" s="67"/>
      <c r="AR303" s="67"/>
      <c r="AS303" s="67"/>
      <c r="AT303" s="67"/>
      <c r="AU303" s="67"/>
      <c r="AW303" s="68"/>
      <c r="AX303" s="68"/>
      <c r="AY303" s="68"/>
      <c r="AZ303" s="68"/>
      <c r="BA303" s="68"/>
      <c r="BB303" s="68"/>
    </row>
    <row r="304" spans="1:54" ht="13.5" thickBot="1">
      <c r="A304" s="103">
        <v>39133</v>
      </c>
      <c r="B304" s="104">
        <v>5.1830000877380371</v>
      </c>
      <c r="C304" s="105">
        <v>1459.6800537109375</v>
      </c>
      <c r="D304" s="104">
        <v>1.9549000263214111</v>
      </c>
      <c r="E304">
        <v>120.00479508724848</v>
      </c>
      <c r="F304">
        <v>658.46343994140625</v>
      </c>
      <c r="H304" s="34"/>
      <c r="I304" s="34"/>
      <c r="J304" s="34"/>
      <c r="K304" s="34"/>
      <c r="L304" s="34"/>
      <c r="N304" s="34"/>
      <c r="O304" s="35"/>
      <c r="P304" s="35"/>
      <c r="Q304" s="35"/>
      <c r="R304" s="35"/>
      <c r="S304" s="74"/>
      <c r="AJ304" s="34"/>
      <c r="AK304" s="34"/>
      <c r="AL304" s="34"/>
      <c r="AM304" s="34"/>
      <c r="AN304" s="34"/>
      <c r="AQ304" s="67"/>
      <c r="AR304" s="67"/>
      <c r="AS304" s="67"/>
      <c r="AT304" s="67"/>
      <c r="AU304" s="67"/>
      <c r="AW304" s="68"/>
      <c r="AX304" s="68"/>
      <c r="AY304" s="68"/>
      <c r="AZ304" s="68"/>
      <c r="BA304" s="68"/>
      <c r="BB304" s="68"/>
    </row>
    <row r="305" spans="1:54" ht="13.5" thickBot="1">
      <c r="A305" s="103">
        <v>39134</v>
      </c>
      <c r="B305" s="104">
        <v>5.2020001411437988</v>
      </c>
      <c r="C305" s="105">
        <v>1457.6300048828125</v>
      </c>
      <c r="D305" s="104">
        <v>1.9541000127792358</v>
      </c>
      <c r="E305">
        <v>120.87513748068515</v>
      </c>
      <c r="F305">
        <v>680.56219482421875</v>
      </c>
      <c r="H305" s="34"/>
      <c r="I305" s="34"/>
      <c r="J305" s="34"/>
      <c r="K305" s="34"/>
      <c r="L305" s="34"/>
      <c r="N305" s="34"/>
      <c r="O305" s="35"/>
      <c r="P305" s="35"/>
      <c r="Q305" s="35"/>
      <c r="R305" s="35"/>
      <c r="S305" s="74"/>
      <c r="AJ305" s="34"/>
      <c r="AK305" s="34"/>
      <c r="AL305" s="34"/>
      <c r="AM305" s="34"/>
      <c r="AN305" s="34"/>
      <c r="AQ305" s="67"/>
      <c r="AR305" s="67"/>
      <c r="AS305" s="67"/>
      <c r="AT305" s="67"/>
      <c r="AU305" s="67"/>
      <c r="AW305" s="68"/>
      <c r="AX305" s="68"/>
      <c r="AY305" s="68"/>
      <c r="AZ305" s="68"/>
      <c r="BA305" s="68"/>
      <c r="BB305" s="68"/>
    </row>
    <row r="306" spans="1:54" ht="13.5" thickBot="1">
      <c r="A306" s="103">
        <v>39135</v>
      </c>
      <c r="B306" s="104">
        <v>5.242499828338623</v>
      </c>
      <c r="C306" s="105">
        <v>1456.3800048828125</v>
      </c>
      <c r="D306" s="104">
        <v>1.9563000202178955</v>
      </c>
      <c r="E306">
        <v>121.62491259647237</v>
      </c>
      <c r="F306">
        <v>678.52459716796875</v>
      </c>
      <c r="H306" s="34"/>
      <c r="I306" s="34"/>
      <c r="J306" s="34"/>
      <c r="K306" s="34"/>
      <c r="L306" s="34"/>
      <c r="N306" s="34"/>
      <c r="O306" s="35"/>
      <c r="P306" s="35"/>
      <c r="Q306" s="35"/>
      <c r="R306" s="35"/>
      <c r="S306" s="74"/>
      <c r="AJ306" s="34"/>
      <c r="AK306" s="34"/>
      <c r="AL306" s="34"/>
      <c r="AM306" s="34"/>
      <c r="AN306" s="34"/>
      <c r="AQ306" s="67"/>
      <c r="AR306" s="67"/>
      <c r="AS306" s="67"/>
      <c r="AT306" s="67"/>
      <c r="AU306" s="67"/>
      <c r="AW306" s="68"/>
      <c r="AX306" s="68"/>
      <c r="AY306" s="68"/>
      <c r="AZ306" s="68"/>
      <c r="BA306" s="68"/>
      <c r="BB306" s="68"/>
    </row>
    <row r="307" spans="1:54" ht="13.5" thickBot="1">
      <c r="A307" s="103">
        <v>39136</v>
      </c>
      <c r="B307" s="104">
        <v>5.2005000114440918</v>
      </c>
      <c r="C307" s="105">
        <v>1451.18994140625</v>
      </c>
      <c r="D307" s="104">
        <v>1.9628000259399414</v>
      </c>
      <c r="E307">
        <v>121.03606806477775</v>
      </c>
      <c r="F307">
        <v>682.524169921875</v>
      </c>
      <c r="H307" s="34"/>
      <c r="I307" s="34"/>
      <c r="J307" s="34"/>
      <c r="K307" s="34"/>
      <c r="L307" s="34"/>
      <c r="N307" s="34"/>
      <c r="O307" s="35"/>
      <c r="P307" s="35"/>
      <c r="Q307" s="35"/>
      <c r="R307" s="35"/>
      <c r="S307" s="74"/>
      <c r="AJ307" s="34"/>
      <c r="AK307" s="34"/>
      <c r="AL307" s="34"/>
      <c r="AM307" s="34"/>
      <c r="AN307" s="34"/>
      <c r="AQ307" s="67"/>
      <c r="AR307" s="67"/>
      <c r="AS307" s="67"/>
      <c r="AT307" s="67"/>
      <c r="AU307" s="67"/>
      <c r="AW307" s="68"/>
      <c r="AX307" s="68"/>
      <c r="AY307" s="68"/>
      <c r="AZ307" s="68"/>
      <c r="BA307" s="68"/>
      <c r="BB307" s="68"/>
    </row>
    <row r="308" spans="1:54" ht="13.5" thickBot="1">
      <c r="A308" s="103">
        <v>39139</v>
      </c>
      <c r="B308" s="104">
        <v>5.1539998054504395</v>
      </c>
      <c r="C308" s="105">
        <v>1449.3699951171875</v>
      </c>
      <c r="D308" s="104">
        <v>1.9636000394821167</v>
      </c>
      <c r="E308">
        <v>120.5981696792946</v>
      </c>
      <c r="F308">
        <v>687.36181640625</v>
      </c>
      <c r="H308" s="34"/>
      <c r="I308" s="34"/>
      <c r="J308" s="34"/>
      <c r="K308" s="34"/>
      <c r="L308" s="34"/>
      <c r="N308" s="34"/>
      <c r="O308" s="35"/>
      <c r="P308" s="35"/>
      <c r="Q308" s="35"/>
      <c r="R308" s="35"/>
      <c r="S308" s="74"/>
      <c r="AJ308" s="34"/>
      <c r="AK308" s="34"/>
      <c r="AL308" s="34"/>
      <c r="AM308" s="34"/>
      <c r="AN308" s="34"/>
      <c r="AQ308" s="67"/>
      <c r="AR308" s="67"/>
      <c r="AS308" s="67"/>
      <c r="AT308" s="67"/>
      <c r="AU308" s="67"/>
      <c r="AW308" s="68"/>
      <c r="AX308" s="68"/>
      <c r="AY308" s="68"/>
      <c r="AZ308" s="68"/>
      <c r="BA308" s="68"/>
      <c r="BB308" s="68"/>
    </row>
    <row r="309" spans="1:54" ht="13.5" thickBot="1">
      <c r="A309" s="103">
        <v>39140</v>
      </c>
      <c r="B309" s="104">
        <v>5.0504999160766602</v>
      </c>
      <c r="C309" s="105">
        <v>1399.0400390625</v>
      </c>
      <c r="D309" s="104">
        <v>1.9621000289916992</v>
      </c>
      <c r="E309">
        <v>117.79950968700582</v>
      </c>
      <c r="F309">
        <v>677.7623291015625</v>
      </c>
      <c r="H309" s="34"/>
      <c r="I309" s="34"/>
      <c r="J309" s="34"/>
      <c r="K309" s="34"/>
      <c r="L309" s="34"/>
      <c r="N309" s="34"/>
      <c r="O309" s="35"/>
      <c r="P309" s="35"/>
      <c r="Q309" s="35"/>
      <c r="R309" s="35"/>
      <c r="S309" s="74"/>
      <c r="AJ309" s="34"/>
      <c r="AK309" s="34"/>
      <c r="AL309" s="34"/>
      <c r="AM309" s="34"/>
      <c r="AN309" s="34"/>
      <c r="AQ309" s="67"/>
      <c r="AR309" s="67"/>
      <c r="AS309" s="67"/>
      <c r="AT309" s="67"/>
      <c r="AU309" s="67"/>
      <c r="AW309" s="68"/>
      <c r="AX309" s="68"/>
      <c r="AY309" s="68"/>
      <c r="AZ309" s="68"/>
      <c r="BA309" s="68"/>
      <c r="BB309" s="68"/>
    </row>
    <row r="310" spans="1:54" ht="13.5" thickBot="1">
      <c r="A310" s="103">
        <v>39141</v>
      </c>
      <c r="B310" s="104">
        <v>5.0970001220703125</v>
      </c>
      <c r="C310" s="105">
        <v>1406.8199462890625</v>
      </c>
      <c r="D310" s="104">
        <v>1.9635000228881836</v>
      </c>
      <c r="E310">
        <v>118.41325841581428</v>
      </c>
      <c r="F310">
        <v>670.76275634765625</v>
      </c>
      <c r="H310" s="34"/>
      <c r="I310" s="34"/>
      <c r="J310" s="34"/>
      <c r="K310" s="34"/>
      <c r="L310" s="34"/>
      <c r="N310" s="34"/>
      <c r="O310" s="35"/>
      <c r="P310" s="35"/>
      <c r="Q310" s="35"/>
      <c r="R310" s="35"/>
      <c r="S310" s="74"/>
      <c r="AJ310" s="34"/>
      <c r="AK310" s="34"/>
      <c r="AL310" s="34"/>
      <c r="AM310" s="34"/>
      <c r="AN310" s="34"/>
      <c r="AQ310" s="67"/>
      <c r="AR310" s="67"/>
      <c r="AS310" s="67"/>
      <c r="AT310" s="67"/>
      <c r="AU310" s="67"/>
      <c r="AW310" s="68"/>
      <c r="AX310" s="68"/>
      <c r="AY310" s="68"/>
      <c r="AZ310" s="68"/>
      <c r="BA310" s="68"/>
      <c r="BB310" s="68"/>
    </row>
    <row r="311" spans="1:54" ht="13.5" thickBot="1">
      <c r="A311" s="103">
        <v>39142</v>
      </c>
      <c r="B311" s="104">
        <v>5.1015000343322754</v>
      </c>
      <c r="C311" s="105">
        <v>1403.1700439453125</v>
      </c>
      <c r="D311" s="104">
        <v>1.9603999853134155</v>
      </c>
      <c r="E311">
        <v>117.57789809962009</v>
      </c>
      <c r="F311">
        <v>664.2261962890625</v>
      </c>
      <c r="H311" s="34"/>
      <c r="I311" s="34"/>
      <c r="J311" s="34"/>
      <c r="K311" s="34"/>
      <c r="L311" s="34"/>
      <c r="N311" s="34"/>
      <c r="O311" s="35"/>
      <c r="P311" s="35"/>
      <c r="Q311" s="35"/>
      <c r="R311" s="35"/>
      <c r="S311" s="74"/>
      <c r="AJ311" s="34"/>
      <c r="AK311" s="34"/>
      <c r="AL311" s="34"/>
      <c r="AM311" s="34"/>
      <c r="AN311" s="34"/>
      <c r="AQ311" s="67"/>
      <c r="AR311" s="67"/>
      <c r="AS311" s="67"/>
      <c r="AT311" s="67"/>
      <c r="AU311" s="67"/>
      <c r="AW311" s="68"/>
      <c r="AX311" s="68"/>
      <c r="AY311" s="68"/>
      <c r="AZ311" s="68"/>
      <c r="BA311" s="68"/>
      <c r="BB311" s="68"/>
    </row>
    <row r="312" spans="1:54" ht="13.5" thickBot="1">
      <c r="A312" s="103">
        <v>39143</v>
      </c>
      <c r="B312" s="104">
        <v>5.0780000686645508</v>
      </c>
      <c r="C312" s="105">
        <v>1387.1700439453125</v>
      </c>
      <c r="D312" s="104">
        <v>1.9434000253677368</v>
      </c>
      <c r="E312">
        <v>117.64705242995194</v>
      </c>
      <c r="F312">
        <v>641.72869873046875</v>
      </c>
      <c r="H312" s="34"/>
      <c r="I312" s="34"/>
      <c r="J312" s="34"/>
      <c r="K312" s="34"/>
      <c r="L312" s="34"/>
      <c r="N312" s="34"/>
      <c r="O312" s="35"/>
      <c r="P312" s="35"/>
      <c r="Q312" s="35"/>
      <c r="R312" s="35"/>
      <c r="S312" s="74"/>
      <c r="AJ312" s="34"/>
      <c r="AK312" s="34"/>
      <c r="AL312" s="34"/>
      <c r="AM312" s="34"/>
      <c r="AN312" s="34"/>
      <c r="AQ312" s="67"/>
      <c r="AR312" s="67"/>
      <c r="AS312" s="67"/>
      <c r="AT312" s="67"/>
      <c r="AU312" s="67"/>
      <c r="AW312" s="68"/>
      <c r="AX312" s="68"/>
      <c r="AY312" s="68"/>
      <c r="AZ312" s="68"/>
      <c r="BA312" s="68"/>
      <c r="BB312" s="68"/>
    </row>
    <row r="313" spans="1:54" ht="13.5" thickBot="1">
      <c r="A313" s="103">
        <v>39146</v>
      </c>
      <c r="B313" s="104">
        <v>5.0784997940063477</v>
      </c>
      <c r="C313" s="105">
        <v>1374.1199951171875</v>
      </c>
      <c r="D313" s="104">
        <v>1.9222999811172485</v>
      </c>
      <c r="E313">
        <v>115.86142576622348</v>
      </c>
      <c r="F313">
        <v>641.06439208984375</v>
      </c>
      <c r="H313" s="34"/>
      <c r="I313" s="34"/>
      <c r="J313" s="34"/>
      <c r="K313" s="34"/>
      <c r="L313" s="34"/>
      <c r="N313" s="34"/>
      <c r="O313" s="35"/>
      <c r="P313" s="35"/>
      <c r="Q313" s="35"/>
      <c r="R313" s="35"/>
      <c r="S313" s="74"/>
      <c r="AJ313" s="34"/>
      <c r="AK313" s="34"/>
      <c r="AL313" s="34"/>
      <c r="AM313" s="34"/>
      <c r="AN313" s="34"/>
      <c r="AQ313" s="67"/>
      <c r="AR313" s="67"/>
      <c r="AS313" s="67"/>
      <c r="AT313" s="67"/>
      <c r="AU313" s="67"/>
      <c r="AW313" s="68"/>
      <c r="AX313" s="68"/>
      <c r="AY313" s="68"/>
      <c r="AZ313" s="68"/>
      <c r="BA313" s="68"/>
      <c r="BB313" s="68"/>
    </row>
    <row r="314" spans="1:54" ht="13.5" thickBot="1">
      <c r="A314" s="103">
        <v>39147</v>
      </c>
      <c r="B314" s="104">
        <v>5.0735001564025879</v>
      </c>
      <c r="C314" s="105">
        <v>1395.4100341796875</v>
      </c>
      <c r="D314" s="104">
        <v>1.9293999671936035</v>
      </c>
      <c r="E314">
        <v>116.65888833418531</v>
      </c>
      <c r="F314">
        <v>645.56414794921875</v>
      </c>
      <c r="H314" s="34"/>
      <c r="I314" s="34"/>
      <c r="J314" s="34"/>
      <c r="K314" s="34"/>
      <c r="L314" s="34"/>
      <c r="N314" s="34"/>
      <c r="O314" s="35"/>
      <c r="P314" s="35"/>
      <c r="Q314" s="35"/>
      <c r="R314" s="35"/>
      <c r="S314" s="74"/>
      <c r="AJ314" s="34"/>
      <c r="AK314" s="34"/>
      <c r="AL314" s="34"/>
      <c r="AM314" s="34"/>
      <c r="AN314" s="34"/>
      <c r="AQ314" s="67"/>
      <c r="AR314" s="67"/>
      <c r="AS314" s="67"/>
      <c r="AT314" s="67"/>
      <c r="AU314" s="67"/>
      <c r="AW314" s="68"/>
      <c r="AX314" s="68"/>
      <c r="AY314" s="68"/>
      <c r="AZ314" s="68"/>
      <c r="BA314" s="68"/>
      <c r="BB314" s="68"/>
    </row>
    <row r="315" spans="1:54" ht="13.5" thickBot="1">
      <c r="A315" s="103">
        <v>39148</v>
      </c>
      <c r="B315" s="104">
        <v>5.0390000343322754</v>
      </c>
      <c r="C315" s="105">
        <v>1391.969970703125</v>
      </c>
      <c r="D315" s="104">
        <v>1.9340000152587891</v>
      </c>
      <c r="E315">
        <v>116.34671291892315</v>
      </c>
      <c r="F315">
        <v>649.263916015625</v>
      </c>
      <c r="H315" s="34"/>
      <c r="I315" s="34"/>
      <c r="J315" s="34"/>
      <c r="K315" s="34"/>
      <c r="L315" s="34"/>
      <c r="N315" s="34"/>
      <c r="O315" s="35"/>
      <c r="P315" s="35"/>
      <c r="Q315" s="35"/>
      <c r="R315" s="35"/>
      <c r="S315" s="74"/>
      <c r="AJ315" s="34"/>
      <c r="AK315" s="34"/>
      <c r="AL315" s="34"/>
      <c r="AM315" s="34"/>
      <c r="AN315" s="34"/>
      <c r="AQ315" s="67"/>
      <c r="AR315" s="67"/>
      <c r="AS315" s="67"/>
      <c r="AT315" s="67"/>
      <c r="AU315" s="67"/>
      <c r="AW315" s="68"/>
      <c r="AX315" s="68"/>
      <c r="AY315" s="68"/>
      <c r="AZ315" s="68"/>
      <c r="BA315" s="68"/>
      <c r="BB315" s="68"/>
    </row>
    <row r="316" spans="1:54" ht="13.5" thickBot="1">
      <c r="A316" s="103">
        <v>39149</v>
      </c>
      <c r="B316" s="104">
        <v>5.0469999313354492</v>
      </c>
      <c r="C316" s="105">
        <v>1401.8900146484375</v>
      </c>
      <c r="D316" s="104">
        <v>1.9293999671936035</v>
      </c>
      <c r="E316">
        <v>117.13716700336245</v>
      </c>
      <c r="F316">
        <v>651.527587890625</v>
      </c>
      <c r="H316" s="34"/>
      <c r="I316" s="34"/>
      <c r="J316" s="34"/>
      <c r="K316" s="34"/>
      <c r="L316" s="34"/>
      <c r="N316" s="34"/>
      <c r="O316" s="35"/>
      <c r="P316" s="35"/>
      <c r="Q316" s="35"/>
      <c r="R316" s="35"/>
      <c r="S316" s="74"/>
      <c r="AJ316" s="34"/>
      <c r="AK316" s="34"/>
      <c r="AL316" s="34"/>
      <c r="AM316" s="34"/>
      <c r="AN316" s="34"/>
      <c r="AQ316" s="67"/>
      <c r="AR316" s="67"/>
      <c r="AS316" s="67"/>
      <c r="AT316" s="67"/>
      <c r="AU316" s="67"/>
      <c r="AW316" s="68"/>
      <c r="AX316" s="68"/>
      <c r="AY316" s="68"/>
      <c r="AZ316" s="68"/>
      <c r="BA316" s="68"/>
      <c r="BB316" s="68"/>
    </row>
    <row r="317" spans="1:54" ht="13.5" thickBot="1">
      <c r="A317" s="103">
        <v>39150</v>
      </c>
      <c r="B317" s="104">
        <v>5.127500057220459</v>
      </c>
      <c r="C317" s="105">
        <v>1402.8499755859375</v>
      </c>
      <c r="D317" s="104">
        <v>1.9318000078201294</v>
      </c>
      <c r="E317">
        <v>118.1334848680718</v>
      </c>
      <c r="F317">
        <v>651.12762451171875</v>
      </c>
      <c r="H317" s="34"/>
      <c r="I317" s="34"/>
      <c r="J317" s="34"/>
      <c r="K317" s="34"/>
      <c r="L317" s="34"/>
      <c r="N317" s="34"/>
      <c r="O317" s="35"/>
      <c r="P317" s="35"/>
      <c r="Q317" s="35"/>
      <c r="R317" s="35"/>
      <c r="S317" s="74"/>
      <c r="AJ317" s="34"/>
      <c r="AK317" s="34"/>
      <c r="AL317" s="34"/>
      <c r="AM317" s="34"/>
      <c r="AN317" s="34"/>
      <c r="AQ317" s="67"/>
      <c r="AR317" s="67"/>
      <c r="AS317" s="67"/>
      <c r="AT317" s="67"/>
      <c r="AU317" s="67"/>
      <c r="AW317" s="68"/>
      <c r="AX317" s="68"/>
      <c r="AY317" s="68"/>
      <c r="AZ317" s="68"/>
      <c r="BA317" s="68"/>
      <c r="BB317" s="68"/>
    </row>
    <row r="318" spans="1:54" ht="13.5" thickBot="1">
      <c r="A318" s="103">
        <v>39153</v>
      </c>
      <c r="B318" s="104">
        <v>5.0970001220703125</v>
      </c>
      <c r="C318" s="105">
        <v>1406.5999755859375</v>
      </c>
      <c r="D318" s="104">
        <v>1.9320000410079956</v>
      </c>
      <c r="E318">
        <v>117.61938351528373</v>
      </c>
      <c r="F318">
        <v>651.163818359375</v>
      </c>
      <c r="H318" s="34"/>
      <c r="I318" s="34"/>
      <c r="J318" s="34"/>
      <c r="K318" s="34"/>
      <c r="L318" s="34"/>
      <c r="N318" s="34"/>
      <c r="O318" s="35"/>
      <c r="P318" s="35"/>
      <c r="Q318" s="35"/>
      <c r="R318" s="35"/>
      <c r="S318" s="74"/>
      <c r="AJ318" s="34"/>
      <c r="AK318" s="34"/>
      <c r="AL318" s="34"/>
      <c r="AM318" s="34"/>
      <c r="AN318" s="34"/>
      <c r="AQ318" s="67"/>
      <c r="AR318" s="67"/>
      <c r="AS318" s="67"/>
      <c r="AT318" s="67"/>
      <c r="AU318" s="67"/>
      <c r="AW318" s="68"/>
      <c r="AX318" s="68"/>
      <c r="AY318" s="68"/>
      <c r="AZ318" s="68"/>
      <c r="BA318" s="68"/>
      <c r="BB318" s="68"/>
    </row>
    <row r="319" spans="1:54" ht="13.5" thickBot="1">
      <c r="A319" s="103">
        <v>39154</v>
      </c>
      <c r="B319" s="104">
        <v>5.0425000190734863</v>
      </c>
      <c r="C319" s="105">
        <v>1377.949951171875</v>
      </c>
      <c r="D319" s="104">
        <v>1.930400013923645</v>
      </c>
      <c r="E319">
        <v>116.52295924014841</v>
      </c>
      <c r="F319">
        <v>651.56378173828125</v>
      </c>
      <c r="H319" s="34"/>
      <c r="I319" s="34"/>
      <c r="J319" s="34"/>
      <c r="K319" s="34"/>
      <c r="L319" s="34"/>
      <c r="N319" s="34"/>
      <c r="O319" s="35"/>
      <c r="P319" s="35"/>
      <c r="Q319" s="35"/>
      <c r="R319" s="35"/>
      <c r="S319" s="74"/>
      <c r="AJ319" s="34"/>
      <c r="AK319" s="34"/>
      <c r="AL319" s="34"/>
      <c r="AM319" s="34"/>
      <c r="AN319" s="34"/>
      <c r="AQ319" s="67"/>
      <c r="AR319" s="67"/>
      <c r="AS319" s="67"/>
      <c r="AT319" s="67"/>
      <c r="AU319" s="67"/>
      <c r="AW319" s="68"/>
      <c r="AX319" s="68"/>
      <c r="AY319" s="68"/>
      <c r="AZ319" s="68"/>
      <c r="BA319" s="68"/>
      <c r="BB319" s="68"/>
    </row>
    <row r="320" spans="1:54" ht="13.5" thickBot="1">
      <c r="A320" s="103">
        <v>39155</v>
      </c>
      <c r="B320" s="104">
        <v>5.059999942779541</v>
      </c>
      <c r="C320" s="105">
        <v>1387.1700439453125</v>
      </c>
      <c r="D320" s="104">
        <v>1.9352999925613403</v>
      </c>
      <c r="E320">
        <v>116.71335134817855</v>
      </c>
      <c r="F320">
        <v>638.0645751953125</v>
      </c>
      <c r="H320" s="34"/>
      <c r="I320" s="34"/>
      <c r="J320" s="34"/>
      <c r="K320" s="34"/>
      <c r="L320" s="34"/>
      <c r="N320" s="34"/>
      <c r="O320" s="35"/>
      <c r="P320" s="35"/>
      <c r="Q320" s="35"/>
      <c r="R320" s="35"/>
      <c r="S320" s="74"/>
      <c r="AJ320" s="34"/>
      <c r="AK320" s="34"/>
      <c r="AL320" s="34"/>
      <c r="AM320" s="34"/>
      <c r="AN320" s="34"/>
      <c r="AQ320" s="67"/>
      <c r="AR320" s="67"/>
      <c r="AS320" s="67"/>
      <c r="AT320" s="67"/>
      <c r="AU320" s="67"/>
      <c r="AW320" s="68"/>
      <c r="AX320" s="68"/>
      <c r="AY320" s="68"/>
      <c r="AZ320" s="68"/>
      <c r="BA320" s="68"/>
      <c r="BB320" s="68"/>
    </row>
    <row r="321" spans="1:54" ht="13.5" thickBot="1">
      <c r="A321" s="103">
        <v>39156</v>
      </c>
      <c r="B321" s="104">
        <v>5.0669999122619629</v>
      </c>
      <c r="C321" s="105">
        <v>1392.280029296875</v>
      </c>
      <c r="D321" s="104">
        <v>1.9363000392913818</v>
      </c>
      <c r="E321">
        <v>117.61938351528373</v>
      </c>
      <c r="F321">
        <v>647.927978515625</v>
      </c>
      <c r="H321" s="34"/>
      <c r="I321" s="34"/>
      <c r="J321" s="34"/>
      <c r="K321" s="34"/>
      <c r="L321" s="34"/>
      <c r="N321" s="34"/>
      <c r="O321" s="35"/>
      <c r="P321" s="35"/>
      <c r="Q321" s="35"/>
      <c r="R321" s="35"/>
      <c r="S321" s="74"/>
      <c r="AJ321" s="34"/>
      <c r="AK321" s="34"/>
      <c r="AL321" s="34"/>
      <c r="AM321" s="34"/>
      <c r="AN321" s="34"/>
      <c r="AQ321" s="67"/>
      <c r="AR321" s="67"/>
      <c r="AS321" s="67"/>
      <c r="AT321" s="67"/>
      <c r="AU321" s="67"/>
      <c r="AW321" s="68"/>
      <c r="AX321" s="68"/>
      <c r="AY321" s="68"/>
      <c r="AZ321" s="68"/>
      <c r="BA321" s="68"/>
      <c r="BB321" s="68"/>
    </row>
    <row r="322" spans="1:54" ht="13.5" thickBot="1">
      <c r="A322" s="103">
        <v>39157</v>
      </c>
      <c r="B322" s="104">
        <v>5.0840001106262207</v>
      </c>
      <c r="C322" s="105">
        <v>1386.949951171875</v>
      </c>
      <c r="D322" s="104">
        <v>1.9419000148773193</v>
      </c>
      <c r="E322">
        <v>116.74060827565931</v>
      </c>
      <c r="F322">
        <v>653.4273681640625</v>
      </c>
      <c r="H322" s="34"/>
      <c r="I322" s="34"/>
      <c r="J322" s="34"/>
      <c r="K322" s="34"/>
      <c r="L322" s="34"/>
      <c r="N322" s="34"/>
      <c r="O322" s="35"/>
      <c r="P322" s="35"/>
      <c r="Q322" s="35"/>
      <c r="R322" s="35"/>
      <c r="S322" s="74"/>
      <c r="AJ322" s="34"/>
      <c r="AK322" s="34"/>
      <c r="AL322" s="34"/>
      <c r="AM322" s="34"/>
      <c r="AN322" s="34"/>
      <c r="AQ322" s="67"/>
      <c r="AR322" s="67"/>
      <c r="AS322" s="67"/>
      <c r="AT322" s="67"/>
      <c r="AU322" s="67"/>
      <c r="AW322" s="68"/>
      <c r="AX322" s="68"/>
      <c r="AY322" s="68"/>
      <c r="AZ322" s="68"/>
      <c r="BA322" s="68"/>
      <c r="BB322" s="68"/>
    </row>
    <row r="323" spans="1:54" ht="13.5" thickBot="1">
      <c r="A323" s="103">
        <v>39160</v>
      </c>
      <c r="B323" s="104">
        <v>5.1020002365112305</v>
      </c>
      <c r="C323" s="105">
        <v>1402.06005859375</v>
      </c>
      <c r="D323" s="104">
        <v>1.9440000057220459</v>
      </c>
      <c r="E323">
        <v>117.61938351528373</v>
      </c>
      <c r="F323">
        <v>654.3636474609375</v>
      </c>
      <c r="H323" s="34"/>
      <c r="I323" s="34"/>
      <c r="J323" s="34"/>
      <c r="K323" s="34"/>
      <c r="L323" s="34"/>
      <c r="N323" s="34"/>
      <c r="O323" s="35"/>
      <c r="P323" s="35"/>
      <c r="Q323" s="35"/>
      <c r="R323" s="35"/>
      <c r="S323" s="74"/>
      <c r="AJ323" s="34"/>
      <c r="AK323" s="34"/>
      <c r="AL323" s="34"/>
      <c r="AM323" s="34"/>
      <c r="AN323" s="34"/>
      <c r="AQ323" s="67"/>
      <c r="AR323" s="67"/>
      <c r="AS323" s="67"/>
      <c r="AT323" s="67"/>
      <c r="AU323" s="67"/>
      <c r="AW323" s="68"/>
      <c r="AX323" s="68"/>
      <c r="AY323" s="68"/>
      <c r="AZ323" s="68"/>
      <c r="BA323" s="68"/>
      <c r="BB323" s="68"/>
    </row>
    <row r="324" spans="1:54" ht="13.5" thickBot="1">
      <c r="A324" s="103">
        <v>39161</v>
      </c>
      <c r="B324" s="104">
        <v>5.0795001983642578</v>
      </c>
      <c r="C324" s="105">
        <v>1410.93994140625</v>
      </c>
      <c r="D324" s="104">
        <v>1.9608999490737915</v>
      </c>
      <c r="E324">
        <v>117.23329116724085</v>
      </c>
      <c r="F324">
        <v>660.0633544921875</v>
      </c>
      <c r="H324" s="34"/>
      <c r="I324" s="34"/>
      <c r="J324" s="34"/>
      <c r="K324" s="34"/>
      <c r="L324" s="34"/>
      <c r="N324" s="34"/>
      <c r="O324" s="35"/>
      <c r="P324" s="35"/>
      <c r="Q324" s="35"/>
      <c r="R324" s="35"/>
      <c r="S324" s="74"/>
      <c r="AJ324" s="34"/>
      <c r="AK324" s="34"/>
      <c r="AL324" s="34"/>
      <c r="AM324" s="34"/>
      <c r="AN324" s="34"/>
      <c r="AQ324" s="67"/>
      <c r="AR324" s="67"/>
      <c r="AS324" s="67"/>
      <c r="AT324" s="67"/>
      <c r="AU324" s="67"/>
      <c r="AW324" s="68"/>
      <c r="AX324" s="68"/>
      <c r="AY324" s="68"/>
      <c r="AZ324" s="68"/>
      <c r="BA324" s="68"/>
      <c r="BB324" s="68"/>
    </row>
    <row r="325" spans="1:54" ht="13.5" thickBot="1">
      <c r="A325" s="103">
        <v>39162</v>
      </c>
      <c r="B325" s="104">
        <v>5.0374999046325684</v>
      </c>
      <c r="C325" s="105">
        <v>1435.0400390625</v>
      </c>
      <c r="D325" s="104">
        <v>1.9687000513076782</v>
      </c>
      <c r="E325">
        <v>117.49500214310328</v>
      </c>
      <c r="F325">
        <v>658.56341552734375</v>
      </c>
      <c r="H325" s="34"/>
      <c r="I325" s="34"/>
      <c r="J325" s="34"/>
      <c r="K325" s="34"/>
      <c r="L325" s="34"/>
      <c r="N325" s="34"/>
      <c r="O325" s="35"/>
      <c r="P325" s="35"/>
      <c r="Q325" s="35"/>
      <c r="R325" s="35"/>
      <c r="S325" s="74"/>
      <c r="AJ325" s="34"/>
      <c r="AK325" s="34"/>
      <c r="AL325" s="34"/>
      <c r="AM325" s="34"/>
      <c r="AN325" s="34"/>
      <c r="AQ325" s="67"/>
      <c r="AR325" s="67"/>
      <c r="AS325" s="67"/>
      <c r="AT325" s="67"/>
      <c r="AU325" s="67"/>
      <c r="AW325" s="68"/>
      <c r="AX325" s="68"/>
      <c r="AY325" s="68"/>
      <c r="AZ325" s="68"/>
      <c r="BA325" s="68"/>
      <c r="BB325" s="68"/>
    </row>
    <row r="326" spans="1:54" ht="13.5" thickBot="1">
      <c r="A326" s="103">
        <v>39163</v>
      </c>
      <c r="B326" s="104">
        <v>5.1065001487731934</v>
      </c>
      <c r="C326" s="105">
        <v>1434.5400390625</v>
      </c>
      <c r="D326" s="104">
        <v>1.9650000333786011</v>
      </c>
      <c r="E326">
        <v>118.16140921882801</v>
      </c>
      <c r="F326">
        <v>664.62615966796875</v>
      </c>
      <c r="H326" s="34"/>
      <c r="I326" s="34"/>
      <c r="J326" s="34"/>
      <c r="K326" s="34"/>
      <c r="L326" s="34"/>
      <c r="N326" s="34"/>
      <c r="O326" s="35"/>
      <c r="P326" s="35"/>
      <c r="Q326" s="35"/>
      <c r="R326" s="35"/>
      <c r="S326" s="74"/>
      <c r="AJ326" s="34"/>
      <c r="AK326" s="34"/>
      <c r="AL326" s="34"/>
      <c r="AM326" s="34"/>
      <c r="AN326" s="34"/>
      <c r="AQ326" s="67"/>
      <c r="AR326" s="67"/>
      <c r="AS326" s="67"/>
      <c r="AT326" s="67"/>
      <c r="AU326" s="67"/>
      <c r="AW326" s="68"/>
      <c r="AX326" s="68"/>
      <c r="AY326" s="68"/>
      <c r="AZ326" s="68"/>
      <c r="BA326" s="68"/>
      <c r="BB326" s="68"/>
    </row>
    <row r="327" spans="1:54" ht="13.5" thickBot="1">
      <c r="A327" s="103">
        <v>39164</v>
      </c>
      <c r="B327" s="104">
        <v>5.1409997940063477</v>
      </c>
      <c r="C327" s="105">
        <v>1436.1099853515625</v>
      </c>
      <c r="D327" s="104">
        <v>1.9613000154495239</v>
      </c>
      <c r="E327">
        <v>118.06375766348202</v>
      </c>
      <c r="F327">
        <v>657.826904296875</v>
      </c>
      <c r="H327" s="34"/>
      <c r="I327" s="34"/>
      <c r="J327" s="34"/>
      <c r="K327" s="34"/>
      <c r="L327" s="34"/>
      <c r="N327" s="34"/>
      <c r="O327" s="35"/>
      <c r="P327" s="35"/>
      <c r="Q327" s="35"/>
      <c r="R327" s="35"/>
      <c r="S327" s="74"/>
      <c r="AJ327" s="34"/>
      <c r="AK327" s="34"/>
      <c r="AL327" s="34"/>
      <c r="AM327" s="34"/>
      <c r="AN327" s="34"/>
      <c r="AQ327" s="67"/>
      <c r="AR327" s="67"/>
      <c r="AS327" s="67"/>
      <c r="AT327" s="67"/>
      <c r="AU327" s="67"/>
      <c r="AW327" s="68"/>
      <c r="AX327" s="68"/>
      <c r="AY327" s="68"/>
      <c r="AZ327" s="68"/>
      <c r="BA327" s="68"/>
      <c r="BB327" s="68"/>
    </row>
    <row r="328" spans="1:54" ht="13.5" thickBot="1">
      <c r="A328" s="103">
        <v>39167</v>
      </c>
      <c r="B328" s="104">
        <v>5.1195001602172852</v>
      </c>
      <c r="C328" s="105">
        <v>1437.5</v>
      </c>
      <c r="D328" s="104">
        <v>1.9700000286102295</v>
      </c>
      <c r="E328">
        <v>118.06375766348202</v>
      </c>
      <c r="F328">
        <v>662.36322021484375</v>
      </c>
      <c r="H328" s="34"/>
      <c r="I328" s="34"/>
      <c r="J328" s="34"/>
      <c r="K328" s="34"/>
      <c r="L328" s="34"/>
      <c r="N328" s="34"/>
      <c r="O328" s="35"/>
      <c r="P328" s="35"/>
      <c r="Q328" s="35"/>
      <c r="R328" s="35"/>
      <c r="S328" s="74"/>
      <c r="AJ328" s="34"/>
      <c r="AK328" s="34"/>
      <c r="AL328" s="34"/>
      <c r="AM328" s="34"/>
      <c r="AN328" s="34"/>
      <c r="AQ328" s="67"/>
      <c r="AR328" s="67"/>
      <c r="AS328" s="67"/>
      <c r="AT328" s="67"/>
      <c r="AU328" s="67"/>
      <c r="AW328" s="68"/>
      <c r="AX328" s="68"/>
      <c r="AY328" s="68"/>
      <c r="AZ328" s="68"/>
      <c r="BA328" s="68"/>
      <c r="BB328" s="68"/>
    </row>
    <row r="329" spans="1:54" ht="13.5" thickBot="1">
      <c r="A329" s="103">
        <v>39168</v>
      </c>
      <c r="B329" s="104">
        <v>5.1385002136230469</v>
      </c>
      <c r="C329" s="105">
        <v>1428.6099853515625</v>
      </c>
      <c r="D329" s="104">
        <v>1.9656000137329102</v>
      </c>
      <c r="E329">
        <v>117.93843517378738</v>
      </c>
      <c r="F329">
        <v>663.046142578125</v>
      </c>
      <c r="H329" s="34"/>
      <c r="I329" s="34"/>
      <c r="J329" s="34"/>
      <c r="K329" s="34"/>
      <c r="L329" s="34"/>
      <c r="N329" s="34"/>
      <c r="O329" s="35"/>
      <c r="P329" s="35"/>
      <c r="Q329" s="35"/>
      <c r="R329" s="35"/>
      <c r="S329" s="74"/>
      <c r="AJ329" s="34"/>
      <c r="AK329" s="34"/>
      <c r="AL329" s="34"/>
      <c r="AM329" s="34"/>
      <c r="AN329" s="34"/>
      <c r="AQ329" s="67"/>
      <c r="AR329" s="67"/>
      <c r="AS329" s="67"/>
      <c r="AT329" s="67"/>
      <c r="AU329" s="67"/>
      <c r="AW329" s="68"/>
      <c r="AX329" s="68"/>
      <c r="AY329" s="68"/>
      <c r="AZ329" s="68"/>
      <c r="BA329" s="68"/>
      <c r="BB329" s="68"/>
    </row>
    <row r="330" spans="1:54" ht="13.5" thickBot="1">
      <c r="A330" s="103">
        <v>39169</v>
      </c>
      <c r="B330" s="104">
        <v>5.1529998779296875</v>
      </c>
      <c r="C330" s="105">
        <v>1417.22998046875</v>
      </c>
      <c r="D330" s="104">
        <v>1.961899995803833</v>
      </c>
      <c r="E330">
        <v>116.87704593534187</v>
      </c>
      <c r="F330">
        <v>664.863037109375</v>
      </c>
      <c r="H330" s="34"/>
      <c r="I330" s="34"/>
      <c r="J330" s="34"/>
      <c r="K330" s="34"/>
      <c r="L330" s="34"/>
      <c r="N330" s="34"/>
      <c r="O330" s="35"/>
      <c r="P330" s="35"/>
      <c r="Q330" s="35"/>
      <c r="R330" s="35"/>
      <c r="S330" s="74"/>
      <c r="AJ330" s="34"/>
      <c r="AK330" s="34"/>
      <c r="AL330" s="34"/>
      <c r="AM330" s="34"/>
      <c r="AN330" s="34"/>
      <c r="AQ330" s="67"/>
      <c r="AR330" s="67"/>
      <c r="AS330" s="67"/>
      <c r="AT330" s="67"/>
      <c r="AU330" s="67"/>
      <c r="AW330" s="68"/>
      <c r="AX330" s="68"/>
      <c r="AY330" s="68"/>
      <c r="AZ330" s="68"/>
      <c r="BA330" s="68"/>
      <c r="BB330" s="68"/>
    </row>
    <row r="331" spans="1:54" ht="13.5" thickBot="1">
      <c r="A331" s="103">
        <v>39170</v>
      </c>
      <c r="B331" s="104">
        <v>5.1624999046325684</v>
      </c>
      <c r="C331" s="105">
        <v>1422.530029296875</v>
      </c>
      <c r="D331" s="104">
        <v>1.9620000123977661</v>
      </c>
      <c r="E331">
        <v>117.9940997555814</v>
      </c>
      <c r="F331">
        <v>661.82647705078125</v>
      </c>
      <c r="H331" s="34"/>
      <c r="I331" s="34"/>
      <c r="J331" s="34"/>
      <c r="K331" s="34"/>
      <c r="L331" s="34"/>
      <c r="N331" s="34"/>
      <c r="O331" s="35"/>
      <c r="P331" s="35"/>
      <c r="Q331" s="35"/>
      <c r="R331" s="35"/>
      <c r="S331" s="74"/>
      <c r="AJ331" s="34"/>
      <c r="AK331" s="34"/>
      <c r="AL331" s="34"/>
      <c r="AM331" s="34"/>
      <c r="AN331" s="34"/>
      <c r="AQ331" s="67"/>
      <c r="AR331" s="67"/>
      <c r="AS331" s="67"/>
      <c r="AT331" s="67"/>
      <c r="AU331" s="67"/>
      <c r="AW331" s="68"/>
      <c r="AX331" s="68"/>
      <c r="AY331" s="68"/>
      <c r="AZ331" s="68"/>
      <c r="BA331" s="68"/>
      <c r="BB331" s="68"/>
    </row>
    <row r="332" spans="1:54" ht="13.5" thickBot="1">
      <c r="A332" s="103">
        <v>39171</v>
      </c>
      <c r="B332" s="104">
        <v>5.1735000610351563</v>
      </c>
      <c r="C332" s="105">
        <v>1420.8599853515625</v>
      </c>
      <c r="D332" s="104">
        <v>1.9675999879837036</v>
      </c>
      <c r="E332">
        <v>117.81337845697807</v>
      </c>
      <c r="F332">
        <v>663.3262939453125</v>
      </c>
      <c r="H332" s="34"/>
      <c r="I332" s="34"/>
      <c r="J332" s="34"/>
      <c r="K332" s="34"/>
      <c r="L332" s="34"/>
      <c r="N332" s="34"/>
      <c r="O332" s="35"/>
      <c r="P332" s="35"/>
      <c r="Q332" s="35"/>
      <c r="R332" s="35"/>
      <c r="S332" s="74"/>
      <c r="AJ332" s="34"/>
      <c r="AK332" s="34"/>
      <c r="AL332" s="34"/>
      <c r="AM332" s="34"/>
      <c r="AN332" s="34"/>
      <c r="AQ332" s="67"/>
      <c r="AR332" s="67"/>
      <c r="AS332" s="67"/>
      <c r="AT332" s="67"/>
      <c r="AU332" s="67"/>
      <c r="AW332" s="68"/>
      <c r="AX332" s="68"/>
      <c r="AY332" s="68"/>
      <c r="AZ332" s="68"/>
      <c r="BA332" s="68"/>
      <c r="BB332" s="68"/>
    </row>
    <row r="333" spans="1:54" ht="13.5" thickBot="1">
      <c r="A333" s="103">
        <v>39174</v>
      </c>
      <c r="B333" s="104">
        <v>5.1764998435974121</v>
      </c>
      <c r="C333" s="105">
        <v>1424.550048828125</v>
      </c>
      <c r="D333" s="104">
        <v>1.9781999588012695</v>
      </c>
      <c r="E333">
        <v>117.79950968700582</v>
      </c>
      <c r="F333">
        <v>664.46307373046875</v>
      </c>
      <c r="H333" s="34"/>
      <c r="I333" s="34"/>
      <c r="J333" s="34"/>
      <c r="K333" s="34"/>
      <c r="L333" s="34"/>
      <c r="N333" s="34"/>
      <c r="O333" s="35"/>
      <c r="P333" s="35"/>
      <c r="Q333" s="35"/>
      <c r="R333" s="35"/>
      <c r="S333" s="74"/>
      <c r="AJ333" s="34"/>
      <c r="AK333" s="34"/>
      <c r="AL333" s="34"/>
      <c r="AM333" s="34"/>
      <c r="AN333" s="34"/>
      <c r="AQ333" s="67"/>
      <c r="AR333" s="67"/>
      <c r="AS333" s="67"/>
      <c r="AT333" s="67"/>
      <c r="AU333" s="67"/>
      <c r="AW333" s="68"/>
      <c r="AX333" s="68"/>
      <c r="AY333" s="68"/>
      <c r="AZ333" s="68"/>
      <c r="BA333" s="68"/>
      <c r="BB333" s="68"/>
    </row>
    <row r="334" spans="1:54" ht="13.5" thickBot="1">
      <c r="A334" s="103">
        <v>39175</v>
      </c>
      <c r="B334" s="104">
        <v>5.1964998245239258</v>
      </c>
      <c r="C334" s="105">
        <v>1437.77001953125</v>
      </c>
      <c r="D334" s="104">
        <v>1.9765000343322754</v>
      </c>
      <c r="E334">
        <v>118.90606078358002</v>
      </c>
      <c r="F334">
        <v>665.56304931640625</v>
      </c>
      <c r="H334" s="34"/>
      <c r="I334" s="34"/>
      <c r="J334" s="34"/>
      <c r="K334" s="34"/>
      <c r="L334" s="34"/>
      <c r="N334" s="34"/>
      <c r="O334" s="35"/>
      <c r="P334" s="35"/>
      <c r="Q334" s="35"/>
      <c r="R334" s="35"/>
      <c r="S334" s="74"/>
      <c r="AJ334" s="34"/>
      <c r="AK334" s="34"/>
      <c r="AL334" s="34"/>
      <c r="AM334" s="34"/>
      <c r="AN334" s="34"/>
      <c r="AQ334" s="67"/>
      <c r="AR334" s="67"/>
      <c r="AS334" s="67"/>
      <c r="AT334" s="67"/>
      <c r="AU334" s="67"/>
      <c r="AW334" s="68"/>
      <c r="AX334" s="68"/>
      <c r="AY334" s="68"/>
      <c r="AZ334" s="68"/>
      <c r="BA334" s="68"/>
      <c r="BB334" s="68"/>
    </row>
    <row r="335" spans="1:54" ht="13.5" thickBot="1">
      <c r="A335" s="103">
        <v>39176</v>
      </c>
      <c r="B335" s="104">
        <v>5.1894998550415039</v>
      </c>
      <c r="C335" s="105">
        <v>1439.3699951171875</v>
      </c>
      <c r="D335" s="104">
        <v>1.9753999710083008</v>
      </c>
      <c r="E335">
        <v>118.66619660312041</v>
      </c>
      <c r="F335">
        <v>673.806396484375</v>
      </c>
      <c r="H335" s="34"/>
      <c r="I335" s="34"/>
      <c r="J335" s="34"/>
      <c r="K335" s="34"/>
      <c r="L335" s="34"/>
      <c r="N335" s="34"/>
      <c r="O335" s="35"/>
      <c r="P335" s="35"/>
      <c r="Q335" s="35"/>
      <c r="R335" s="35"/>
      <c r="S335" s="74"/>
      <c r="AJ335" s="34"/>
      <c r="AK335" s="34"/>
      <c r="AL335" s="34"/>
      <c r="AM335" s="34"/>
      <c r="AN335" s="34"/>
      <c r="AQ335" s="67"/>
      <c r="AR335" s="67"/>
      <c r="AS335" s="67"/>
      <c r="AT335" s="67"/>
      <c r="AU335" s="67"/>
      <c r="AW335" s="68"/>
      <c r="AX335" s="68"/>
      <c r="AY335" s="68"/>
      <c r="AZ335" s="68"/>
      <c r="BA335" s="68"/>
      <c r="BB335" s="68"/>
    </row>
    <row r="336" spans="1:54" ht="13.5" thickBot="1">
      <c r="A336" s="103">
        <v>39177</v>
      </c>
      <c r="B336" s="104">
        <v>5.2109999656677246</v>
      </c>
      <c r="C336" s="105">
        <v>1443.760009765625</v>
      </c>
      <c r="D336" s="104">
        <v>1.9708000421524048</v>
      </c>
      <c r="E336">
        <v>118.66619660312041</v>
      </c>
      <c r="F336">
        <v>673.806396484375</v>
      </c>
      <c r="H336" s="34"/>
      <c r="I336" s="34"/>
      <c r="J336" s="34"/>
      <c r="K336" s="34"/>
      <c r="L336" s="34"/>
      <c r="N336" s="34"/>
      <c r="O336" s="35"/>
      <c r="P336" s="35"/>
      <c r="Q336" s="35"/>
      <c r="R336" s="35"/>
      <c r="S336" s="74"/>
      <c r="AJ336" s="34"/>
      <c r="AK336" s="34"/>
      <c r="AL336" s="34"/>
      <c r="AM336" s="34"/>
      <c r="AN336" s="34"/>
      <c r="AQ336" s="67"/>
      <c r="AR336" s="67"/>
      <c r="AS336" s="67"/>
      <c r="AT336" s="67"/>
      <c r="AU336" s="67"/>
      <c r="AW336" s="68"/>
      <c r="AX336" s="68"/>
      <c r="AY336" s="68"/>
      <c r="AZ336" s="68"/>
      <c r="BA336" s="68"/>
      <c r="BB336" s="68"/>
    </row>
    <row r="337" spans="1:54" ht="13.5" thickBot="1">
      <c r="A337" s="103">
        <v>39178</v>
      </c>
      <c r="B337" s="104">
        <v>5.2884798049926758</v>
      </c>
      <c r="C337" s="105">
        <v>1443.760009765625</v>
      </c>
      <c r="D337" s="104">
        <v>1.9650000333786011</v>
      </c>
      <c r="E337">
        <v>119.34598060239307</v>
      </c>
      <c r="F337">
        <v>673.806396484375</v>
      </c>
      <c r="H337" s="34"/>
      <c r="I337" s="34"/>
      <c r="J337" s="34"/>
      <c r="K337" s="34"/>
      <c r="L337" s="34"/>
      <c r="N337" s="34"/>
      <c r="O337" s="35"/>
      <c r="P337" s="35"/>
      <c r="Q337" s="35"/>
      <c r="R337" s="35"/>
      <c r="S337" s="74"/>
      <c r="AJ337" s="34"/>
      <c r="AK337" s="34"/>
      <c r="AL337" s="34"/>
      <c r="AM337" s="34"/>
      <c r="AN337" s="34"/>
      <c r="AQ337" s="67"/>
      <c r="AR337" s="67"/>
      <c r="AS337" s="67"/>
      <c r="AT337" s="67"/>
      <c r="AU337" s="67"/>
      <c r="AW337" s="68"/>
      <c r="AX337" s="68"/>
      <c r="AY337" s="68"/>
      <c r="AZ337" s="68"/>
      <c r="BA337" s="68"/>
      <c r="BB337" s="68"/>
    </row>
    <row r="338" spans="1:54" ht="13.5" thickBot="1">
      <c r="A338" s="103">
        <v>39181</v>
      </c>
      <c r="B338" s="104">
        <v>5.2824840545654297</v>
      </c>
      <c r="C338" s="105">
        <v>1444.6099853515625</v>
      </c>
      <c r="D338" s="104">
        <v>1.9609999656677246</v>
      </c>
      <c r="E338">
        <v>119.30326849556405</v>
      </c>
      <c r="F338">
        <v>674.50335693359375</v>
      </c>
      <c r="H338" s="34"/>
      <c r="I338" s="34"/>
      <c r="J338" s="34"/>
      <c r="K338" s="34"/>
      <c r="L338" s="34"/>
      <c r="N338" s="34"/>
      <c r="O338" s="35"/>
      <c r="P338" s="35"/>
      <c r="Q338" s="35"/>
      <c r="R338" s="35"/>
      <c r="S338" s="74"/>
      <c r="AJ338" s="34"/>
      <c r="AK338" s="34"/>
      <c r="AL338" s="34"/>
      <c r="AM338" s="34"/>
      <c r="AN338" s="34"/>
      <c r="AQ338" s="67"/>
      <c r="AR338" s="67"/>
      <c r="AS338" s="67"/>
      <c r="AT338" s="67"/>
      <c r="AU338" s="67"/>
      <c r="AW338" s="68"/>
      <c r="AX338" s="68"/>
      <c r="AY338" s="68"/>
      <c r="AZ338" s="68"/>
      <c r="BA338" s="68"/>
      <c r="BB338" s="68"/>
    </row>
    <row r="339" spans="1:54" ht="13.5" thickBot="1">
      <c r="A339" s="103">
        <v>39182</v>
      </c>
      <c r="B339" s="104">
        <v>5.2614998817443848</v>
      </c>
      <c r="C339" s="105">
        <v>1448.3900146484375</v>
      </c>
      <c r="D339" s="104">
        <v>1.9716999530792236</v>
      </c>
      <c r="E339">
        <v>119.11851780933858</v>
      </c>
      <c r="F339">
        <v>679.062255859375</v>
      </c>
      <c r="H339" s="34"/>
      <c r="I339" s="34"/>
      <c r="J339" s="34"/>
      <c r="K339" s="34"/>
      <c r="L339" s="34"/>
      <c r="N339" s="34"/>
      <c r="O339" s="35"/>
      <c r="P339" s="35"/>
      <c r="Q339" s="35"/>
      <c r="R339" s="35"/>
      <c r="S339" s="74"/>
      <c r="AJ339" s="34"/>
      <c r="AK339" s="34"/>
      <c r="AL339" s="34"/>
      <c r="AM339" s="34"/>
      <c r="AN339" s="34"/>
      <c r="AQ339" s="67"/>
      <c r="AR339" s="67"/>
      <c r="AS339" s="67"/>
      <c r="AT339" s="67"/>
      <c r="AU339" s="67"/>
      <c r="AW339" s="68"/>
      <c r="AX339" s="68"/>
      <c r="AY339" s="68"/>
      <c r="AZ339" s="68"/>
      <c r="BA339" s="68"/>
      <c r="BB339" s="68"/>
    </row>
    <row r="340" spans="1:54" ht="13.5" thickBot="1">
      <c r="A340" s="103">
        <v>39183</v>
      </c>
      <c r="B340" s="104">
        <v>5.2734999656677246</v>
      </c>
      <c r="C340" s="105">
        <v>1438.8699951171875</v>
      </c>
      <c r="D340" s="104">
        <v>1.9750000238418579</v>
      </c>
      <c r="E340">
        <v>119.30326849556405</v>
      </c>
      <c r="F340">
        <v>676.16241455078125</v>
      </c>
      <c r="H340" s="34"/>
      <c r="I340" s="34"/>
      <c r="J340" s="34"/>
      <c r="K340" s="34"/>
      <c r="L340" s="34"/>
      <c r="N340" s="34"/>
      <c r="O340" s="35"/>
      <c r="P340" s="35"/>
      <c r="Q340" s="35"/>
      <c r="R340" s="35"/>
      <c r="S340" s="74"/>
      <c r="AJ340" s="34"/>
      <c r="AK340" s="34"/>
      <c r="AL340" s="34"/>
      <c r="AM340" s="34"/>
      <c r="AN340" s="34"/>
      <c r="AQ340" s="67"/>
      <c r="AR340" s="67"/>
      <c r="AS340" s="67"/>
      <c r="AT340" s="67"/>
      <c r="AU340" s="67"/>
      <c r="AW340" s="68"/>
      <c r="AX340" s="68"/>
      <c r="AY340" s="68"/>
      <c r="AZ340" s="68"/>
      <c r="BA340" s="68"/>
      <c r="BB340" s="68"/>
    </row>
    <row r="341" spans="1:54" ht="13.5" thickBot="1">
      <c r="A341" s="103">
        <v>39184</v>
      </c>
      <c r="B341" s="104">
        <v>5.2744998931884766</v>
      </c>
      <c r="C341" s="105">
        <v>1447.800048828125</v>
      </c>
      <c r="D341" s="104">
        <v>1.9780999422073364</v>
      </c>
      <c r="E341">
        <v>119.06178752273972</v>
      </c>
      <c r="F341">
        <v>676.4248046875</v>
      </c>
      <c r="H341" s="34"/>
      <c r="I341" s="34"/>
      <c r="J341" s="34"/>
      <c r="K341" s="34"/>
      <c r="L341" s="34"/>
      <c r="N341" s="34"/>
      <c r="O341" s="35"/>
      <c r="P341" s="35"/>
      <c r="Q341" s="35"/>
      <c r="R341" s="35"/>
      <c r="S341" s="74"/>
      <c r="AJ341" s="34"/>
      <c r="AK341" s="34"/>
      <c r="AL341" s="34"/>
      <c r="AM341" s="34"/>
      <c r="AN341" s="34"/>
      <c r="AQ341" s="67"/>
      <c r="AR341" s="67"/>
      <c r="AS341" s="67"/>
      <c r="AT341" s="67"/>
      <c r="AU341" s="67"/>
      <c r="AW341" s="68"/>
      <c r="AX341" s="68"/>
      <c r="AY341" s="68"/>
      <c r="AZ341" s="68"/>
      <c r="BA341" s="68"/>
      <c r="BB341" s="68"/>
    </row>
    <row r="342" spans="1:54" ht="13.5" thickBot="1">
      <c r="A342" s="103">
        <v>39185</v>
      </c>
      <c r="B342" s="104">
        <v>5.2940001487731934</v>
      </c>
      <c r="C342" s="105">
        <v>1452.8499755859375</v>
      </c>
      <c r="D342" s="104">
        <v>1.9869999885559082</v>
      </c>
      <c r="E342">
        <v>119.11851780933858</v>
      </c>
      <c r="F342">
        <v>684.6239013671875</v>
      </c>
      <c r="H342" s="34"/>
      <c r="I342" s="34"/>
      <c r="J342" s="34"/>
      <c r="K342" s="34"/>
      <c r="L342" s="34"/>
      <c r="N342" s="34"/>
      <c r="O342" s="35"/>
      <c r="P342" s="35"/>
      <c r="Q342" s="35"/>
      <c r="R342" s="35"/>
      <c r="S342" s="74"/>
      <c r="AJ342" s="34"/>
      <c r="AK342" s="34"/>
      <c r="AL342" s="34"/>
      <c r="AM342" s="34"/>
      <c r="AN342" s="34"/>
      <c r="AQ342" s="67"/>
      <c r="AR342" s="67"/>
      <c r="AS342" s="67"/>
      <c r="AT342" s="67"/>
      <c r="AU342" s="67"/>
      <c r="AW342" s="68"/>
      <c r="AX342" s="68"/>
      <c r="AY342" s="68"/>
      <c r="AZ342" s="68"/>
      <c r="BA342" s="68"/>
      <c r="BB342" s="68"/>
    </row>
    <row r="343" spans="1:54" ht="13.5" thickBot="1">
      <c r="A343" s="103">
        <v>39188</v>
      </c>
      <c r="B343" s="104">
        <v>5.2649998664855957</v>
      </c>
      <c r="C343" s="105">
        <v>1468.469970703125</v>
      </c>
      <c r="D343" s="104">
        <v>1.989799976348877</v>
      </c>
      <c r="E343">
        <v>119.7748298598833</v>
      </c>
      <c r="F343">
        <v>687.66180419921875</v>
      </c>
      <c r="H343" s="34"/>
      <c r="I343" s="34"/>
      <c r="J343" s="34"/>
      <c r="K343" s="34"/>
      <c r="L343" s="34"/>
      <c r="N343" s="34"/>
      <c r="O343" s="35"/>
      <c r="P343" s="35"/>
      <c r="Q343" s="35"/>
      <c r="R343" s="35"/>
      <c r="S343" s="74"/>
      <c r="AJ343" s="34"/>
      <c r="AK343" s="34"/>
      <c r="AL343" s="34"/>
      <c r="AM343" s="34"/>
      <c r="AN343" s="34"/>
      <c r="AQ343" s="67"/>
      <c r="AR343" s="67"/>
      <c r="AS343" s="67"/>
      <c r="AT343" s="67"/>
      <c r="AU343" s="67"/>
      <c r="AW343" s="68"/>
      <c r="AX343" s="68"/>
      <c r="AY343" s="68"/>
      <c r="AZ343" s="68"/>
      <c r="BA343" s="68"/>
      <c r="BB343" s="68"/>
    </row>
    <row r="344" spans="1:54" ht="13.5" thickBot="1">
      <c r="A344" s="103">
        <v>39189</v>
      </c>
      <c r="B344" s="104">
        <v>5.2104997634887695</v>
      </c>
      <c r="C344" s="105">
        <v>1471.47998046875</v>
      </c>
      <c r="D344" s="104">
        <v>2.0062000751495361</v>
      </c>
      <c r="E344">
        <v>118.92020451662098</v>
      </c>
      <c r="F344">
        <v>687.76177978515625</v>
      </c>
      <c r="H344" s="34"/>
      <c r="I344" s="34"/>
      <c r="J344" s="34"/>
      <c r="K344" s="34"/>
      <c r="L344" s="34"/>
      <c r="N344" s="34"/>
      <c r="O344" s="35"/>
      <c r="P344" s="35"/>
      <c r="Q344" s="35"/>
      <c r="R344" s="35"/>
      <c r="S344" s="74"/>
      <c r="AJ344" s="34"/>
      <c r="AK344" s="34"/>
      <c r="AL344" s="34"/>
      <c r="AM344" s="34"/>
      <c r="AN344" s="34"/>
      <c r="AQ344" s="67"/>
      <c r="AR344" s="67"/>
      <c r="AS344" s="67"/>
      <c r="AT344" s="67"/>
      <c r="AU344" s="67"/>
      <c r="AW344" s="68"/>
      <c r="AX344" s="68"/>
      <c r="AY344" s="68"/>
      <c r="AZ344" s="68"/>
      <c r="BA344" s="68"/>
      <c r="BB344" s="68"/>
    </row>
    <row r="345" spans="1:54" ht="13.5" thickBot="1">
      <c r="A345" s="103">
        <v>39190</v>
      </c>
      <c r="B345" s="104">
        <v>5.1739997863769531</v>
      </c>
      <c r="C345" s="105">
        <v>1472.5</v>
      </c>
      <c r="D345" s="104">
        <v>2.0058000087738037</v>
      </c>
      <c r="E345">
        <v>118.62395648790429</v>
      </c>
      <c r="F345">
        <v>688.76171875</v>
      </c>
      <c r="H345" s="34"/>
      <c r="I345" s="34"/>
      <c r="J345" s="34"/>
      <c r="K345" s="34"/>
      <c r="L345" s="34"/>
      <c r="N345" s="34"/>
      <c r="O345" s="35"/>
      <c r="P345" s="35"/>
      <c r="Q345" s="35"/>
      <c r="R345" s="35"/>
      <c r="S345" s="74"/>
      <c r="AJ345" s="34"/>
      <c r="AK345" s="34"/>
      <c r="AL345" s="34"/>
      <c r="AM345" s="34"/>
      <c r="AN345" s="34"/>
      <c r="AQ345" s="67"/>
      <c r="AR345" s="67"/>
      <c r="AS345" s="67"/>
      <c r="AT345" s="67"/>
      <c r="AU345" s="67"/>
      <c r="AW345" s="68"/>
      <c r="AX345" s="68"/>
      <c r="AY345" s="68"/>
      <c r="AZ345" s="68"/>
      <c r="BA345" s="68"/>
      <c r="BB345" s="68"/>
    </row>
    <row r="346" spans="1:54" ht="13.5" thickBot="1">
      <c r="A346" s="103">
        <v>39191</v>
      </c>
      <c r="B346" s="104">
        <v>5.1904997825622559</v>
      </c>
      <c r="C346" s="105">
        <v>1470.72998046875</v>
      </c>
      <c r="D346" s="104">
        <v>2.0018999576568604</v>
      </c>
      <c r="E346">
        <v>118.3852279689615</v>
      </c>
      <c r="F346">
        <v>684.12396240234375</v>
      </c>
      <c r="H346" s="34"/>
      <c r="I346" s="34"/>
      <c r="J346" s="34"/>
      <c r="K346" s="34"/>
      <c r="L346" s="34"/>
      <c r="N346" s="34"/>
      <c r="O346" s="35"/>
      <c r="P346" s="35"/>
      <c r="Q346" s="35"/>
      <c r="R346" s="35"/>
      <c r="S346" s="74"/>
      <c r="AJ346" s="34"/>
      <c r="AK346" s="34"/>
      <c r="AL346" s="34"/>
      <c r="AM346" s="34"/>
      <c r="AN346" s="34"/>
      <c r="AQ346" s="67"/>
      <c r="AR346" s="67"/>
      <c r="AS346" s="67"/>
      <c r="AT346" s="67"/>
      <c r="AU346" s="67"/>
      <c r="AW346" s="68"/>
      <c r="AX346" s="68"/>
      <c r="AY346" s="68"/>
      <c r="AZ346" s="68"/>
      <c r="BA346" s="68"/>
      <c r="BB346" s="68"/>
    </row>
    <row r="347" spans="1:54" ht="13.5" thickBot="1">
      <c r="A347" s="103">
        <v>39192</v>
      </c>
      <c r="B347" s="104">
        <v>5.195000171661377</v>
      </c>
      <c r="C347" s="105">
        <v>1484.3499755859375</v>
      </c>
      <c r="D347" s="104">
        <v>2.0035998821258545</v>
      </c>
      <c r="E347">
        <v>118.76484768230087</v>
      </c>
      <c r="F347">
        <v>691.6231689453125</v>
      </c>
      <c r="H347" s="34"/>
      <c r="I347" s="34"/>
      <c r="J347" s="34"/>
      <c r="K347" s="34"/>
      <c r="L347" s="34"/>
      <c r="N347" s="34"/>
      <c r="O347" s="35"/>
      <c r="P347" s="35"/>
      <c r="Q347" s="35"/>
      <c r="R347" s="35"/>
      <c r="S347" s="74"/>
      <c r="AJ347" s="34"/>
      <c r="AK347" s="34"/>
      <c r="AL347" s="34"/>
      <c r="AM347" s="34"/>
      <c r="AN347" s="34"/>
      <c r="AQ347" s="67"/>
      <c r="AR347" s="67"/>
      <c r="AS347" s="67"/>
      <c r="AT347" s="67"/>
      <c r="AU347" s="67"/>
      <c r="AW347" s="68"/>
      <c r="AX347" s="68"/>
      <c r="AY347" s="68"/>
      <c r="AZ347" s="68"/>
      <c r="BA347" s="68"/>
      <c r="BB347" s="68"/>
    </row>
    <row r="348" spans="1:54" ht="13.5" thickBot="1">
      <c r="A348" s="103">
        <v>39195</v>
      </c>
      <c r="B348" s="104">
        <v>5.1725001335144043</v>
      </c>
      <c r="C348" s="105">
        <v>1480.9300537109375</v>
      </c>
      <c r="D348" s="104">
        <v>2.000999927520752</v>
      </c>
      <c r="E348">
        <v>118.59582621246724</v>
      </c>
      <c r="F348">
        <v>690.66162109375</v>
      </c>
      <c r="H348" s="34"/>
      <c r="I348" s="34"/>
      <c r="J348" s="34"/>
      <c r="K348" s="34"/>
      <c r="L348" s="34"/>
      <c r="N348" s="34"/>
      <c r="O348" s="35"/>
      <c r="P348" s="35"/>
      <c r="Q348" s="35"/>
      <c r="R348" s="35"/>
      <c r="S348" s="74"/>
      <c r="AJ348" s="34"/>
      <c r="AK348" s="34"/>
      <c r="AL348" s="34"/>
      <c r="AM348" s="34"/>
      <c r="AN348" s="34"/>
      <c r="AQ348" s="67"/>
      <c r="AR348" s="67"/>
      <c r="AS348" s="67"/>
      <c r="AT348" s="67"/>
      <c r="AU348" s="67"/>
      <c r="AW348" s="68"/>
      <c r="AX348" s="68"/>
      <c r="AY348" s="68"/>
      <c r="AZ348" s="68"/>
      <c r="BA348" s="68"/>
      <c r="BB348" s="68"/>
    </row>
    <row r="349" spans="1:54" ht="13.5" thickBot="1">
      <c r="A349" s="103">
        <v>39196</v>
      </c>
      <c r="B349" s="104">
        <v>5.1444997787475586</v>
      </c>
      <c r="C349" s="105">
        <v>1480.4100341796875</v>
      </c>
      <c r="D349" s="104">
        <v>1.9997999668121338</v>
      </c>
      <c r="E349">
        <v>118.68027020953873</v>
      </c>
      <c r="F349">
        <v>684.1619873046875</v>
      </c>
      <c r="H349" s="34"/>
      <c r="I349" s="34"/>
      <c r="J349" s="34"/>
      <c r="K349" s="34"/>
      <c r="L349" s="34"/>
      <c r="N349" s="34"/>
      <c r="O349" s="35"/>
      <c r="P349" s="35"/>
      <c r="Q349" s="35"/>
      <c r="R349" s="35"/>
      <c r="S349" s="74"/>
      <c r="AJ349" s="34"/>
      <c r="AK349" s="34"/>
      <c r="AL349" s="34"/>
      <c r="AM349" s="34"/>
      <c r="AN349" s="34"/>
      <c r="AQ349" s="67"/>
      <c r="AR349" s="67"/>
      <c r="AS349" s="67"/>
      <c r="AT349" s="67"/>
      <c r="AU349" s="67"/>
      <c r="AW349" s="68"/>
      <c r="AX349" s="68"/>
      <c r="AY349" s="68"/>
      <c r="AZ349" s="68"/>
      <c r="BA349" s="68"/>
      <c r="BB349" s="68"/>
    </row>
    <row r="350" spans="1:54" ht="13.5" thickBot="1">
      <c r="A350" s="103">
        <v>39197</v>
      </c>
      <c r="B350" s="104">
        <v>5.1715002059936523</v>
      </c>
      <c r="C350" s="105">
        <v>1495.4200439453125</v>
      </c>
      <c r="D350" s="104">
        <v>2.002000093460083</v>
      </c>
      <c r="E350">
        <v>118.69436027536196</v>
      </c>
      <c r="F350">
        <v>675.52496337890625</v>
      </c>
      <c r="H350" s="34"/>
      <c r="I350" s="34"/>
      <c r="J350" s="34"/>
      <c r="K350" s="34"/>
      <c r="L350" s="34"/>
      <c r="N350" s="34"/>
      <c r="O350" s="35"/>
      <c r="P350" s="35"/>
      <c r="Q350" s="35"/>
      <c r="R350" s="35"/>
      <c r="S350" s="74"/>
      <c r="AJ350" s="34"/>
      <c r="AK350" s="34"/>
      <c r="AL350" s="34"/>
      <c r="AM350" s="34"/>
      <c r="AN350" s="34"/>
      <c r="AQ350" s="67"/>
      <c r="AR350" s="67"/>
      <c r="AS350" s="67"/>
      <c r="AT350" s="67"/>
      <c r="AU350" s="67"/>
      <c r="AW350" s="68"/>
      <c r="AX350" s="68"/>
      <c r="AY350" s="68"/>
      <c r="AZ350" s="68"/>
      <c r="BA350" s="68"/>
      <c r="BB350" s="68"/>
    </row>
    <row r="351" spans="1:54" ht="13.5" thickBot="1">
      <c r="A351" s="103">
        <v>39198</v>
      </c>
      <c r="B351" s="104">
        <v>5.2189998626708984</v>
      </c>
      <c r="C351" s="105">
        <v>1494.25</v>
      </c>
      <c r="D351" s="104">
        <v>1.9910999536514282</v>
      </c>
      <c r="E351">
        <v>119.60292351313916</v>
      </c>
      <c r="F351">
        <v>674.3250732421875</v>
      </c>
      <c r="H351" s="34"/>
      <c r="I351" s="34"/>
      <c r="J351" s="34"/>
      <c r="K351" s="34"/>
      <c r="L351" s="34"/>
      <c r="N351" s="34"/>
      <c r="O351" s="35"/>
      <c r="P351" s="35"/>
      <c r="Q351" s="35"/>
      <c r="R351" s="35"/>
      <c r="S351" s="74"/>
      <c r="AJ351" s="34"/>
      <c r="AK351" s="34"/>
      <c r="AL351" s="34"/>
      <c r="AM351" s="34"/>
      <c r="AN351" s="34"/>
      <c r="AQ351" s="67"/>
      <c r="AR351" s="67"/>
      <c r="AS351" s="67"/>
      <c r="AT351" s="67"/>
      <c r="AU351" s="67"/>
      <c r="AW351" s="68"/>
      <c r="AX351" s="68"/>
      <c r="AY351" s="68"/>
      <c r="AZ351" s="68"/>
      <c r="BA351" s="68"/>
      <c r="BB351" s="68"/>
    </row>
    <row r="352" spans="1:54" ht="13.5" thickBot="1">
      <c r="A352" s="103">
        <v>39199</v>
      </c>
      <c r="B352" s="104">
        <v>5.2360000610351562</v>
      </c>
      <c r="C352" s="105">
        <v>1494.0699462890625</v>
      </c>
      <c r="D352" s="104">
        <v>1.996999979019165</v>
      </c>
      <c r="E352">
        <v>119.64585048873822</v>
      </c>
      <c r="F352">
        <v>679.0245361328125</v>
      </c>
      <c r="H352" s="34"/>
      <c r="I352" s="34"/>
      <c r="J352" s="34"/>
      <c r="K352" s="34"/>
      <c r="L352" s="34"/>
      <c r="N352" s="34"/>
      <c r="O352" s="35"/>
      <c r="P352" s="35"/>
      <c r="Q352" s="35"/>
      <c r="R352" s="35"/>
      <c r="S352" s="74"/>
      <c r="AJ352" s="34"/>
      <c r="AK352" s="34"/>
      <c r="AL352" s="34"/>
      <c r="AM352" s="34"/>
      <c r="AN352" s="34"/>
      <c r="AQ352" s="67"/>
      <c r="AR352" s="67"/>
      <c r="AS352" s="67"/>
      <c r="AT352" s="67"/>
      <c r="AU352" s="67"/>
      <c r="AW352" s="68"/>
      <c r="AX352" s="68"/>
      <c r="AY352" s="68"/>
      <c r="AZ352" s="68"/>
      <c r="BA352" s="68"/>
      <c r="BB352" s="68"/>
    </row>
    <row r="353" spans="1:54" ht="13.5" thickBot="1">
      <c r="A353" s="103">
        <v>39202</v>
      </c>
      <c r="B353" s="104">
        <v>5.1680002212524414</v>
      </c>
      <c r="C353" s="105">
        <v>1482.3699951171875</v>
      </c>
      <c r="D353" s="104">
        <v>1.996999979019165</v>
      </c>
      <c r="E353">
        <v>119.64585048873822</v>
      </c>
      <c r="F353">
        <v>680.56219482421875</v>
      </c>
      <c r="H353" s="34"/>
      <c r="I353" s="34"/>
      <c r="J353" s="34"/>
      <c r="K353" s="34"/>
      <c r="L353" s="34"/>
      <c r="N353" s="34"/>
      <c r="O353" s="35"/>
      <c r="P353" s="35"/>
      <c r="Q353" s="35"/>
      <c r="R353" s="35"/>
      <c r="S353" s="74"/>
      <c r="AJ353" s="34"/>
      <c r="AK353" s="34"/>
      <c r="AL353" s="34"/>
      <c r="AM353" s="34"/>
      <c r="AN353" s="34"/>
      <c r="AQ353" s="67"/>
      <c r="AR353" s="67"/>
      <c r="AS353" s="67"/>
      <c r="AT353" s="67"/>
      <c r="AU353" s="67"/>
      <c r="AW353" s="68"/>
      <c r="AX353" s="68"/>
      <c r="AY353" s="68"/>
      <c r="AZ353" s="68"/>
      <c r="BA353" s="68"/>
      <c r="BB353" s="68"/>
    </row>
    <row r="354" spans="1:54" ht="13.5" thickBot="1">
      <c r="A354" s="103">
        <v>39203</v>
      </c>
      <c r="B354" s="104">
        <v>5.182499885559082</v>
      </c>
      <c r="C354" s="105">
        <v>1486.300048828125</v>
      </c>
      <c r="D354" s="104">
        <v>1.9994000196456909</v>
      </c>
      <c r="E354">
        <v>119.74613781611269</v>
      </c>
      <c r="F354">
        <v>675.6624755859375</v>
      </c>
      <c r="H354" s="34"/>
      <c r="I354" s="34"/>
      <c r="J354" s="34"/>
      <c r="K354" s="34"/>
      <c r="L354" s="34"/>
      <c r="N354" s="34"/>
      <c r="O354" s="35"/>
      <c r="P354" s="35"/>
      <c r="Q354" s="35"/>
      <c r="R354" s="35"/>
      <c r="S354" s="74"/>
      <c r="AJ354" s="34"/>
      <c r="AK354" s="34"/>
      <c r="AL354" s="34"/>
      <c r="AM354" s="34"/>
      <c r="AN354" s="34"/>
      <c r="AQ354" s="67"/>
      <c r="AR354" s="67"/>
      <c r="AS354" s="67"/>
      <c r="AT354" s="67"/>
      <c r="AU354" s="67"/>
      <c r="AW354" s="68"/>
      <c r="AX354" s="68"/>
      <c r="AY354" s="68"/>
      <c r="AZ354" s="68"/>
      <c r="BA354" s="68"/>
      <c r="BB354" s="68"/>
    </row>
    <row r="355" spans="1:54" ht="13.5" thickBot="1">
      <c r="A355" s="103">
        <v>39204</v>
      </c>
      <c r="B355" s="104">
        <v>5.1814999580383301</v>
      </c>
      <c r="C355" s="105">
        <v>1495.9200439453125</v>
      </c>
      <c r="D355" s="104">
        <v>1.9895000457763672</v>
      </c>
      <c r="E355">
        <v>120.12011588449184</v>
      </c>
      <c r="F355">
        <v>672.86260986328125</v>
      </c>
      <c r="H355" s="34"/>
      <c r="I355" s="34"/>
      <c r="J355" s="34"/>
      <c r="K355" s="34"/>
      <c r="L355" s="34"/>
      <c r="N355" s="34"/>
      <c r="O355" s="35"/>
      <c r="P355" s="35"/>
      <c r="Q355" s="35"/>
      <c r="R355" s="35"/>
      <c r="S355" s="74"/>
      <c r="AJ355" s="34"/>
      <c r="AK355" s="34"/>
      <c r="AL355" s="34"/>
      <c r="AM355" s="34"/>
      <c r="AN355" s="34"/>
      <c r="AQ355" s="67"/>
      <c r="AR355" s="67"/>
      <c r="AS355" s="67"/>
      <c r="AT355" s="67"/>
      <c r="AU355" s="67"/>
      <c r="AW355" s="68"/>
      <c r="AX355" s="68"/>
      <c r="AY355" s="68"/>
      <c r="AZ355" s="68"/>
      <c r="BA355" s="68"/>
      <c r="BB355" s="68"/>
    </row>
    <row r="356" spans="1:54" ht="13.5" thickBot="1">
      <c r="A356" s="103">
        <v>39205</v>
      </c>
      <c r="B356" s="104">
        <v>5.2069997787475586</v>
      </c>
      <c r="C356" s="105">
        <v>1502.3900146484375</v>
      </c>
      <c r="D356" s="104">
        <v>1.9874999523162842</v>
      </c>
      <c r="E356">
        <v>120.42389353852337</v>
      </c>
      <c r="F356">
        <v>683.3240966796875</v>
      </c>
      <c r="H356" s="34"/>
      <c r="I356" s="34"/>
      <c r="J356" s="34"/>
      <c r="K356" s="34"/>
      <c r="L356" s="34"/>
      <c r="N356" s="34"/>
      <c r="O356" s="35"/>
      <c r="P356" s="35"/>
      <c r="Q356" s="35"/>
      <c r="R356" s="35"/>
      <c r="S356" s="74"/>
      <c r="AJ356" s="34"/>
      <c r="AK356" s="34"/>
      <c r="AL356" s="34"/>
      <c r="AM356" s="34"/>
      <c r="AN356" s="34"/>
      <c r="AQ356" s="67"/>
      <c r="AR356" s="67"/>
      <c r="AS356" s="67"/>
      <c r="AT356" s="67"/>
      <c r="AU356" s="67"/>
      <c r="AW356" s="68"/>
      <c r="AX356" s="68"/>
      <c r="AY356" s="68"/>
      <c r="AZ356" s="68"/>
      <c r="BA356" s="68"/>
      <c r="BB356" s="68"/>
    </row>
    <row r="357" spans="1:54" ht="13.5" thickBot="1">
      <c r="A357" s="103">
        <v>39206</v>
      </c>
      <c r="B357" s="104">
        <v>5.1754999160766602</v>
      </c>
      <c r="C357" s="105">
        <v>1505.6199951171875</v>
      </c>
      <c r="D357" s="104">
        <v>1.992900013923645</v>
      </c>
      <c r="E357">
        <v>120.12011588449184</v>
      </c>
      <c r="F357">
        <v>687.423583984375</v>
      </c>
      <c r="H357" s="34"/>
      <c r="I357" s="34"/>
      <c r="J357" s="34"/>
      <c r="K357" s="34"/>
      <c r="L357" s="34"/>
      <c r="N357" s="34"/>
      <c r="O357" s="35"/>
      <c r="P357" s="35"/>
      <c r="Q357" s="35"/>
      <c r="R357" s="35"/>
      <c r="S357" s="74"/>
      <c r="AJ357" s="34"/>
      <c r="AK357" s="34"/>
      <c r="AL357" s="34"/>
      <c r="AM357" s="34"/>
      <c r="AN357" s="34"/>
      <c r="AQ357" s="67"/>
      <c r="AR357" s="67"/>
      <c r="AS357" s="67"/>
      <c r="AT357" s="67"/>
      <c r="AU357" s="67"/>
      <c r="AW357" s="68"/>
      <c r="AX357" s="68"/>
      <c r="AY357" s="68"/>
      <c r="AZ357" s="68"/>
      <c r="BA357" s="68"/>
      <c r="BB357" s="68"/>
    </row>
    <row r="358" spans="1:54" ht="13.5" thickBot="1">
      <c r="A358" s="103">
        <v>39209</v>
      </c>
      <c r="B358" s="104">
        <v>5.1760449409484863</v>
      </c>
      <c r="C358" s="105">
        <v>1509.47998046875</v>
      </c>
      <c r="D358" s="104">
        <v>1.9931000471115112</v>
      </c>
      <c r="E358">
        <v>120.07684797858943</v>
      </c>
      <c r="F358">
        <v>688.13177490234375</v>
      </c>
      <c r="H358" s="34"/>
      <c r="I358" s="34"/>
      <c r="J358" s="34"/>
      <c r="K358" s="34"/>
      <c r="L358" s="34"/>
      <c r="N358" s="34"/>
      <c r="O358" s="35"/>
      <c r="P358" s="35"/>
      <c r="Q358" s="35"/>
      <c r="R358" s="35"/>
      <c r="S358" s="74"/>
      <c r="AJ358" s="34"/>
      <c r="AK358" s="34"/>
      <c r="AL358" s="34"/>
      <c r="AM358" s="34"/>
      <c r="AN358" s="34"/>
      <c r="AQ358" s="67"/>
      <c r="AR358" s="67"/>
      <c r="AS358" s="67"/>
      <c r="AT358" s="67"/>
      <c r="AU358" s="67"/>
      <c r="AW358" s="68"/>
      <c r="AX358" s="68"/>
      <c r="AY358" s="68"/>
      <c r="AZ358" s="68"/>
      <c r="BA358" s="68"/>
      <c r="BB358" s="68"/>
    </row>
    <row r="359" spans="1:54" ht="13.5" thickBot="1">
      <c r="A359" s="103">
        <v>39210</v>
      </c>
      <c r="B359" s="104">
        <v>5.1715002059936523</v>
      </c>
      <c r="C359" s="105">
        <v>1507.719970703125</v>
      </c>
      <c r="D359" s="104">
        <v>1.9891999959945679</v>
      </c>
      <c r="E359">
        <v>119.93284201169705</v>
      </c>
      <c r="F359">
        <v>685.66192626953125</v>
      </c>
      <c r="H359" s="34"/>
      <c r="I359" s="34"/>
      <c r="J359" s="34"/>
      <c r="K359" s="34"/>
      <c r="L359" s="34"/>
      <c r="N359" s="34"/>
      <c r="O359" s="35"/>
      <c r="P359" s="35"/>
      <c r="Q359" s="35"/>
      <c r="R359" s="35"/>
      <c r="S359" s="74"/>
      <c r="AJ359" s="34"/>
      <c r="AK359" s="34"/>
      <c r="AL359" s="34"/>
      <c r="AM359" s="34"/>
      <c r="AN359" s="34"/>
      <c r="AQ359" s="67"/>
      <c r="AR359" s="67"/>
      <c r="AS359" s="67"/>
      <c r="AT359" s="67"/>
      <c r="AU359" s="67"/>
      <c r="AW359" s="68"/>
      <c r="AX359" s="68"/>
      <c r="AY359" s="68"/>
      <c r="AZ359" s="68"/>
      <c r="BA359" s="68"/>
      <c r="BB359" s="68"/>
    </row>
    <row r="360" spans="1:54" ht="13.5" thickBot="1">
      <c r="A360" s="103">
        <v>39211</v>
      </c>
      <c r="B360" s="104">
        <v>5.2104997634887695</v>
      </c>
      <c r="C360" s="105">
        <v>1512.5799560546875</v>
      </c>
      <c r="D360" s="104">
        <v>1.9939999580383301</v>
      </c>
      <c r="E360">
        <v>120.0336112321238</v>
      </c>
      <c r="F360">
        <v>681.0621337890625</v>
      </c>
      <c r="H360" s="34"/>
      <c r="I360" s="34"/>
      <c r="J360" s="34"/>
      <c r="K360" s="34"/>
      <c r="L360" s="34"/>
      <c r="N360" s="34"/>
      <c r="O360" s="35"/>
      <c r="P360" s="35"/>
      <c r="Q360" s="35"/>
      <c r="R360" s="35"/>
      <c r="S360" s="74"/>
      <c r="AJ360" s="34"/>
      <c r="AK360" s="34"/>
      <c r="AL360" s="34"/>
      <c r="AM360" s="34"/>
      <c r="AN360" s="34"/>
      <c r="AQ360" s="67"/>
      <c r="AR360" s="67"/>
      <c r="AS360" s="67"/>
      <c r="AT360" s="67"/>
      <c r="AU360" s="67"/>
      <c r="AW360" s="68"/>
      <c r="AX360" s="68"/>
      <c r="AY360" s="68"/>
      <c r="AZ360" s="68"/>
      <c r="BA360" s="68"/>
      <c r="BB360" s="68"/>
    </row>
    <row r="361" spans="1:54" ht="13.5" thickBot="1">
      <c r="A361" s="103">
        <v>39212</v>
      </c>
      <c r="B361" s="104">
        <v>5.185999870300293</v>
      </c>
      <c r="C361" s="105">
        <v>1491.469970703125</v>
      </c>
      <c r="D361" s="104">
        <v>1.9787000417709351</v>
      </c>
      <c r="E361">
        <v>120.0336112321238</v>
      </c>
      <c r="F361">
        <v>671.525390625</v>
      </c>
      <c r="H361" s="34"/>
      <c r="I361" s="34"/>
      <c r="J361" s="34"/>
      <c r="K361" s="34"/>
      <c r="L361" s="34"/>
      <c r="N361" s="34"/>
      <c r="O361" s="35"/>
      <c r="P361" s="35"/>
      <c r="Q361" s="35"/>
      <c r="R361" s="35"/>
      <c r="S361" s="74"/>
      <c r="AJ361" s="34"/>
      <c r="AK361" s="34"/>
      <c r="AL361" s="34"/>
      <c r="AM361" s="34"/>
      <c r="AN361" s="34"/>
      <c r="AQ361" s="67"/>
      <c r="AR361" s="67"/>
      <c r="AS361" s="67"/>
      <c r="AT361" s="67"/>
      <c r="AU361" s="67"/>
      <c r="AW361" s="68"/>
      <c r="AX361" s="68"/>
      <c r="AY361" s="68"/>
      <c r="AZ361" s="68"/>
      <c r="BA361" s="68"/>
      <c r="BB361" s="68"/>
    </row>
    <row r="362" spans="1:54" ht="13.5" thickBot="1">
      <c r="A362" s="103">
        <v>39213</v>
      </c>
      <c r="B362" s="104">
        <v>5.2100000381469727</v>
      </c>
      <c r="C362" s="105">
        <v>1505.8499755859375</v>
      </c>
      <c r="D362" s="104">
        <v>1.9824999570846558</v>
      </c>
      <c r="E362">
        <v>120.13454993031304</v>
      </c>
      <c r="F362">
        <v>671.57537841796875</v>
      </c>
      <c r="H362" s="34"/>
      <c r="I362" s="34"/>
      <c r="J362" s="34"/>
      <c r="K362" s="34"/>
      <c r="L362" s="34"/>
      <c r="N362" s="34"/>
      <c r="O362" s="35"/>
      <c r="P362" s="35"/>
      <c r="Q362" s="35"/>
      <c r="R362" s="35"/>
      <c r="S362" s="74"/>
      <c r="AJ362" s="34"/>
      <c r="AK362" s="34"/>
      <c r="AL362" s="34"/>
      <c r="AM362" s="34"/>
      <c r="AN362" s="34"/>
      <c r="AQ362" s="67"/>
      <c r="AR362" s="67"/>
      <c r="AS362" s="67"/>
      <c r="AT362" s="67"/>
      <c r="AU362" s="67"/>
      <c r="AW362" s="68"/>
      <c r="AX362" s="68"/>
      <c r="AY362" s="68"/>
      <c r="AZ362" s="68"/>
      <c r="BA362" s="68"/>
      <c r="BB362" s="68"/>
    </row>
    <row r="363" spans="1:54" ht="13.5" thickBot="1">
      <c r="A363" s="103">
        <v>39216</v>
      </c>
      <c r="B363" s="104">
        <v>5.2305002212524414</v>
      </c>
      <c r="C363" s="105">
        <v>1503.1500244140625</v>
      </c>
      <c r="D363" s="104">
        <v>1.9781999588012695</v>
      </c>
      <c r="E363">
        <v>120.29351325384135</v>
      </c>
      <c r="F363">
        <v>668.8128662109375</v>
      </c>
      <c r="H363" s="34"/>
      <c r="I363" s="34"/>
      <c r="J363" s="34"/>
      <c r="K363" s="34"/>
      <c r="L363" s="34"/>
      <c r="N363" s="34"/>
      <c r="O363" s="35"/>
      <c r="P363" s="35"/>
      <c r="Q363" s="35"/>
      <c r="R363" s="35"/>
      <c r="S363" s="74"/>
      <c r="AJ363" s="34"/>
      <c r="AK363" s="34"/>
      <c r="AL363" s="34"/>
      <c r="AM363" s="34"/>
      <c r="AN363" s="34"/>
      <c r="AQ363" s="67"/>
      <c r="AR363" s="67"/>
      <c r="AS363" s="67"/>
      <c r="AT363" s="67"/>
      <c r="AU363" s="67"/>
      <c r="AW363" s="68"/>
      <c r="AX363" s="68"/>
      <c r="AY363" s="68"/>
      <c r="AZ363" s="68"/>
      <c r="BA363" s="68"/>
      <c r="BB363" s="68"/>
    </row>
    <row r="364" spans="1:54" ht="13.5" thickBot="1">
      <c r="A364" s="103">
        <v>39217</v>
      </c>
      <c r="B364" s="104">
        <v>5.2544999122619629</v>
      </c>
      <c r="C364" s="105">
        <v>1501.18994140625</v>
      </c>
      <c r="D364" s="104">
        <v>1.985200047492981</v>
      </c>
      <c r="E364">
        <v>120.20675876673587</v>
      </c>
      <c r="F364">
        <v>672.86260986328125</v>
      </c>
      <c r="H364" s="34"/>
      <c r="I364" s="34"/>
      <c r="J364" s="34"/>
      <c r="K364" s="34"/>
      <c r="L364" s="34"/>
      <c r="N364" s="34"/>
      <c r="O364" s="35"/>
      <c r="P364" s="35"/>
      <c r="Q364" s="35"/>
      <c r="R364" s="35"/>
      <c r="S364" s="74"/>
      <c r="AJ364" s="34"/>
      <c r="AK364" s="34"/>
      <c r="AL364" s="34"/>
      <c r="AM364" s="34"/>
      <c r="AN364" s="34"/>
      <c r="AQ364" s="67"/>
      <c r="AR364" s="67"/>
      <c r="AS364" s="67"/>
      <c r="AT364" s="67"/>
      <c r="AU364" s="67"/>
      <c r="AW364" s="68"/>
      <c r="AX364" s="68"/>
      <c r="AY364" s="68"/>
      <c r="AZ364" s="68"/>
      <c r="BA364" s="68"/>
      <c r="BB364" s="68"/>
    </row>
    <row r="365" spans="1:54" ht="13.5" thickBot="1">
      <c r="A365" s="103">
        <v>39218</v>
      </c>
      <c r="B365" s="104">
        <v>5.2505002021789551</v>
      </c>
      <c r="C365" s="105">
        <v>1514.1400146484375</v>
      </c>
      <c r="D365" s="104">
        <v>1.9780000448226929</v>
      </c>
      <c r="E365">
        <v>120.74377879458839</v>
      </c>
      <c r="F365">
        <v>662.6632080078125</v>
      </c>
      <c r="H365" s="34"/>
      <c r="I365" s="34"/>
      <c r="J365" s="34"/>
      <c r="K365" s="34"/>
      <c r="L365" s="34"/>
      <c r="N365" s="34"/>
      <c r="O365" s="35"/>
      <c r="P365" s="35"/>
      <c r="Q365" s="35"/>
      <c r="R365" s="35"/>
      <c r="S365" s="74"/>
      <c r="AJ365" s="34"/>
      <c r="AK365" s="34"/>
      <c r="AL365" s="34"/>
      <c r="AM365" s="34"/>
      <c r="AN365" s="34"/>
      <c r="AQ365" s="67"/>
      <c r="AR365" s="67"/>
      <c r="AS365" s="67"/>
      <c r="AT365" s="67"/>
      <c r="AU365" s="67"/>
      <c r="AW365" s="68"/>
      <c r="AX365" s="68"/>
      <c r="AY365" s="68"/>
      <c r="AZ365" s="68"/>
      <c r="BA365" s="68"/>
      <c r="BB365" s="68"/>
    </row>
    <row r="366" spans="1:54" ht="13.5" thickBot="1">
      <c r="A366" s="103">
        <v>39219</v>
      </c>
      <c r="B366" s="104">
        <v>5.3035001754760742</v>
      </c>
      <c r="C366" s="105">
        <v>1512.75</v>
      </c>
      <c r="D366" s="104">
        <v>1.9744000434875488</v>
      </c>
      <c r="E366">
        <v>121.27092033893997</v>
      </c>
      <c r="F366">
        <v>657.126953125</v>
      </c>
      <c r="H366" s="34"/>
      <c r="I366" s="34"/>
      <c r="J366" s="34"/>
      <c r="K366" s="34"/>
      <c r="L366" s="34"/>
      <c r="N366" s="34"/>
      <c r="O366" s="35"/>
      <c r="P366" s="35"/>
      <c r="Q366" s="35"/>
      <c r="R366" s="35"/>
      <c r="S366" s="74"/>
      <c r="AJ366" s="34"/>
      <c r="AK366" s="34"/>
      <c r="AL366" s="34"/>
      <c r="AM366" s="34"/>
      <c r="AN366" s="34"/>
      <c r="AQ366" s="67"/>
      <c r="AR366" s="67"/>
      <c r="AS366" s="67"/>
      <c r="AT366" s="67"/>
      <c r="AU366" s="67"/>
      <c r="AW366" s="68"/>
      <c r="AX366" s="68"/>
      <c r="AY366" s="68"/>
      <c r="AZ366" s="68"/>
      <c r="BA366" s="68"/>
      <c r="BB366" s="68"/>
    </row>
    <row r="367" spans="1:54" ht="13.5" thickBot="1">
      <c r="A367" s="103">
        <v>39220</v>
      </c>
      <c r="B367" s="104">
        <v>5.3639998435974121</v>
      </c>
      <c r="C367" s="105">
        <v>1522.75</v>
      </c>
      <c r="D367" s="104">
        <v>1.9744999408721924</v>
      </c>
      <c r="E367">
        <v>121.15338038840461</v>
      </c>
      <c r="F367">
        <v>662.2264404296875</v>
      </c>
      <c r="H367" s="34"/>
      <c r="I367" s="34"/>
      <c r="J367" s="34"/>
      <c r="K367" s="34"/>
      <c r="L367" s="34"/>
      <c r="N367" s="34"/>
      <c r="O367" s="35"/>
      <c r="P367" s="35"/>
      <c r="Q367" s="35"/>
      <c r="R367" s="35"/>
      <c r="S367" s="74"/>
      <c r="AJ367" s="34"/>
      <c r="AK367" s="34"/>
      <c r="AL367" s="34"/>
      <c r="AM367" s="34"/>
      <c r="AN367" s="34"/>
      <c r="AQ367" s="67"/>
      <c r="AR367" s="67"/>
      <c r="AS367" s="67"/>
      <c r="AT367" s="67"/>
      <c r="AU367" s="67"/>
      <c r="AW367" s="68"/>
      <c r="AX367" s="68"/>
      <c r="AY367" s="68"/>
      <c r="AZ367" s="68"/>
      <c r="BA367" s="68"/>
      <c r="BB367" s="68"/>
    </row>
    <row r="368" spans="1:54" ht="13.5" thickBot="1">
      <c r="A368" s="103">
        <v>39223</v>
      </c>
      <c r="B368" s="104">
        <v>5.3385000228881836</v>
      </c>
      <c r="C368" s="105">
        <v>1525.0999755859375</v>
      </c>
      <c r="D368" s="104">
        <v>1.9709000587463379</v>
      </c>
      <c r="E368">
        <v>121.44765851655715</v>
      </c>
      <c r="F368">
        <v>663.26312255859375</v>
      </c>
      <c r="H368" s="34"/>
      <c r="I368" s="34"/>
      <c r="J368" s="34"/>
      <c r="K368" s="34"/>
      <c r="L368" s="34"/>
      <c r="N368" s="34"/>
      <c r="O368" s="35"/>
      <c r="P368" s="35"/>
      <c r="Q368" s="35"/>
      <c r="R368" s="35"/>
      <c r="S368" s="74"/>
      <c r="AJ368" s="34"/>
      <c r="AK368" s="34"/>
      <c r="AL368" s="34"/>
      <c r="AM368" s="34"/>
      <c r="AN368" s="34"/>
      <c r="AQ368" s="67"/>
      <c r="AR368" s="67"/>
      <c r="AS368" s="67"/>
      <c r="AT368" s="67"/>
      <c r="AU368" s="67"/>
      <c r="AW368" s="68"/>
      <c r="AX368" s="68"/>
      <c r="AY368" s="68"/>
      <c r="AZ368" s="68"/>
      <c r="BA368" s="68"/>
      <c r="BB368" s="68"/>
    </row>
    <row r="369" spans="1:54" ht="13.5" thickBot="1">
      <c r="A369" s="103">
        <v>39224</v>
      </c>
      <c r="B369" s="104">
        <v>5.3784999847412109</v>
      </c>
      <c r="C369" s="105">
        <v>1524.1199951171875</v>
      </c>
      <c r="D369" s="104">
        <v>1.9752000570297241</v>
      </c>
      <c r="E369">
        <v>121.56577044131966</v>
      </c>
      <c r="F369">
        <v>661.563232421875</v>
      </c>
      <c r="H369" s="34"/>
      <c r="I369" s="34"/>
      <c r="J369" s="34"/>
      <c r="K369" s="34"/>
      <c r="L369" s="34"/>
      <c r="N369" s="34"/>
      <c r="O369" s="35"/>
      <c r="P369" s="35"/>
      <c r="Q369" s="35"/>
      <c r="R369" s="35"/>
      <c r="S369" s="74"/>
      <c r="AJ369" s="34"/>
      <c r="AK369" s="34"/>
      <c r="AL369" s="34"/>
      <c r="AM369" s="34"/>
      <c r="AN369" s="34"/>
      <c r="AQ369" s="67"/>
      <c r="AR369" s="67"/>
      <c r="AS369" s="67"/>
      <c r="AT369" s="67"/>
      <c r="AU369" s="67"/>
      <c r="AW369" s="68"/>
      <c r="AX369" s="68"/>
      <c r="AY369" s="68"/>
      <c r="AZ369" s="68"/>
      <c r="BA369" s="68"/>
      <c r="BB369" s="68"/>
    </row>
    <row r="370" spans="1:54" ht="13.5" thickBot="1">
      <c r="A370" s="103">
        <v>39225</v>
      </c>
      <c r="B370" s="104">
        <v>5.4165000915527344</v>
      </c>
      <c r="C370" s="105">
        <v>1522.280029296875</v>
      </c>
      <c r="D370" s="104">
        <v>1.9853999614715576</v>
      </c>
      <c r="E370">
        <v>121.55099044859477</v>
      </c>
      <c r="F370">
        <v>662.6632080078125</v>
      </c>
      <c r="H370" s="34"/>
      <c r="I370" s="34"/>
      <c r="J370" s="34"/>
      <c r="K370" s="34"/>
      <c r="L370" s="34"/>
      <c r="N370" s="34"/>
      <c r="O370" s="35"/>
      <c r="P370" s="35"/>
      <c r="Q370" s="35"/>
      <c r="R370" s="35"/>
      <c r="S370" s="74"/>
      <c r="AJ370" s="34"/>
      <c r="AK370" s="34"/>
      <c r="AL370" s="34"/>
      <c r="AM370" s="34"/>
      <c r="AN370" s="34"/>
      <c r="AQ370" s="67"/>
      <c r="AR370" s="67"/>
      <c r="AS370" s="67"/>
      <c r="AT370" s="67"/>
      <c r="AU370" s="67"/>
      <c r="AW370" s="68"/>
      <c r="AX370" s="68"/>
      <c r="AY370" s="68"/>
      <c r="AZ370" s="68"/>
      <c r="BA370" s="68"/>
      <c r="BB370" s="68"/>
    </row>
    <row r="371" spans="1:54" ht="13.5" thickBot="1">
      <c r="A371" s="103">
        <v>39226</v>
      </c>
      <c r="B371" s="104">
        <v>5.4099998474121094</v>
      </c>
      <c r="C371" s="105">
        <v>1507.510009765625</v>
      </c>
      <c r="D371" s="104">
        <v>1.9857000112533569</v>
      </c>
      <c r="E371">
        <v>121.40342912603225</v>
      </c>
      <c r="F371">
        <v>653.9091796875</v>
      </c>
      <c r="H371" s="34"/>
      <c r="I371" s="34"/>
      <c r="J371" s="34"/>
      <c r="K371" s="34"/>
      <c r="L371" s="34"/>
      <c r="N371" s="34"/>
      <c r="O371" s="35"/>
      <c r="P371" s="35"/>
      <c r="Q371" s="35"/>
      <c r="R371" s="35"/>
      <c r="S371" s="74"/>
      <c r="AJ371" s="34"/>
      <c r="AK371" s="34"/>
      <c r="AL371" s="34"/>
      <c r="AM371" s="34"/>
      <c r="AN371" s="34"/>
      <c r="AQ371" s="67"/>
      <c r="AR371" s="67"/>
      <c r="AS371" s="67"/>
      <c r="AT371" s="67"/>
      <c r="AU371" s="67"/>
      <c r="AW371" s="68"/>
      <c r="AX371" s="68"/>
      <c r="AY371" s="68"/>
      <c r="AZ371" s="68"/>
      <c r="BA371" s="68"/>
      <c r="BB371" s="68"/>
    </row>
    <row r="372" spans="1:54" ht="13.5" thickBot="1">
      <c r="A372" s="103">
        <v>39227</v>
      </c>
      <c r="B372" s="104">
        <v>5.4159998893737793</v>
      </c>
      <c r="C372" s="105">
        <v>1515.72998046875</v>
      </c>
      <c r="D372" s="104">
        <v>1.985200047492981</v>
      </c>
      <c r="E372">
        <v>121.74336971205986</v>
      </c>
      <c r="F372">
        <v>655.50897216796875</v>
      </c>
      <c r="H372" s="34"/>
      <c r="I372" s="34"/>
      <c r="J372" s="34"/>
      <c r="K372" s="34"/>
      <c r="L372" s="34"/>
      <c r="N372" s="34"/>
      <c r="O372" s="35"/>
      <c r="P372" s="35"/>
      <c r="Q372" s="35"/>
      <c r="R372" s="35"/>
      <c r="S372" s="74"/>
      <c r="AJ372" s="34"/>
      <c r="AK372" s="34"/>
      <c r="AL372" s="34"/>
      <c r="AM372" s="34"/>
      <c r="AN372" s="34"/>
      <c r="AQ372" s="67"/>
      <c r="AR372" s="67"/>
      <c r="AS372" s="67"/>
      <c r="AT372" s="67"/>
      <c r="AU372" s="67"/>
      <c r="AW372" s="68"/>
      <c r="AX372" s="68"/>
      <c r="AY372" s="68"/>
      <c r="AZ372" s="68"/>
      <c r="BA372" s="68"/>
      <c r="BB372" s="68"/>
    </row>
    <row r="373" spans="1:54" ht="13.5" thickBot="1">
      <c r="A373" s="103">
        <v>39230</v>
      </c>
      <c r="B373" s="104">
        <v>5.4159998893737793</v>
      </c>
      <c r="C373" s="105">
        <v>1515.72998046875</v>
      </c>
      <c r="D373" s="104">
        <v>1.985200047492981</v>
      </c>
      <c r="E373">
        <v>121.65449836723974</v>
      </c>
      <c r="F373">
        <v>655.50897216796875</v>
      </c>
      <c r="H373" s="34"/>
      <c r="I373" s="34"/>
      <c r="J373" s="34"/>
      <c r="K373" s="34"/>
      <c r="L373" s="34"/>
      <c r="N373" s="34"/>
      <c r="O373" s="35"/>
      <c r="P373" s="35"/>
      <c r="Q373" s="35"/>
      <c r="R373" s="35"/>
      <c r="S373" s="74"/>
      <c r="AJ373" s="34"/>
      <c r="AK373" s="34"/>
      <c r="AL373" s="34"/>
      <c r="AM373" s="34"/>
      <c r="AN373" s="34"/>
      <c r="AQ373" s="67"/>
      <c r="AR373" s="67"/>
      <c r="AS373" s="67"/>
      <c r="AT373" s="67"/>
      <c r="AU373" s="67"/>
      <c r="AW373" s="68"/>
      <c r="AX373" s="68"/>
      <c r="AY373" s="68"/>
      <c r="AZ373" s="68"/>
      <c r="BA373" s="68"/>
      <c r="BB373" s="68"/>
    </row>
    <row r="374" spans="1:54" ht="13.5" thickBot="1">
      <c r="A374" s="103">
        <v>39231</v>
      </c>
      <c r="B374" s="104">
        <v>5.4394998550415039</v>
      </c>
      <c r="C374" s="105">
        <v>1518.1099853515625</v>
      </c>
      <c r="D374" s="104">
        <v>1.9800000190734863</v>
      </c>
      <c r="E374">
        <v>121.55099044859477</v>
      </c>
      <c r="F374">
        <v>656.9635009765625</v>
      </c>
      <c r="H374" s="34"/>
      <c r="I374" s="34"/>
      <c r="J374" s="34"/>
      <c r="K374" s="34"/>
      <c r="L374" s="34"/>
      <c r="N374" s="34"/>
      <c r="O374" s="35"/>
      <c r="P374" s="35"/>
      <c r="Q374" s="35"/>
      <c r="R374" s="35"/>
      <c r="S374" s="74"/>
      <c r="AJ374" s="34"/>
      <c r="AK374" s="34"/>
      <c r="AL374" s="34"/>
      <c r="AM374" s="34"/>
      <c r="AN374" s="34"/>
      <c r="AQ374" s="67"/>
      <c r="AR374" s="67"/>
      <c r="AS374" s="67"/>
      <c r="AT374" s="67"/>
      <c r="AU374" s="67"/>
      <c r="AW374" s="68"/>
      <c r="AX374" s="68"/>
      <c r="AY374" s="68"/>
      <c r="AZ374" s="68"/>
      <c r="BA374" s="68"/>
      <c r="BB374" s="68"/>
    </row>
    <row r="375" spans="1:54" ht="13.5" thickBot="1">
      <c r="A375" s="103">
        <v>39232</v>
      </c>
      <c r="B375" s="104">
        <v>5.4380002021789551</v>
      </c>
      <c r="C375" s="105">
        <v>1530.22998046875</v>
      </c>
      <c r="D375" s="104">
        <v>1.9752000570297241</v>
      </c>
      <c r="E375">
        <v>121.58054026217663</v>
      </c>
      <c r="F375">
        <v>654.06365966796875</v>
      </c>
      <c r="H375" s="34"/>
      <c r="I375" s="34"/>
      <c r="J375" s="34"/>
      <c r="K375" s="34"/>
      <c r="L375" s="34"/>
      <c r="N375" s="34"/>
      <c r="O375" s="35"/>
      <c r="P375" s="35"/>
      <c r="Q375" s="35"/>
      <c r="R375" s="35"/>
      <c r="S375" s="74"/>
      <c r="AJ375" s="34"/>
      <c r="AK375" s="34"/>
      <c r="AL375" s="34"/>
      <c r="AM375" s="34"/>
      <c r="AN375" s="34"/>
      <c r="AQ375" s="67"/>
      <c r="AR375" s="67"/>
      <c r="AS375" s="67"/>
      <c r="AT375" s="67"/>
      <c r="AU375" s="67"/>
      <c r="AW375" s="68"/>
      <c r="AX375" s="68"/>
      <c r="AY375" s="68"/>
      <c r="AZ375" s="68"/>
      <c r="BA375" s="68"/>
      <c r="BB375" s="68"/>
    </row>
    <row r="376" spans="1:54" ht="13.5" thickBot="1">
      <c r="A376" s="103">
        <v>39233</v>
      </c>
      <c r="B376" s="104">
        <v>5.4569997787475586</v>
      </c>
      <c r="C376" s="105">
        <v>1530.6199951171875</v>
      </c>
      <c r="D376" s="104">
        <v>1.9795999526977539</v>
      </c>
      <c r="E376">
        <v>121.71372690779714</v>
      </c>
      <c r="F376">
        <v>661.426513671875</v>
      </c>
      <c r="H376" s="34"/>
      <c r="I376" s="34"/>
      <c r="J376" s="34"/>
      <c r="K376" s="34"/>
      <c r="L376" s="34"/>
      <c r="N376" s="34"/>
      <c r="O376" s="35"/>
      <c r="P376" s="35"/>
      <c r="Q376" s="35"/>
      <c r="R376" s="35"/>
      <c r="S376" s="74"/>
      <c r="AJ376" s="34"/>
      <c r="AK376" s="34"/>
      <c r="AL376" s="34"/>
      <c r="AM376" s="34"/>
      <c r="AN376" s="34"/>
      <c r="AQ376" s="67"/>
      <c r="AR376" s="67"/>
      <c r="AS376" s="67"/>
      <c r="AT376" s="67"/>
      <c r="AU376" s="67"/>
      <c r="AW376" s="68"/>
      <c r="AX376" s="68"/>
      <c r="AY376" s="68"/>
      <c r="AZ376" s="68"/>
      <c r="BA376" s="68"/>
      <c r="BB376" s="68"/>
    </row>
    <row r="377" spans="1:54" ht="13.5" thickBot="1">
      <c r="A377" s="103">
        <v>39234</v>
      </c>
      <c r="B377" s="104">
        <v>5.5310001373291016</v>
      </c>
      <c r="C377" s="105">
        <v>1536.3399658203125</v>
      </c>
      <c r="D377" s="104">
        <v>1.9821000099182129</v>
      </c>
      <c r="E377">
        <v>122.05540988365914</v>
      </c>
      <c r="F377">
        <v>669.42559814453125</v>
      </c>
      <c r="H377" s="34"/>
      <c r="I377" s="34"/>
      <c r="J377" s="34"/>
      <c r="K377" s="34"/>
      <c r="L377" s="34"/>
      <c r="N377" s="34"/>
      <c r="O377" s="35"/>
      <c r="P377" s="35"/>
      <c r="Q377" s="35"/>
      <c r="R377" s="35"/>
      <c r="S377" s="74"/>
      <c r="AJ377" s="34"/>
      <c r="AK377" s="34"/>
      <c r="AL377" s="34"/>
      <c r="AM377" s="34"/>
      <c r="AN377" s="34"/>
      <c r="AQ377" s="67"/>
      <c r="AR377" s="67"/>
      <c r="AS377" s="67"/>
      <c r="AT377" s="67"/>
      <c r="AU377" s="67"/>
      <c r="AW377" s="68"/>
      <c r="AX377" s="68"/>
      <c r="AY377" s="68"/>
      <c r="AZ377" s="68"/>
      <c r="BA377" s="68"/>
      <c r="BB377" s="68"/>
    </row>
    <row r="378" spans="1:54" ht="13.5" thickBot="1">
      <c r="A378" s="103">
        <v>39237</v>
      </c>
      <c r="B378" s="104">
        <v>5.4994997978210449</v>
      </c>
      <c r="C378" s="105">
        <v>1539.1800537109375</v>
      </c>
      <c r="D378" s="104">
        <v>1.9904999732971191</v>
      </c>
      <c r="E378">
        <v>121.8026848408811</v>
      </c>
      <c r="F378">
        <v>672.51263427734375</v>
      </c>
      <c r="H378" s="34"/>
      <c r="I378" s="34"/>
      <c r="J378" s="34"/>
      <c r="K378" s="34"/>
      <c r="L378" s="34"/>
      <c r="N378" s="34"/>
      <c r="O378" s="35"/>
      <c r="P378" s="35"/>
      <c r="Q378" s="35"/>
      <c r="R378" s="35"/>
      <c r="S378" s="74"/>
      <c r="AJ378" s="34"/>
      <c r="AK378" s="34"/>
      <c r="AL378" s="34"/>
      <c r="AM378" s="34"/>
      <c r="AN378" s="34"/>
      <c r="AQ378" s="67"/>
      <c r="AR378" s="67"/>
      <c r="AS378" s="67"/>
      <c r="AT378" s="67"/>
      <c r="AU378" s="67"/>
      <c r="AW378" s="68"/>
      <c r="AX378" s="68"/>
      <c r="AY378" s="68"/>
      <c r="AZ378" s="68"/>
      <c r="BA378" s="68"/>
      <c r="BB378" s="68"/>
    </row>
    <row r="379" spans="1:54" ht="13.5" thickBot="1">
      <c r="A379" s="103">
        <v>39238</v>
      </c>
      <c r="B379" s="104">
        <v>5.5465002059936523</v>
      </c>
      <c r="C379" s="105">
        <v>1530.949951171875</v>
      </c>
      <c r="D379" s="104">
        <v>1.9919999837875366</v>
      </c>
      <c r="E379">
        <v>121.34450212268325</v>
      </c>
      <c r="F379">
        <v>669.5128173828125</v>
      </c>
      <c r="H379" s="34"/>
      <c r="I379" s="34"/>
      <c r="J379" s="34"/>
      <c r="K379" s="34"/>
      <c r="L379" s="34"/>
      <c r="N379" s="34"/>
      <c r="O379" s="35"/>
      <c r="P379" s="35"/>
      <c r="Q379" s="35"/>
      <c r="R379" s="35"/>
      <c r="S379" s="74"/>
      <c r="AJ379" s="34"/>
      <c r="AK379" s="34"/>
      <c r="AL379" s="34"/>
      <c r="AM379" s="34"/>
      <c r="AN379" s="34"/>
      <c r="AQ379" s="67"/>
      <c r="AR379" s="67"/>
      <c r="AS379" s="67"/>
      <c r="AT379" s="67"/>
      <c r="AU379" s="67"/>
      <c r="AW379" s="68"/>
      <c r="AX379" s="68"/>
      <c r="AY379" s="68"/>
      <c r="AZ379" s="68"/>
      <c r="BA379" s="68"/>
      <c r="BB379" s="68"/>
    </row>
    <row r="380" spans="1:54" ht="13.5" thickBot="1">
      <c r="A380" s="103">
        <v>39239</v>
      </c>
      <c r="B380" s="104">
        <v>5.5454998016357422</v>
      </c>
      <c r="C380" s="105">
        <v>1517.3800048828125</v>
      </c>
      <c r="D380" s="104">
        <v>1.9925999641418457</v>
      </c>
      <c r="E380">
        <v>121.02141658633263</v>
      </c>
      <c r="F380">
        <v>668.86285400390625</v>
      </c>
      <c r="H380" s="34"/>
      <c r="I380" s="34"/>
      <c r="J380" s="34"/>
      <c r="K380" s="34"/>
      <c r="L380" s="34"/>
      <c r="N380" s="34"/>
      <c r="O380" s="35"/>
      <c r="P380" s="35"/>
      <c r="Q380" s="35"/>
      <c r="R380" s="35"/>
      <c r="S380" s="74"/>
      <c r="AJ380" s="34"/>
      <c r="AK380" s="34"/>
      <c r="AL380" s="34"/>
      <c r="AM380" s="34"/>
      <c r="AN380" s="34"/>
      <c r="AQ380" s="67"/>
      <c r="AR380" s="67"/>
      <c r="AS380" s="67"/>
      <c r="AT380" s="67"/>
      <c r="AU380" s="67"/>
      <c r="AW380" s="68"/>
      <c r="AX380" s="68"/>
      <c r="AY380" s="68"/>
      <c r="AZ380" s="68"/>
      <c r="BA380" s="68"/>
      <c r="BB380" s="68"/>
    </row>
    <row r="381" spans="1:54" ht="13.5" thickBot="1">
      <c r="A381" s="103">
        <v>39240</v>
      </c>
      <c r="B381" s="104">
        <v>5.6964998245239258</v>
      </c>
      <c r="C381" s="105">
        <v>1490.719970703125</v>
      </c>
      <c r="D381" s="104">
        <v>1.9772000312805176</v>
      </c>
      <c r="E381">
        <v>121.09469581457455</v>
      </c>
      <c r="F381">
        <v>660.22662353515625</v>
      </c>
      <c r="H381" s="34"/>
      <c r="I381" s="34"/>
      <c r="J381" s="34"/>
      <c r="K381" s="34"/>
      <c r="L381" s="34"/>
      <c r="N381" s="34"/>
      <c r="O381" s="35"/>
      <c r="P381" s="35"/>
      <c r="Q381" s="35"/>
      <c r="R381" s="35"/>
      <c r="S381" s="74"/>
      <c r="AJ381" s="34"/>
      <c r="AK381" s="34"/>
      <c r="AL381" s="34"/>
      <c r="AM381" s="34"/>
      <c r="AN381" s="34"/>
      <c r="AQ381" s="67"/>
      <c r="AR381" s="67"/>
      <c r="AS381" s="67"/>
      <c r="AT381" s="67"/>
      <c r="AU381" s="67"/>
      <c r="AW381" s="68"/>
      <c r="AX381" s="68"/>
      <c r="AY381" s="68"/>
      <c r="AZ381" s="68"/>
      <c r="BA381" s="68"/>
      <c r="BB381" s="68"/>
    </row>
    <row r="382" spans="1:54" ht="13.5" thickBot="1">
      <c r="A382" s="103">
        <v>39241</v>
      </c>
      <c r="B382" s="104">
        <v>5.7234997749328613</v>
      </c>
      <c r="C382" s="105">
        <v>1507.6700439453125</v>
      </c>
      <c r="D382" s="104">
        <v>1.9665000438690186</v>
      </c>
      <c r="E382">
        <v>121.69891091821238</v>
      </c>
      <c r="F382">
        <v>645.228271484375</v>
      </c>
      <c r="H382" s="34"/>
      <c r="I382" s="34"/>
      <c r="J382" s="34"/>
      <c r="K382" s="34"/>
      <c r="L382" s="34"/>
      <c r="N382" s="34"/>
      <c r="O382" s="35"/>
      <c r="P382" s="35"/>
      <c r="Q382" s="35"/>
      <c r="R382" s="35"/>
      <c r="S382" s="74"/>
      <c r="AJ382" s="34"/>
      <c r="AK382" s="34"/>
      <c r="AL382" s="34"/>
      <c r="AM382" s="34"/>
      <c r="AN382" s="34"/>
      <c r="AQ382" s="67"/>
      <c r="AR382" s="67"/>
      <c r="AS382" s="67"/>
      <c r="AT382" s="67"/>
      <c r="AU382" s="67"/>
      <c r="AW382" s="68"/>
      <c r="AX382" s="68"/>
      <c r="AY382" s="68"/>
      <c r="AZ382" s="68"/>
      <c r="BA382" s="68"/>
      <c r="BB382" s="68"/>
    </row>
    <row r="383" spans="1:54" ht="13.5" thickBot="1">
      <c r="A383" s="103">
        <v>39244</v>
      </c>
      <c r="B383" s="104">
        <v>5.742499828338623</v>
      </c>
      <c r="C383" s="105">
        <v>1509.1199951171875</v>
      </c>
      <c r="D383" s="104">
        <v>1.9694000482559204</v>
      </c>
      <c r="E383">
        <v>121.8026848408811</v>
      </c>
      <c r="F383">
        <v>653.8636474609375</v>
      </c>
      <c r="H383" s="34"/>
      <c r="I383" s="34"/>
      <c r="J383" s="34"/>
      <c r="K383" s="34"/>
      <c r="L383" s="34"/>
      <c r="N383" s="34"/>
      <c r="O383" s="35"/>
      <c r="P383" s="35"/>
      <c r="Q383" s="35"/>
      <c r="R383" s="35"/>
      <c r="S383" s="74"/>
      <c r="AJ383" s="34"/>
      <c r="AK383" s="34"/>
      <c r="AL383" s="34"/>
      <c r="AM383" s="34"/>
      <c r="AN383" s="34"/>
      <c r="AQ383" s="67"/>
      <c r="AR383" s="67"/>
      <c r="AS383" s="67"/>
      <c r="AT383" s="67"/>
      <c r="AU383" s="67"/>
      <c r="AW383" s="68"/>
      <c r="AX383" s="68"/>
      <c r="AY383" s="68"/>
      <c r="AZ383" s="68"/>
      <c r="BA383" s="68"/>
      <c r="BB383" s="68"/>
    </row>
    <row r="384" spans="1:54" ht="13.5" thickBot="1">
      <c r="A384" s="103">
        <v>39245</v>
      </c>
      <c r="B384" s="104">
        <v>5.875999927520752</v>
      </c>
      <c r="C384" s="105">
        <v>1493</v>
      </c>
      <c r="D384" s="104">
        <v>1.9764000177383423</v>
      </c>
      <c r="E384">
        <v>121.75818272246453</v>
      </c>
      <c r="F384">
        <v>649.46392822265625</v>
      </c>
      <c r="H384" s="34"/>
      <c r="I384" s="34"/>
      <c r="J384" s="34"/>
      <c r="K384" s="34"/>
      <c r="L384" s="34"/>
      <c r="N384" s="34"/>
      <c r="O384" s="35"/>
      <c r="P384" s="35"/>
      <c r="Q384" s="35"/>
      <c r="R384" s="35"/>
      <c r="S384" s="74"/>
      <c r="AJ384" s="34"/>
      <c r="AK384" s="34"/>
      <c r="AL384" s="34"/>
      <c r="AM384" s="34"/>
      <c r="AN384" s="34"/>
      <c r="AQ384" s="67"/>
      <c r="AR384" s="67"/>
      <c r="AS384" s="67"/>
      <c r="AT384" s="67"/>
      <c r="AU384" s="67"/>
      <c r="AW384" s="68"/>
      <c r="AX384" s="68"/>
      <c r="AY384" s="68"/>
      <c r="AZ384" s="68"/>
      <c r="BA384" s="68"/>
      <c r="BB384" s="68"/>
    </row>
    <row r="385" spans="1:54" ht="13.5" thickBot="1">
      <c r="A385" s="103">
        <v>39246</v>
      </c>
      <c r="B385" s="104">
        <v>5.809999942779541</v>
      </c>
      <c r="C385" s="105">
        <v>1515.6700439453125</v>
      </c>
      <c r="D385" s="104">
        <v>1.9731999635696411</v>
      </c>
      <c r="E385">
        <v>122.65423897991106</v>
      </c>
      <c r="F385">
        <v>649.46392822265625</v>
      </c>
      <c r="H385" s="34"/>
      <c r="I385" s="34"/>
      <c r="J385" s="34"/>
      <c r="K385" s="34"/>
      <c r="L385" s="34"/>
      <c r="N385" s="34"/>
      <c r="O385" s="35"/>
      <c r="P385" s="35"/>
      <c r="Q385" s="35"/>
      <c r="R385" s="35"/>
      <c r="S385" s="74"/>
      <c r="AJ385" s="34"/>
      <c r="AK385" s="34"/>
      <c r="AL385" s="34"/>
      <c r="AM385" s="34"/>
      <c r="AN385" s="34"/>
      <c r="AQ385" s="67"/>
      <c r="AR385" s="67"/>
      <c r="AS385" s="67"/>
      <c r="AT385" s="67"/>
      <c r="AU385" s="67"/>
      <c r="AW385" s="68"/>
      <c r="AX385" s="68"/>
      <c r="AY385" s="68"/>
      <c r="AZ385" s="68"/>
      <c r="BA385" s="68"/>
      <c r="BB385" s="68"/>
    </row>
    <row r="386" spans="1:54" ht="13.5" thickBot="1">
      <c r="A386" s="103">
        <v>39247</v>
      </c>
      <c r="B386" s="104">
        <v>5.8144998550415039</v>
      </c>
      <c r="C386" s="105">
        <v>1522.969970703125</v>
      </c>
      <c r="D386" s="104">
        <v>1.9709999561309814</v>
      </c>
      <c r="E386">
        <v>122.95586243129593</v>
      </c>
      <c r="F386">
        <v>652.02752685546875</v>
      </c>
      <c r="H386" s="34"/>
      <c r="I386" s="34"/>
      <c r="J386" s="34"/>
      <c r="K386" s="34"/>
      <c r="L386" s="34"/>
      <c r="N386" s="34"/>
      <c r="O386" s="35"/>
      <c r="P386" s="35"/>
      <c r="Q386" s="35"/>
      <c r="R386" s="35"/>
      <c r="S386" s="74"/>
      <c r="AJ386" s="34"/>
      <c r="AK386" s="34"/>
      <c r="AL386" s="34"/>
      <c r="AM386" s="34"/>
      <c r="AN386" s="34"/>
      <c r="AQ386" s="67"/>
      <c r="AR386" s="67"/>
      <c r="AS386" s="67"/>
      <c r="AT386" s="67"/>
      <c r="AU386" s="67"/>
      <c r="AW386" s="68"/>
      <c r="AX386" s="68"/>
      <c r="AY386" s="68"/>
      <c r="AZ386" s="68"/>
      <c r="BA386" s="68"/>
      <c r="BB386" s="68"/>
    </row>
    <row r="387" spans="1:54" ht="13.5" thickBot="1">
      <c r="A387" s="103">
        <v>39248</v>
      </c>
      <c r="B387" s="104">
        <v>5.756199836730957</v>
      </c>
      <c r="C387" s="105">
        <v>1532.9100341796875</v>
      </c>
      <c r="D387" s="104">
        <v>1.9752000570297241</v>
      </c>
      <c r="E387">
        <v>123.44154356045256</v>
      </c>
      <c r="F387">
        <v>654.02734375</v>
      </c>
      <c r="H387" s="34"/>
      <c r="I387" s="34"/>
      <c r="J387" s="34"/>
      <c r="K387" s="34"/>
      <c r="L387" s="34"/>
      <c r="N387" s="34"/>
      <c r="O387" s="35"/>
      <c r="P387" s="35"/>
      <c r="Q387" s="35"/>
      <c r="R387" s="35"/>
      <c r="S387" s="74"/>
      <c r="AJ387" s="34"/>
      <c r="AK387" s="34"/>
      <c r="AL387" s="34"/>
      <c r="AM387" s="34"/>
      <c r="AN387" s="34"/>
      <c r="AQ387" s="67"/>
      <c r="AR387" s="67"/>
      <c r="AS387" s="67"/>
      <c r="AT387" s="67"/>
      <c r="AU387" s="67"/>
      <c r="AW387" s="68"/>
      <c r="AX387" s="68"/>
      <c r="AY387" s="68"/>
      <c r="AZ387" s="68"/>
      <c r="BA387" s="68"/>
      <c r="BB387" s="68"/>
    </row>
    <row r="388" spans="1:54" ht="13.5" thickBot="1">
      <c r="A388" s="103">
        <v>39251</v>
      </c>
      <c r="B388" s="104">
        <v>5.7245001792907715</v>
      </c>
      <c r="C388" s="105">
        <v>1531.050048828125</v>
      </c>
      <c r="D388" s="104">
        <v>1.9833999872207642</v>
      </c>
      <c r="E388">
        <v>123.59411831399649</v>
      </c>
      <c r="F388">
        <v>655.01361083984375</v>
      </c>
      <c r="H388" s="34"/>
      <c r="I388" s="34"/>
      <c r="J388" s="34"/>
      <c r="K388" s="34"/>
      <c r="L388" s="34"/>
      <c r="N388" s="34"/>
      <c r="O388" s="35"/>
      <c r="P388" s="35"/>
      <c r="Q388" s="35"/>
      <c r="R388" s="35"/>
      <c r="S388" s="74"/>
      <c r="AJ388" s="34"/>
      <c r="AK388" s="34"/>
      <c r="AL388" s="34"/>
      <c r="AM388" s="34"/>
      <c r="AN388" s="34"/>
      <c r="AQ388" s="67"/>
      <c r="AR388" s="67"/>
      <c r="AS388" s="67"/>
      <c r="AT388" s="67"/>
      <c r="AU388" s="67"/>
      <c r="AW388" s="68"/>
      <c r="AX388" s="68"/>
      <c r="AY388" s="68"/>
      <c r="AZ388" s="68"/>
      <c r="BA388" s="68"/>
      <c r="BB388" s="68"/>
    </row>
    <row r="389" spans="1:54" ht="13.5" thickBot="1">
      <c r="A389" s="103">
        <v>39252</v>
      </c>
      <c r="B389" s="104">
        <v>5.6655001640319824</v>
      </c>
      <c r="C389" s="105">
        <v>1533.699951171875</v>
      </c>
      <c r="D389" s="104">
        <v>1.9887000322341919</v>
      </c>
      <c r="E389">
        <v>123.39585023634723</v>
      </c>
      <c r="F389">
        <v>660.5133056640625</v>
      </c>
      <c r="H389" s="34"/>
      <c r="I389" s="34"/>
      <c r="J389" s="34"/>
      <c r="K389" s="34"/>
      <c r="L389" s="34"/>
      <c r="N389" s="34"/>
      <c r="O389" s="35"/>
      <c r="P389" s="35"/>
      <c r="Q389" s="35"/>
      <c r="R389" s="35"/>
      <c r="S389" s="74"/>
      <c r="AJ389" s="34"/>
      <c r="AK389" s="34"/>
      <c r="AL389" s="34"/>
      <c r="AM389" s="34"/>
      <c r="AN389" s="34"/>
      <c r="AQ389" s="67"/>
      <c r="AR389" s="67"/>
      <c r="AS389" s="67"/>
      <c r="AT389" s="67"/>
      <c r="AU389" s="67"/>
      <c r="AW389" s="68"/>
      <c r="AX389" s="68"/>
      <c r="AY389" s="68"/>
      <c r="AZ389" s="68"/>
      <c r="BA389" s="68"/>
      <c r="BB389" s="68"/>
    </row>
    <row r="390" spans="1:54" ht="13.5" thickBot="1">
      <c r="A390" s="103">
        <v>39253</v>
      </c>
      <c r="B390" s="104">
        <v>5.7270002365112305</v>
      </c>
      <c r="C390" s="105">
        <v>1512.8399658203125</v>
      </c>
      <c r="D390" s="104">
        <v>1.9944000244140625</v>
      </c>
      <c r="E390">
        <v>123.57884102363076</v>
      </c>
      <c r="F390">
        <v>657.2135009765625</v>
      </c>
      <c r="H390" s="34"/>
      <c r="I390" s="34"/>
      <c r="J390" s="34"/>
      <c r="K390" s="34"/>
      <c r="L390" s="34"/>
      <c r="N390" s="34"/>
      <c r="O390" s="35"/>
      <c r="P390" s="35"/>
      <c r="Q390" s="35"/>
      <c r="R390" s="35"/>
      <c r="S390" s="74"/>
      <c r="AJ390" s="34"/>
      <c r="AK390" s="34"/>
      <c r="AL390" s="34"/>
      <c r="AM390" s="34"/>
      <c r="AN390" s="34"/>
      <c r="AQ390" s="67"/>
      <c r="AR390" s="67"/>
      <c r="AS390" s="67"/>
      <c r="AT390" s="67"/>
      <c r="AU390" s="67"/>
      <c r="AW390" s="68"/>
      <c r="AX390" s="68"/>
      <c r="AY390" s="68"/>
      <c r="AZ390" s="68"/>
      <c r="BA390" s="68"/>
      <c r="BB390" s="68"/>
    </row>
    <row r="391" spans="1:54" ht="13.5" thickBot="1">
      <c r="A391" s="103">
        <v>39254</v>
      </c>
      <c r="B391" s="104">
        <v>5.7804999351501465</v>
      </c>
      <c r="C391" s="105">
        <v>1522.18994140625</v>
      </c>
      <c r="D391" s="104">
        <v>1.9919999837875366</v>
      </c>
      <c r="E391">
        <v>123.68583294273847</v>
      </c>
      <c r="F391">
        <v>650.877685546875</v>
      </c>
      <c r="H391" s="34"/>
      <c r="I391" s="34"/>
      <c r="J391" s="34"/>
      <c r="K391" s="34"/>
      <c r="L391" s="34"/>
      <c r="N391" s="34"/>
      <c r="O391" s="35"/>
      <c r="P391" s="35"/>
      <c r="Q391" s="35"/>
      <c r="R391" s="35"/>
      <c r="S391" s="74"/>
      <c r="AJ391" s="34"/>
      <c r="AK391" s="34"/>
      <c r="AL391" s="34"/>
      <c r="AM391" s="34"/>
      <c r="AN391" s="34"/>
      <c r="AQ391" s="67"/>
      <c r="AR391" s="67"/>
      <c r="AS391" s="67"/>
      <c r="AT391" s="67"/>
      <c r="AU391" s="67"/>
      <c r="AW391" s="68"/>
      <c r="AX391" s="68"/>
      <c r="AY391" s="68"/>
      <c r="AZ391" s="68"/>
      <c r="BA391" s="68"/>
      <c r="BB391" s="68"/>
    </row>
    <row r="392" spans="1:54" ht="13.5" thickBot="1">
      <c r="A392" s="103">
        <v>39255</v>
      </c>
      <c r="B392" s="104">
        <v>5.7635002136230469</v>
      </c>
      <c r="C392" s="105">
        <v>1502.56005859375</v>
      </c>
      <c r="D392" s="104">
        <v>1.9991999864578247</v>
      </c>
      <c r="E392">
        <v>123.85435424472146</v>
      </c>
      <c r="F392">
        <v>651.92755126953125</v>
      </c>
      <c r="H392" s="34"/>
      <c r="I392" s="34"/>
      <c r="J392" s="34"/>
      <c r="K392" s="34"/>
      <c r="L392" s="34"/>
      <c r="N392" s="34"/>
      <c r="O392" s="35"/>
      <c r="P392" s="35"/>
      <c r="Q392" s="35"/>
      <c r="R392" s="35"/>
      <c r="S392" s="74"/>
      <c r="AJ392" s="34"/>
      <c r="AK392" s="34"/>
      <c r="AL392" s="34"/>
      <c r="AM392" s="34"/>
      <c r="AN392" s="34"/>
      <c r="AQ392" s="67"/>
      <c r="AR392" s="67"/>
      <c r="AS392" s="67"/>
      <c r="AT392" s="67"/>
      <c r="AU392" s="67"/>
      <c r="AW392" s="68"/>
      <c r="AX392" s="68"/>
      <c r="AY392" s="68"/>
      <c r="AZ392" s="68"/>
      <c r="BA392" s="68"/>
      <c r="BB392" s="68"/>
    </row>
    <row r="393" spans="1:54" ht="13.5" thickBot="1">
      <c r="A393" s="103">
        <v>39258</v>
      </c>
      <c r="B393" s="104">
        <v>5.7055001258850098</v>
      </c>
      <c r="C393" s="105">
        <v>1497.739990234375</v>
      </c>
      <c r="D393" s="104">
        <v>1.9988000392913818</v>
      </c>
      <c r="E393">
        <v>123.57884102363076</v>
      </c>
      <c r="F393">
        <v>653.1636962890625</v>
      </c>
      <c r="H393" s="34"/>
      <c r="I393" s="34"/>
      <c r="J393" s="34"/>
      <c r="K393" s="34"/>
      <c r="L393" s="34"/>
      <c r="N393" s="34"/>
      <c r="O393" s="35"/>
      <c r="P393" s="35"/>
      <c r="Q393" s="35"/>
      <c r="R393" s="35"/>
      <c r="S393" s="74"/>
      <c r="AJ393" s="34"/>
      <c r="AK393" s="34"/>
      <c r="AL393" s="34"/>
      <c r="AM393" s="34"/>
      <c r="AN393" s="34"/>
      <c r="AQ393" s="67"/>
      <c r="AR393" s="67"/>
      <c r="AS393" s="67"/>
      <c r="AT393" s="67"/>
      <c r="AU393" s="67"/>
      <c r="AW393" s="68"/>
      <c r="AX393" s="68"/>
      <c r="AY393" s="68"/>
      <c r="AZ393" s="68"/>
      <c r="BA393" s="68"/>
      <c r="BB393" s="68"/>
    </row>
    <row r="394" spans="1:54" ht="13.5" thickBot="1">
      <c r="A394" s="103">
        <v>39259</v>
      </c>
      <c r="B394" s="104">
        <v>5.7259998321533203</v>
      </c>
      <c r="C394" s="105">
        <v>1492.8900146484375</v>
      </c>
      <c r="D394" s="104">
        <v>1.9991999864578247</v>
      </c>
      <c r="E394">
        <v>123.24377845173875</v>
      </c>
      <c r="F394">
        <v>643.8642578125</v>
      </c>
      <c r="H394" s="34"/>
      <c r="I394" s="34"/>
      <c r="J394" s="34"/>
      <c r="K394" s="34"/>
      <c r="L394" s="34"/>
      <c r="N394" s="34"/>
      <c r="O394" s="35"/>
      <c r="P394" s="35"/>
      <c r="Q394" s="35"/>
      <c r="R394" s="35"/>
      <c r="S394" s="74"/>
      <c r="AJ394" s="34"/>
      <c r="AK394" s="34"/>
      <c r="AL394" s="34"/>
      <c r="AM394" s="34"/>
      <c r="AN394" s="34"/>
      <c r="AQ394" s="67"/>
      <c r="AR394" s="67"/>
      <c r="AS394" s="67"/>
      <c r="AT394" s="67"/>
      <c r="AU394" s="67"/>
      <c r="AW394" s="68"/>
      <c r="AX394" s="68"/>
      <c r="AY394" s="68"/>
      <c r="AZ394" s="68"/>
      <c r="BA394" s="68"/>
      <c r="BB394" s="68"/>
    </row>
    <row r="395" spans="1:54" ht="13.5" thickBot="1">
      <c r="A395" s="103">
        <v>39260</v>
      </c>
      <c r="B395" s="104">
        <v>5.6919999122619629</v>
      </c>
      <c r="C395" s="105">
        <v>1506.3399658203125</v>
      </c>
      <c r="D395" s="104">
        <v>1.9977999925613403</v>
      </c>
      <c r="E395">
        <v>122.44398853311156</v>
      </c>
      <c r="F395">
        <v>641.86431884765625</v>
      </c>
      <c r="H395" s="34"/>
      <c r="I395" s="34"/>
      <c r="J395" s="34"/>
      <c r="K395" s="34"/>
      <c r="L395" s="34"/>
      <c r="N395" s="34"/>
      <c r="O395" s="35"/>
      <c r="P395" s="35"/>
      <c r="Q395" s="35"/>
      <c r="R395" s="35"/>
      <c r="S395" s="74"/>
      <c r="AJ395" s="34"/>
      <c r="AK395" s="34"/>
      <c r="AL395" s="34"/>
      <c r="AM395" s="34"/>
      <c r="AN395" s="34"/>
      <c r="AQ395" s="67"/>
      <c r="AR395" s="67"/>
      <c r="AS395" s="67"/>
      <c r="AT395" s="67"/>
      <c r="AU395" s="67"/>
      <c r="AW395" s="68"/>
      <c r="AX395" s="68"/>
      <c r="AY395" s="68"/>
      <c r="AZ395" s="68"/>
      <c r="BA395" s="68"/>
      <c r="BB395" s="68"/>
    </row>
    <row r="396" spans="1:54" ht="13.5" thickBot="1">
      <c r="A396" s="103">
        <v>39261</v>
      </c>
      <c r="B396" s="104">
        <v>5.7364997863769531</v>
      </c>
      <c r="C396" s="105">
        <v>1505.7099609375</v>
      </c>
      <c r="D396" s="104">
        <v>2.0013000965118408</v>
      </c>
      <c r="E396">
        <v>123.13754961807287</v>
      </c>
      <c r="F396">
        <v>647.32806396484375</v>
      </c>
      <c r="H396" s="34"/>
      <c r="I396" s="34"/>
      <c r="J396" s="34"/>
      <c r="K396" s="34"/>
      <c r="L396" s="34"/>
      <c r="N396" s="34"/>
      <c r="O396" s="35"/>
      <c r="P396" s="35"/>
      <c r="Q396" s="35"/>
      <c r="R396" s="35"/>
      <c r="S396" s="74"/>
      <c r="AJ396" s="34"/>
      <c r="AK396" s="34"/>
      <c r="AL396" s="34"/>
      <c r="AM396" s="34"/>
      <c r="AN396" s="34"/>
      <c r="AQ396" s="67"/>
      <c r="AR396" s="67"/>
      <c r="AS396" s="67"/>
      <c r="AT396" s="67"/>
      <c r="AU396" s="67"/>
      <c r="AW396" s="68"/>
      <c r="AX396" s="68"/>
      <c r="AY396" s="68"/>
      <c r="AZ396" s="68"/>
      <c r="BA396" s="68"/>
      <c r="BB396" s="68"/>
    </row>
    <row r="397" spans="1:54" ht="13.5" thickBot="1">
      <c r="A397" s="103">
        <v>39262</v>
      </c>
      <c r="B397" s="104">
        <v>5.6684999465942383</v>
      </c>
      <c r="C397" s="105">
        <v>1503.3499755859375</v>
      </c>
      <c r="D397" s="104">
        <v>2.0075500011444092</v>
      </c>
      <c r="E397">
        <v>123.15270386329102</v>
      </c>
      <c r="F397">
        <v>649.12786865234375</v>
      </c>
      <c r="H397" s="34"/>
      <c r="I397" s="34"/>
      <c r="J397" s="34"/>
      <c r="K397" s="34"/>
      <c r="L397" s="34"/>
      <c r="N397" s="34"/>
      <c r="O397" s="35"/>
      <c r="P397" s="35"/>
      <c r="Q397" s="35"/>
      <c r="R397" s="35"/>
      <c r="S397" s="74"/>
      <c r="AJ397" s="34"/>
      <c r="AK397" s="34"/>
      <c r="AL397" s="34"/>
      <c r="AM397" s="34"/>
      <c r="AN397" s="34"/>
      <c r="AQ397" s="67"/>
      <c r="AR397" s="67"/>
      <c r="AS397" s="67"/>
      <c r="AT397" s="67"/>
      <c r="AU397" s="67"/>
      <c r="AW397" s="68"/>
      <c r="AX397" s="68"/>
      <c r="AY397" s="68"/>
      <c r="AZ397" s="68"/>
      <c r="BA397" s="68"/>
      <c r="BB397" s="68"/>
    </row>
    <row r="398" spans="1:54" ht="13.5" thickBot="1">
      <c r="A398" s="103">
        <v>39265</v>
      </c>
      <c r="B398" s="104">
        <v>5.6304998397827148</v>
      </c>
      <c r="C398" s="105">
        <v>1519.4300537109375</v>
      </c>
      <c r="D398" s="104">
        <v>2.0165998935699463</v>
      </c>
      <c r="E398">
        <v>122.32416475171166</v>
      </c>
      <c r="F398">
        <v>657.795166015625</v>
      </c>
      <c r="H398" s="34"/>
      <c r="I398" s="34"/>
      <c r="J398" s="34"/>
      <c r="K398" s="34"/>
      <c r="L398" s="34"/>
      <c r="N398" s="34"/>
      <c r="O398" s="35"/>
      <c r="P398" s="35"/>
      <c r="Q398" s="35"/>
      <c r="R398" s="35"/>
      <c r="S398" s="74"/>
      <c r="AJ398" s="34"/>
      <c r="AK398" s="34"/>
      <c r="AL398" s="34"/>
      <c r="AM398" s="34"/>
      <c r="AN398" s="34"/>
      <c r="AQ398" s="67"/>
      <c r="AR398" s="67"/>
      <c r="AS398" s="67"/>
      <c r="AT398" s="67"/>
      <c r="AU398" s="67"/>
      <c r="AW398" s="68"/>
      <c r="AX398" s="68"/>
      <c r="AY398" s="68"/>
      <c r="AZ398" s="68"/>
      <c r="BA398" s="68"/>
      <c r="BB398" s="68"/>
    </row>
    <row r="399" spans="1:54" ht="13.5" thickBot="1">
      <c r="A399" s="103">
        <v>39266</v>
      </c>
      <c r="B399" s="104">
        <v>5.6729898452758789</v>
      </c>
      <c r="C399" s="105">
        <v>1524.8699951171875</v>
      </c>
      <c r="D399" s="104">
        <v>2.0169999599456787</v>
      </c>
      <c r="E399">
        <v>122.35409173430426</v>
      </c>
      <c r="F399">
        <v>652.79559326171875</v>
      </c>
      <c r="H399" s="34"/>
      <c r="I399" s="34"/>
      <c r="J399" s="34"/>
      <c r="K399" s="34"/>
      <c r="L399" s="34"/>
      <c r="N399" s="34"/>
      <c r="O399" s="35"/>
      <c r="P399" s="35"/>
      <c r="Q399" s="35"/>
      <c r="R399" s="35"/>
      <c r="S399" s="74"/>
      <c r="AJ399" s="34"/>
      <c r="AK399" s="34"/>
      <c r="AL399" s="34"/>
      <c r="AM399" s="34"/>
      <c r="AN399" s="34"/>
      <c r="AQ399" s="67"/>
      <c r="AR399" s="67"/>
      <c r="AS399" s="67"/>
      <c r="AT399" s="67"/>
      <c r="AU399" s="67"/>
      <c r="AW399" s="68"/>
      <c r="AX399" s="68"/>
      <c r="AY399" s="68"/>
      <c r="AZ399" s="68"/>
      <c r="BA399" s="68"/>
      <c r="BB399" s="68"/>
    </row>
    <row r="400" spans="1:54" ht="13.5" thickBot="1">
      <c r="A400" s="103">
        <v>39267</v>
      </c>
      <c r="B400" s="104">
        <v>5.6729898452758789</v>
      </c>
      <c r="C400" s="105">
        <v>1524.8699951171875</v>
      </c>
      <c r="D400" s="104">
        <v>2.0164999961853027</v>
      </c>
      <c r="E400">
        <v>122.59409178180037</v>
      </c>
      <c r="F400">
        <v>653.81365966796875</v>
      </c>
      <c r="H400" s="34"/>
      <c r="I400" s="34"/>
      <c r="J400" s="34"/>
      <c r="K400" s="34"/>
      <c r="L400" s="34"/>
      <c r="N400" s="34"/>
      <c r="O400" s="35"/>
      <c r="P400" s="35"/>
      <c r="Q400" s="35"/>
      <c r="R400" s="35"/>
      <c r="S400" s="74"/>
      <c r="AJ400" s="34"/>
      <c r="AK400" s="34"/>
      <c r="AL400" s="34"/>
      <c r="AM400" s="34"/>
      <c r="AN400" s="34"/>
      <c r="AQ400" s="67"/>
      <c r="AR400" s="67"/>
      <c r="AS400" s="67"/>
      <c r="AT400" s="67"/>
      <c r="AU400" s="67"/>
      <c r="AW400" s="68"/>
      <c r="AX400" s="68"/>
      <c r="AY400" s="68"/>
      <c r="AZ400" s="68"/>
      <c r="BA400" s="68"/>
      <c r="BB400" s="68"/>
    </row>
    <row r="401" spans="1:54" ht="13.5" thickBot="1">
      <c r="A401" s="103">
        <v>39268</v>
      </c>
      <c r="B401" s="104">
        <v>5.7744998931884766</v>
      </c>
      <c r="C401" s="105">
        <v>1525.4000244140625</v>
      </c>
      <c r="D401" s="104">
        <v>2.0120000839233398</v>
      </c>
      <c r="E401">
        <v>122.81994498997187</v>
      </c>
      <c r="F401">
        <v>649.47784423828125</v>
      </c>
      <c r="H401" s="34"/>
      <c r="I401" s="34"/>
      <c r="J401" s="34"/>
      <c r="K401" s="34"/>
      <c r="L401" s="34"/>
      <c r="N401" s="34"/>
      <c r="O401" s="35"/>
      <c r="P401" s="35"/>
      <c r="Q401" s="35"/>
      <c r="R401" s="35"/>
      <c r="S401" s="74"/>
      <c r="AJ401" s="34"/>
      <c r="AK401" s="34"/>
      <c r="AL401" s="34"/>
      <c r="AM401" s="34"/>
      <c r="AN401" s="34"/>
      <c r="AQ401" s="67"/>
      <c r="AR401" s="67"/>
      <c r="AS401" s="67"/>
      <c r="AT401" s="67"/>
      <c r="AU401" s="67"/>
      <c r="AW401" s="68"/>
      <c r="AX401" s="68"/>
      <c r="AY401" s="68"/>
      <c r="AZ401" s="68"/>
      <c r="BA401" s="68"/>
      <c r="BB401" s="68"/>
    </row>
    <row r="402" spans="1:54" ht="13.5" thickBot="1">
      <c r="A402" s="103">
        <v>39269</v>
      </c>
      <c r="B402" s="104">
        <v>5.8330001831054687</v>
      </c>
      <c r="C402" s="105">
        <v>1530.43994140625</v>
      </c>
      <c r="D402" s="104">
        <v>2.0104000568389893</v>
      </c>
      <c r="E402">
        <v>123.38063609622648</v>
      </c>
      <c r="F402">
        <v>654.02734375</v>
      </c>
      <c r="H402" s="34"/>
      <c r="I402" s="34"/>
      <c r="J402" s="34"/>
      <c r="K402" s="34"/>
      <c r="L402" s="34"/>
      <c r="N402" s="34"/>
      <c r="O402" s="35"/>
      <c r="P402" s="35"/>
      <c r="Q402" s="35"/>
      <c r="R402" s="35"/>
      <c r="S402" s="74"/>
      <c r="AJ402" s="34"/>
      <c r="AK402" s="34"/>
      <c r="AL402" s="34"/>
      <c r="AM402" s="34"/>
      <c r="AN402" s="34"/>
      <c r="AQ402" s="67"/>
      <c r="AR402" s="67"/>
      <c r="AS402" s="67"/>
      <c r="AT402" s="67"/>
      <c r="AU402" s="67"/>
      <c r="AW402" s="68"/>
      <c r="AX402" s="68"/>
      <c r="AY402" s="68"/>
      <c r="AZ402" s="68"/>
      <c r="BA402" s="68"/>
      <c r="BB402" s="68"/>
    </row>
    <row r="403" spans="1:54" ht="13.5" thickBot="1">
      <c r="A403" s="103">
        <v>39272</v>
      </c>
      <c r="B403" s="104">
        <v>5.7969999313354492</v>
      </c>
      <c r="C403" s="105">
        <v>1531.8499755859375</v>
      </c>
      <c r="D403" s="104">
        <v>2.0104000568389893</v>
      </c>
      <c r="E403">
        <v>123.38063609622648</v>
      </c>
      <c r="F403">
        <v>661.16326904296875</v>
      </c>
      <c r="H403" s="34"/>
      <c r="I403" s="34"/>
      <c r="J403" s="34"/>
      <c r="K403" s="34"/>
      <c r="L403" s="34"/>
      <c r="N403" s="34"/>
      <c r="O403" s="35"/>
      <c r="P403" s="35"/>
      <c r="Q403" s="35"/>
      <c r="R403" s="35"/>
      <c r="S403" s="74"/>
      <c r="AJ403" s="34"/>
      <c r="AK403" s="34"/>
      <c r="AL403" s="34"/>
      <c r="AM403" s="34"/>
      <c r="AN403" s="34"/>
      <c r="AQ403" s="67"/>
      <c r="AR403" s="67"/>
      <c r="AS403" s="67"/>
      <c r="AT403" s="67"/>
      <c r="AU403" s="67"/>
      <c r="AW403" s="68"/>
      <c r="AX403" s="68"/>
      <c r="AY403" s="68"/>
      <c r="AZ403" s="68"/>
      <c r="BA403" s="68"/>
      <c r="BB403" s="68"/>
    </row>
    <row r="404" spans="1:54" ht="13.5" thickBot="1">
      <c r="A404" s="103">
        <v>39273</v>
      </c>
      <c r="B404" s="104">
        <v>5.7049999237060547</v>
      </c>
      <c r="C404" s="105">
        <v>1510.1199951171875</v>
      </c>
      <c r="D404" s="104">
        <v>2.0265998840332031</v>
      </c>
      <c r="E404">
        <v>122.02562881606453</v>
      </c>
      <c r="F404">
        <v>663.16314697265625</v>
      </c>
      <c r="H404" s="34"/>
      <c r="I404" s="34"/>
      <c r="J404" s="34"/>
      <c r="K404" s="34"/>
      <c r="L404" s="34"/>
      <c r="N404" s="34"/>
      <c r="O404" s="35"/>
      <c r="P404" s="35"/>
      <c r="Q404" s="35"/>
      <c r="R404" s="35"/>
      <c r="S404" s="74"/>
      <c r="AJ404" s="34"/>
      <c r="AK404" s="34"/>
      <c r="AL404" s="34"/>
      <c r="AM404" s="34"/>
      <c r="AN404" s="34"/>
      <c r="AQ404" s="67"/>
      <c r="AR404" s="67"/>
      <c r="AS404" s="67"/>
      <c r="AT404" s="67"/>
      <c r="AU404" s="67"/>
      <c r="AW404" s="68"/>
      <c r="AX404" s="68"/>
      <c r="AY404" s="68"/>
      <c r="AZ404" s="68"/>
      <c r="BA404" s="68"/>
      <c r="BB404" s="68"/>
    </row>
    <row r="405" spans="1:54" ht="13.5" thickBot="1">
      <c r="A405" s="103">
        <v>39274</v>
      </c>
      <c r="B405" s="104">
        <v>5.7480001449584961</v>
      </c>
      <c r="C405" s="105">
        <v>1518.760009765625</v>
      </c>
      <c r="D405" s="104">
        <v>2.0334999561309814</v>
      </c>
      <c r="E405">
        <v>122.04051059751603</v>
      </c>
      <c r="F405">
        <v>661.563232421875</v>
      </c>
      <c r="H405" s="34"/>
      <c r="I405" s="34"/>
      <c r="J405" s="34"/>
      <c r="K405" s="34"/>
      <c r="L405" s="34"/>
      <c r="N405" s="34"/>
      <c r="O405" s="35"/>
      <c r="P405" s="35"/>
      <c r="Q405" s="35"/>
      <c r="R405" s="35"/>
      <c r="S405" s="74"/>
      <c r="AJ405" s="34"/>
      <c r="AK405" s="34"/>
      <c r="AL405" s="34"/>
      <c r="AM405" s="34"/>
      <c r="AN405" s="34"/>
      <c r="AQ405" s="67"/>
      <c r="AR405" s="67"/>
      <c r="AS405" s="67"/>
      <c r="AT405" s="67"/>
      <c r="AU405" s="67"/>
      <c r="AW405" s="68"/>
      <c r="AX405" s="68"/>
      <c r="AY405" s="68"/>
      <c r="AZ405" s="68"/>
      <c r="BA405" s="68"/>
      <c r="BB405" s="68"/>
    </row>
    <row r="406" spans="1:54" ht="13.5" thickBot="1">
      <c r="A406" s="103">
        <v>39275</v>
      </c>
      <c r="B406" s="104">
        <v>5.7684998512268066</v>
      </c>
      <c r="C406" s="105">
        <v>1547.699951171875</v>
      </c>
      <c r="D406" s="104">
        <v>2.0297999382019043</v>
      </c>
      <c r="E406">
        <v>122.4589725388724</v>
      </c>
      <c r="F406">
        <v>667.62579345703125</v>
      </c>
      <c r="H406" s="34"/>
      <c r="I406" s="34"/>
      <c r="J406" s="34"/>
      <c r="K406" s="34"/>
      <c r="L406" s="34"/>
      <c r="N406" s="34"/>
      <c r="O406" s="35"/>
      <c r="P406" s="35"/>
      <c r="Q406" s="35"/>
      <c r="R406" s="35"/>
      <c r="S406" s="74"/>
      <c r="AJ406" s="34"/>
      <c r="AK406" s="34"/>
      <c r="AL406" s="34"/>
      <c r="AM406" s="34"/>
      <c r="AN406" s="34"/>
      <c r="AQ406" s="67"/>
      <c r="AR406" s="67"/>
      <c r="AS406" s="67"/>
      <c r="AT406" s="67"/>
      <c r="AU406" s="67"/>
      <c r="AW406" s="68"/>
      <c r="AX406" s="68"/>
      <c r="AY406" s="68"/>
      <c r="AZ406" s="68"/>
      <c r="BA406" s="68"/>
      <c r="BB406" s="68"/>
    </row>
    <row r="407" spans="1:54" ht="13.5" thickBot="1">
      <c r="A407" s="103">
        <v>39276</v>
      </c>
      <c r="B407" s="104">
        <v>5.7544999122619629</v>
      </c>
      <c r="C407" s="105">
        <v>1552.5</v>
      </c>
      <c r="D407" s="104">
        <v>2.0336999893188477</v>
      </c>
      <c r="E407">
        <v>122.02562881606453</v>
      </c>
      <c r="F407">
        <v>665.82598876953125</v>
      </c>
      <c r="H407" s="34"/>
      <c r="I407" s="34"/>
      <c r="J407" s="34"/>
      <c r="K407" s="34"/>
      <c r="L407" s="34"/>
      <c r="N407" s="34"/>
      <c r="O407" s="35"/>
      <c r="P407" s="35"/>
      <c r="Q407" s="35"/>
      <c r="R407" s="35"/>
      <c r="S407" s="74"/>
      <c r="AJ407" s="34"/>
      <c r="AK407" s="34"/>
      <c r="AL407" s="34"/>
      <c r="AM407" s="34"/>
      <c r="AN407" s="34"/>
      <c r="AQ407" s="67"/>
      <c r="AR407" s="67"/>
      <c r="AS407" s="67"/>
      <c r="AT407" s="67"/>
      <c r="AU407" s="67"/>
      <c r="AW407" s="68"/>
      <c r="AX407" s="68"/>
      <c r="AY407" s="68"/>
      <c r="AZ407" s="68"/>
      <c r="BA407" s="68"/>
      <c r="BB407" s="68"/>
    </row>
    <row r="408" spans="1:54" ht="13.5" thickBot="1">
      <c r="A408" s="103">
        <v>39279</v>
      </c>
      <c r="B408" s="104">
        <v>5.6960000991821289</v>
      </c>
      <c r="C408" s="105">
        <v>1549.52001953125</v>
      </c>
      <c r="D408" s="104">
        <v>2.037100076675415</v>
      </c>
      <c r="E408">
        <v>121.81751228990645</v>
      </c>
      <c r="F408">
        <v>665.4630126953125</v>
      </c>
      <c r="H408" s="34"/>
      <c r="I408" s="34"/>
      <c r="J408" s="34"/>
      <c r="K408" s="34"/>
      <c r="L408" s="34"/>
      <c r="N408" s="34"/>
      <c r="O408" s="35"/>
      <c r="P408" s="35"/>
      <c r="Q408" s="35"/>
      <c r="R408" s="35"/>
      <c r="S408" s="74"/>
      <c r="AJ408" s="34"/>
      <c r="AK408" s="34"/>
      <c r="AL408" s="34"/>
      <c r="AM408" s="34"/>
      <c r="AN408" s="34"/>
      <c r="AQ408" s="67"/>
      <c r="AR408" s="67"/>
      <c r="AS408" s="67"/>
      <c r="AT408" s="67"/>
      <c r="AU408" s="67"/>
      <c r="AW408" s="68"/>
      <c r="AX408" s="68"/>
      <c r="AY408" s="68"/>
      <c r="AZ408" s="68"/>
      <c r="BA408" s="68"/>
      <c r="BB408" s="68"/>
    </row>
    <row r="409" spans="1:54" ht="13.5" thickBot="1">
      <c r="A409" s="103">
        <v>39280</v>
      </c>
      <c r="B409" s="104">
        <v>5.7385001182556152</v>
      </c>
      <c r="C409" s="105">
        <v>1549.3699951171875</v>
      </c>
      <c r="D409" s="104">
        <v>2.0460999011993408</v>
      </c>
      <c r="E409">
        <v>122.38404731314962</v>
      </c>
      <c r="F409">
        <v>665.66302490234375</v>
      </c>
      <c r="H409" s="34"/>
      <c r="I409" s="34"/>
      <c r="J409" s="34"/>
      <c r="K409" s="34"/>
      <c r="L409" s="34"/>
      <c r="N409" s="34"/>
      <c r="O409" s="35"/>
      <c r="P409" s="35"/>
      <c r="Q409" s="35"/>
      <c r="R409" s="35"/>
      <c r="S409" s="74"/>
      <c r="AJ409" s="34"/>
      <c r="AK409" s="34"/>
      <c r="AL409" s="34"/>
      <c r="AM409" s="34"/>
      <c r="AN409" s="34"/>
      <c r="AQ409" s="67"/>
      <c r="AR409" s="67"/>
      <c r="AS409" s="67"/>
      <c r="AT409" s="67"/>
      <c r="AU409" s="67"/>
      <c r="AW409" s="68"/>
      <c r="AX409" s="68"/>
      <c r="AY409" s="68"/>
      <c r="AZ409" s="68"/>
      <c r="BA409" s="68"/>
      <c r="BB409" s="68"/>
    </row>
    <row r="410" spans="1:54" ht="13.5" thickBot="1">
      <c r="A410" s="103">
        <v>39281</v>
      </c>
      <c r="B410" s="104">
        <v>5.6820001602172852</v>
      </c>
      <c r="C410" s="105">
        <v>1546.1700439453125</v>
      </c>
      <c r="D410" s="104">
        <v>2.0529999732971191</v>
      </c>
      <c r="E410">
        <v>121.84720567476971</v>
      </c>
      <c r="F410">
        <v>672.91259765625</v>
      </c>
      <c r="H410" s="34"/>
      <c r="I410" s="34"/>
      <c r="J410" s="34"/>
      <c r="K410" s="34"/>
      <c r="L410" s="34"/>
      <c r="N410" s="34"/>
      <c r="O410" s="35"/>
      <c r="P410" s="35"/>
      <c r="Q410" s="35"/>
      <c r="R410" s="35"/>
      <c r="S410" s="74"/>
      <c r="AJ410" s="34"/>
      <c r="AK410" s="34"/>
      <c r="AL410" s="34"/>
      <c r="AM410" s="34"/>
      <c r="AN410" s="34"/>
      <c r="AQ410" s="67"/>
      <c r="AR410" s="67"/>
      <c r="AS410" s="67"/>
      <c r="AT410" s="67"/>
      <c r="AU410" s="67"/>
      <c r="AW410" s="68"/>
      <c r="AX410" s="68"/>
      <c r="AY410" s="68"/>
      <c r="AZ410" s="68"/>
      <c r="BA410" s="68"/>
      <c r="BB410" s="68"/>
    </row>
    <row r="411" spans="1:54" ht="13.5" thickBot="1">
      <c r="A411" s="103">
        <v>39282</v>
      </c>
      <c r="B411" s="104">
        <v>5.689000129699707</v>
      </c>
      <c r="C411" s="105">
        <v>1553.0799560546875</v>
      </c>
      <c r="D411" s="104">
        <v>2.0487000942230225</v>
      </c>
      <c r="E411">
        <v>122.05540988365914</v>
      </c>
      <c r="F411">
        <v>677.17474365234375</v>
      </c>
      <c r="H411" s="34"/>
      <c r="I411" s="34"/>
      <c r="J411" s="34"/>
      <c r="K411" s="34"/>
      <c r="L411" s="34"/>
      <c r="N411" s="34"/>
      <c r="O411" s="35"/>
      <c r="P411" s="35"/>
      <c r="Q411" s="35"/>
      <c r="R411" s="35"/>
      <c r="S411" s="74"/>
      <c r="AJ411" s="34"/>
      <c r="AK411" s="34"/>
      <c r="AL411" s="34"/>
      <c r="AM411" s="34"/>
      <c r="AN411" s="34"/>
      <c r="AQ411" s="67"/>
      <c r="AR411" s="67"/>
      <c r="AS411" s="67"/>
      <c r="AT411" s="67"/>
      <c r="AU411" s="67"/>
      <c r="AW411" s="68"/>
      <c r="AX411" s="68"/>
      <c r="AY411" s="68"/>
      <c r="AZ411" s="68"/>
      <c r="BA411" s="68"/>
      <c r="BB411" s="68"/>
    </row>
    <row r="412" spans="1:54" ht="13.5" thickBot="1">
      <c r="A412" s="103">
        <v>39283</v>
      </c>
      <c r="B412" s="104">
        <v>5.6434998512268066</v>
      </c>
      <c r="C412" s="105">
        <v>1534.0999755859375</v>
      </c>
      <c r="D412" s="104">
        <v>2.0546998977661133</v>
      </c>
      <c r="E412">
        <v>121.25621195080964</v>
      </c>
      <c r="F412">
        <v>683.82403564453125</v>
      </c>
      <c r="H412" s="34"/>
      <c r="I412" s="34"/>
      <c r="J412" s="34"/>
      <c r="K412" s="34"/>
      <c r="L412" s="34"/>
      <c r="N412" s="34"/>
      <c r="O412" s="35"/>
      <c r="P412" s="35"/>
      <c r="Q412" s="35"/>
      <c r="R412" s="35"/>
      <c r="S412" s="74"/>
      <c r="AJ412" s="34"/>
      <c r="AK412" s="34"/>
      <c r="AL412" s="34"/>
      <c r="AM412" s="34"/>
      <c r="AN412" s="34"/>
      <c r="AQ412" s="67"/>
      <c r="AR412" s="67"/>
      <c r="AS412" s="67"/>
      <c r="AT412" s="67"/>
      <c r="AU412" s="67"/>
      <c r="AW412" s="68"/>
      <c r="AX412" s="68"/>
      <c r="AY412" s="68"/>
      <c r="AZ412" s="68"/>
      <c r="BA412" s="68"/>
      <c r="BB412" s="68"/>
    </row>
    <row r="413" spans="1:54" ht="13.5" thickBot="1">
      <c r="A413" s="103">
        <v>39286</v>
      </c>
      <c r="B413" s="104">
        <v>5.6475000381469727</v>
      </c>
      <c r="C413" s="105">
        <v>1541.5699462890625</v>
      </c>
      <c r="D413" s="104">
        <v>2.0580000877380371</v>
      </c>
      <c r="E413">
        <v>121.31505321407403</v>
      </c>
      <c r="F413">
        <v>680.66217041015625</v>
      </c>
      <c r="H413" s="34"/>
      <c r="I413" s="34"/>
      <c r="J413" s="34"/>
      <c r="K413" s="34"/>
      <c r="L413" s="34"/>
      <c r="N413" s="34"/>
      <c r="O413" s="35"/>
      <c r="P413" s="35"/>
      <c r="Q413" s="35"/>
      <c r="R413" s="35"/>
      <c r="S413" s="74"/>
      <c r="AJ413" s="34"/>
      <c r="AK413" s="34"/>
      <c r="AL413" s="34"/>
      <c r="AM413" s="34"/>
      <c r="AN413" s="34"/>
      <c r="AQ413" s="67"/>
      <c r="AR413" s="67"/>
      <c r="AS413" s="67"/>
      <c r="AT413" s="67"/>
      <c r="AU413" s="67"/>
      <c r="AW413" s="68"/>
      <c r="AX413" s="68"/>
      <c r="AY413" s="68"/>
      <c r="AZ413" s="68"/>
      <c r="BA413" s="68"/>
      <c r="BB413" s="68"/>
    </row>
    <row r="414" spans="1:54" ht="13.5" thickBot="1">
      <c r="A414" s="103">
        <v>39287</v>
      </c>
      <c r="B414" s="104">
        <v>5.6440000534057617</v>
      </c>
      <c r="C414" s="105">
        <v>1511.0400390625</v>
      </c>
      <c r="D414" s="104">
        <v>2.0638000965118408</v>
      </c>
      <c r="E414">
        <v>120.39488972360823</v>
      </c>
      <c r="F414">
        <v>682.7620849609375</v>
      </c>
      <c r="H414" s="34"/>
      <c r="I414" s="34"/>
      <c r="J414" s="34"/>
      <c r="K414" s="34"/>
      <c r="L414" s="34"/>
      <c r="N414" s="34"/>
      <c r="O414" s="35"/>
      <c r="P414" s="35"/>
      <c r="Q414" s="35"/>
      <c r="R414" s="35"/>
      <c r="S414" s="74"/>
      <c r="AJ414" s="34"/>
      <c r="AK414" s="34"/>
      <c r="AL414" s="34"/>
      <c r="AM414" s="34"/>
      <c r="AN414" s="34"/>
      <c r="AQ414" s="67"/>
      <c r="AR414" s="67"/>
      <c r="AS414" s="67"/>
      <c r="AT414" s="67"/>
      <c r="AU414" s="67"/>
      <c r="AW414" s="68"/>
      <c r="AX414" s="68"/>
      <c r="AY414" s="68"/>
      <c r="AZ414" s="68"/>
      <c r="BA414" s="68"/>
      <c r="BB414" s="68"/>
    </row>
    <row r="415" spans="1:54" ht="13.5" thickBot="1">
      <c r="A415" s="103">
        <v>39288</v>
      </c>
      <c r="B415" s="104">
        <v>5.6094999313354492</v>
      </c>
      <c r="C415" s="105">
        <v>1518.0899658203125</v>
      </c>
      <c r="D415" s="104">
        <v>2.0511999130249023</v>
      </c>
      <c r="E415">
        <v>120.5981696792946</v>
      </c>
      <c r="F415">
        <v>673.56256103515625</v>
      </c>
      <c r="H415" s="34"/>
      <c r="I415" s="34"/>
      <c r="J415" s="34"/>
      <c r="K415" s="34"/>
      <c r="L415" s="34"/>
      <c r="N415" s="34"/>
      <c r="O415" s="35"/>
      <c r="P415" s="35"/>
      <c r="Q415" s="35"/>
      <c r="R415" s="35"/>
      <c r="S415" s="74"/>
      <c r="AJ415" s="34"/>
      <c r="AK415" s="34"/>
      <c r="AL415" s="34"/>
      <c r="AM415" s="34"/>
      <c r="AN415" s="34"/>
      <c r="AQ415" s="67"/>
      <c r="AR415" s="67"/>
      <c r="AS415" s="67"/>
      <c r="AT415" s="67"/>
      <c r="AU415" s="67"/>
      <c r="AW415" s="68"/>
      <c r="AX415" s="68"/>
      <c r="AY415" s="68"/>
      <c r="AZ415" s="68"/>
      <c r="BA415" s="68"/>
      <c r="BB415" s="68"/>
    </row>
    <row r="416" spans="1:54" ht="13.5" thickBot="1">
      <c r="A416" s="103">
        <v>39289</v>
      </c>
      <c r="B416" s="104">
        <v>5.5250000953674316</v>
      </c>
      <c r="C416" s="105">
        <v>1482.6600341796875</v>
      </c>
      <c r="D416" s="104">
        <v>2.048799991607666</v>
      </c>
      <c r="E416">
        <v>118.63803318465025</v>
      </c>
      <c r="F416">
        <v>662.6263427734375</v>
      </c>
      <c r="H416" s="34"/>
      <c r="I416" s="34"/>
      <c r="J416" s="34"/>
      <c r="K416" s="34"/>
      <c r="L416" s="34"/>
      <c r="N416" s="34"/>
      <c r="O416" s="35"/>
      <c r="P416" s="35"/>
      <c r="Q416" s="35"/>
      <c r="R416" s="35"/>
      <c r="S416" s="74"/>
      <c r="AJ416" s="34"/>
      <c r="AK416" s="34"/>
      <c r="AL416" s="34"/>
      <c r="AM416" s="34"/>
      <c r="AN416" s="34"/>
      <c r="AQ416" s="67"/>
      <c r="AR416" s="67"/>
      <c r="AS416" s="67"/>
      <c r="AT416" s="67"/>
      <c r="AU416" s="67"/>
      <c r="AW416" s="68"/>
      <c r="AX416" s="68"/>
      <c r="AY416" s="68"/>
      <c r="AZ416" s="68"/>
      <c r="BA416" s="68"/>
      <c r="BB416" s="68"/>
    </row>
    <row r="417" spans="1:54" ht="13.5" thickBot="1">
      <c r="A417" s="103">
        <v>39290</v>
      </c>
      <c r="B417" s="104">
        <v>5.5434999465942383</v>
      </c>
      <c r="C417" s="105">
        <v>1458.949951171875</v>
      </c>
      <c r="D417" s="104">
        <v>2.026900053024292</v>
      </c>
      <c r="E417">
        <v>118.7930582063312</v>
      </c>
      <c r="F417">
        <v>660.22662353515625</v>
      </c>
      <c r="H417" s="34"/>
      <c r="I417" s="34"/>
      <c r="J417" s="34"/>
      <c r="K417" s="34"/>
      <c r="L417" s="34"/>
      <c r="N417" s="34"/>
      <c r="O417" s="35"/>
      <c r="P417" s="35"/>
      <c r="Q417" s="35"/>
      <c r="R417" s="35"/>
      <c r="S417" s="74"/>
      <c r="AJ417" s="34"/>
      <c r="AK417" s="34"/>
      <c r="AL417" s="34"/>
      <c r="AM417" s="34"/>
      <c r="AN417" s="34"/>
      <c r="AQ417" s="67"/>
      <c r="AR417" s="67"/>
      <c r="AS417" s="67"/>
      <c r="AT417" s="67"/>
      <c r="AU417" s="67"/>
      <c r="AW417" s="68"/>
      <c r="AX417" s="68"/>
      <c r="AY417" s="68"/>
      <c r="AZ417" s="68"/>
      <c r="BA417" s="68"/>
      <c r="BB417" s="68"/>
    </row>
    <row r="418" spans="1:54" ht="13.5" thickBot="1">
      <c r="A418" s="103">
        <v>39293</v>
      </c>
      <c r="B418" s="104">
        <v>5.5520000457763672</v>
      </c>
      <c r="C418" s="105">
        <v>1473.9100341796875</v>
      </c>
      <c r="D418" s="104">
        <v>2.0229001045227051</v>
      </c>
      <c r="E418">
        <v>118.7930582063312</v>
      </c>
      <c r="F418">
        <v>661.11328125</v>
      </c>
      <c r="H418" s="34"/>
      <c r="I418" s="34"/>
      <c r="J418" s="34"/>
      <c r="K418" s="34"/>
      <c r="L418" s="34"/>
      <c r="N418" s="34"/>
      <c r="O418" s="35"/>
      <c r="P418" s="35"/>
      <c r="Q418" s="35"/>
      <c r="R418" s="35"/>
      <c r="S418" s="74"/>
      <c r="AJ418" s="34"/>
      <c r="AK418" s="34"/>
      <c r="AL418" s="34"/>
      <c r="AM418" s="34"/>
      <c r="AN418" s="34"/>
      <c r="AQ418" s="67"/>
      <c r="AR418" s="67"/>
      <c r="AS418" s="67"/>
      <c r="AT418" s="67"/>
      <c r="AU418" s="67"/>
      <c r="AW418" s="68"/>
      <c r="AX418" s="68"/>
      <c r="AY418" s="68"/>
      <c r="AZ418" s="68"/>
      <c r="BA418" s="68"/>
      <c r="BB418" s="68"/>
    </row>
    <row r="419" spans="1:54" ht="13.5" thickBot="1">
      <c r="A419" s="103">
        <v>39294</v>
      </c>
      <c r="B419" s="104">
        <v>5.5064997673034668</v>
      </c>
      <c r="C419" s="105">
        <v>1455.27001953125</v>
      </c>
      <c r="D419" s="104">
        <v>2.0229001045227051</v>
      </c>
      <c r="E419">
        <v>118.7930582063312</v>
      </c>
      <c r="F419">
        <v>666.1629638671875</v>
      </c>
      <c r="H419" s="34"/>
      <c r="I419" s="34"/>
      <c r="J419" s="34"/>
      <c r="K419" s="34"/>
      <c r="L419" s="34"/>
      <c r="N419" s="34"/>
      <c r="O419" s="35"/>
      <c r="P419" s="35"/>
      <c r="Q419" s="35"/>
      <c r="R419" s="35"/>
      <c r="S419" s="74"/>
      <c r="AJ419" s="34"/>
      <c r="AK419" s="34"/>
      <c r="AL419" s="34"/>
      <c r="AM419" s="34"/>
      <c r="AN419" s="34"/>
      <c r="AQ419" s="67"/>
      <c r="AR419" s="67"/>
      <c r="AS419" s="67"/>
      <c r="AT419" s="67"/>
      <c r="AU419" s="67"/>
      <c r="AW419" s="68"/>
      <c r="AX419" s="68"/>
      <c r="AY419" s="68"/>
      <c r="AZ419" s="68"/>
      <c r="BA419" s="68"/>
      <c r="BB419" s="68"/>
    </row>
    <row r="420" spans="1:54" ht="13.5" thickBot="1">
      <c r="A420" s="103">
        <v>39295</v>
      </c>
      <c r="B420" s="104">
        <v>5.4970002174377441</v>
      </c>
      <c r="C420" s="105">
        <v>1465.81005859375</v>
      </c>
      <c r="D420" s="104">
        <v>2.0278999805450439</v>
      </c>
      <c r="E420">
        <v>118.5255392332181</v>
      </c>
      <c r="F420">
        <v>665.16302490234375</v>
      </c>
      <c r="H420" s="34"/>
      <c r="I420" s="34"/>
      <c r="J420" s="34"/>
      <c r="K420" s="34"/>
      <c r="L420" s="34"/>
      <c r="N420" s="34"/>
      <c r="O420" s="35"/>
      <c r="P420" s="35"/>
      <c r="Q420" s="35"/>
      <c r="R420" s="35"/>
      <c r="S420" s="74"/>
      <c r="AJ420" s="34"/>
      <c r="AK420" s="34"/>
      <c r="AL420" s="34"/>
      <c r="AM420" s="34"/>
      <c r="AN420" s="34"/>
      <c r="AQ420" s="67"/>
      <c r="AR420" s="67"/>
      <c r="AS420" s="67"/>
      <c r="AT420" s="67"/>
      <c r="AU420" s="67"/>
      <c r="AW420" s="68"/>
      <c r="AX420" s="68"/>
      <c r="AY420" s="68"/>
      <c r="AZ420" s="68"/>
      <c r="BA420" s="68"/>
      <c r="BB420" s="68"/>
    </row>
    <row r="421" spans="1:54" ht="13.5" thickBot="1">
      <c r="A421" s="103">
        <v>39296</v>
      </c>
      <c r="B421" s="104">
        <v>5.4805002212524414</v>
      </c>
      <c r="C421" s="105">
        <v>1472.199951171875</v>
      </c>
      <c r="D421" s="104">
        <v>2.0357999801635742</v>
      </c>
      <c r="E421">
        <v>119.11851780933858</v>
      </c>
      <c r="F421">
        <v>664.72613525390625</v>
      </c>
      <c r="H421" s="34"/>
      <c r="I421" s="34"/>
      <c r="J421" s="34"/>
      <c r="K421" s="34"/>
      <c r="L421" s="34"/>
      <c r="N421" s="34"/>
      <c r="O421" s="35"/>
      <c r="P421" s="35"/>
      <c r="Q421" s="35"/>
      <c r="R421" s="35"/>
      <c r="S421" s="74"/>
      <c r="AJ421" s="34"/>
      <c r="AK421" s="34"/>
      <c r="AL421" s="34"/>
      <c r="AM421" s="34"/>
      <c r="AN421" s="34"/>
      <c r="AQ421" s="67"/>
      <c r="AR421" s="67"/>
      <c r="AS421" s="67"/>
      <c r="AT421" s="67"/>
      <c r="AU421" s="67"/>
      <c r="AW421" s="68"/>
      <c r="AX421" s="68"/>
      <c r="AY421" s="68"/>
      <c r="AZ421" s="68"/>
      <c r="BA421" s="68"/>
      <c r="BB421" s="68"/>
    </row>
    <row r="422" spans="1:54" ht="13.5" thickBot="1">
      <c r="A422" s="103">
        <v>39297</v>
      </c>
      <c r="B422" s="104">
        <v>5.440000057220459</v>
      </c>
      <c r="C422" s="105">
        <v>1433.06005859375</v>
      </c>
      <c r="D422" s="104">
        <v>2.0450000762939453</v>
      </c>
      <c r="E422">
        <v>118.39924806118721</v>
      </c>
      <c r="F422">
        <v>670.62548828125</v>
      </c>
      <c r="H422" s="34"/>
      <c r="I422" s="34"/>
      <c r="J422" s="34"/>
      <c r="K422" s="34"/>
      <c r="L422" s="34"/>
      <c r="N422" s="34"/>
      <c r="O422" s="35"/>
      <c r="P422" s="35"/>
      <c r="Q422" s="35"/>
      <c r="R422" s="35"/>
      <c r="S422" s="74"/>
      <c r="AJ422" s="34"/>
      <c r="AK422" s="34"/>
      <c r="AL422" s="34"/>
      <c r="AM422" s="34"/>
      <c r="AN422" s="34"/>
      <c r="AQ422" s="67"/>
      <c r="AR422" s="67"/>
      <c r="AS422" s="67"/>
      <c r="AT422" s="67"/>
      <c r="AU422" s="67"/>
      <c r="AW422" s="68"/>
      <c r="AX422" s="68"/>
      <c r="AY422" s="68"/>
      <c r="AZ422" s="68"/>
      <c r="BA422" s="68"/>
      <c r="BB422" s="68"/>
    </row>
    <row r="423" spans="1:54" ht="13.5" thickBot="1">
      <c r="A423" s="103">
        <v>39300</v>
      </c>
      <c r="B423" s="104">
        <v>5.4609999656677246</v>
      </c>
      <c r="C423" s="105">
        <v>1467.6700439453125</v>
      </c>
      <c r="D423" s="104">
        <v>2.0302999019622803</v>
      </c>
      <c r="E423">
        <v>118.45534858516626</v>
      </c>
      <c r="F423">
        <v>670.4627685546875</v>
      </c>
      <c r="H423" s="34"/>
      <c r="I423" s="34"/>
      <c r="J423" s="34"/>
      <c r="K423" s="34"/>
      <c r="L423" s="34"/>
      <c r="N423" s="34"/>
      <c r="O423" s="35"/>
      <c r="P423" s="35"/>
      <c r="Q423" s="35"/>
      <c r="R423" s="35"/>
      <c r="S423" s="74"/>
      <c r="AJ423" s="34"/>
      <c r="AK423" s="34"/>
      <c r="AL423" s="34"/>
      <c r="AM423" s="34"/>
      <c r="AN423" s="34"/>
      <c r="AQ423" s="67"/>
      <c r="AR423" s="67"/>
      <c r="AS423" s="67"/>
      <c r="AT423" s="67"/>
      <c r="AU423" s="67"/>
      <c r="AW423" s="68"/>
      <c r="AX423" s="68"/>
      <c r="AY423" s="68"/>
      <c r="AZ423" s="68"/>
      <c r="BA423" s="68"/>
      <c r="BB423" s="68"/>
    </row>
    <row r="424" spans="1:54" ht="13.5" thickBot="1">
      <c r="A424" s="103">
        <v>39301</v>
      </c>
      <c r="B424" s="104">
        <v>5.4530000686645508</v>
      </c>
      <c r="C424" s="105">
        <v>1476.7099609375</v>
      </c>
      <c r="D424" s="104">
        <v>2.024399995803833</v>
      </c>
      <c r="E424">
        <v>118.66619660312041</v>
      </c>
      <c r="F424">
        <v>670.26275634765625</v>
      </c>
      <c r="H424" s="34"/>
      <c r="I424" s="34"/>
      <c r="J424" s="34"/>
      <c r="K424" s="34"/>
      <c r="L424" s="34"/>
      <c r="N424" s="34"/>
      <c r="O424" s="35"/>
      <c r="P424" s="35"/>
      <c r="Q424" s="35"/>
      <c r="R424" s="35"/>
      <c r="S424" s="74"/>
      <c r="AJ424" s="34"/>
      <c r="AK424" s="34"/>
      <c r="AL424" s="34"/>
      <c r="AM424" s="34"/>
      <c r="AN424" s="34"/>
      <c r="AQ424" s="67"/>
      <c r="AR424" s="67"/>
      <c r="AS424" s="67"/>
      <c r="AT424" s="67"/>
      <c r="AU424" s="67"/>
      <c r="AW424" s="68"/>
      <c r="AX424" s="68"/>
      <c r="AY424" s="68"/>
      <c r="AZ424" s="68"/>
      <c r="BA424" s="68"/>
      <c r="BB424" s="68"/>
    </row>
    <row r="425" spans="1:54" ht="13.5" thickBot="1">
      <c r="A425" s="103">
        <v>39302</v>
      </c>
      <c r="B425" s="104">
        <v>5.5300002098083496</v>
      </c>
      <c r="C425" s="105">
        <v>1497.489990234375</v>
      </c>
      <c r="D425" s="104">
        <v>2.0362999439239502</v>
      </c>
      <c r="E425">
        <v>119.57431376071123</v>
      </c>
      <c r="F425">
        <v>673.66259765625</v>
      </c>
      <c r="H425" s="34"/>
      <c r="I425" s="34"/>
      <c r="J425" s="34"/>
      <c r="K425" s="34"/>
      <c r="L425" s="34"/>
      <c r="N425" s="34"/>
      <c r="O425" s="35"/>
      <c r="P425" s="35"/>
      <c r="Q425" s="35"/>
      <c r="R425" s="35"/>
      <c r="S425" s="74"/>
      <c r="AJ425" s="34"/>
      <c r="AK425" s="34"/>
      <c r="AL425" s="34"/>
      <c r="AM425" s="34"/>
      <c r="AN425" s="34"/>
      <c r="AQ425" s="67"/>
      <c r="AR425" s="67"/>
      <c r="AS425" s="67"/>
      <c r="AT425" s="67"/>
      <c r="AU425" s="67"/>
      <c r="AW425" s="68"/>
      <c r="AX425" s="68"/>
      <c r="AY425" s="68"/>
      <c r="AZ425" s="68"/>
      <c r="BA425" s="68"/>
      <c r="BB425" s="68"/>
    </row>
    <row r="426" spans="1:54" ht="13.5" thickBot="1">
      <c r="A426" s="103">
        <v>39303</v>
      </c>
      <c r="B426" s="104">
        <v>5.4805002212524414</v>
      </c>
      <c r="C426" s="105">
        <v>1453.0899658203125</v>
      </c>
      <c r="D426" s="104">
        <v>2.0230998992919922</v>
      </c>
      <c r="E426">
        <v>118.30119012729801</v>
      </c>
      <c r="F426">
        <v>662.82635498046875</v>
      </c>
      <c r="H426" s="34"/>
      <c r="I426" s="34"/>
      <c r="J426" s="34"/>
      <c r="K426" s="34"/>
      <c r="L426" s="34"/>
      <c r="N426" s="34"/>
      <c r="O426" s="35"/>
      <c r="P426" s="35"/>
      <c r="Q426" s="35"/>
      <c r="R426" s="35"/>
      <c r="S426" s="74"/>
      <c r="AJ426" s="34"/>
      <c r="AK426" s="34"/>
      <c r="AL426" s="34"/>
      <c r="AM426" s="34"/>
      <c r="AN426" s="34"/>
      <c r="AQ426" s="67"/>
      <c r="AR426" s="67"/>
      <c r="AS426" s="67"/>
      <c r="AT426" s="67"/>
      <c r="AU426" s="67"/>
      <c r="AW426" s="68"/>
      <c r="AX426" s="68"/>
      <c r="AY426" s="68"/>
      <c r="AZ426" s="68"/>
      <c r="BA426" s="68"/>
      <c r="BB426" s="68"/>
    </row>
    <row r="427" spans="1:54" ht="13.5" thickBot="1">
      <c r="A427" s="103">
        <v>39304</v>
      </c>
      <c r="B427" s="104">
        <v>5.4835000038146973</v>
      </c>
      <c r="C427" s="105">
        <v>1453.6400146484375</v>
      </c>
      <c r="D427" s="104">
        <v>2.0220000743865967</v>
      </c>
      <c r="E427">
        <v>118.35719774317698</v>
      </c>
      <c r="F427">
        <v>672.42529296875</v>
      </c>
      <c r="H427" s="34"/>
      <c r="I427" s="34"/>
      <c r="J427" s="34"/>
      <c r="K427" s="34"/>
      <c r="L427" s="34"/>
      <c r="N427" s="34"/>
      <c r="O427" s="35"/>
      <c r="P427" s="35"/>
      <c r="Q427" s="35"/>
      <c r="R427" s="35"/>
      <c r="S427" s="74"/>
      <c r="AJ427" s="34"/>
      <c r="AK427" s="34"/>
      <c r="AL427" s="34"/>
      <c r="AM427" s="34"/>
      <c r="AN427" s="34"/>
      <c r="AQ427" s="67"/>
      <c r="AR427" s="67"/>
      <c r="AS427" s="67"/>
      <c r="AT427" s="67"/>
      <c r="AU427" s="67"/>
      <c r="AW427" s="68"/>
      <c r="AX427" s="68"/>
      <c r="AY427" s="68"/>
      <c r="AZ427" s="68"/>
      <c r="BA427" s="68"/>
      <c r="BB427" s="68"/>
    </row>
    <row r="428" spans="1:54" ht="13.5" thickBot="1">
      <c r="A428" s="103">
        <v>39307</v>
      </c>
      <c r="B428" s="104">
        <v>5.495999813079834</v>
      </c>
      <c r="C428" s="105">
        <v>1452.9200439453125</v>
      </c>
      <c r="D428" s="104">
        <v>2.013740062713623</v>
      </c>
      <c r="E428">
        <v>118.3852279689615</v>
      </c>
      <c r="F428">
        <v>670.26275634765625</v>
      </c>
      <c r="H428" s="34"/>
      <c r="I428" s="34"/>
      <c r="J428" s="34"/>
      <c r="K428" s="34"/>
      <c r="L428" s="34"/>
      <c r="N428" s="34"/>
      <c r="O428" s="35"/>
      <c r="P428" s="35"/>
      <c r="Q428" s="35"/>
      <c r="R428" s="35"/>
      <c r="S428" s="74"/>
      <c r="AJ428" s="34"/>
      <c r="AK428" s="34"/>
      <c r="AL428" s="34"/>
      <c r="AM428" s="34"/>
      <c r="AN428" s="34"/>
      <c r="AQ428" s="67"/>
      <c r="AR428" s="67"/>
      <c r="AS428" s="67"/>
      <c r="AT428" s="67"/>
      <c r="AU428" s="67"/>
      <c r="AW428" s="68"/>
      <c r="AX428" s="68"/>
      <c r="AY428" s="68"/>
      <c r="AZ428" s="68"/>
      <c r="BA428" s="68"/>
      <c r="BB428" s="68"/>
    </row>
    <row r="429" spans="1:54" ht="13.5" thickBot="1">
      <c r="A429" s="103">
        <v>39308</v>
      </c>
      <c r="B429" s="104">
        <v>5.4695000648498535</v>
      </c>
      <c r="C429" s="105">
        <v>1426.5400390625</v>
      </c>
      <c r="D429" s="104">
        <v>1.996999979019165</v>
      </c>
      <c r="E429">
        <v>117.82726342272618</v>
      </c>
      <c r="F429">
        <v>669.86279296875</v>
      </c>
      <c r="H429" s="34"/>
      <c r="I429" s="34"/>
      <c r="J429" s="34"/>
      <c r="K429" s="34"/>
      <c r="L429" s="34"/>
      <c r="N429" s="34"/>
      <c r="O429" s="35"/>
      <c r="P429" s="35"/>
      <c r="Q429" s="35"/>
      <c r="R429" s="35"/>
      <c r="S429" s="74"/>
      <c r="AJ429" s="34"/>
      <c r="AK429" s="34"/>
      <c r="AL429" s="34"/>
      <c r="AM429" s="34"/>
      <c r="AN429" s="34"/>
      <c r="AQ429" s="67"/>
      <c r="AR429" s="67"/>
      <c r="AS429" s="67"/>
      <c r="AT429" s="67"/>
      <c r="AU429" s="67"/>
      <c r="AW429" s="68"/>
      <c r="AX429" s="68"/>
      <c r="AY429" s="68"/>
      <c r="AZ429" s="68"/>
      <c r="BA429" s="68"/>
      <c r="BB429" s="68"/>
    </row>
    <row r="430" spans="1:54" ht="13.5" thickBot="1">
      <c r="A430" s="103">
        <v>39309</v>
      </c>
      <c r="B430" s="104">
        <v>5.4475002288818359</v>
      </c>
      <c r="C430" s="105">
        <v>1406.699951171875</v>
      </c>
      <c r="D430" s="104">
        <v>1.9938000440597534</v>
      </c>
      <c r="E430">
        <v>116.95905917035175</v>
      </c>
      <c r="F430">
        <v>668.86285400390625</v>
      </c>
      <c r="H430" s="34"/>
      <c r="I430" s="34"/>
      <c r="J430" s="34"/>
      <c r="K430" s="34"/>
      <c r="L430" s="34"/>
      <c r="N430" s="34"/>
      <c r="O430" s="35"/>
      <c r="P430" s="35"/>
      <c r="Q430" s="35"/>
      <c r="R430" s="35"/>
      <c r="S430" s="74"/>
      <c r="AJ430" s="34"/>
      <c r="AK430" s="34"/>
      <c r="AL430" s="34"/>
      <c r="AM430" s="34"/>
      <c r="AN430" s="34"/>
      <c r="AQ430" s="67"/>
      <c r="AR430" s="67"/>
      <c r="AS430" s="67"/>
      <c r="AT430" s="67"/>
      <c r="AU430" s="67"/>
      <c r="AW430" s="68"/>
      <c r="AX430" s="68"/>
      <c r="AY430" s="68"/>
      <c r="AZ430" s="68"/>
      <c r="BA430" s="68"/>
      <c r="BB430" s="68"/>
    </row>
    <row r="431" spans="1:54" ht="13.5" thickBot="1">
      <c r="A431" s="103">
        <v>39310</v>
      </c>
      <c r="B431" s="104">
        <v>5.380000114440918</v>
      </c>
      <c r="C431" s="105">
        <v>1411.27001953125</v>
      </c>
      <c r="D431" s="104">
        <v>1.9817999601364136</v>
      </c>
      <c r="E431">
        <v>114.15525573204616</v>
      </c>
      <c r="F431">
        <v>647.52801513671875</v>
      </c>
      <c r="H431" s="34"/>
      <c r="I431" s="34"/>
      <c r="J431" s="34"/>
      <c r="K431" s="34"/>
      <c r="L431" s="34"/>
      <c r="N431" s="34"/>
      <c r="O431" s="35"/>
      <c r="P431" s="35"/>
      <c r="Q431" s="35"/>
      <c r="R431" s="35"/>
      <c r="S431" s="74"/>
      <c r="AJ431" s="34"/>
      <c r="AK431" s="34"/>
      <c r="AL431" s="34"/>
      <c r="AM431" s="34"/>
      <c r="AN431" s="34"/>
      <c r="AQ431" s="67"/>
      <c r="AR431" s="67"/>
      <c r="AS431" s="67"/>
      <c r="AT431" s="67"/>
      <c r="AU431" s="67"/>
      <c r="AW431" s="68"/>
      <c r="AX431" s="68"/>
      <c r="AY431" s="68"/>
      <c r="AZ431" s="68"/>
      <c r="BA431" s="68"/>
      <c r="BB431" s="68"/>
    </row>
    <row r="432" spans="1:54" ht="13.5" thickBot="1">
      <c r="A432" s="103">
        <v>39311</v>
      </c>
      <c r="B432" s="104">
        <v>5.4310002326965332</v>
      </c>
      <c r="C432" s="105">
        <v>1445.93994140625</v>
      </c>
      <c r="D432" s="104">
        <v>1.9799000024795532</v>
      </c>
      <c r="E432">
        <v>113.98609396219953</v>
      </c>
      <c r="F432">
        <v>657.7269287109375</v>
      </c>
      <c r="H432" s="34"/>
      <c r="I432" s="34"/>
      <c r="J432" s="34"/>
      <c r="K432" s="34"/>
      <c r="L432" s="34"/>
      <c r="N432" s="34"/>
      <c r="O432" s="35"/>
      <c r="P432" s="35"/>
      <c r="Q432" s="35"/>
      <c r="R432" s="35"/>
      <c r="S432" s="74"/>
      <c r="AJ432" s="34"/>
      <c r="AK432" s="34"/>
      <c r="AL432" s="34"/>
      <c r="AM432" s="34"/>
      <c r="AN432" s="34"/>
      <c r="AQ432" s="67"/>
      <c r="AR432" s="67"/>
      <c r="AS432" s="67"/>
      <c r="AT432" s="67"/>
      <c r="AU432" s="67"/>
      <c r="AW432" s="68"/>
      <c r="AX432" s="68"/>
      <c r="AY432" s="68"/>
      <c r="AZ432" s="68"/>
      <c r="BA432" s="68"/>
      <c r="BB432" s="68"/>
    </row>
    <row r="433" spans="1:54" ht="13.5" thickBot="1">
      <c r="A433" s="103">
        <v>39314</v>
      </c>
      <c r="B433" s="104">
        <v>5.3965001106262207</v>
      </c>
      <c r="C433" s="105">
        <v>1445.550048828125</v>
      </c>
      <c r="D433" s="104">
        <v>1.9881000518798828</v>
      </c>
      <c r="E433">
        <v>114.86331658678502</v>
      </c>
      <c r="F433">
        <v>657.86346435546875</v>
      </c>
      <c r="H433" s="34"/>
      <c r="I433" s="34"/>
      <c r="J433" s="34"/>
      <c r="K433" s="34"/>
      <c r="L433" s="34"/>
      <c r="N433" s="34"/>
      <c r="O433" s="35"/>
      <c r="P433" s="35"/>
      <c r="Q433" s="35"/>
      <c r="R433" s="35"/>
      <c r="S433" s="74"/>
      <c r="AJ433" s="34"/>
      <c r="AK433" s="34"/>
      <c r="AL433" s="34"/>
      <c r="AM433" s="34"/>
      <c r="AN433" s="34"/>
      <c r="AQ433" s="67"/>
      <c r="AR433" s="67"/>
      <c r="AS433" s="67"/>
      <c r="AT433" s="67"/>
      <c r="AU433" s="67"/>
      <c r="AW433" s="68"/>
      <c r="AX433" s="68"/>
      <c r="AY433" s="68"/>
      <c r="AZ433" s="68"/>
      <c r="BA433" s="68"/>
      <c r="BB433" s="68"/>
    </row>
    <row r="434" spans="1:54" ht="13.5" thickBot="1">
      <c r="A434" s="103">
        <v>39315</v>
      </c>
      <c r="B434" s="104">
        <v>5.3330001831054687</v>
      </c>
      <c r="C434" s="105">
        <v>1447.1199951171875</v>
      </c>
      <c r="D434" s="104">
        <v>1.9823999404907227</v>
      </c>
      <c r="E434">
        <v>114.41647038564851</v>
      </c>
      <c r="F434">
        <v>656.863525390625</v>
      </c>
      <c r="H434" s="34"/>
      <c r="I434" s="34"/>
      <c r="J434" s="34"/>
      <c r="K434" s="34"/>
      <c r="L434" s="34"/>
      <c r="N434" s="34"/>
      <c r="O434" s="35"/>
      <c r="P434" s="35"/>
      <c r="Q434" s="35"/>
      <c r="R434" s="35"/>
      <c r="S434" s="74"/>
      <c r="AJ434" s="34"/>
      <c r="AK434" s="34"/>
      <c r="AL434" s="34"/>
      <c r="AM434" s="34"/>
      <c r="AN434" s="34"/>
      <c r="AQ434" s="67"/>
      <c r="AR434" s="67"/>
      <c r="AS434" s="67"/>
      <c r="AT434" s="67"/>
      <c r="AU434" s="67"/>
      <c r="AW434" s="68"/>
      <c r="AX434" s="68"/>
      <c r="AY434" s="68"/>
      <c r="AZ434" s="68"/>
      <c r="BA434" s="68"/>
      <c r="BB434" s="68"/>
    </row>
    <row r="435" spans="1:54" ht="13.5" thickBot="1">
      <c r="A435" s="103">
        <v>39316</v>
      </c>
      <c r="B435" s="104">
        <v>5.3305001258850098</v>
      </c>
      <c r="C435" s="105">
        <v>1464.0699462890625</v>
      </c>
      <c r="D435" s="104">
        <v>1.9917999505996704</v>
      </c>
      <c r="E435">
        <v>115.06156030557582</v>
      </c>
      <c r="F435">
        <v>660.46331787109375</v>
      </c>
      <c r="H435" s="34"/>
      <c r="I435" s="34"/>
      <c r="J435" s="34"/>
      <c r="K435" s="34"/>
      <c r="L435" s="34"/>
      <c r="N435" s="34"/>
      <c r="O435" s="35"/>
      <c r="P435" s="35"/>
      <c r="Q435" s="35"/>
      <c r="R435" s="35"/>
      <c r="S435" s="74"/>
      <c r="AJ435" s="34"/>
      <c r="AK435" s="34"/>
      <c r="AL435" s="34"/>
      <c r="AM435" s="34"/>
      <c r="AN435" s="34"/>
      <c r="AQ435" s="67"/>
      <c r="AR435" s="67"/>
      <c r="AS435" s="67"/>
      <c r="AT435" s="67"/>
      <c r="AU435" s="67"/>
      <c r="AW435" s="68"/>
      <c r="AX435" s="68"/>
      <c r="AY435" s="68"/>
      <c r="AZ435" s="68"/>
      <c r="BA435" s="68"/>
      <c r="BB435" s="68"/>
    </row>
    <row r="436" spans="1:54" ht="13.5" thickBot="1">
      <c r="A436" s="103">
        <v>39317</v>
      </c>
      <c r="B436" s="104">
        <v>5.3229999542236328</v>
      </c>
      <c r="C436" s="105">
        <v>1462.5</v>
      </c>
      <c r="D436" s="104">
        <v>2.003000020980835</v>
      </c>
      <c r="E436">
        <v>115.91514655186653</v>
      </c>
      <c r="F436">
        <v>659.02679443359375</v>
      </c>
      <c r="H436" s="34"/>
      <c r="I436" s="34"/>
      <c r="J436" s="34"/>
      <c r="K436" s="34"/>
      <c r="L436" s="34"/>
      <c r="N436" s="34"/>
      <c r="O436" s="35"/>
      <c r="P436" s="35"/>
      <c r="Q436" s="35"/>
      <c r="R436" s="35"/>
      <c r="S436" s="74"/>
      <c r="AJ436" s="34"/>
      <c r="AK436" s="34"/>
      <c r="AL436" s="34"/>
      <c r="AM436" s="34"/>
      <c r="AN436" s="34"/>
      <c r="AQ436" s="67"/>
      <c r="AR436" s="67"/>
      <c r="AS436" s="67"/>
      <c r="AT436" s="67"/>
      <c r="AU436" s="67"/>
      <c r="AW436" s="68"/>
      <c r="AX436" s="68"/>
      <c r="AY436" s="68"/>
      <c r="AZ436" s="68"/>
      <c r="BA436" s="68"/>
      <c r="BB436" s="68"/>
    </row>
    <row r="437" spans="1:54" ht="13.5" thickBot="1">
      <c r="A437" s="103">
        <v>39318</v>
      </c>
      <c r="B437" s="104">
        <v>5.2934999465942383</v>
      </c>
      <c r="C437" s="105">
        <v>1479.3699951171875</v>
      </c>
      <c r="D437" s="104">
        <v>2.013200044631958</v>
      </c>
      <c r="E437">
        <v>116.22500726580957</v>
      </c>
      <c r="F437">
        <v>667.42584228515625</v>
      </c>
      <c r="H437" s="34"/>
      <c r="I437" s="34"/>
      <c r="J437" s="34"/>
      <c r="K437" s="34"/>
      <c r="L437" s="34"/>
      <c r="N437" s="34"/>
      <c r="O437" s="35"/>
      <c r="P437" s="35"/>
      <c r="Q437" s="35"/>
      <c r="R437" s="35"/>
      <c r="S437" s="74"/>
      <c r="AJ437" s="34"/>
      <c r="AK437" s="34"/>
      <c r="AL437" s="34"/>
      <c r="AM437" s="34"/>
      <c r="AN437" s="34"/>
      <c r="AQ437" s="67"/>
      <c r="AR437" s="67"/>
      <c r="AS437" s="67"/>
      <c r="AT437" s="67"/>
      <c r="AU437" s="67"/>
      <c r="AW437" s="68"/>
      <c r="AX437" s="68"/>
      <c r="AY437" s="68"/>
      <c r="AZ437" s="68"/>
      <c r="BA437" s="68"/>
      <c r="BB437" s="68"/>
    </row>
    <row r="438" spans="1:54" ht="13.5" thickBot="1">
      <c r="A438" s="103">
        <v>39321</v>
      </c>
      <c r="B438" s="104">
        <v>5.2631850242614746</v>
      </c>
      <c r="C438" s="105">
        <v>1466.7900390625</v>
      </c>
      <c r="D438" s="104">
        <v>2.013200044631958</v>
      </c>
      <c r="E438">
        <v>116.14401989763672</v>
      </c>
      <c r="F438">
        <v>667.3629150390625</v>
      </c>
      <c r="H438" s="34"/>
      <c r="I438" s="34"/>
      <c r="J438" s="34"/>
      <c r="K438" s="34"/>
      <c r="L438" s="34"/>
      <c r="N438" s="34"/>
      <c r="O438" s="35"/>
      <c r="P438" s="35"/>
      <c r="Q438" s="35"/>
      <c r="R438" s="35"/>
      <c r="S438" s="74"/>
      <c r="AJ438" s="34"/>
      <c r="AK438" s="34"/>
      <c r="AL438" s="34"/>
      <c r="AM438" s="34"/>
      <c r="AN438" s="34"/>
      <c r="AQ438" s="67"/>
      <c r="AR438" s="67"/>
      <c r="AS438" s="67"/>
      <c r="AT438" s="67"/>
      <c r="AU438" s="67"/>
      <c r="AW438" s="68"/>
      <c r="AX438" s="68"/>
      <c r="AY438" s="68"/>
      <c r="AZ438" s="68"/>
      <c r="BA438" s="68"/>
      <c r="BB438" s="68"/>
    </row>
    <row r="439" spans="1:54" ht="13.5" thickBot="1">
      <c r="A439" s="103">
        <v>39322</v>
      </c>
      <c r="B439" s="104">
        <v>5.242499828338623</v>
      </c>
      <c r="C439" s="105">
        <v>1432.3599853515625</v>
      </c>
      <c r="D439" s="104">
        <v>2.0071001052856445</v>
      </c>
      <c r="E439">
        <v>114.57378111508801</v>
      </c>
      <c r="F439">
        <v>665.56304931640625</v>
      </c>
      <c r="H439" s="34"/>
      <c r="I439" s="34"/>
      <c r="J439" s="34"/>
      <c r="K439" s="34"/>
      <c r="L439" s="34"/>
      <c r="N439" s="34"/>
      <c r="O439" s="35"/>
      <c r="P439" s="35"/>
      <c r="Q439" s="35"/>
      <c r="R439" s="35"/>
      <c r="S439" s="74"/>
      <c r="AJ439" s="34"/>
      <c r="AK439" s="34"/>
      <c r="AL439" s="34"/>
      <c r="AM439" s="34"/>
      <c r="AN439" s="34"/>
      <c r="AQ439" s="67"/>
      <c r="AR439" s="67"/>
      <c r="AS439" s="67"/>
      <c r="AT439" s="67"/>
      <c r="AU439" s="67"/>
      <c r="AW439" s="68"/>
      <c r="AX439" s="68"/>
      <c r="AY439" s="68"/>
      <c r="AZ439" s="68"/>
      <c r="BA439" s="68"/>
      <c r="BB439" s="68"/>
    </row>
    <row r="440" spans="1:54" ht="13.5" thickBot="1">
      <c r="A440" s="103">
        <v>39323</v>
      </c>
      <c r="B440" s="104">
        <v>5.2600002288818359</v>
      </c>
      <c r="C440" s="105">
        <v>1463.760009765625</v>
      </c>
      <c r="D440" s="104">
        <v>2.0160000324249268</v>
      </c>
      <c r="E440">
        <v>115.47344354055727</v>
      </c>
      <c r="F440">
        <v>666.46295166015625</v>
      </c>
      <c r="H440" s="34"/>
      <c r="I440" s="34"/>
      <c r="J440" s="34"/>
      <c r="K440" s="34"/>
      <c r="L440" s="34"/>
      <c r="N440" s="34"/>
      <c r="O440" s="35"/>
      <c r="P440" s="35"/>
      <c r="Q440" s="35"/>
      <c r="R440" s="35"/>
      <c r="S440" s="74"/>
      <c r="AJ440" s="34"/>
      <c r="AK440" s="34"/>
      <c r="AL440" s="34"/>
      <c r="AM440" s="34"/>
      <c r="AN440" s="34"/>
      <c r="AQ440" s="67"/>
      <c r="AR440" s="67"/>
      <c r="AS440" s="67"/>
      <c r="AT440" s="67"/>
      <c r="AU440" s="67"/>
      <c r="AW440" s="68"/>
      <c r="AX440" s="68"/>
      <c r="AY440" s="68"/>
      <c r="AZ440" s="68"/>
      <c r="BA440" s="68"/>
      <c r="BB440" s="68"/>
    </row>
    <row r="441" spans="1:54" ht="13.5" thickBot="1">
      <c r="A441" s="103">
        <v>39324</v>
      </c>
      <c r="B441" s="104">
        <v>5.2100000381469727</v>
      </c>
      <c r="C441" s="105">
        <v>1457.6400146484375</v>
      </c>
      <c r="D441" s="104">
        <v>2.0137999057769775</v>
      </c>
      <c r="E441">
        <v>115.74074522408819</v>
      </c>
      <c r="F441">
        <v>665.6075439453125</v>
      </c>
      <c r="H441" s="34"/>
      <c r="I441" s="34"/>
      <c r="J441" s="34"/>
      <c r="K441" s="34"/>
      <c r="L441" s="34"/>
      <c r="N441" s="34"/>
      <c r="O441" s="35"/>
      <c r="P441" s="35"/>
      <c r="Q441" s="35"/>
      <c r="R441" s="35"/>
      <c r="S441" s="74"/>
      <c r="AJ441" s="34"/>
      <c r="AK441" s="34"/>
      <c r="AL441" s="34"/>
      <c r="AM441" s="34"/>
      <c r="AN441" s="34"/>
      <c r="AQ441" s="67"/>
      <c r="AR441" s="67"/>
      <c r="AS441" s="67"/>
      <c r="AT441" s="67"/>
      <c r="AU441" s="67"/>
      <c r="AW441" s="68"/>
      <c r="AX441" s="68"/>
      <c r="AY441" s="68"/>
      <c r="AZ441" s="68"/>
      <c r="BA441" s="68"/>
      <c r="BB441" s="68"/>
    </row>
    <row r="442" spans="1:54" ht="13.5" thickBot="1">
      <c r="A442" s="103">
        <v>39325</v>
      </c>
      <c r="B442" s="104">
        <v>5.2446780204772949</v>
      </c>
      <c r="C442" s="105">
        <v>1473.989990234375</v>
      </c>
      <c r="D442" s="104">
        <v>2.0165500640869141</v>
      </c>
      <c r="E442">
        <v>115.82117096607836</v>
      </c>
      <c r="F442">
        <v>673.20648193359375</v>
      </c>
      <c r="H442" s="34"/>
      <c r="I442" s="34"/>
      <c r="J442" s="34"/>
      <c r="K442" s="34"/>
      <c r="L442" s="34"/>
      <c r="N442" s="34"/>
      <c r="O442" s="35"/>
      <c r="P442" s="35"/>
      <c r="Q442" s="35"/>
      <c r="R442" s="35"/>
      <c r="S442" s="74"/>
      <c r="AJ442" s="34"/>
      <c r="AK442" s="34"/>
      <c r="AL442" s="34"/>
      <c r="AM442" s="34"/>
      <c r="AN442" s="34"/>
      <c r="AQ442" s="67"/>
      <c r="AR442" s="67"/>
      <c r="AS442" s="67"/>
      <c r="AT442" s="67"/>
      <c r="AU442" s="67"/>
      <c r="AW442" s="68"/>
      <c r="AX442" s="68"/>
      <c r="AY442" s="68"/>
      <c r="AZ442" s="68"/>
      <c r="BA442" s="68"/>
      <c r="BB442" s="68"/>
    </row>
    <row r="443" spans="1:54" ht="13.5" thickBot="1">
      <c r="A443" s="103">
        <v>39328</v>
      </c>
      <c r="B443" s="104">
        <v>5.2446780204772949</v>
      </c>
      <c r="C443" s="105">
        <v>1473.989990234375</v>
      </c>
      <c r="D443" s="104">
        <v>2.0171000957489014</v>
      </c>
      <c r="E443">
        <v>115.72734763401921</v>
      </c>
      <c r="F443">
        <v>672.462646484375</v>
      </c>
      <c r="H443" s="34"/>
      <c r="I443" s="34"/>
      <c r="J443" s="34"/>
      <c r="K443" s="34"/>
      <c r="L443" s="34"/>
      <c r="N443" s="34"/>
      <c r="O443" s="35"/>
      <c r="P443" s="35"/>
      <c r="Q443" s="35"/>
      <c r="R443" s="35"/>
      <c r="S443" s="74"/>
      <c r="AJ443" s="34"/>
      <c r="AK443" s="34"/>
      <c r="AL443" s="34"/>
      <c r="AM443" s="34"/>
      <c r="AN443" s="34"/>
      <c r="AQ443" s="67"/>
      <c r="AR443" s="67"/>
      <c r="AS443" s="67"/>
      <c r="AT443" s="67"/>
      <c r="AU443" s="67"/>
      <c r="AW443" s="68"/>
      <c r="AX443" s="68"/>
      <c r="AY443" s="68"/>
      <c r="AZ443" s="68"/>
      <c r="BA443" s="68"/>
      <c r="BB443" s="68"/>
    </row>
    <row r="444" spans="1:54" ht="13.5" thickBot="1">
      <c r="A444" s="103">
        <v>39329</v>
      </c>
      <c r="B444" s="104">
        <v>5.2560000419616699</v>
      </c>
      <c r="C444" s="105">
        <v>1489.4200439453125</v>
      </c>
      <c r="D444" s="104">
        <v>2.0144999027252197</v>
      </c>
      <c r="E444">
        <v>116.19800312143489</v>
      </c>
      <c r="F444">
        <v>681.462158203125</v>
      </c>
      <c r="H444" s="34"/>
      <c r="I444" s="34"/>
      <c r="J444" s="34"/>
      <c r="K444" s="34"/>
      <c r="L444" s="34"/>
      <c r="N444" s="34"/>
      <c r="O444" s="35"/>
      <c r="P444" s="35"/>
      <c r="Q444" s="35"/>
      <c r="R444" s="35"/>
      <c r="S444" s="74"/>
      <c r="AJ444" s="34"/>
      <c r="AK444" s="34"/>
      <c r="AL444" s="34"/>
      <c r="AM444" s="34"/>
      <c r="AN444" s="34"/>
      <c r="AQ444" s="67"/>
      <c r="AR444" s="67"/>
      <c r="AS444" s="67"/>
      <c r="AT444" s="67"/>
      <c r="AU444" s="67"/>
      <c r="AW444" s="68"/>
      <c r="AX444" s="68"/>
      <c r="AY444" s="68"/>
      <c r="AZ444" s="68"/>
      <c r="BA444" s="68"/>
      <c r="BB444" s="68"/>
    </row>
    <row r="445" spans="1:54" ht="13.5" thickBot="1">
      <c r="A445" s="103">
        <v>39330</v>
      </c>
      <c r="B445" s="104">
        <v>5.1735000610351563</v>
      </c>
      <c r="C445" s="105">
        <v>1472.2900390625</v>
      </c>
      <c r="D445" s="104">
        <v>2.0202999114990234</v>
      </c>
      <c r="E445">
        <v>115.11454174414735</v>
      </c>
      <c r="F445">
        <v>682.162109375</v>
      </c>
      <c r="H445" s="34"/>
      <c r="I445" s="34"/>
      <c r="J445" s="34"/>
      <c r="K445" s="34"/>
      <c r="L445" s="34"/>
      <c r="N445" s="34"/>
      <c r="O445" s="35"/>
      <c r="P445" s="35"/>
      <c r="Q445" s="35"/>
      <c r="R445" s="35"/>
      <c r="S445" s="74"/>
      <c r="AJ445" s="34"/>
      <c r="AK445" s="34"/>
      <c r="AL445" s="34"/>
      <c r="AM445" s="34"/>
      <c r="AN445" s="34"/>
      <c r="AQ445" s="67"/>
      <c r="AR445" s="67"/>
      <c r="AS445" s="67"/>
      <c r="AT445" s="67"/>
      <c r="AU445" s="67"/>
      <c r="AW445" s="68"/>
      <c r="AX445" s="68"/>
      <c r="AY445" s="68"/>
      <c r="AZ445" s="68"/>
      <c r="BA445" s="68"/>
      <c r="BB445" s="68"/>
    </row>
    <row r="446" spans="1:54" ht="13.5" thickBot="1">
      <c r="A446" s="103">
        <v>39331</v>
      </c>
      <c r="B446" s="104">
        <v>5.1779999732971191</v>
      </c>
      <c r="C446" s="105">
        <v>1478.550048828125</v>
      </c>
      <c r="D446" s="104">
        <v>2.0230998992919922</v>
      </c>
      <c r="E446">
        <v>115.34024896711281</v>
      </c>
      <c r="F446">
        <v>696.12261962890625</v>
      </c>
      <c r="H446" s="34"/>
      <c r="I446" s="34"/>
      <c r="J446" s="34"/>
      <c r="K446" s="34"/>
      <c r="L446" s="34"/>
      <c r="N446" s="34"/>
      <c r="O446" s="35"/>
      <c r="P446" s="35"/>
      <c r="Q446" s="35"/>
      <c r="R446" s="35"/>
      <c r="S446" s="74"/>
      <c r="AJ446" s="34"/>
      <c r="AK446" s="34"/>
      <c r="AL446" s="34"/>
      <c r="AM446" s="34"/>
      <c r="AN446" s="34"/>
      <c r="AQ446" s="67"/>
      <c r="AR446" s="67"/>
      <c r="AS446" s="67"/>
      <c r="AT446" s="67"/>
      <c r="AU446" s="67"/>
      <c r="AW446" s="68"/>
      <c r="AX446" s="68"/>
      <c r="AY446" s="68"/>
      <c r="AZ446" s="68"/>
      <c r="BA446" s="68"/>
      <c r="BB446" s="68"/>
    </row>
    <row r="447" spans="1:54" ht="13.5" thickBot="1">
      <c r="A447" s="103">
        <v>39332</v>
      </c>
      <c r="B447" s="104">
        <v>5.0254998207092285</v>
      </c>
      <c r="C447" s="105">
        <v>1453.550048828125</v>
      </c>
      <c r="D447" s="104">
        <v>2.0278000831604004</v>
      </c>
      <c r="E447">
        <v>113.3658271038403</v>
      </c>
      <c r="F447">
        <v>701.52203369140625</v>
      </c>
      <c r="H447" s="34"/>
      <c r="I447" s="34"/>
      <c r="J447" s="34"/>
      <c r="K447" s="34"/>
      <c r="L447" s="34"/>
      <c r="N447" s="34"/>
      <c r="O447" s="35"/>
      <c r="P447" s="35"/>
      <c r="Q447" s="35"/>
      <c r="R447" s="35"/>
      <c r="S447" s="74"/>
      <c r="AJ447" s="34"/>
      <c r="AK447" s="34"/>
      <c r="AL447" s="34"/>
      <c r="AM447" s="34"/>
      <c r="AN447" s="34"/>
      <c r="AQ447" s="67"/>
      <c r="AR447" s="67"/>
      <c r="AS447" s="67"/>
      <c r="AT447" s="67"/>
      <c r="AU447" s="67"/>
      <c r="AW447" s="68"/>
      <c r="AX447" s="68"/>
      <c r="AY447" s="68"/>
      <c r="AZ447" s="68"/>
      <c r="BA447" s="68"/>
      <c r="BB447" s="68"/>
    </row>
    <row r="448" spans="1:54" ht="13.5" thickBot="1">
      <c r="A448" s="103">
        <v>39335</v>
      </c>
      <c r="B448" s="104">
        <v>4.9790000915527344</v>
      </c>
      <c r="C448" s="105">
        <v>1451.699951171875</v>
      </c>
      <c r="D448" s="104">
        <v>2.0276999473571777</v>
      </c>
      <c r="E448">
        <v>113.546045849793</v>
      </c>
      <c r="F448">
        <v>703.36090087890625</v>
      </c>
      <c r="H448" s="34"/>
      <c r="I448" s="34"/>
      <c r="J448" s="34"/>
      <c r="K448" s="34"/>
      <c r="L448" s="34"/>
      <c r="N448" s="34"/>
      <c r="O448" s="35"/>
      <c r="P448" s="35"/>
      <c r="Q448" s="35"/>
      <c r="R448" s="35"/>
      <c r="S448" s="74"/>
      <c r="AJ448" s="34"/>
      <c r="AK448" s="34"/>
      <c r="AL448" s="34"/>
      <c r="AM448" s="34"/>
      <c r="AN448" s="34"/>
      <c r="AQ448" s="67"/>
      <c r="AR448" s="67"/>
      <c r="AS448" s="67"/>
      <c r="AT448" s="67"/>
      <c r="AU448" s="67"/>
      <c r="AW448" s="68"/>
      <c r="AX448" s="68"/>
      <c r="AY448" s="68"/>
      <c r="AZ448" s="68"/>
      <c r="BA448" s="68"/>
      <c r="BB448" s="68"/>
    </row>
    <row r="449" spans="1:54" ht="13.5" thickBot="1">
      <c r="A449" s="103">
        <v>39336</v>
      </c>
      <c r="B449" s="104">
        <v>5.0265002250671387</v>
      </c>
      <c r="C449" s="105">
        <v>1471.489990234375</v>
      </c>
      <c r="D449" s="104">
        <v>2.0315001010894775</v>
      </c>
      <c r="E449">
        <v>114.28571379914575</v>
      </c>
      <c r="F449">
        <v>712.0604248046875</v>
      </c>
      <c r="H449" s="34"/>
      <c r="I449" s="34"/>
      <c r="J449" s="34"/>
      <c r="K449" s="34"/>
      <c r="L449" s="34"/>
      <c r="N449" s="34"/>
      <c r="O449" s="35"/>
      <c r="P449" s="35"/>
      <c r="Q449" s="35"/>
      <c r="R449" s="35"/>
      <c r="S449" s="74"/>
      <c r="AJ449" s="34"/>
      <c r="AK449" s="34"/>
      <c r="AL449" s="34"/>
      <c r="AM449" s="34"/>
      <c r="AN449" s="34"/>
      <c r="AQ449" s="67"/>
      <c r="AR449" s="67"/>
      <c r="AS449" s="67"/>
      <c r="AT449" s="67"/>
      <c r="AU449" s="67"/>
      <c r="AW449" s="68"/>
      <c r="AX449" s="68"/>
      <c r="AY449" s="68"/>
      <c r="AZ449" s="68"/>
      <c r="BA449" s="68"/>
      <c r="BB449" s="68"/>
    </row>
    <row r="450" spans="1:54" ht="13.5" thickBot="1">
      <c r="A450" s="103">
        <v>39337</v>
      </c>
      <c r="B450" s="104">
        <v>5.0605001449584961</v>
      </c>
      <c r="C450" s="105">
        <v>1471.56005859375</v>
      </c>
      <c r="D450" s="104">
        <v>2.0302999019622803</v>
      </c>
      <c r="E450">
        <v>114.23349237664497</v>
      </c>
      <c r="F450">
        <v>710.760498046875</v>
      </c>
      <c r="H450" s="34"/>
      <c r="I450" s="34"/>
      <c r="J450" s="34"/>
      <c r="K450" s="34"/>
      <c r="L450" s="34"/>
      <c r="N450" s="34"/>
      <c r="O450" s="35"/>
      <c r="P450" s="35"/>
      <c r="Q450" s="35"/>
      <c r="R450" s="35"/>
      <c r="S450" s="74"/>
      <c r="AJ450" s="34"/>
      <c r="AK450" s="34"/>
      <c r="AL450" s="34"/>
      <c r="AM450" s="34"/>
      <c r="AN450" s="34"/>
      <c r="AQ450" s="67"/>
      <c r="AR450" s="67"/>
      <c r="AS450" s="67"/>
      <c r="AT450" s="67"/>
      <c r="AU450" s="67"/>
      <c r="AW450" s="68"/>
      <c r="AX450" s="68"/>
      <c r="AY450" s="68"/>
      <c r="AZ450" s="68"/>
      <c r="BA450" s="68"/>
      <c r="BB450" s="68"/>
    </row>
    <row r="451" spans="1:54" ht="13.5" thickBot="1">
      <c r="A451" s="103">
        <v>39338</v>
      </c>
      <c r="B451" s="104">
        <v>5.1424999237060547</v>
      </c>
      <c r="C451" s="105">
        <v>1483.949951171875</v>
      </c>
      <c r="D451" s="104">
        <v>2.0322000980377197</v>
      </c>
      <c r="E451">
        <v>115.30035544457525</v>
      </c>
      <c r="F451">
        <v>709.22119140625</v>
      </c>
      <c r="H451" s="34"/>
      <c r="I451" s="34"/>
      <c r="J451" s="34"/>
      <c r="K451" s="34"/>
      <c r="L451" s="34"/>
      <c r="N451" s="34"/>
      <c r="O451" s="35"/>
      <c r="P451" s="35"/>
      <c r="Q451" s="35"/>
      <c r="R451" s="35"/>
      <c r="S451" s="74"/>
      <c r="AJ451" s="34"/>
      <c r="AK451" s="34"/>
      <c r="AL451" s="34"/>
      <c r="AM451" s="34"/>
      <c r="AN451" s="34"/>
      <c r="AQ451" s="67"/>
      <c r="AR451" s="67"/>
      <c r="AS451" s="67"/>
      <c r="AT451" s="67"/>
      <c r="AU451" s="67"/>
      <c r="AW451" s="68"/>
      <c r="AX451" s="68"/>
      <c r="AY451" s="68"/>
      <c r="AZ451" s="68"/>
      <c r="BA451" s="68"/>
      <c r="BB451" s="68"/>
    </row>
    <row r="452" spans="1:54" ht="13.5" thickBot="1">
      <c r="A452" s="103">
        <v>39339</v>
      </c>
      <c r="B452" s="104">
        <v>5.132500171661377</v>
      </c>
      <c r="C452" s="105">
        <v>1484.25</v>
      </c>
      <c r="D452" s="104">
        <v>2.0097999572753906</v>
      </c>
      <c r="E452">
        <v>115.14104459110168</v>
      </c>
      <c r="F452">
        <v>710.82098388671875</v>
      </c>
      <c r="H452" s="34"/>
      <c r="I452" s="34"/>
      <c r="J452" s="34"/>
      <c r="K452" s="34"/>
      <c r="L452" s="34"/>
      <c r="N452" s="34"/>
      <c r="O452" s="35"/>
      <c r="P452" s="35"/>
      <c r="Q452" s="35"/>
      <c r="R452" s="35"/>
      <c r="S452" s="74"/>
      <c r="AJ452" s="34"/>
      <c r="AK452" s="34"/>
      <c r="AL452" s="34"/>
      <c r="AM452" s="34"/>
      <c r="AN452" s="34"/>
      <c r="AQ452" s="67"/>
      <c r="AR452" s="67"/>
      <c r="AS452" s="67"/>
      <c r="AT452" s="67"/>
      <c r="AU452" s="67"/>
      <c r="AW452" s="68"/>
      <c r="AX452" s="68"/>
      <c r="AY452" s="68"/>
      <c r="AZ452" s="68"/>
      <c r="BA452" s="68"/>
      <c r="BB452" s="68"/>
    </row>
    <row r="453" spans="1:54" ht="13.5" thickBot="1">
      <c r="A453" s="103">
        <v>39342</v>
      </c>
      <c r="B453" s="104">
        <v>5.1504998207092285</v>
      </c>
      <c r="C453" s="105">
        <v>1476.6500244140625</v>
      </c>
      <c r="D453" s="104">
        <v>1.9938000440597534</v>
      </c>
      <c r="E453">
        <v>115.11454174414735</v>
      </c>
      <c r="F453">
        <v>715.960205078125</v>
      </c>
      <c r="H453" s="34"/>
      <c r="I453" s="34"/>
      <c r="J453" s="34"/>
      <c r="K453" s="34"/>
      <c r="L453" s="34"/>
      <c r="N453" s="34"/>
      <c r="O453" s="35"/>
      <c r="P453" s="35"/>
      <c r="Q453" s="35"/>
      <c r="R453" s="35"/>
      <c r="S453" s="74"/>
      <c r="AJ453" s="34"/>
      <c r="AK453" s="34"/>
      <c r="AL453" s="34"/>
      <c r="AM453" s="34"/>
      <c r="AN453" s="34"/>
      <c r="AQ453" s="67"/>
      <c r="AR453" s="67"/>
      <c r="AS453" s="67"/>
      <c r="AT453" s="67"/>
      <c r="AU453" s="67"/>
      <c r="AW453" s="68"/>
      <c r="AX453" s="68"/>
      <c r="AY453" s="68"/>
      <c r="AZ453" s="68"/>
      <c r="BA453" s="68"/>
      <c r="BB453" s="68"/>
    </row>
    <row r="454" spans="1:54" ht="13.5" thickBot="1">
      <c r="A454" s="103">
        <v>39343</v>
      </c>
      <c r="B454" s="104">
        <v>5.1135001182556152</v>
      </c>
      <c r="C454" s="105">
        <v>1519.780029296875</v>
      </c>
      <c r="D454" s="104">
        <v>2.0125999450683594</v>
      </c>
      <c r="E454">
        <v>115.75413343774552</v>
      </c>
      <c r="F454">
        <v>723.25982666015625</v>
      </c>
      <c r="H454" s="34"/>
      <c r="I454" s="34"/>
      <c r="J454" s="34"/>
      <c r="K454" s="34"/>
      <c r="L454" s="34"/>
      <c r="N454" s="34"/>
      <c r="O454" s="35"/>
      <c r="P454" s="35"/>
      <c r="Q454" s="35"/>
      <c r="R454" s="35"/>
      <c r="S454" s="74"/>
      <c r="AJ454" s="34"/>
      <c r="AK454" s="34"/>
      <c r="AL454" s="34"/>
      <c r="AM454" s="34"/>
      <c r="AN454" s="34"/>
      <c r="AQ454" s="67"/>
      <c r="AR454" s="67"/>
      <c r="AS454" s="67"/>
      <c r="AT454" s="67"/>
      <c r="AU454" s="67"/>
      <c r="AW454" s="68"/>
      <c r="AX454" s="68"/>
      <c r="AY454" s="68"/>
      <c r="AZ454" s="68"/>
      <c r="BA454" s="68"/>
      <c r="BB454" s="68"/>
    </row>
    <row r="455" spans="1:54" ht="13.5" thickBot="1">
      <c r="A455" s="103">
        <v>39344</v>
      </c>
      <c r="B455" s="104">
        <v>5.1364998817443848</v>
      </c>
      <c r="C455" s="105">
        <v>1529.030029296875</v>
      </c>
      <c r="D455" s="104">
        <v>2.0020999908447266</v>
      </c>
      <c r="E455">
        <v>116.11704081240913</v>
      </c>
      <c r="F455">
        <v>721.25994873046875</v>
      </c>
      <c r="H455" s="34"/>
      <c r="I455" s="34"/>
      <c r="J455" s="34"/>
      <c r="K455" s="34"/>
      <c r="L455" s="34"/>
      <c r="N455" s="34"/>
      <c r="O455" s="35"/>
      <c r="P455" s="35"/>
      <c r="Q455" s="35"/>
      <c r="R455" s="35"/>
      <c r="S455" s="74"/>
      <c r="AJ455" s="34"/>
      <c r="AK455" s="34"/>
      <c r="AL455" s="34"/>
      <c r="AM455" s="34"/>
      <c r="AN455" s="34"/>
      <c r="AQ455" s="67"/>
      <c r="AR455" s="67"/>
      <c r="AS455" s="67"/>
      <c r="AT455" s="67"/>
      <c r="AU455" s="67"/>
      <c r="AW455" s="68"/>
      <c r="AX455" s="68"/>
      <c r="AY455" s="68"/>
      <c r="AZ455" s="68"/>
      <c r="BA455" s="68"/>
      <c r="BB455" s="68"/>
    </row>
    <row r="456" spans="1:54" ht="13.5" thickBot="1">
      <c r="A456" s="103">
        <v>39345</v>
      </c>
      <c r="B456" s="104">
        <v>5.315000057220459</v>
      </c>
      <c r="C456" s="105">
        <v>1518.75</v>
      </c>
      <c r="D456" s="104">
        <v>2.0095000267028809</v>
      </c>
      <c r="E456">
        <v>114.44266493405281</v>
      </c>
      <c r="F456">
        <v>733.41851806640625</v>
      </c>
      <c r="H456" s="34"/>
      <c r="I456" s="34"/>
      <c r="J456" s="34"/>
      <c r="K456" s="34"/>
      <c r="L456" s="34"/>
      <c r="N456" s="34"/>
      <c r="O456" s="35"/>
      <c r="P456" s="35"/>
      <c r="Q456" s="35"/>
      <c r="R456" s="35"/>
      <c r="S456" s="74"/>
      <c r="AJ456" s="34"/>
      <c r="AK456" s="34"/>
      <c r="AL456" s="34"/>
      <c r="AM456" s="34"/>
      <c r="AN456" s="34"/>
      <c r="AQ456" s="67"/>
      <c r="AR456" s="67"/>
      <c r="AS456" s="67"/>
      <c r="AT456" s="67"/>
      <c r="AU456" s="67"/>
      <c r="AW456" s="68"/>
      <c r="AX456" s="68"/>
      <c r="AY456" s="68"/>
      <c r="AZ456" s="68"/>
      <c r="BA456" s="68"/>
      <c r="BB456" s="68"/>
    </row>
    <row r="457" spans="1:54" ht="13.5" thickBot="1">
      <c r="A457" s="103">
        <v>39346</v>
      </c>
      <c r="B457" s="104">
        <v>5.2769999504089355</v>
      </c>
      <c r="C457" s="105">
        <v>1525.75</v>
      </c>
      <c r="D457" s="104">
        <v>2.0201001167297363</v>
      </c>
      <c r="E457">
        <v>115.35355707420543</v>
      </c>
      <c r="F457">
        <v>729.3189697265625</v>
      </c>
      <c r="H457" s="34"/>
      <c r="I457" s="34"/>
      <c r="J457" s="34"/>
      <c r="K457" s="34"/>
      <c r="L457" s="34"/>
      <c r="N457" s="34"/>
      <c r="O457" s="35"/>
      <c r="P457" s="35"/>
      <c r="Q457" s="35"/>
      <c r="R457" s="35"/>
      <c r="S457" s="74"/>
      <c r="AJ457" s="34"/>
      <c r="AK457" s="34"/>
      <c r="AL457" s="34"/>
      <c r="AM457" s="34"/>
      <c r="AN457" s="34"/>
      <c r="AQ457" s="67"/>
      <c r="AR457" s="67"/>
      <c r="AS457" s="67"/>
      <c r="AT457" s="67"/>
      <c r="AU457" s="67"/>
      <c r="AW457" s="68"/>
      <c r="AX457" s="68"/>
      <c r="AY457" s="68"/>
      <c r="AZ457" s="68"/>
      <c r="BA457" s="68"/>
      <c r="BB457" s="68"/>
    </row>
    <row r="458" spans="1:54" ht="13.5" thickBot="1">
      <c r="A458" s="103">
        <v>39349</v>
      </c>
      <c r="B458" s="104">
        <v>5.2765002250671387</v>
      </c>
      <c r="C458" s="105">
        <v>1517.72998046875</v>
      </c>
      <c r="D458" s="104">
        <v>2.0216000080108643</v>
      </c>
      <c r="E458">
        <v>114.87650256667355</v>
      </c>
      <c r="F458">
        <v>732.559326171875</v>
      </c>
      <c r="H458" s="34"/>
      <c r="I458" s="34"/>
      <c r="J458" s="34"/>
      <c r="K458" s="34"/>
      <c r="L458" s="34"/>
      <c r="N458" s="34"/>
      <c r="O458" s="35"/>
      <c r="P458" s="35"/>
      <c r="Q458" s="35"/>
      <c r="R458" s="35"/>
      <c r="S458" s="74"/>
      <c r="AJ458" s="34"/>
      <c r="AK458" s="34"/>
      <c r="AL458" s="34"/>
      <c r="AM458" s="34"/>
      <c r="AN458" s="34"/>
      <c r="AQ458" s="67"/>
      <c r="AR458" s="67"/>
      <c r="AS458" s="67"/>
      <c r="AT458" s="67"/>
      <c r="AU458" s="67"/>
      <c r="AW458" s="68"/>
      <c r="AX458" s="68"/>
      <c r="AY458" s="68"/>
      <c r="AZ458" s="68"/>
      <c r="BA458" s="68"/>
      <c r="BB458" s="68"/>
    </row>
    <row r="459" spans="1:54" ht="13.5" thickBot="1">
      <c r="A459" s="103">
        <v>39350</v>
      </c>
      <c r="B459" s="104">
        <v>5.2715001106262207</v>
      </c>
      <c r="C459" s="105">
        <v>1517.2099609375</v>
      </c>
      <c r="D459" s="104">
        <v>2.0178999900817871</v>
      </c>
      <c r="E459">
        <v>114.5344159473655</v>
      </c>
      <c r="F459">
        <v>731.75933837890625</v>
      </c>
      <c r="H459" s="34"/>
      <c r="I459" s="34"/>
      <c r="J459" s="34"/>
      <c r="K459" s="34"/>
      <c r="L459" s="34"/>
      <c r="N459" s="34"/>
      <c r="O459" s="35"/>
      <c r="P459" s="35"/>
      <c r="Q459" s="35"/>
      <c r="R459" s="35"/>
      <c r="S459" s="74"/>
      <c r="AJ459" s="34"/>
      <c r="AK459" s="34"/>
      <c r="AL459" s="34"/>
      <c r="AM459" s="34"/>
      <c r="AN459" s="34"/>
      <c r="AQ459" s="67"/>
      <c r="AR459" s="67"/>
      <c r="AS459" s="67"/>
      <c r="AT459" s="67"/>
      <c r="AU459" s="67"/>
      <c r="AW459" s="68"/>
      <c r="AX459" s="68"/>
      <c r="AY459" s="68"/>
      <c r="AZ459" s="68"/>
      <c r="BA459" s="68"/>
      <c r="BB459" s="68"/>
    </row>
    <row r="460" spans="1:54" ht="13.5" thickBot="1">
      <c r="A460" s="103">
        <v>39351</v>
      </c>
      <c r="B460" s="104">
        <v>5.2655000686645508</v>
      </c>
      <c r="C460" s="105">
        <v>1525.4200439453125</v>
      </c>
      <c r="D460" s="104">
        <v>2.0153999328613281</v>
      </c>
      <c r="E460">
        <v>115.42013129455667</v>
      </c>
      <c r="F460">
        <v>727.359619140625</v>
      </c>
      <c r="H460" s="34"/>
      <c r="I460" s="34"/>
      <c r="J460" s="34"/>
      <c r="K460" s="34"/>
      <c r="L460" s="34"/>
      <c r="N460" s="34"/>
      <c r="O460" s="35"/>
      <c r="P460" s="35"/>
      <c r="Q460" s="35"/>
      <c r="R460" s="35"/>
      <c r="S460" s="74"/>
      <c r="AJ460" s="34"/>
      <c r="AK460" s="34"/>
      <c r="AL460" s="34"/>
      <c r="AM460" s="34"/>
      <c r="AN460" s="34"/>
      <c r="AQ460" s="67"/>
      <c r="AR460" s="67"/>
      <c r="AS460" s="67"/>
      <c r="AT460" s="67"/>
      <c r="AU460" s="67"/>
      <c r="AW460" s="68"/>
      <c r="AX460" s="68"/>
      <c r="AY460" s="68"/>
      <c r="AZ460" s="68"/>
      <c r="BA460" s="68"/>
      <c r="BB460" s="68"/>
    </row>
    <row r="461" spans="1:54" ht="13.5" thickBot="1">
      <c r="A461" s="103">
        <v>39352</v>
      </c>
      <c r="B461" s="104">
        <v>5.1985001564025879</v>
      </c>
      <c r="C461" s="105">
        <v>1531.3800048828125</v>
      </c>
      <c r="D461" s="104">
        <v>2.0271999835968018</v>
      </c>
      <c r="E461">
        <v>115.59356701695059</v>
      </c>
      <c r="F461">
        <v>733.218505859375</v>
      </c>
      <c r="H461" s="34"/>
      <c r="I461" s="34"/>
      <c r="J461" s="34"/>
      <c r="K461" s="34"/>
      <c r="L461" s="34"/>
      <c r="N461" s="34"/>
      <c r="O461" s="35"/>
      <c r="P461" s="35"/>
      <c r="Q461" s="35"/>
      <c r="R461" s="35"/>
      <c r="S461" s="74"/>
      <c r="AJ461" s="34"/>
      <c r="AK461" s="34"/>
      <c r="AL461" s="34"/>
      <c r="AM461" s="34"/>
      <c r="AN461" s="34"/>
      <c r="AQ461" s="67"/>
      <c r="AR461" s="67"/>
      <c r="AS461" s="67"/>
      <c r="AT461" s="67"/>
      <c r="AU461" s="67"/>
      <c r="AW461" s="68"/>
      <c r="AX461" s="68"/>
      <c r="AY461" s="68"/>
      <c r="AZ461" s="68"/>
      <c r="BA461" s="68"/>
      <c r="BB461" s="68"/>
    </row>
    <row r="462" spans="1:54" ht="13.5" thickBot="1">
      <c r="A462" s="103">
        <v>39353</v>
      </c>
      <c r="B462" s="104">
        <v>5.2014999389648437</v>
      </c>
      <c r="C462" s="105">
        <v>1526.75</v>
      </c>
      <c r="D462" s="104">
        <v>2.0455999374389648</v>
      </c>
      <c r="E462">
        <v>114.74469301085955</v>
      </c>
      <c r="F462">
        <v>743.81732177734375</v>
      </c>
      <c r="H462" s="34"/>
      <c r="I462" s="34"/>
      <c r="J462" s="34"/>
      <c r="K462" s="34"/>
      <c r="L462" s="34"/>
      <c r="N462" s="34"/>
      <c r="O462" s="35"/>
      <c r="P462" s="35"/>
      <c r="Q462" s="35"/>
      <c r="R462" s="35"/>
      <c r="S462" s="74"/>
      <c r="AJ462" s="34"/>
      <c r="AK462" s="34"/>
      <c r="AL462" s="34"/>
      <c r="AM462" s="34"/>
      <c r="AN462" s="34"/>
      <c r="AQ462" s="67"/>
      <c r="AR462" s="67"/>
      <c r="AS462" s="67"/>
      <c r="AT462" s="67"/>
      <c r="AU462" s="67"/>
      <c r="AW462" s="68"/>
      <c r="AX462" s="68"/>
      <c r="AY462" s="68"/>
      <c r="AZ462" s="68"/>
      <c r="BA462" s="68"/>
      <c r="BB462" s="68"/>
    </row>
    <row r="463" spans="1:54" ht="13.5" thickBot="1">
      <c r="A463" s="103">
        <v>39356</v>
      </c>
      <c r="B463" s="104">
        <v>5.1845002174377441</v>
      </c>
      <c r="C463" s="105">
        <v>1547.0400390625</v>
      </c>
      <c r="D463" s="104">
        <v>2.0441000461578369</v>
      </c>
      <c r="E463">
        <v>115.78094412840844</v>
      </c>
      <c r="F463">
        <v>746.95849609375</v>
      </c>
      <c r="H463" s="34"/>
      <c r="I463" s="34"/>
      <c r="J463" s="34"/>
      <c r="K463" s="34"/>
      <c r="L463" s="34"/>
      <c r="N463" s="34"/>
      <c r="O463" s="35"/>
      <c r="P463" s="35"/>
      <c r="Q463" s="35"/>
      <c r="R463" s="35"/>
      <c r="S463" s="74"/>
      <c r="AJ463" s="34"/>
      <c r="AK463" s="34"/>
      <c r="AL463" s="34"/>
      <c r="AM463" s="34"/>
      <c r="AN463" s="34"/>
      <c r="AQ463" s="67"/>
      <c r="AR463" s="67"/>
      <c r="AS463" s="67"/>
      <c r="AT463" s="67"/>
      <c r="AU463" s="67"/>
      <c r="AW463" s="68"/>
      <c r="AX463" s="68"/>
      <c r="AY463" s="68"/>
      <c r="AZ463" s="68"/>
      <c r="BA463" s="68"/>
      <c r="BB463" s="68"/>
    </row>
    <row r="464" spans="1:54" ht="13.5" thickBot="1">
      <c r="A464" s="103">
        <v>39357</v>
      </c>
      <c r="B464" s="104">
        <v>5.1494998931884766</v>
      </c>
      <c r="C464" s="105">
        <v>1546.6300048828125</v>
      </c>
      <c r="D464" s="104">
        <v>2.0413000583648682</v>
      </c>
      <c r="E464">
        <v>115.86142576622348</v>
      </c>
      <c r="F464">
        <v>728.95947265625</v>
      </c>
      <c r="H464" s="34"/>
      <c r="I464" s="34"/>
      <c r="J464" s="34"/>
      <c r="K464" s="34"/>
      <c r="L464" s="34"/>
      <c r="N464" s="34"/>
      <c r="O464" s="35"/>
      <c r="P464" s="35"/>
      <c r="Q464" s="35"/>
      <c r="R464" s="35"/>
      <c r="S464" s="74"/>
      <c r="AJ464" s="34"/>
      <c r="AK464" s="34"/>
      <c r="AL464" s="34"/>
      <c r="AM464" s="34"/>
      <c r="AN464" s="34"/>
      <c r="AQ464" s="67"/>
      <c r="AR464" s="67"/>
      <c r="AS464" s="67"/>
      <c r="AT464" s="67"/>
      <c r="AU464" s="67"/>
      <c r="AW464" s="68"/>
      <c r="AX464" s="68"/>
      <c r="AY464" s="68"/>
      <c r="AZ464" s="68"/>
      <c r="BA464" s="68"/>
      <c r="BB464" s="68"/>
    </row>
    <row r="465" spans="1:54" ht="13.5" thickBot="1">
      <c r="A465" s="103">
        <v>39358</v>
      </c>
      <c r="B465" s="104">
        <v>5.1605000495910645</v>
      </c>
      <c r="C465" s="105">
        <v>1539.5899658203125</v>
      </c>
      <c r="D465" s="104">
        <v>2.0320999622344971</v>
      </c>
      <c r="E465">
        <v>116.68611982633713</v>
      </c>
      <c r="F465">
        <v>726.65960693359375</v>
      </c>
      <c r="H465" s="34"/>
      <c r="I465" s="34"/>
      <c r="J465" s="34"/>
      <c r="K465" s="34"/>
      <c r="L465" s="34"/>
      <c r="N465" s="34"/>
      <c r="O465" s="35"/>
      <c r="P465" s="35"/>
      <c r="Q465" s="35"/>
      <c r="R465" s="35"/>
      <c r="S465" s="74"/>
      <c r="AJ465" s="34"/>
      <c r="AK465" s="34"/>
      <c r="AL465" s="34"/>
      <c r="AM465" s="34"/>
      <c r="AN465" s="34"/>
      <c r="AQ465" s="67"/>
      <c r="AR465" s="67"/>
      <c r="AS465" s="67"/>
      <c r="AT465" s="67"/>
      <c r="AU465" s="67"/>
      <c r="AW465" s="68"/>
      <c r="AX465" s="68"/>
      <c r="AY465" s="68"/>
      <c r="AZ465" s="68"/>
      <c r="BA465" s="68"/>
      <c r="BB465" s="68"/>
    </row>
    <row r="466" spans="1:54" ht="13.5" thickBot="1">
      <c r="A466" s="103">
        <v>39359</v>
      </c>
      <c r="B466" s="104">
        <v>5.1455001831054687</v>
      </c>
      <c r="C466" s="105">
        <v>1542.8399658203125</v>
      </c>
      <c r="D466" s="104">
        <v>2.0374999046325684</v>
      </c>
      <c r="E466">
        <v>116.49580384072908</v>
      </c>
      <c r="F466">
        <v>735.21832275390625</v>
      </c>
      <c r="H466" s="34"/>
      <c r="I466" s="34"/>
      <c r="J466" s="34"/>
      <c r="K466" s="34"/>
      <c r="L466" s="34"/>
      <c r="N466" s="34"/>
      <c r="O466" s="35"/>
      <c r="P466" s="35"/>
      <c r="Q466" s="35"/>
      <c r="R466" s="35"/>
      <c r="S466" s="74"/>
      <c r="AJ466" s="34"/>
      <c r="AK466" s="34"/>
      <c r="AL466" s="34"/>
      <c r="AM466" s="34"/>
      <c r="AN466" s="34"/>
      <c r="AQ466" s="67"/>
      <c r="AR466" s="67"/>
      <c r="AS466" s="67"/>
      <c r="AT466" s="67"/>
      <c r="AU466" s="67"/>
      <c r="AW466" s="68"/>
      <c r="AX466" s="68"/>
      <c r="AY466" s="68"/>
      <c r="AZ466" s="68"/>
      <c r="BA466" s="68"/>
      <c r="BB466" s="68"/>
    </row>
    <row r="467" spans="1:54" ht="13.5" thickBot="1">
      <c r="A467" s="103">
        <v>39360</v>
      </c>
      <c r="B467" s="104">
        <v>5.2721967697143555</v>
      </c>
      <c r="C467" s="105">
        <v>1557.5899658203125</v>
      </c>
      <c r="D467" s="104">
        <v>2.0418000221252441</v>
      </c>
      <c r="E467">
        <v>116.91803817061377</v>
      </c>
      <c r="F467">
        <v>741.4176025390625</v>
      </c>
      <c r="H467" s="34"/>
      <c r="I467" s="34"/>
      <c r="J467" s="34"/>
      <c r="K467" s="34"/>
      <c r="L467" s="34"/>
      <c r="N467" s="34"/>
      <c r="O467" s="35"/>
      <c r="P467" s="35"/>
      <c r="Q467" s="35"/>
      <c r="R467" s="35"/>
      <c r="S467" s="74"/>
      <c r="AJ467" s="34"/>
      <c r="AK467" s="34"/>
      <c r="AL467" s="34"/>
      <c r="AM467" s="34"/>
      <c r="AN467" s="34"/>
      <c r="AQ467" s="67"/>
      <c r="AR467" s="67"/>
      <c r="AS467" s="67"/>
      <c r="AT467" s="67"/>
      <c r="AU467" s="67"/>
      <c r="AW467" s="68"/>
      <c r="AX467" s="68"/>
      <c r="AY467" s="68"/>
      <c r="AZ467" s="68"/>
      <c r="BA467" s="68"/>
      <c r="BB467" s="68"/>
    </row>
    <row r="468" spans="1:54" ht="13.5" thickBot="1">
      <c r="A468" s="103">
        <v>39363</v>
      </c>
      <c r="B468" s="104">
        <v>5.2721967697143555</v>
      </c>
      <c r="C468" s="105">
        <v>1552.5799560546875</v>
      </c>
      <c r="D468" s="104">
        <v>2.0344998836517334</v>
      </c>
      <c r="E468">
        <v>117.34334437689691</v>
      </c>
      <c r="F468">
        <v>731.9593505859375</v>
      </c>
      <c r="H468" s="34"/>
      <c r="I468" s="34"/>
      <c r="J468" s="34"/>
      <c r="K468" s="34"/>
      <c r="L468" s="34"/>
      <c r="N468" s="34"/>
      <c r="O468" s="35"/>
      <c r="P468" s="35"/>
      <c r="Q468" s="35"/>
      <c r="R468" s="35"/>
      <c r="S468" s="74"/>
      <c r="AJ468" s="34"/>
      <c r="AK468" s="34"/>
      <c r="AL468" s="34"/>
      <c r="AM468" s="34"/>
      <c r="AN468" s="34"/>
      <c r="AQ468" s="67"/>
      <c r="AR468" s="67"/>
      <c r="AS468" s="67"/>
      <c r="AT468" s="67"/>
      <c r="AU468" s="67"/>
      <c r="AW468" s="68"/>
      <c r="AX468" s="68"/>
      <c r="AY468" s="68"/>
      <c r="AZ468" s="68"/>
      <c r="BA468" s="68"/>
      <c r="BB468" s="68"/>
    </row>
    <row r="469" spans="1:54" ht="13.5" thickBot="1">
      <c r="A469" s="103">
        <v>39364</v>
      </c>
      <c r="B469" s="104">
        <v>5.2740001678466797</v>
      </c>
      <c r="C469" s="105">
        <v>1565.1500244140625</v>
      </c>
      <c r="D469" s="104">
        <v>2.0353000164031982</v>
      </c>
      <c r="E469">
        <v>117.1783419381178</v>
      </c>
      <c r="F469">
        <v>738.458984375</v>
      </c>
      <c r="H469" s="34"/>
      <c r="I469" s="34"/>
      <c r="J469" s="34"/>
      <c r="K469" s="34"/>
      <c r="L469" s="34"/>
      <c r="N469" s="34"/>
      <c r="O469" s="35"/>
      <c r="P469" s="35"/>
      <c r="Q469" s="35"/>
      <c r="R469" s="35"/>
      <c r="S469" s="74"/>
      <c r="AJ469" s="34"/>
      <c r="AK469" s="34"/>
      <c r="AL469" s="34"/>
      <c r="AM469" s="34"/>
      <c r="AN469" s="34"/>
      <c r="AQ469" s="67"/>
      <c r="AR469" s="67"/>
      <c r="AS469" s="67"/>
      <c r="AT469" s="67"/>
      <c r="AU469" s="67"/>
      <c r="AW469" s="68"/>
      <c r="AX469" s="68"/>
      <c r="AY469" s="68"/>
      <c r="AZ469" s="68"/>
      <c r="BA469" s="68"/>
      <c r="BB469" s="68"/>
    </row>
    <row r="470" spans="1:54" ht="13.5" thickBot="1">
      <c r="A470" s="103">
        <v>39365</v>
      </c>
      <c r="B470" s="104">
        <v>5.2670001983642578</v>
      </c>
      <c r="C470" s="105">
        <v>1562.469970703125</v>
      </c>
      <c r="D470" s="104">
        <v>2.0415000915527344</v>
      </c>
      <c r="E470">
        <v>117.21954582988904</v>
      </c>
      <c r="F470">
        <v>740.4588623046875</v>
      </c>
      <c r="H470" s="34"/>
      <c r="I470" s="34"/>
      <c r="J470" s="34"/>
      <c r="K470" s="34"/>
      <c r="L470" s="34"/>
      <c r="N470" s="34"/>
      <c r="O470" s="35"/>
      <c r="P470" s="35"/>
      <c r="Q470" s="35"/>
      <c r="R470" s="35"/>
      <c r="S470" s="74"/>
      <c r="AJ470" s="34"/>
      <c r="AK470" s="34"/>
      <c r="AL470" s="34"/>
      <c r="AM470" s="34"/>
      <c r="AN470" s="34"/>
      <c r="AQ470" s="67"/>
      <c r="AR470" s="67"/>
      <c r="AS470" s="67"/>
      <c r="AT470" s="67"/>
      <c r="AU470" s="67"/>
      <c r="AW470" s="68"/>
      <c r="AX470" s="68"/>
      <c r="AY470" s="68"/>
      <c r="AZ470" s="68"/>
      <c r="BA470" s="68"/>
      <c r="BB470" s="68"/>
    </row>
    <row r="471" spans="1:54" ht="13.5" thickBot="1">
      <c r="A471" s="103">
        <v>39366</v>
      </c>
      <c r="B471" s="104">
        <v>5.2664999961853027</v>
      </c>
      <c r="C471" s="105">
        <v>1554.4100341796875</v>
      </c>
      <c r="D471" s="104">
        <v>2.0336000919342041</v>
      </c>
      <c r="E471">
        <v>117.23329116724085</v>
      </c>
      <c r="F471">
        <v>750.81658935546875</v>
      </c>
      <c r="H471" s="34"/>
      <c r="I471" s="34"/>
      <c r="J471" s="34"/>
      <c r="K471" s="34"/>
      <c r="L471" s="34"/>
      <c r="N471" s="34"/>
      <c r="O471" s="35"/>
      <c r="P471" s="35"/>
      <c r="Q471" s="35"/>
      <c r="R471" s="35"/>
      <c r="S471" s="74"/>
      <c r="AJ471" s="34"/>
      <c r="AK471" s="34"/>
      <c r="AL471" s="34"/>
      <c r="AM471" s="34"/>
      <c r="AN471" s="34"/>
      <c r="AQ471" s="67"/>
      <c r="AR471" s="67"/>
      <c r="AS471" s="67"/>
      <c r="AT471" s="67"/>
      <c r="AU471" s="67"/>
      <c r="AW471" s="68"/>
      <c r="AX471" s="68"/>
      <c r="AY471" s="68"/>
      <c r="AZ471" s="68"/>
      <c r="BA471" s="68"/>
      <c r="BB471" s="68"/>
    </row>
    <row r="472" spans="1:54" ht="13.5" thickBot="1">
      <c r="A472" s="103">
        <v>39367</v>
      </c>
      <c r="B472" s="104">
        <v>5.3045001029968262</v>
      </c>
      <c r="C472" s="105">
        <v>1561.800048828125</v>
      </c>
      <c r="D472" s="104">
        <v>2.0341000556945801</v>
      </c>
      <c r="E472">
        <v>117.56407183950331</v>
      </c>
      <c r="F472">
        <v>749.56671142578125</v>
      </c>
      <c r="H472" s="34"/>
      <c r="I472" s="34"/>
      <c r="J472" s="34"/>
      <c r="K472" s="34"/>
      <c r="L472" s="34"/>
      <c r="N472" s="34"/>
      <c r="O472" s="35"/>
      <c r="P472" s="35"/>
      <c r="Q472" s="35"/>
      <c r="R472" s="35"/>
      <c r="S472" s="74"/>
      <c r="AJ472" s="34"/>
      <c r="AK472" s="34"/>
      <c r="AL472" s="34"/>
      <c r="AM472" s="34"/>
      <c r="AN472" s="34"/>
      <c r="AQ472" s="67"/>
      <c r="AR472" s="67"/>
      <c r="AS472" s="67"/>
      <c r="AT472" s="67"/>
      <c r="AU472" s="67"/>
      <c r="AW472" s="68"/>
      <c r="AX472" s="68"/>
      <c r="AY472" s="68"/>
      <c r="AZ472" s="68"/>
      <c r="BA472" s="68"/>
      <c r="BB472" s="68"/>
    </row>
    <row r="473" spans="1:54" ht="13.5" thickBot="1">
      <c r="A473" s="103">
        <v>39370</v>
      </c>
      <c r="B473" s="104">
        <v>5.3010001182556152</v>
      </c>
      <c r="C473" s="105">
        <v>1548.7099609375</v>
      </c>
      <c r="D473" s="104">
        <v>2.0422999858856201</v>
      </c>
      <c r="E473">
        <v>117.20581650914485</v>
      </c>
      <c r="F473">
        <v>758.2078857421875</v>
      </c>
      <c r="H473" s="34"/>
      <c r="I473" s="34"/>
      <c r="J473" s="34"/>
      <c r="K473" s="34"/>
      <c r="L473" s="34"/>
      <c r="N473" s="34"/>
      <c r="O473" s="35"/>
      <c r="P473" s="35"/>
      <c r="Q473" s="35"/>
      <c r="R473" s="35"/>
      <c r="S473" s="74"/>
      <c r="AJ473" s="34"/>
      <c r="AK473" s="34"/>
      <c r="AL473" s="34"/>
      <c r="AM473" s="34"/>
      <c r="AN473" s="34"/>
      <c r="AQ473" s="67"/>
      <c r="AR473" s="67"/>
      <c r="AS473" s="67"/>
      <c r="AT473" s="67"/>
      <c r="AU473" s="67"/>
      <c r="AW473" s="68"/>
      <c r="AX473" s="68"/>
      <c r="AY473" s="68"/>
      <c r="AZ473" s="68"/>
      <c r="BA473" s="68"/>
      <c r="BB473" s="68"/>
    </row>
    <row r="474" spans="1:54" ht="13.5" thickBot="1">
      <c r="A474" s="103">
        <v>39371</v>
      </c>
      <c r="B474" s="104">
        <v>5.2849998474121094</v>
      </c>
      <c r="C474" s="105">
        <v>1538.530029296875</v>
      </c>
      <c r="D474" s="104">
        <v>2.0313999652862549</v>
      </c>
      <c r="E474">
        <v>116.75422881871874</v>
      </c>
      <c r="F474">
        <v>757.20794677734375</v>
      </c>
      <c r="H474" s="34"/>
      <c r="I474" s="34"/>
      <c r="J474" s="34"/>
      <c r="K474" s="34"/>
      <c r="L474" s="34"/>
      <c r="N474" s="34"/>
      <c r="O474" s="35"/>
      <c r="P474" s="35"/>
      <c r="Q474" s="35"/>
      <c r="R474" s="35"/>
      <c r="S474" s="74"/>
      <c r="AJ474" s="34"/>
      <c r="AK474" s="34"/>
      <c r="AL474" s="34"/>
      <c r="AM474" s="34"/>
      <c r="AN474" s="34"/>
      <c r="AQ474" s="67"/>
      <c r="AR474" s="67"/>
      <c r="AS474" s="67"/>
      <c r="AT474" s="67"/>
      <c r="AU474" s="67"/>
      <c r="AW474" s="68"/>
      <c r="AX474" s="68"/>
      <c r="AY474" s="68"/>
      <c r="AZ474" s="68"/>
      <c r="BA474" s="68"/>
      <c r="BB474" s="68"/>
    </row>
    <row r="475" spans="1:54" ht="13.5" thickBot="1">
      <c r="A475" s="103">
        <v>39372</v>
      </c>
      <c r="B475" s="104">
        <v>5.183499813079834</v>
      </c>
      <c r="C475" s="105">
        <v>1541.239990234375</v>
      </c>
      <c r="D475" s="104">
        <v>2.0353999137878418</v>
      </c>
      <c r="E475">
        <v>116.53652903982177</v>
      </c>
      <c r="F475">
        <v>757.35791015625</v>
      </c>
      <c r="H475" s="34"/>
      <c r="I475" s="34"/>
      <c r="J475" s="34"/>
      <c r="K475" s="34"/>
      <c r="L475" s="34"/>
      <c r="N475" s="34"/>
      <c r="O475" s="35"/>
      <c r="P475" s="35"/>
      <c r="Q475" s="35"/>
      <c r="R475" s="35"/>
      <c r="S475" s="74"/>
      <c r="AJ475" s="34"/>
      <c r="AK475" s="34"/>
      <c r="AL475" s="34"/>
      <c r="AM475" s="34"/>
      <c r="AN475" s="34"/>
      <c r="AQ475" s="67"/>
      <c r="AR475" s="67"/>
      <c r="AS475" s="67"/>
      <c r="AT475" s="67"/>
      <c r="AU475" s="67"/>
      <c r="AW475" s="68"/>
      <c r="AX475" s="68"/>
      <c r="AY475" s="68"/>
      <c r="AZ475" s="68"/>
      <c r="BA475" s="68"/>
      <c r="BB475" s="68"/>
    </row>
    <row r="476" spans="1:54" ht="13.5" thickBot="1">
      <c r="A476" s="103">
        <v>39373</v>
      </c>
      <c r="B476" s="104">
        <v>5.1459999084472656</v>
      </c>
      <c r="C476" s="105">
        <v>1540.0799560546875</v>
      </c>
      <c r="D476" s="104">
        <v>2.0450000762939453</v>
      </c>
      <c r="E476">
        <v>115.6604186405836</v>
      </c>
      <c r="F476">
        <v>764.5150146484375</v>
      </c>
      <c r="H476" s="34"/>
      <c r="I476" s="34"/>
      <c r="J476" s="34"/>
      <c r="K476" s="34"/>
      <c r="L476" s="34"/>
      <c r="N476" s="34"/>
      <c r="O476" s="35"/>
      <c r="P476" s="35"/>
      <c r="Q476" s="35"/>
      <c r="R476" s="35"/>
      <c r="S476" s="74"/>
      <c r="AJ476" s="34"/>
      <c r="AK476" s="34"/>
      <c r="AL476" s="34"/>
      <c r="AM476" s="34"/>
      <c r="AN476" s="34"/>
      <c r="AQ476" s="67"/>
      <c r="AR476" s="67"/>
      <c r="AS476" s="67"/>
      <c r="AT476" s="67"/>
      <c r="AU476" s="67"/>
      <c r="AW476" s="68"/>
      <c r="AX476" s="68"/>
      <c r="AY476" s="68"/>
      <c r="AZ476" s="68"/>
      <c r="BA476" s="68"/>
      <c r="BB476" s="68"/>
    </row>
    <row r="477" spans="1:54" ht="13.5" thickBot="1">
      <c r="A477" s="103">
        <v>39374</v>
      </c>
      <c r="B477" s="104">
        <v>5.0460000038146973</v>
      </c>
      <c r="C477" s="105">
        <v>1500.6300048828125</v>
      </c>
      <c r="D477" s="104">
        <v>2.0499000549316406</v>
      </c>
      <c r="E477">
        <v>114.79738297393504</v>
      </c>
      <c r="F477">
        <v>764.5150146484375</v>
      </c>
      <c r="H477" s="34"/>
      <c r="I477" s="34"/>
      <c r="J477" s="34"/>
      <c r="K477" s="34"/>
      <c r="L477" s="34"/>
      <c r="N477" s="34"/>
      <c r="O477" s="35"/>
      <c r="P477" s="35"/>
      <c r="Q477" s="35"/>
      <c r="R477" s="35"/>
      <c r="S477" s="74"/>
      <c r="AJ477" s="34"/>
      <c r="AK477" s="34"/>
      <c r="AL477" s="34"/>
      <c r="AM477" s="34"/>
      <c r="AN477" s="34"/>
      <c r="AQ477" s="67"/>
      <c r="AR477" s="67"/>
      <c r="AS477" s="67"/>
      <c r="AT477" s="67"/>
      <c r="AU477" s="67"/>
      <c r="AW477" s="68"/>
      <c r="AX477" s="68"/>
      <c r="AY477" s="68"/>
      <c r="AZ477" s="68"/>
      <c r="BA477" s="68"/>
      <c r="BB477" s="68"/>
    </row>
    <row r="478" spans="1:54" ht="13.5" thickBot="1">
      <c r="A478" s="103">
        <v>39377</v>
      </c>
      <c r="B478" s="104">
        <v>5.0304999351501465</v>
      </c>
      <c r="C478" s="105">
        <v>1506.3299560546875</v>
      </c>
      <c r="D478" s="104">
        <v>2.0288999080657959</v>
      </c>
      <c r="E478">
        <v>114.14222266444365</v>
      </c>
      <c r="F478">
        <v>755.05804443359375</v>
      </c>
      <c r="H478" s="34"/>
      <c r="I478" s="34"/>
      <c r="J478" s="34"/>
      <c r="K478" s="34"/>
      <c r="L478" s="34"/>
      <c r="N478" s="34"/>
      <c r="O478" s="35"/>
      <c r="P478" s="35"/>
      <c r="Q478" s="35"/>
      <c r="R478" s="35"/>
      <c r="S478" s="74"/>
      <c r="AJ478" s="34"/>
      <c r="AK478" s="34"/>
      <c r="AL478" s="34"/>
      <c r="AM478" s="34"/>
      <c r="AN478" s="34"/>
      <c r="AQ478" s="67"/>
      <c r="AR478" s="67"/>
      <c r="AS478" s="67"/>
      <c r="AT478" s="67"/>
      <c r="AU478" s="67"/>
      <c r="AW478" s="68"/>
      <c r="AX478" s="68"/>
      <c r="AY478" s="68"/>
      <c r="AZ478" s="68"/>
      <c r="BA478" s="68"/>
      <c r="BB478" s="68"/>
    </row>
    <row r="479" spans="1:54" ht="13.5" thickBot="1">
      <c r="A479" s="103">
        <v>39378</v>
      </c>
      <c r="B479" s="104">
        <v>5.0279998779296875</v>
      </c>
      <c r="C479" s="105">
        <v>1519.5899658203125</v>
      </c>
      <c r="D479" s="104">
        <v>2.0504999160766602</v>
      </c>
      <c r="E479">
        <v>114.71837229122353</v>
      </c>
      <c r="F479">
        <v>758.25787353515625</v>
      </c>
      <c r="H479" s="34"/>
      <c r="I479" s="34"/>
      <c r="J479" s="34"/>
      <c r="K479" s="34"/>
      <c r="L479" s="34"/>
      <c r="N479" s="34"/>
      <c r="O479" s="35"/>
      <c r="P479" s="35"/>
      <c r="Q479" s="35"/>
      <c r="R479" s="35"/>
      <c r="S479" s="74"/>
      <c r="AJ479" s="34"/>
      <c r="AK479" s="34"/>
      <c r="AL479" s="34"/>
      <c r="AM479" s="34"/>
      <c r="AN479" s="34"/>
      <c r="AQ479" s="67"/>
      <c r="AR479" s="67"/>
      <c r="AS479" s="67"/>
      <c r="AT479" s="67"/>
      <c r="AU479" s="67"/>
      <c r="AW479" s="68"/>
      <c r="AX479" s="68"/>
      <c r="AY479" s="68"/>
      <c r="AZ479" s="68"/>
      <c r="BA479" s="68"/>
      <c r="BB479" s="68"/>
    </row>
    <row r="480" spans="1:54" ht="13.5" thickBot="1">
      <c r="A480" s="103">
        <v>39379</v>
      </c>
      <c r="B480" s="104">
        <v>4.9514999389648437</v>
      </c>
      <c r="C480" s="105">
        <v>1515.8800048828125</v>
      </c>
      <c r="D480" s="104">
        <v>2.0490999221801758</v>
      </c>
      <c r="E480">
        <v>114.14222266444365</v>
      </c>
      <c r="F480">
        <v>761.45770263671875</v>
      </c>
      <c r="H480" s="34"/>
      <c r="I480" s="34"/>
      <c r="J480" s="34"/>
      <c r="K480" s="34"/>
      <c r="L480" s="34"/>
      <c r="N480" s="34"/>
      <c r="O480" s="35"/>
      <c r="P480" s="35"/>
      <c r="Q480" s="35"/>
      <c r="R480" s="35"/>
      <c r="S480" s="74"/>
      <c r="AJ480" s="34"/>
      <c r="AK480" s="34"/>
      <c r="AL480" s="34"/>
      <c r="AM480" s="34"/>
      <c r="AN480" s="34"/>
      <c r="AQ480" s="67"/>
      <c r="AR480" s="67"/>
      <c r="AS480" s="67"/>
      <c r="AT480" s="67"/>
      <c r="AU480" s="67"/>
      <c r="AW480" s="68"/>
      <c r="AX480" s="68"/>
      <c r="AY480" s="68"/>
      <c r="AZ480" s="68"/>
      <c r="BA480" s="68"/>
      <c r="BB480" s="68"/>
    </row>
    <row r="481" spans="1:54" ht="13.5" thickBot="1">
      <c r="A481" s="103">
        <v>39380</v>
      </c>
      <c r="B481" s="104">
        <v>4.9724998474121094</v>
      </c>
      <c r="C481" s="105">
        <v>1514.4000244140625</v>
      </c>
      <c r="D481" s="104">
        <v>2.0511999130249023</v>
      </c>
      <c r="E481">
        <v>114.07711406024019</v>
      </c>
      <c r="F481">
        <v>767.51470947265625</v>
      </c>
      <c r="H481" s="34"/>
      <c r="I481" s="34"/>
      <c r="J481" s="34"/>
      <c r="K481" s="34"/>
      <c r="L481" s="34"/>
      <c r="N481" s="34"/>
      <c r="O481" s="35"/>
      <c r="P481" s="35"/>
      <c r="Q481" s="35"/>
      <c r="R481" s="35"/>
      <c r="S481" s="74"/>
      <c r="AJ481" s="34"/>
      <c r="AK481" s="34"/>
      <c r="AL481" s="34"/>
      <c r="AM481" s="34"/>
      <c r="AN481" s="34"/>
      <c r="AQ481" s="67"/>
      <c r="AR481" s="67"/>
      <c r="AS481" s="67"/>
      <c r="AT481" s="67"/>
      <c r="AU481" s="67"/>
      <c r="AW481" s="68"/>
      <c r="AX481" s="68"/>
      <c r="AY481" s="68"/>
      <c r="AZ481" s="68"/>
      <c r="BA481" s="68"/>
      <c r="BB481" s="68"/>
    </row>
    <row r="482" spans="1:54" ht="13.5" thickBot="1">
      <c r="A482" s="103">
        <v>39381</v>
      </c>
      <c r="B482" s="104">
        <v>5.0269999504089355</v>
      </c>
      <c r="C482" s="105">
        <v>1535.280029296875</v>
      </c>
      <c r="D482" s="104">
        <v>2.052299976348877</v>
      </c>
      <c r="E482">
        <v>114.23349237664497</v>
      </c>
      <c r="F482">
        <v>781.01318359375</v>
      </c>
      <c r="H482" s="34"/>
      <c r="I482" s="34"/>
      <c r="J482" s="34"/>
      <c r="K482" s="34"/>
      <c r="L482" s="34"/>
      <c r="N482" s="34"/>
      <c r="O482" s="35"/>
      <c r="P482" s="35"/>
      <c r="Q482" s="35"/>
      <c r="R482" s="35"/>
      <c r="S482" s="74"/>
      <c r="AJ482" s="34"/>
      <c r="AK482" s="34"/>
      <c r="AL482" s="34"/>
      <c r="AM482" s="34"/>
      <c r="AN482" s="34"/>
      <c r="AQ482" s="67"/>
      <c r="AR482" s="67"/>
      <c r="AS482" s="67"/>
      <c r="AT482" s="67"/>
      <c r="AU482" s="67"/>
      <c r="AW482" s="68"/>
      <c r="AX482" s="68"/>
      <c r="AY482" s="68"/>
      <c r="AZ482" s="68"/>
      <c r="BA482" s="68"/>
      <c r="BB482" s="68"/>
    </row>
    <row r="483" spans="1:54" ht="13.5" thickBot="1">
      <c r="A483" s="103">
        <v>39384</v>
      </c>
      <c r="B483" s="104">
        <v>5.0085000991821289</v>
      </c>
      <c r="C483" s="105">
        <v>1540.97998046875</v>
      </c>
      <c r="D483" s="104">
        <v>2.062000036239624</v>
      </c>
      <c r="E483">
        <v>114.6000477508282</v>
      </c>
      <c r="F483">
        <v>788.15618896484375</v>
      </c>
      <c r="H483" s="34"/>
      <c r="I483" s="34"/>
      <c r="J483" s="34"/>
      <c r="K483" s="34"/>
      <c r="L483" s="34"/>
      <c r="N483" s="34"/>
      <c r="O483" s="35"/>
      <c r="P483" s="35"/>
      <c r="Q483" s="35"/>
      <c r="R483" s="35"/>
      <c r="S483" s="74"/>
      <c r="AJ483" s="34"/>
      <c r="AK483" s="34"/>
      <c r="AL483" s="34"/>
      <c r="AM483" s="34"/>
      <c r="AN483" s="34"/>
      <c r="AQ483" s="67"/>
      <c r="AR483" s="67"/>
      <c r="AS483" s="67"/>
      <c r="AT483" s="67"/>
      <c r="AU483" s="67"/>
      <c r="AW483" s="68"/>
      <c r="AX483" s="68"/>
      <c r="AY483" s="68"/>
      <c r="AZ483" s="68"/>
      <c r="BA483" s="68"/>
      <c r="BB483" s="68"/>
    </row>
    <row r="484" spans="1:54" ht="13.5" thickBot="1">
      <c r="A484" s="103">
        <v>39385</v>
      </c>
      <c r="B484" s="104">
        <v>5.0205001831054687</v>
      </c>
      <c r="C484" s="105">
        <v>1531.02001953125</v>
      </c>
      <c r="D484" s="104">
        <v>2.0676000118255615</v>
      </c>
      <c r="E484">
        <v>114.78420287950993</v>
      </c>
      <c r="F484">
        <v>782.656494140625</v>
      </c>
      <c r="H484" s="34"/>
      <c r="I484" s="34"/>
      <c r="J484" s="34"/>
      <c r="K484" s="34"/>
      <c r="L484" s="34"/>
      <c r="N484" s="34"/>
      <c r="O484" s="35"/>
      <c r="P484" s="35"/>
      <c r="Q484" s="35"/>
      <c r="R484" s="35"/>
      <c r="S484" s="74"/>
      <c r="AJ484" s="34"/>
      <c r="AK484" s="34"/>
      <c r="AL484" s="34"/>
      <c r="AM484" s="34"/>
      <c r="AN484" s="34"/>
      <c r="AQ484" s="67"/>
      <c r="AR484" s="67"/>
      <c r="AS484" s="67"/>
      <c r="AT484" s="67"/>
      <c r="AU484" s="67"/>
      <c r="AW484" s="68"/>
      <c r="AX484" s="68"/>
      <c r="AY484" s="68"/>
      <c r="AZ484" s="68"/>
      <c r="BA484" s="68"/>
      <c r="BB484" s="68"/>
    </row>
    <row r="485" spans="1:54" ht="13.5" thickBot="1">
      <c r="A485" s="103">
        <v>39386</v>
      </c>
      <c r="B485" s="104">
        <v>5.1044998168945313</v>
      </c>
      <c r="C485" s="105">
        <v>1549.3800048828125</v>
      </c>
      <c r="D485" s="104">
        <v>2.0815999507904053</v>
      </c>
      <c r="E485">
        <v>115.34024896711281</v>
      </c>
      <c r="F485">
        <v>792.35595703125</v>
      </c>
      <c r="H485" s="34"/>
      <c r="I485" s="34"/>
      <c r="J485" s="34"/>
      <c r="K485" s="34"/>
      <c r="L485" s="34"/>
      <c r="N485" s="34"/>
      <c r="O485" s="35"/>
      <c r="P485" s="35"/>
      <c r="Q485" s="35"/>
      <c r="R485" s="35"/>
      <c r="S485" s="74"/>
      <c r="AJ485" s="34"/>
      <c r="AK485" s="34"/>
      <c r="AL485" s="34"/>
      <c r="AM485" s="34"/>
      <c r="AN485" s="34"/>
      <c r="AQ485" s="67"/>
      <c r="AR485" s="67"/>
      <c r="AS485" s="67"/>
      <c r="AT485" s="67"/>
      <c r="AU485" s="67"/>
      <c r="AW485" s="68"/>
      <c r="AX485" s="68"/>
      <c r="AY485" s="68"/>
      <c r="AZ485" s="68"/>
      <c r="BA485" s="68"/>
      <c r="BB485" s="68"/>
    </row>
    <row r="486" spans="1:54" ht="13.5" thickBot="1">
      <c r="A486" s="103">
        <v>39387</v>
      </c>
      <c r="B486" s="104">
        <v>5.0085000991821289</v>
      </c>
      <c r="C486" s="105">
        <v>1508.43994140625</v>
      </c>
      <c r="D486" s="104">
        <v>2.0840001106262207</v>
      </c>
      <c r="E486">
        <v>114.87650256667355</v>
      </c>
      <c r="F486">
        <v>791.112060546875</v>
      </c>
      <c r="H486" s="34"/>
      <c r="I486" s="34"/>
      <c r="J486" s="34"/>
      <c r="K486" s="34"/>
      <c r="L486" s="34"/>
      <c r="N486" s="34"/>
      <c r="O486" s="35"/>
      <c r="P486" s="35"/>
      <c r="Q486" s="35"/>
      <c r="R486" s="35"/>
      <c r="S486" s="74"/>
      <c r="AJ486" s="34"/>
      <c r="AK486" s="34"/>
      <c r="AL486" s="34"/>
      <c r="AM486" s="34"/>
      <c r="AN486" s="34"/>
      <c r="AQ486" s="67"/>
      <c r="AR486" s="67"/>
      <c r="AS486" s="67"/>
      <c r="AT486" s="67"/>
      <c r="AU486" s="67"/>
      <c r="AW486" s="68"/>
      <c r="AX486" s="68"/>
      <c r="AY486" s="68"/>
      <c r="AZ486" s="68"/>
      <c r="BA486" s="68"/>
      <c r="BB486" s="68"/>
    </row>
    <row r="487" spans="1:54" ht="13.5" thickBot="1">
      <c r="A487" s="103">
        <v>39388</v>
      </c>
      <c r="B487" s="104">
        <v>4.9685001373291016</v>
      </c>
      <c r="C487" s="105">
        <v>1509.6500244140625</v>
      </c>
      <c r="D487" s="104">
        <v>2.0889999866485596</v>
      </c>
      <c r="E487">
        <v>114.6657548155712</v>
      </c>
      <c r="F487">
        <v>806.01043701171875</v>
      </c>
      <c r="H487" s="34"/>
      <c r="I487" s="34"/>
      <c r="J487" s="34"/>
      <c r="K487" s="34"/>
      <c r="L487" s="34"/>
      <c r="N487" s="34"/>
      <c r="O487" s="35"/>
      <c r="P487" s="35"/>
      <c r="Q487" s="35"/>
      <c r="R487" s="35"/>
      <c r="S487" s="74"/>
      <c r="AJ487" s="34"/>
      <c r="AK487" s="34"/>
      <c r="AL487" s="34"/>
      <c r="AM487" s="34"/>
      <c r="AN487" s="34"/>
      <c r="AQ487" s="67"/>
      <c r="AR487" s="67"/>
      <c r="AS487" s="67"/>
      <c r="AT487" s="67"/>
      <c r="AU487" s="67"/>
      <c r="AW487" s="68"/>
      <c r="AX487" s="68"/>
      <c r="AY487" s="68"/>
      <c r="AZ487" s="68"/>
      <c r="BA487" s="68"/>
      <c r="BB487" s="68"/>
    </row>
    <row r="488" spans="1:54" ht="13.5" thickBot="1">
      <c r="A488" s="103">
        <v>39391</v>
      </c>
      <c r="B488" s="104">
        <v>5.0205001831054687</v>
      </c>
      <c r="C488" s="105">
        <v>1502.1700439453125</v>
      </c>
      <c r="D488" s="104">
        <v>2.0804998874664307</v>
      </c>
      <c r="E488">
        <v>114.37721322258588</v>
      </c>
      <c r="F488">
        <v>809.7550048828125</v>
      </c>
      <c r="H488" s="34"/>
      <c r="I488" s="34"/>
      <c r="J488" s="34"/>
      <c r="K488" s="34"/>
      <c r="L488" s="34"/>
      <c r="N488" s="34"/>
      <c r="O488" s="35"/>
      <c r="P488" s="35"/>
      <c r="Q488" s="35"/>
      <c r="R488" s="35"/>
      <c r="S488" s="74"/>
      <c r="AJ488" s="34"/>
      <c r="AK488" s="34"/>
      <c r="AL488" s="34"/>
      <c r="AM488" s="34"/>
      <c r="AN488" s="34"/>
      <c r="AQ488" s="67"/>
      <c r="AR488" s="67"/>
      <c r="AS488" s="67"/>
      <c r="AT488" s="67"/>
      <c r="AU488" s="67"/>
      <c r="AW488" s="68"/>
      <c r="AX488" s="68"/>
      <c r="AY488" s="68"/>
      <c r="AZ488" s="68"/>
      <c r="BA488" s="68"/>
      <c r="BB488" s="68"/>
    </row>
    <row r="489" spans="1:54" ht="13.5" thickBot="1">
      <c r="A489" s="103">
        <v>39392</v>
      </c>
      <c r="B489" s="104">
        <v>5.0714998245239258</v>
      </c>
      <c r="C489" s="105">
        <v>1520.27001953125</v>
      </c>
      <c r="D489" s="104">
        <v>2.0868000984191895</v>
      </c>
      <c r="E489">
        <v>114.6657548155712</v>
      </c>
      <c r="F489">
        <v>820.70440673828125</v>
      </c>
      <c r="H489" s="34"/>
      <c r="I489" s="34"/>
      <c r="J489" s="34"/>
      <c r="K489" s="34"/>
      <c r="L489" s="34"/>
      <c r="N489" s="34"/>
      <c r="O489" s="35"/>
      <c r="P489" s="35"/>
      <c r="Q489" s="35"/>
      <c r="R489" s="35"/>
      <c r="S489" s="74"/>
      <c r="AJ489" s="34"/>
      <c r="AK489" s="34"/>
      <c r="AL489" s="34"/>
      <c r="AM489" s="34"/>
      <c r="AN489" s="34"/>
      <c r="AQ489" s="67"/>
      <c r="AR489" s="67"/>
      <c r="AS489" s="67"/>
      <c r="AT489" s="67"/>
      <c r="AU489" s="67"/>
      <c r="AW489" s="68"/>
      <c r="AX489" s="68"/>
      <c r="AY489" s="68"/>
      <c r="AZ489" s="68"/>
      <c r="BA489" s="68"/>
      <c r="BB489" s="68"/>
    </row>
    <row r="490" spans="1:54" ht="13.5" thickBot="1">
      <c r="A490" s="103">
        <v>39393</v>
      </c>
      <c r="B490" s="104">
        <v>5.0669999122619629</v>
      </c>
      <c r="C490" s="105">
        <v>1475.6199951171875</v>
      </c>
      <c r="D490" s="104">
        <v>2.1045999526977539</v>
      </c>
      <c r="E490">
        <v>112.90505083473613</v>
      </c>
      <c r="F490">
        <v>832.75372314453125</v>
      </c>
      <c r="H490" s="34"/>
      <c r="I490" s="34"/>
      <c r="J490" s="34"/>
      <c r="K490" s="34"/>
      <c r="L490" s="34"/>
      <c r="N490" s="34"/>
      <c r="O490" s="35"/>
      <c r="P490" s="35"/>
      <c r="Q490" s="35"/>
      <c r="R490" s="35"/>
      <c r="S490" s="74"/>
      <c r="AJ490" s="34"/>
      <c r="AK490" s="34"/>
      <c r="AL490" s="34"/>
      <c r="AM490" s="34"/>
      <c r="AN490" s="34"/>
      <c r="AQ490" s="67"/>
      <c r="AR490" s="67"/>
      <c r="AS490" s="67"/>
      <c r="AT490" s="67"/>
      <c r="AU490" s="67"/>
      <c r="AW490" s="68"/>
      <c r="AX490" s="68"/>
      <c r="AY490" s="68"/>
      <c r="AZ490" s="68"/>
      <c r="BA490" s="68"/>
      <c r="BB490" s="68"/>
    </row>
    <row r="491" spans="1:54" ht="13.5" thickBot="1">
      <c r="A491" s="103">
        <v>39394</v>
      </c>
      <c r="B491" s="104">
        <v>5.0349998474121094</v>
      </c>
      <c r="C491" s="105">
        <v>1474.77001953125</v>
      </c>
      <c r="D491" s="104">
        <v>2.1089999675750732</v>
      </c>
      <c r="E491">
        <v>112.35955330838226</v>
      </c>
      <c r="F491">
        <v>829.5078125</v>
      </c>
      <c r="H491" s="34"/>
      <c r="I491" s="34"/>
      <c r="J491" s="34"/>
      <c r="K491" s="34"/>
      <c r="L491" s="34"/>
      <c r="N491" s="34"/>
      <c r="O491" s="35"/>
      <c r="P491" s="35"/>
      <c r="Q491" s="35"/>
      <c r="R491" s="35"/>
      <c r="S491" s="74"/>
      <c r="AJ491" s="34"/>
      <c r="AK491" s="34"/>
      <c r="AL491" s="34"/>
      <c r="AM491" s="34"/>
      <c r="AN491" s="34"/>
      <c r="AQ491" s="67"/>
      <c r="AR491" s="67"/>
      <c r="AS491" s="67"/>
      <c r="AT491" s="67"/>
      <c r="AU491" s="67"/>
      <c r="AW491" s="68"/>
      <c r="AX491" s="68"/>
      <c r="AY491" s="68"/>
      <c r="AZ491" s="68"/>
      <c r="BA491" s="68"/>
      <c r="BB491" s="68"/>
    </row>
    <row r="492" spans="1:54" ht="13.5" thickBot="1">
      <c r="A492" s="103">
        <v>39395</v>
      </c>
      <c r="B492" s="104">
        <v>4.9728469848632812</v>
      </c>
      <c r="C492" s="105">
        <v>1453.699951171875</v>
      </c>
      <c r="D492" s="104">
        <v>2.0912001132965088</v>
      </c>
      <c r="E492">
        <v>111.09876861791562</v>
      </c>
      <c r="F492">
        <v>831.60760498046875</v>
      </c>
      <c r="H492" s="34"/>
      <c r="I492" s="34"/>
      <c r="J492" s="34"/>
      <c r="K492" s="34"/>
      <c r="L492" s="34"/>
      <c r="N492" s="34"/>
      <c r="O492" s="35"/>
      <c r="P492" s="35"/>
      <c r="Q492" s="35"/>
      <c r="R492" s="35"/>
      <c r="S492" s="74"/>
      <c r="AJ492" s="34"/>
      <c r="AK492" s="34"/>
      <c r="AL492" s="34"/>
      <c r="AM492" s="34"/>
      <c r="AN492" s="34"/>
      <c r="AQ492" s="67"/>
      <c r="AR492" s="67"/>
      <c r="AS492" s="67"/>
      <c r="AT492" s="67"/>
      <c r="AU492" s="67"/>
      <c r="AW492" s="68"/>
      <c r="AX492" s="68"/>
      <c r="AY492" s="68"/>
      <c r="AZ492" s="68"/>
      <c r="BA492" s="68"/>
      <c r="BB492" s="68"/>
    </row>
    <row r="493" spans="1:54" ht="13.5" thickBot="1">
      <c r="A493" s="103">
        <v>39398</v>
      </c>
      <c r="B493" s="104">
        <v>4.9728469848632812</v>
      </c>
      <c r="C493" s="105">
        <v>1439.1800537109375</v>
      </c>
      <c r="D493" s="104">
        <v>2.0601000785827637</v>
      </c>
      <c r="E493">
        <v>110.07155182028723</v>
      </c>
      <c r="F493">
        <v>805.9552001953125</v>
      </c>
      <c r="H493" s="34"/>
      <c r="I493" s="34"/>
      <c r="J493" s="34"/>
      <c r="K493" s="34"/>
      <c r="L493" s="34"/>
      <c r="N493" s="34"/>
      <c r="O493" s="35"/>
      <c r="P493" s="35"/>
      <c r="Q493" s="35"/>
      <c r="R493" s="35"/>
      <c r="S493" s="74"/>
      <c r="AJ493" s="34"/>
      <c r="AK493" s="34"/>
      <c r="AL493" s="34"/>
      <c r="AM493" s="34"/>
      <c r="AN493" s="34"/>
      <c r="AQ493" s="67"/>
      <c r="AR493" s="67"/>
      <c r="AS493" s="67"/>
      <c r="AT493" s="67"/>
      <c r="AU493" s="67"/>
      <c r="AW493" s="68"/>
      <c r="AX493" s="68"/>
      <c r="AY493" s="68"/>
      <c r="AZ493" s="68"/>
      <c r="BA493" s="68"/>
      <c r="BB493" s="68"/>
    </row>
    <row r="494" spans="1:54" ht="13.5" thickBot="1">
      <c r="A494" s="103">
        <v>39399</v>
      </c>
      <c r="B494" s="104">
        <v>4.9914999008178711</v>
      </c>
      <c r="C494" s="105">
        <v>1481.050048828125</v>
      </c>
      <c r="D494" s="104">
        <v>2.0694000720977783</v>
      </c>
      <c r="E494">
        <v>110.79104469295763</v>
      </c>
      <c r="F494">
        <v>798.1556396484375</v>
      </c>
      <c r="H494" s="34"/>
      <c r="I494" s="34"/>
      <c r="J494" s="34"/>
      <c r="K494" s="34"/>
      <c r="L494" s="34"/>
      <c r="N494" s="34"/>
      <c r="O494" s="35"/>
      <c r="P494" s="35"/>
      <c r="Q494" s="35"/>
      <c r="R494" s="35"/>
      <c r="S494" s="74"/>
      <c r="AJ494" s="34"/>
      <c r="AK494" s="34"/>
      <c r="AL494" s="34"/>
      <c r="AM494" s="34"/>
      <c r="AN494" s="34"/>
      <c r="AQ494" s="67"/>
      <c r="AR494" s="67"/>
      <c r="AS494" s="67"/>
      <c r="AT494" s="67"/>
      <c r="AU494" s="67"/>
      <c r="AW494" s="68"/>
      <c r="AX494" s="68"/>
      <c r="AY494" s="68"/>
      <c r="AZ494" s="68"/>
      <c r="BA494" s="68"/>
      <c r="BB494" s="68"/>
    </row>
    <row r="495" spans="1:54" ht="13.5" thickBot="1">
      <c r="A495" s="103">
        <v>39400</v>
      </c>
      <c r="B495" s="104">
        <v>4.9819998741149902</v>
      </c>
      <c r="C495" s="105">
        <v>1470.5799560546875</v>
      </c>
      <c r="D495" s="104">
        <v>2.0553998947143555</v>
      </c>
      <c r="E495">
        <v>111.66945879706195</v>
      </c>
      <c r="F495">
        <v>814.05474853515625</v>
      </c>
      <c r="H495" s="34"/>
      <c r="I495" s="34"/>
      <c r="J495" s="34"/>
      <c r="K495" s="34"/>
      <c r="L495" s="34"/>
      <c r="N495" s="34"/>
      <c r="O495" s="35"/>
      <c r="P495" s="35"/>
      <c r="Q495" s="35"/>
      <c r="R495" s="35"/>
      <c r="S495" s="74"/>
      <c r="AJ495" s="34"/>
      <c r="AK495" s="34"/>
      <c r="AL495" s="34"/>
      <c r="AM495" s="34"/>
      <c r="AN495" s="34"/>
      <c r="AQ495" s="67"/>
      <c r="AR495" s="67"/>
      <c r="AS495" s="67"/>
      <c r="AT495" s="67"/>
      <c r="AU495" s="67"/>
      <c r="AW495" s="68"/>
      <c r="AX495" s="68"/>
      <c r="AY495" s="68"/>
      <c r="AZ495" s="68"/>
      <c r="BA495" s="68"/>
      <c r="BB495" s="68"/>
    </row>
    <row r="496" spans="1:54" ht="13.5" thickBot="1">
      <c r="A496" s="103">
        <v>39401</v>
      </c>
      <c r="B496" s="104">
        <v>4.8959999084472656</v>
      </c>
      <c r="C496" s="105">
        <v>1451.1500244140625</v>
      </c>
      <c r="D496" s="104">
        <v>2.0429000854492187</v>
      </c>
      <c r="E496">
        <v>110.31439188696324</v>
      </c>
      <c r="F496">
        <v>786.36260986328125</v>
      </c>
      <c r="H496" s="34"/>
      <c r="I496" s="34"/>
      <c r="J496" s="34"/>
      <c r="K496" s="34"/>
      <c r="L496" s="34"/>
      <c r="N496" s="34"/>
      <c r="O496" s="35"/>
      <c r="P496" s="35"/>
      <c r="Q496" s="35"/>
      <c r="R496" s="35"/>
      <c r="S496" s="74"/>
      <c r="AJ496" s="34"/>
      <c r="AK496" s="34"/>
      <c r="AL496" s="34"/>
      <c r="AM496" s="34"/>
      <c r="AN496" s="34"/>
      <c r="AQ496" s="67"/>
      <c r="AR496" s="67"/>
      <c r="AS496" s="67"/>
      <c r="AT496" s="67"/>
      <c r="AU496" s="67"/>
      <c r="AW496" s="68"/>
      <c r="AX496" s="68"/>
      <c r="AY496" s="68"/>
      <c r="AZ496" s="68"/>
      <c r="BA496" s="68"/>
      <c r="BB496" s="68"/>
    </row>
    <row r="497" spans="1:54" ht="13.5" thickBot="1">
      <c r="A497" s="103">
        <v>39402</v>
      </c>
      <c r="B497" s="104">
        <v>4.8880000114440918</v>
      </c>
      <c r="C497" s="105">
        <v>1458.739990234375</v>
      </c>
      <c r="D497" s="104">
        <v>2.0517001152038574</v>
      </c>
      <c r="E497">
        <v>110.81560535039877</v>
      </c>
      <c r="F497">
        <v>788.5623779296875</v>
      </c>
      <c r="H497" s="34"/>
      <c r="I497" s="34"/>
      <c r="J497" s="34"/>
      <c r="K497" s="34"/>
      <c r="L497" s="34"/>
      <c r="N497" s="34"/>
      <c r="O497" s="35"/>
      <c r="P497" s="35"/>
      <c r="Q497" s="35"/>
      <c r="R497" s="35"/>
      <c r="S497" s="74"/>
      <c r="AJ497" s="34"/>
      <c r="AK497" s="34"/>
      <c r="AL497" s="34"/>
      <c r="AM497" s="34"/>
      <c r="AN497" s="34"/>
      <c r="AQ497" s="67"/>
      <c r="AR497" s="67"/>
      <c r="AS497" s="67"/>
      <c r="AT497" s="67"/>
      <c r="AU497" s="67"/>
      <c r="AW497" s="68"/>
      <c r="AX497" s="68"/>
      <c r="AY497" s="68"/>
      <c r="AZ497" s="68"/>
      <c r="BA497" s="68"/>
      <c r="BB497" s="68"/>
    </row>
    <row r="498" spans="1:54" ht="13.5" thickBot="1">
      <c r="A498" s="103">
        <v>39405</v>
      </c>
      <c r="B498" s="104">
        <v>4.8454999923706055</v>
      </c>
      <c r="C498" s="105">
        <v>1433.27001953125</v>
      </c>
      <c r="D498" s="104">
        <v>2.0488998889923096</v>
      </c>
      <c r="E498">
        <v>109.8177031678775</v>
      </c>
      <c r="F498">
        <v>778.50677490234375</v>
      </c>
      <c r="H498" s="34"/>
      <c r="I498" s="34"/>
      <c r="J498" s="34"/>
      <c r="K498" s="34"/>
      <c r="L498" s="34"/>
      <c r="N498" s="34"/>
      <c r="O498" s="35"/>
      <c r="P498" s="35"/>
      <c r="Q498" s="35"/>
      <c r="R498" s="35"/>
      <c r="S498" s="74"/>
      <c r="AJ498" s="34"/>
      <c r="AK498" s="34"/>
      <c r="AL498" s="34"/>
      <c r="AM498" s="34"/>
      <c r="AN498" s="34"/>
      <c r="AQ498" s="67"/>
      <c r="AR498" s="67"/>
      <c r="AS498" s="67"/>
      <c r="AT498" s="67"/>
      <c r="AU498" s="67"/>
      <c r="AW498" s="68"/>
      <c r="AX498" s="68"/>
      <c r="AY498" s="68"/>
      <c r="AZ498" s="68"/>
      <c r="BA498" s="68"/>
      <c r="BB498" s="68"/>
    </row>
    <row r="499" spans="1:54" ht="13.5" thickBot="1">
      <c r="A499" s="103">
        <v>39406</v>
      </c>
      <c r="B499" s="104">
        <v>4.8590002059936523</v>
      </c>
      <c r="C499" s="105">
        <v>1439.699951171875</v>
      </c>
      <c r="D499" s="104">
        <v>2.0659999847412109</v>
      </c>
      <c r="E499">
        <v>109.69724086990192</v>
      </c>
      <c r="F499">
        <v>792.333984375</v>
      </c>
      <c r="H499" s="34"/>
      <c r="I499" s="34"/>
      <c r="J499" s="34"/>
      <c r="K499" s="34"/>
      <c r="L499" s="34"/>
      <c r="N499" s="34"/>
      <c r="O499" s="35"/>
      <c r="P499" s="35"/>
      <c r="Q499" s="35"/>
      <c r="R499" s="35"/>
      <c r="S499" s="74"/>
      <c r="AJ499" s="34"/>
      <c r="AK499" s="34"/>
      <c r="AL499" s="34"/>
      <c r="AM499" s="34"/>
      <c r="AN499" s="34"/>
      <c r="AQ499" s="67"/>
      <c r="AR499" s="67"/>
      <c r="AS499" s="67"/>
      <c r="AT499" s="67"/>
      <c r="AU499" s="67"/>
      <c r="AW499" s="68"/>
      <c r="AX499" s="68"/>
      <c r="AY499" s="68"/>
      <c r="AZ499" s="68"/>
      <c r="BA499" s="68"/>
      <c r="BB499" s="68"/>
    </row>
    <row r="500" spans="1:54" ht="13.5" thickBot="1">
      <c r="A500" s="103">
        <v>39407</v>
      </c>
      <c r="B500" s="104">
        <v>4.8308320045471191</v>
      </c>
      <c r="C500" s="105">
        <v>1416.77001953125</v>
      </c>
      <c r="D500" s="104">
        <v>2.062000036239624</v>
      </c>
      <c r="E500">
        <v>108.62481245321763</v>
      </c>
      <c r="F500">
        <v>797.43072509765625</v>
      </c>
      <c r="H500" s="34"/>
      <c r="I500" s="34"/>
      <c r="J500" s="34"/>
      <c r="K500" s="34"/>
      <c r="L500" s="34"/>
      <c r="N500" s="34"/>
      <c r="O500" s="35"/>
      <c r="P500" s="35"/>
      <c r="Q500" s="35"/>
      <c r="R500" s="35"/>
      <c r="S500" s="74"/>
      <c r="AJ500" s="34"/>
      <c r="AK500" s="34"/>
      <c r="AL500" s="34"/>
      <c r="AM500" s="34"/>
      <c r="AN500" s="34"/>
      <c r="AQ500" s="67"/>
      <c r="AR500" s="67"/>
      <c r="AS500" s="67"/>
      <c r="AT500" s="67"/>
      <c r="AU500" s="67"/>
      <c r="AW500" s="68"/>
      <c r="AX500" s="68"/>
      <c r="AY500" s="68"/>
      <c r="AZ500" s="68"/>
      <c r="BA500" s="68"/>
      <c r="BB500" s="68"/>
    </row>
    <row r="501" spans="1:54" ht="13.5" thickBot="1">
      <c r="A501" s="103">
        <v>39408</v>
      </c>
      <c r="B501" s="104">
        <v>4.8308320045471191</v>
      </c>
      <c r="C501" s="105">
        <v>1416.77001953125</v>
      </c>
      <c r="D501" s="104">
        <v>2.0613999366760254</v>
      </c>
      <c r="E501">
        <v>108.44811151388859</v>
      </c>
      <c r="F501">
        <v>803.08575439453125</v>
      </c>
      <c r="H501" s="34"/>
      <c r="I501" s="34"/>
      <c r="J501" s="34"/>
      <c r="K501" s="34"/>
      <c r="L501" s="34"/>
      <c r="N501" s="34"/>
      <c r="O501" s="35"/>
      <c r="P501" s="35"/>
      <c r="Q501" s="35"/>
      <c r="R501" s="35"/>
      <c r="S501" s="74"/>
      <c r="AJ501" s="34"/>
      <c r="AK501" s="34"/>
      <c r="AL501" s="34"/>
      <c r="AM501" s="34"/>
      <c r="AN501" s="34"/>
      <c r="AQ501" s="67"/>
      <c r="AR501" s="67"/>
      <c r="AS501" s="67"/>
      <c r="AT501" s="67"/>
      <c r="AU501" s="67"/>
      <c r="AW501" s="68"/>
      <c r="AX501" s="68"/>
      <c r="AY501" s="68"/>
      <c r="AZ501" s="68"/>
      <c r="BA501" s="68"/>
      <c r="BB501" s="68"/>
    </row>
    <row r="502" spans="1:54" ht="13.5" thickBot="1">
      <c r="A502" s="103">
        <v>39409</v>
      </c>
      <c r="B502" s="104">
        <v>4.7744998931884766</v>
      </c>
      <c r="C502" s="105">
        <v>1440.699951171875</v>
      </c>
      <c r="D502" s="104">
        <v>2.0606999397277832</v>
      </c>
      <c r="E502">
        <v>108.23681902393889</v>
      </c>
      <c r="F502">
        <v>814.909423828125</v>
      </c>
      <c r="H502" s="34"/>
      <c r="I502" s="34"/>
      <c r="J502" s="34"/>
      <c r="K502" s="34"/>
      <c r="L502" s="34"/>
      <c r="N502" s="34"/>
      <c r="O502" s="35"/>
      <c r="P502" s="35"/>
      <c r="Q502" s="35"/>
      <c r="R502" s="35"/>
      <c r="S502" s="74"/>
      <c r="AJ502" s="34"/>
      <c r="AK502" s="34"/>
      <c r="AL502" s="34"/>
      <c r="AM502" s="34"/>
      <c r="AN502" s="34"/>
      <c r="AQ502" s="67"/>
      <c r="AR502" s="67"/>
      <c r="AS502" s="67"/>
      <c r="AT502" s="67"/>
      <c r="AU502" s="67"/>
      <c r="AW502" s="68"/>
      <c r="AX502" s="68"/>
      <c r="AY502" s="68"/>
      <c r="AZ502" s="68"/>
      <c r="BA502" s="68"/>
      <c r="BB502" s="68"/>
    </row>
    <row r="503" spans="1:54" ht="13.5" thickBot="1">
      <c r="A503" s="103">
        <v>39412</v>
      </c>
      <c r="B503" s="104">
        <v>4.5529999732971191</v>
      </c>
      <c r="C503" s="105">
        <v>1407.219970703125</v>
      </c>
      <c r="D503" s="104">
        <v>2.0717999935150146</v>
      </c>
      <c r="E503">
        <v>107.81671611127874</v>
      </c>
      <c r="F503">
        <v>826.35406494140625</v>
      </c>
      <c r="H503" s="34"/>
      <c r="I503" s="34"/>
      <c r="J503" s="34"/>
      <c r="K503" s="34"/>
      <c r="L503" s="34"/>
      <c r="N503" s="34"/>
      <c r="O503" s="35"/>
      <c r="P503" s="35"/>
      <c r="Q503" s="35"/>
      <c r="R503" s="35"/>
      <c r="S503" s="74"/>
      <c r="AJ503" s="34"/>
      <c r="AK503" s="34"/>
      <c r="AL503" s="34"/>
      <c r="AM503" s="34"/>
      <c r="AN503" s="34"/>
      <c r="AQ503" s="67"/>
      <c r="AR503" s="67"/>
      <c r="AS503" s="67"/>
      <c r="AT503" s="67"/>
      <c r="AU503" s="67"/>
      <c r="AW503" s="68"/>
      <c r="AX503" s="68"/>
      <c r="AY503" s="68"/>
      <c r="AZ503" s="68"/>
      <c r="BA503" s="68"/>
      <c r="BB503" s="68"/>
    </row>
    <row r="504" spans="1:54" ht="13.5" thickBot="1">
      <c r="A504" s="103">
        <v>39413</v>
      </c>
      <c r="B504" s="104">
        <v>4.6490001678466797</v>
      </c>
      <c r="C504" s="105">
        <v>1428.22998046875</v>
      </c>
      <c r="D504" s="104">
        <v>2.0692000389099121</v>
      </c>
      <c r="E504">
        <v>108.56584453596456</v>
      </c>
      <c r="F504">
        <v>814.05474853515625</v>
      </c>
      <c r="H504" s="34"/>
      <c r="I504" s="34"/>
      <c r="J504" s="34"/>
      <c r="K504" s="34"/>
      <c r="L504" s="34"/>
      <c r="N504" s="34"/>
      <c r="O504" s="35"/>
      <c r="P504" s="35"/>
      <c r="Q504" s="35"/>
      <c r="R504" s="35"/>
      <c r="S504" s="74"/>
      <c r="AJ504" s="34"/>
      <c r="AK504" s="34"/>
      <c r="AL504" s="34"/>
      <c r="AM504" s="34"/>
      <c r="AN504" s="34"/>
      <c r="AQ504" s="67"/>
      <c r="AR504" s="67"/>
      <c r="AS504" s="67"/>
      <c r="AT504" s="67"/>
      <c r="AU504" s="67"/>
      <c r="AW504" s="68"/>
      <c r="AX504" s="68"/>
      <c r="AY504" s="68"/>
      <c r="AZ504" s="68"/>
      <c r="BA504" s="68"/>
      <c r="BB504" s="68"/>
    </row>
    <row r="505" spans="1:54" ht="13.5" thickBot="1">
      <c r="A505" s="103">
        <v>39414</v>
      </c>
      <c r="B505" s="104">
        <v>4.7030000686645508</v>
      </c>
      <c r="C505" s="105">
        <v>1469.02001953125</v>
      </c>
      <c r="D505" s="104">
        <v>2.0811998844146729</v>
      </c>
      <c r="E505">
        <v>109.97471038662844</v>
      </c>
      <c r="F505">
        <v>799.45556640625</v>
      </c>
      <c r="H505" s="34"/>
      <c r="I505" s="34"/>
      <c r="J505" s="34"/>
      <c r="K505" s="34"/>
      <c r="L505" s="34"/>
      <c r="N505" s="34"/>
      <c r="O505" s="35"/>
      <c r="P505" s="35"/>
      <c r="Q505" s="35"/>
      <c r="R505" s="35"/>
      <c r="S505" s="74"/>
      <c r="AJ505" s="34"/>
      <c r="AK505" s="34"/>
      <c r="AL505" s="34"/>
      <c r="AM505" s="34"/>
      <c r="AN505" s="34"/>
      <c r="AQ505" s="67"/>
      <c r="AR505" s="67"/>
      <c r="AS505" s="67"/>
      <c r="AT505" s="67"/>
      <c r="AU505" s="67"/>
      <c r="AW505" s="68"/>
      <c r="AX505" s="68"/>
      <c r="AY505" s="68"/>
      <c r="AZ505" s="68"/>
      <c r="BA505" s="68"/>
      <c r="BB505" s="68"/>
    </row>
    <row r="506" spans="1:54" ht="13.5" thickBot="1">
      <c r="A506" s="103">
        <v>39415</v>
      </c>
      <c r="B506" s="104">
        <v>4.6149997711181641</v>
      </c>
      <c r="C506" s="105">
        <v>1469.719970703125</v>
      </c>
      <c r="D506" s="104">
        <v>2.0615999698638916</v>
      </c>
      <c r="E506">
        <v>109.84182288790596</v>
      </c>
      <c r="F506">
        <v>796.81146240234375</v>
      </c>
      <c r="H506" s="34"/>
      <c r="I506" s="34"/>
      <c r="J506" s="34"/>
      <c r="K506" s="34"/>
      <c r="L506" s="34"/>
      <c r="N506" s="34"/>
      <c r="O506" s="35"/>
      <c r="P506" s="35"/>
      <c r="Q506" s="35"/>
      <c r="R506" s="35"/>
      <c r="S506" s="74"/>
      <c r="AJ506" s="34"/>
      <c r="AK506" s="34"/>
      <c r="AL506" s="34"/>
      <c r="AM506" s="34"/>
      <c r="AN506" s="34"/>
      <c r="AQ506" s="67"/>
      <c r="AR506" s="67"/>
      <c r="AS506" s="67"/>
      <c r="AT506" s="67"/>
      <c r="AU506" s="67"/>
      <c r="AW506" s="68"/>
      <c r="AX506" s="68"/>
      <c r="AY506" s="68"/>
      <c r="AZ506" s="68"/>
      <c r="BA506" s="68"/>
      <c r="BB506" s="68"/>
    </row>
    <row r="507" spans="1:54" ht="13.5" thickBot="1">
      <c r="A507" s="103">
        <v>39416</v>
      </c>
      <c r="B507" s="104">
        <v>4.6164999008178711</v>
      </c>
      <c r="C507" s="105">
        <v>1481.1400146484375</v>
      </c>
      <c r="D507" s="104">
        <v>2.0567500591278076</v>
      </c>
      <c r="E507">
        <v>111.14816269005964</v>
      </c>
      <c r="F507">
        <v>782.613037109375</v>
      </c>
      <c r="H507" s="34"/>
      <c r="I507" s="34"/>
      <c r="J507" s="34"/>
      <c r="K507" s="34"/>
      <c r="L507" s="34"/>
      <c r="N507" s="34"/>
      <c r="O507" s="35"/>
      <c r="P507" s="35"/>
      <c r="Q507" s="35"/>
      <c r="R507" s="35"/>
      <c r="S507" s="74"/>
      <c r="AJ507" s="34"/>
      <c r="AK507" s="34"/>
      <c r="AL507" s="34"/>
      <c r="AM507" s="34"/>
      <c r="AN507" s="34"/>
      <c r="AQ507" s="67"/>
      <c r="AR507" s="67"/>
      <c r="AS507" s="67"/>
      <c r="AT507" s="67"/>
      <c r="AU507" s="67"/>
      <c r="AW507" s="68"/>
      <c r="AX507" s="68"/>
      <c r="AY507" s="68"/>
      <c r="AZ507" s="68"/>
      <c r="BA507" s="68"/>
      <c r="BB507" s="68"/>
    </row>
    <row r="508" spans="1:54" ht="13.5" thickBot="1">
      <c r="A508" s="103">
        <v>39419</v>
      </c>
      <c r="B508" s="104">
        <v>4.566500186920166</v>
      </c>
      <c r="C508" s="105">
        <v>1472.4200439453125</v>
      </c>
      <c r="D508" s="104">
        <v>2.0668001174926758</v>
      </c>
      <c r="E508">
        <v>110.46061775088639</v>
      </c>
      <c r="F508">
        <v>786.15631103515625</v>
      </c>
      <c r="H508" s="34"/>
      <c r="I508" s="34"/>
      <c r="J508" s="34"/>
      <c r="K508" s="34"/>
      <c r="L508" s="34"/>
      <c r="N508" s="34"/>
      <c r="O508" s="35"/>
      <c r="P508" s="35"/>
      <c r="Q508" s="35"/>
      <c r="R508" s="35"/>
      <c r="S508" s="74"/>
      <c r="AJ508" s="34"/>
      <c r="AK508" s="34"/>
      <c r="AL508" s="34"/>
      <c r="AM508" s="34"/>
      <c r="AN508" s="34"/>
      <c r="AQ508" s="67"/>
      <c r="AR508" s="67"/>
      <c r="AS508" s="67"/>
      <c r="AT508" s="67"/>
      <c r="AU508" s="67"/>
      <c r="AW508" s="68"/>
      <c r="AX508" s="68"/>
      <c r="AY508" s="68"/>
      <c r="AZ508" s="68"/>
      <c r="BA508" s="68"/>
      <c r="BB508" s="68"/>
    </row>
    <row r="509" spans="1:54" ht="13.5" thickBot="1">
      <c r="A509" s="103">
        <v>39420</v>
      </c>
      <c r="B509" s="104">
        <v>4.5714998245239258</v>
      </c>
      <c r="C509" s="105">
        <v>1462.7900390625</v>
      </c>
      <c r="D509" s="104">
        <v>2.0578498840332031</v>
      </c>
      <c r="E509">
        <v>109.89010537351611</v>
      </c>
      <c r="F509">
        <v>803.05535888671875</v>
      </c>
      <c r="H509" s="34"/>
      <c r="I509" s="34"/>
      <c r="J509" s="34"/>
      <c r="K509" s="34"/>
      <c r="L509" s="34"/>
      <c r="N509" s="34"/>
      <c r="O509" s="35"/>
      <c r="P509" s="35"/>
      <c r="Q509" s="35"/>
      <c r="R509" s="35"/>
      <c r="S509" s="74"/>
      <c r="AJ509" s="34"/>
      <c r="AK509" s="34"/>
      <c r="AL509" s="34"/>
      <c r="AM509" s="34"/>
      <c r="AN509" s="34"/>
      <c r="AQ509" s="67"/>
      <c r="AR509" s="67"/>
      <c r="AS509" s="67"/>
      <c r="AT509" s="67"/>
      <c r="AU509" s="67"/>
      <c r="AW509" s="68"/>
      <c r="AX509" s="68"/>
      <c r="AY509" s="68"/>
      <c r="AZ509" s="68"/>
      <c r="BA509" s="68"/>
      <c r="BB509" s="68"/>
    </row>
    <row r="510" spans="1:54" ht="13.5" thickBot="1">
      <c r="A510" s="103">
        <v>39421</v>
      </c>
      <c r="B510" s="104">
        <v>4.5890002250671387</v>
      </c>
      <c r="C510" s="105">
        <v>1485.010009765625</v>
      </c>
      <c r="D510" s="104">
        <v>2.0260000228881836</v>
      </c>
      <c r="E510">
        <v>110.55831721494914</v>
      </c>
      <c r="F510">
        <v>798.1556396484375</v>
      </c>
      <c r="H510" s="34"/>
      <c r="I510" s="34"/>
      <c r="J510" s="34"/>
      <c r="K510" s="34"/>
      <c r="L510" s="34"/>
      <c r="N510" s="34"/>
      <c r="O510" s="35"/>
      <c r="P510" s="35"/>
      <c r="Q510" s="35"/>
      <c r="R510" s="35"/>
      <c r="S510" s="74"/>
      <c r="AJ510" s="34"/>
      <c r="AK510" s="34"/>
      <c r="AL510" s="34"/>
      <c r="AM510" s="34"/>
      <c r="AN510" s="34"/>
      <c r="AQ510" s="67"/>
      <c r="AR510" s="67"/>
      <c r="AS510" s="67"/>
      <c r="AT510" s="67"/>
      <c r="AU510" s="67"/>
      <c r="AW510" s="68"/>
      <c r="AX510" s="68"/>
      <c r="AY510" s="68"/>
      <c r="AZ510" s="68"/>
      <c r="BA510" s="68"/>
      <c r="BB510" s="68"/>
    </row>
    <row r="511" spans="1:54" ht="13.5" thickBot="1">
      <c r="A511" s="103">
        <v>39422</v>
      </c>
      <c r="B511" s="104">
        <v>4.6735000610351563</v>
      </c>
      <c r="C511" s="105">
        <v>1507.3399658203125</v>
      </c>
      <c r="D511" s="104">
        <v>2.0290999412536621</v>
      </c>
      <c r="E511">
        <v>111.42061131494133</v>
      </c>
      <c r="F511">
        <v>805.31048583984375</v>
      </c>
      <c r="H511" s="34"/>
      <c r="I511" s="34"/>
      <c r="J511" s="34"/>
      <c r="K511" s="34"/>
      <c r="L511" s="34"/>
      <c r="N511" s="34"/>
      <c r="O511" s="35"/>
      <c r="P511" s="35"/>
      <c r="Q511" s="35"/>
      <c r="R511" s="35"/>
      <c r="S511" s="74"/>
      <c r="AJ511" s="34"/>
      <c r="AK511" s="34"/>
      <c r="AL511" s="34"/>
      <c r="AM511" s="34"/>
      <c r="AN511" s="34"/>
      <c r="AQ511" s="67"/>
      <c r="AR511" s="67"/>
      <c r="AS511" s="67"/>
      <c r="AT511" s="67"/>
      <c r="AU511" s="67"/>
      <c r="AW511" s="68"/>
      <c r="AX511" s="68"/>
      <c r="AY511" s="68"/>
      <c r="AZ511" s="68"/>
      <c r="BA511" s="68"/>
      <c r="BB511" s="68"/>
    </row>
    <row r="512" spans="1:54" ht="13.5" thickBot="1">
      <c r="A512" s="103">
        <v>39423</v>
      </c>
      <c r="B512" s="104">
        <v>4.8340001106262207</v>
      </c>
      <c r="C512" s="105">
        <v>1504.6600341796875</v>
      </c>
      <c r="D512" s="104">
        <v>2.0315001010894775</v>
      </c>
      <c r="E512">
        <v>111.69439888503436</v>
      </c>
      <c r="F512">
        <v>795.21160888671875</v>
      </c>
      <c r="H512" s="34"/>
      <c r="I512" s="34"/>
      <c r="J512" s="34"/>
      <c r="K512" s="34"/>
      <c r="L512" s="34"/>
      <c r="N512" s="34"/>
      <c r="O512" s="35"/>
      <c r="P512" s="35"/>
      <c r="Q512" s="35"/>
      <c r="R512" s="35"/>
      <c r="S512" s="74"/>
      <c r="AJ512" s="34"/>
      <c r="AK512" s="34"/>
      <c r="AL512" s="34"/>
      <c r="AM512" s="34"/>
      <c r="AN512" s="34"/>
      <c r="AQ512" s="67"/>
      <c r="AR512" s="67"/>
      <c r="AS512" s="67"/>
      <c r="AT512" s="67"/>
      <c r="AU512" s="67"/>
      <c r="AW512" s="68"/>
      <c r="AX512" s="68"/>
      <c r="AY512" s="68"/>
      <c r="AZ512" s="68"/>
      <c r="BA512" s="68"/>
      <c r="BB512" s="68"/>
    </row>
    <row r="513" spans="1:54" ht="13.5" thickBot="1">
      <c r="A513" s="103">
        <v>39426</v>
      </c>
      <c r="B513" s="104">
        <v>4.8720002174377441</v>
      </c>
      <c r="C513" s="105">
        <v>1515.9599609375</v>
      </c>
      <c r="D513" s="104">
        <v>2.0460999011993408</v>
      </c>
      <c r="E513">
        <v>111.68193325680831</v>
      </c>
      <c r="F513">
        <v>808.25506591796875</v>
      </c>
      <c r="H513" s="34"/>
      <c r="I513" s="34"/>
      <c r="J513" s="34"/>
      <c r="K513" s="34"/>
      <c r="L513" s="34"/>
      <c r="N513" s="34"/>
      <c r="O513" s="35"/>
      <c r="P513" s="35"/>
      <c r="Q513" s="35"/>
      <c r="R513" s="35"/>
      <c r="S513" s="74"/>
      <c r="AJ513" s="34"/>
      <c r="AK513" s="34"/>
      <c r="AL513" s="34"/>
      <c r="AM513" s="34"/>
      <c r="AN513" s="34"/>
      <c r="AQ513" s="67"/>
      <c r="AR513" s="67"/>
      <c r="AS513" s="67"/>
      <c r="AT513" s="67"/>
      <c r="AU513" s="67"/>
      <c r="AW513" s="68"/>
      <c r="AX513" s="68"/>
      <c r="AY513" s="68"/>
      <c r="AZ513" s="68"/>
      <c r="BA513" s="68"/>
      <c r="BB513" s="68"/>
    </row>
    <row r="514" spans="1:54" ht="13.5" thickBot="1">
      <c r="A514" s="103">
        <v>39427</v>
      </c>
      <c r="B514" s="104">
        <v>4.7259998321533203</v>
      </c>
      <c r="C514" s="105">
        <v>1477.6500244140625</v>
      </c>
      <c r="D514" s="104">
        <v>2.0359001159667969</v>
      </c>
      <c r="E514">
        <v>110.81560535039877</v>
      </c>
      <c r="F514">
        <v>806.25518798828125</v>
      </c>
      <c r="H514" s="34"/>
      <c r="I514" s="34"/>
      <c r="J514" s="34"/>
      <c r="K514" s="34"/>
      <c r="L514" s="34"/>
      <c r="N514" s="34"/>
      <c r="O514" s="35"/>
      <c r="P514" s="35"/>
      <c r="Q514" s="35"/>
      <c r="R514" s="35"/>
      <c r="S514" s="74"/>
      <c r="AJ514" s="34"/>
      <c r="AK514" s="34"/>
      <c r="AL514" s="34"/>
      <c r="AM514" s="34"/>
      <c r="AN514" s="34"/>
      <c r="AQ514" s="67"/>
      <c r="AR514" s="67"/>
      <c r="AS514" s="67"/>
      <c r="AT514" s="67"/>
      <c r="AU514" s="67"/>
      <c r="AW514" s="68"/>
      <c r="AX514" s="68"/>
      <c r="AY514" s="68"/>
      <c r="AZ514" s="68"/>
      <c r="BA514" s="68"/>
      <c r="BB514" s="68"/>
    </row>
    <row r="515" spans="1:54" ht="13.5" thickBot="1">
      <c r="A515" s="103">
        <v>39428</v>
      </c>
      <c r="B515" s="104">
        <v>4.7740001678466797</v>
      </c>
      <c r="C515" s="105">
        <v>1486.5899658203125</v>
      </c>
      <c r="D515" s="104">
        <v>2.0471000671386719</v>
      </c>
      <c r="E515">
        <v>112.12019668982113</v>
      </c>
      <c r="F515">
        <v>812.454833984375</v>
      </c>
      <c r="H515" s="34"/>
      <c r="I515" s="34"/>
      <c r="J515" s="34"/>
      <c r="K515" s="34"/>
      <c r="L515" s="34"/>
      <c r="N515" s="34"/>
      <c r="O515" s="35"/>
      <c r="P515" s="35"/>
      <c r="Q515" s="35"/>
      <c r="R515" s="35"/>
      <c r="S515" s="74"/>
      <c r="AJ515" s="34"/>
      <c r="AK515" s="34"/>
      <c r="AL515" s="34"/>
      <c r="AM515" s="34"/>
      <c r="AN515" s="34"/>
      <c r="AQ515" s="67"/>
      <c r="AR515" s="67"/>
      <c r="AS515" s="67"/>
      <c r="AT515" s="67"/>
      <c r="AU515" s="67"/>
      <c r="AW515" s="68"/>
      <c r="AX515" s="68"/>
      <c r="AY515" s="68"/>
      <c r="AZ515" s="68"/>
      <c r="BA515" s="68"/>
      <c r="BB515" s="68"/>
    </row>
    <row r="516" spans="1:54" ht="13.5" thickBot="1">
      <c r="A516" s="103">
        <v>39429</v>
      </c>
      <c r="B516" s="104">
        <v>4.8260002136230469</v>
      </c>
      <c r="C516" s="105">
        <v>1488.4100341796875</v>
      </c>
      <c r="D516" s="104">
        <v>2.038599967956543</v>
      </c>
      <c r="E516">
        <v>112.18307832710902</v>
      </c>
      <c r="F516">
        <v>796.71148681640625</v>
      </c>
      <c r="H516" s="34"/>
      <c r="I516" s="34"/>
      <c r="J516" s="34"/>
      <c r="K516" s="34"/>
      <c r="L516" s="34"/>
      <c r="N516" s="34"/>
      <c r="O516" s="35"/>
      <c r="P516" s="35"/>
      <c r="Q516" s="35"/>
      <c r="R516" s="35"/>
      <c r="S516" s="74"/>
      <c r="AJ516" s="34"/>
      <c r="AK516" s="34"/>
      <c r="AL516" s="34"/>
      <c r="AM516" s="34"/>
      <c r="AN516" s="34"/>
      <c r="AQ516" s="67"/>
      <c r="AR516" s="67"/>
      <c r="AS516" s="67"/>
      <c r="AT516" s="67"/>
      <c r="AU516" s="67"/>
      <c r="AW516" s="68"/>
      <c r="AX516" s="68"/>
      <c r="AY516" s="68"/>
      <c r="AZ516" s="68"/>
      <c r="BA516" s="68"/>
      <c r="BB516" s="68"/>
    </row>
    <row r="517" spans="1:54" ht="13.5" thickBot="1">
      <c r="A517" s="103">
        <v>39430</v>
      </c>
      <c r="B517" s="104">
        <v>4.9169998168945313</v>
      </c>
      <c r="C517" s="105">
        <v>1467.949951171875</v>
      </c>
      <c r="D517" s="104">
        <v>2.0155000686645508</v>
      </c>
      <c r="E517">
        <v>113.40440492994749</v>
      </c>
      <c r="F517">
        <v>791.21209716796875</v>
      </c>
      <c r="H517" s="34"/>
      <c r="I517" s="34"/>
      <c r="J517" s="34"/>
      <c r="K517" s="34"/>
      <c r="L517" s="34"/>
      <c r="N517" s="34"/>
      <c r="O517" s="35"/>
      <c r="P517" s="35"/>
      <c r="Q517" s="35"/>
      <c r="R517" s="35"/>
      <c r="S517" s="74"/>
      <c r="AJ517" s="34"/>
      <c r="AK517" s="34"/>
      <c r="AL517" s="34"/>
      <c r="AM517" s="34"/>
      <c r="AN517" s="34"/>
      <c r="AQ517" s="67"/>
      <c r="AR517" s="67"/>
      <c r="AS517" s="67"/>
      <c r="AT517" s="67"/>
      <c r="AU517" s="67"/>
      <c r="AW517" s="68"/>
      <c r="AX517" s="68"/>
      <c r="AY517" s="68"/>
      <c r="AZ517" s="68"/>
      <c r="BA517" s="68"/>
      <c r="BB517" s="68"/>
    </row>
    <row r="518" spans="1:54" ht="13.5" thickBot="1">
      <c r="A518" s="103">
        <v>39433</v>
      </c>
      <c r="B518" s="104">
        <v>4.8639998435974121</v>
      </c>
      <c r="C518" s="105">
        <v>1445.9000244140625</v>
      </c>
      <c r="D518" s="104">
        <v>2.021399974822998</v>
      </c>
      <c r="E518">
        <v>113.04544635261814</v>
      </c>
      <c r="F518">
        <v>793.95587158203125</v>
      </c>
      <c r="H518" s="34"/>
      <c r="I518" s="34"/>
      <c r="J518" s="34"/>
      <c r="K518" s="34"/>
      <c r="L518" s="34"/>
      <c r="N518" s="34"/>
      <c r="O518" s="35"/>
      <c r="P518" s="35"/>
      <c r="Q518" s="35"/>
      <c r="R518" s="35"/>
      <c r="S518" s="74"/>
      <c r="AJ518" s="34"/>
      <c r="AK518" s="34"/>
      <c r="AL518" s="34"/>
      <c r="AM518" s="34"/>
      <c r="AN518" s="34"/>
      <c r="AQ518" s="67"/>
      <c r="AR518" s="67"/>
      <c r="AS518" s="67"/>
      <c r="AT518" s="67"/>
      <c r="AU518" s="67"/>
      <c r="AW518" s="68"/>
      <c r="AX518" s="68"/>
      <c r="AY518" s="68"/>
      <c r="AZ518" s="68"/>
      <c r="BA518" s="68"/>
      <c r="BB518" s="68"/>
    </row>
    <row r="519" spans="1:54" ht="13.5" thickBot="1">
      <c r="A519" s="103">
        <v>39434</v>
      </c>
      <c r="B519" s="104">
        <v>4.757500171661377</v>
      </c>
      <c r="C519" s="105">
        <v>1454.97998046875</v>
      </c>
      <c r="D519" s="104">
        <v>2.0134000778198242</v>
      </c>
      <c r="E519">
        <v>113.31444277046768</v>
      </c>
      <c r="F519">
        <v>800.0555419921875</v>
      </c>
      <c r="H519" s="34"/>
      <c r="I519" s="34"/>
      <c r="J519" s="34"/>
      <c r="K519" s="34"/>
      <c r="L519" s="34"/>
      <c r="N519" s="34"/>
      <c r="O519" s="35"/>
      <c r="P519" s="35"/>
      <c r="Q519" s="35"/>
      <c r="R519" s="35"/>
      <c r="S519" s="74"/>
      <c r="AJ519" s="34"/>
      <c r="AK519" s="34"/>
      <c r="AL519" s="34"/>
      <c r="AM519" s="34"/>
      <c r="AN519" s="34"/>
      <c r="AQ519" s="67"/>
      <c r="AR519" s="67"/>
      <c r="AS519" s="67"/>
      <c r="AT519" s="67"/>
      <c r="AU519" s="67"/>
      <c r="AW519" s="68"/>
      <c r="AX519" s="68"/>
      <c r="AY519" s="68"/>
      <c r="AZ519" s="68"/>
      <c r="BA519" s="68"/>
      <c r="BB519" s="68"/>
    </row>
    <row r="520" spans="1:54" ht="13.5" thickBot="1">
      <c r="A520" s="103">
        <v>39435</v>
      </c>
      <c r="B520" s="104">
        <v>4.7055001258850098</v>
      </c>
      <c r="C520" s="105">
        <v>1453</v>
      </c>
      <c r="D520" s="104">
        <v>1.996399998664856</v>
      </c>
      <c r="E520">
        <v>113.3658271038403</v>
      </c>
      <c r="F520">
        <v>801.55548095703125</v>
      </c>
      <c r="H520" s="34"/>
      <c r="I520" s="34"/>
      <c r="J520" s="34"/>
      <c r="K520" s="34"/>
      <c r="L520" s="34"/>
      <c r="N520" s="34"/>
      <c r="O520" s="35"/>
      <c r="P520" s="35"/>
      <c r="Q520" s="35"/>
      <c r="R520" s="35"/>
      <c r="S520" s="74"/>
      <c r="AJ520" s="34"/>
      <c r="AK520" s="34"/>
      <c r="AL520" s="34"/>
      <c r="AM520" s="34"/>
      <c r="AN520" s="34"/>
      <c r="AQ520" s="67"/>
      <c r="AR520" s="67"/>
      <c r="AS520" s="67"/>
      <c r="AT520" s="67"/>
      <c r="AU520" s="67"/>
      <c r="AW520" s="68"/>
      <c r="AX520" s="68"/>
      <c r="AY520" s="68"/>
      <c r="AZ520" s="68"/>
      <c r="BA520" s="68"/>
      <c r="BB520" s="68"/>
    </row>
    <row r="521" spans="1:54" ht="13.5" thickBot="1">
      <c r="A521" s="103">
        <v>39436</v>
      </c>
      <c r="B521" s="104">
        <v>4.6729998588562012</v>
      </c>
      <c r="C521" s="105">
        <v>1460.1199951171875</v>
      </c>
      <c r="D521" s="104">
        <v>1.9812999963760376</v>
      </c>
      <c r="E521">
        <v>113.04544635261814</v>
      </c>
      <c r="F521">
        <v>798.81121826171875</v>
      </c>
      <c r="H521" s="34"/>
      <c r="I521" s="34"/>
      <c r="J521" s="34"/>
      <c r="K521" s="34"/>
      <c r="L521" s="34"/>
      <c r="N521" s="34"/>
      <c r="O521" s="35"/>
      <c r="P521" s="35"/>
      <c r="Q521" s="35"/>
      <c r="R521" s="35"/>
      <c r="S521" s="74"/>
      <c r="AJ521" s="34"/>
      <c r="AK521" s="34"/>
      <c r="AL521" s="34"/>
      <c r="AM521" s="34"/>
      <c r="AN521" s="34"/>
      <c r="AQ521" s="67"/>
      <c r="AR521" s="67"/>
      <c r="AS521" s="67"/>
      <c r="AT521" s="67"/>
      <c r="AU521" s="67"/>
      <c r="AW521" s="68"/>
      <c r="AX521" s="68"/>
      <c r="AY521" s="68"/>
      <c r="AZ521" s="68"/>
      <c r="BA521" s="68"/>
      <c r="BB521" s="68"/>
    </row>
    <row r="522" spans="1:54" ht="13.5" thickBot="1">
      <c r="A522" s="103">
        <v>39437</v>
      </c>
      <c r="B522" s="104">
        <v>4.8179998397827148</v>
      </c>
      <c r="C522" s="105">
        <v>1484.4599609375</v>
      </c>
      <c r="D522" s="104">
        <v>1.9830000400543213</v>
      </c>
      <c r="E522">
        <v>114.11616545508652</v>
      </c>
      <c r="F522">
        <v>810.83734130859375</v>
      </c>
      <c r="H522" s="34"/>
      <c r="I522" s="34"/>
      <c r="J522" s="34"/>
      <c r="K522" s="34"/>
      <c r="L522" s="34"/>
      <c r="N522" s="34"/>
      <c r="O522" s="35"/>
      <c r="P522" s="35"/>
      <c r="Q522" s="35"/>
      <c r="R522" s="35"/>
      <c r="S522" s="74"/>
      <c r="AJ522" s="34"/>
      <c r="AK522" s="34"/>
      <c r="AL522" s="34"/>
      <c r="AM522" s="34"/>
      <c r="AN522" s="34"/>
      <c r="AQ522" s="67"/>
      <c r="AR522" s="67"/>
      <c r="AS522" s="67"/>
      <c r="AT522" s="67"/>
      <c r="AU522" s="67"/>
      <c r="AW522" s="68"/>
      <c r="AX522" s="68"/>
      <c r="AY522" s="68"/>
      <c r="AZ522" s="68"/>
      <c r="BA522" s="68"/>
      <c r="BB522" s="68"/>
    </row>
    <row r="523" spans="1:54" ht="13.5" thickBot="1">
      <c r="A523" s="103">
        <v>39440</v>
      </c>
      <c r="B523" s="104">
        <v>4.8660001754760742</v>
      </c>
      <c r="C523" s="105">
        <v>1496.449951171875</v>
      </c>
      <c r="D523" s="104">
        <v>1.9765000343322754</v>
      </c>
      <c r="E523">
        <v>114.36412942699062</v>
      </c>
      <c r="F523">
        <v>812.05975341796875</v>
      </c>
      <c r="H523" s="34"/>
      <c r="I523" s="34"/>
      <c r="J523" s="34"/>
      <c r="K523" s="34"/>
      <c r="L523" s="34"/>
      <c r="N523" s="34"/>
      <c r="O523" s="35"/>
      <c r="P523" s="35"/>
      <c r="Q523" s="35"/>
      <c r="R523" s="35"/>
      <c r="S523" s="74"/>
      <c r="AJ523" s="34"/>
      <c r="AK523" s="34"/>
      <c r="AL523" s="34"/>
      <c r="AM523" s="34"/>
      <c r="AN523" s="34"/>
      <c r="AQ523" s="67"/>
      <c r="AR523" s="67"/>
      <c r="AS523" s="67"/>
      <c r="AT523" s="67"/>
      <c r="AU523" s="67"/>
      <c r="AW523" s="68"/>
      <c r="AX523" s="68"/>
      <c r="AY523" s="68"/>
      <c r="AZ523" s="68"/>
      <c r="BA523" s="68"/>
      <c r="BB523" s="68"/>
    </row>
    <row r="524" spans="1:54" ht="13.5" thickBot="1">
      <c r="A524" s="103">
        <v>39441</v>
      </c>
      <c r="B524" s="104">
        <v>4.8660001754760742</v>
      </c>
      <c r="C524" s="105">
        <v>1496.449951171875</v>
      </c>
      <c r="D524" s="104">
        <v>1.9830000400543213</v>
      </c>
      <c r="E524">
        <v>114.06409882833103</v>
      </c>
      <c r="F524">
        <v>812.05975341796875</v>
      </c>
      <c r="H524" s="34"/>
      <c r="I524" s="34"/>
      <c r="J524" s="34"/>
      <c r="K524" s="34"/>
      <c r="L524" s="34"/>
      <c r="N524" s="34"/>
      <c r="O524" s="35"/>
      <c r="P524" s="35"/>
      <c r="Q524" s="35"/>
      <c r="R524" s="35"/>
      <c r="S524" s="74"/>
      <c r="AJ524" s="34"/>
      <c r="AK524" s="34"/>
      <c r="AL524" s="34"/>
      <c r="AM524" s="34"/>
      <c r="AN524" s="34"/>
      <c r="AQ524" s="67"/>
      <c r="AR524" s="67"/>
      <c r="AS524" s="67"/>
      <c r="AT524" s="67"/>
      <c r="AU524" s="67"/>
      <c r="AW524" s="68"/>
      <c r="AX524" s="68"/>
      <c r="AY524" s="68"/>
      <c r="AZ524" s="68"/>
      <c r="BA524" s="68"/>
      <c r="BB524" s="68"/>
    </row>
    <row r="525" spans="1:54" ht="13.5" thickBot="1">
      <c r="A525" s="103">
        <v>39442</v>
      </c>
      <c r="B525" s="104">
        <v>4.9446558952331543</v>
      </c>
      <c r="C525" s="105">
        <v>1497.6600341796875</v>
      </c>
      <c r="D525" s="104">
        <v>1.9835000038146973</v>
      </c>
      <c r="E525">
        <v>114.24654629661747</v>
      </c>
      <c r="F525">
        <v>824.2042236328125</v>
      </c>
      <c r="H525" s="34"/>
      <c r="I525" s="34"/>
      <c r="J525" s="34"/>
      <c r="K525" s="34"/>
      <c r="L525" s="34"/>
      <c r="N525" s="34"/>
      <c r="O525" s="35"/>
      <c r="P525" s="35"/>
      <c r="Q525" s="35"/>
      <c r="R525" s="35"/>
      <c r="S525" s="74"/>
      <c r="AJ525" s="34"/>
      <c r="AK525" s="34"/>
      <c r="AL525" s="34"/>
      <c r="AM525" s="34"/>
      <c r="AN525" s="34"/>
      <c r="AQ525" s="67"/>
      <c r="AR525" s="67"/>
      <c r="AS525" s="67"/>
      <c r="AT525" s="67"/>
      <c r="AU525" s="67"/>
      <c r="AW525" s="68"/>
      <c r="AX525" s="68"/>
      <c r="AY525" s="68"/>
      <c r="AZ525" s="68"/>
      <c r="BA525" s="68"/>
      <c r="BB525" s="68"/>
    </row>
    <row r="526" spans="1:54" ht="13.5" thickBot="1">
      <c r="A526" s="103">
        <v>39443</v>
      </c>
      <c r="B526" s="104">
        <v>4.8664999008178711</v>
      </c>
      <c r="C526" s="105">
        <v>1476.3699951171875</v>
      </c>
      <c r="D526" s="104">
        <v>1.9960000514984131</v>
      </c>
      <c r="E526">
        <v>113.70097057687678</v>
      </c>
      <c r="F526">
        <v>827.258056640625</v>
      </c>
      <c r="H526" s="34"/>
      <c r="I526" s="34"/>
      <c r="J526" s="34"/>
      <c r="K526" s="34"/>
      <c r="L526" s="34"/>
      <c r="N526" s="34"/>
      <c r="O526" s="35"/>
      <c r="P526" s="35"/>
      <c r="Q526" s="35"/>
      <c r="R526" s="35"/>
      <c r="S526" s="74"/>
      <c r="AJ526" s="34"/>
      <c r="AK526" s="34"/>
      <c r="AL526" s="34"/>
      <c r="AM526" s="34"/>
      <c r="AN526" s="34"/>
      <c r="AQ526" s="67"/>
      <c r="AR526" s="67"/>
      <c r="AS526" s="67"/>
      <c r="AT526" s="67"/>
      <c r="AU526" s="67"/>
      <c r="AW526" s="68"/>
      <c r="AX526" s="68"/>
      <c r="AY526" s="68"/>
      <c r="AZ526" s="68"/>
      <c r="BA526" s="68"/>
      <c r="BB526" s="68"/>
    </row>
    <row r="527" spans="1:54" ht="13.5" thickBot="1">
      <c r="A527" s="103">
        <v>39444</v>
      </c>
      <c r="B527" s="104">
        <v>4.7435002326965332</v>
      </c>
      <c r="C527" s="105">
        <v>1478.489990234375</v>
      </c>
      <c r="D527" s="104">
        <v>1.9926999807357788</v>
      </c>
      <c r="E527">
        <v>112.80316168527263</v>
      </c>
      <c r="F527">
        <v>838.98345947265625</v>
      </c>
      <c r="H527" s="34"/>
      <c r="I527" s="34"/>
      <c r="J527" s="34"/>
      <c r="K527" s="34"/>
      <c r="L527" s="34"/>
      <c r="N527" s="34"/>
      <c r="O527" s="35"/>
      <c r="P527" s="35"/>
      <c r="Q527" s="35"/>
      <c r="R527" s="35"/>
      <c r="S527" s="74"/>
      <c r="AJ527" s="34"/>
      <c r="AK527" s="34"/>
      <c r="AL527" s="34"/>
      <c r="AM527" s="34"/>
      <c r="AN527" s="34"/>
      <c r="AQ527" s="67"/>
      <c r="AR527" s="67"/>
      <c r="AS527" s="67"/>
      <c r="AT527" s="67"/>
      <c r="AU527" s="67"/>
      <c r="AW527" s="68"/>
      <c r="AX527" s="68"/>
      <c r="AY527" s="68"/>
      <c r="AZ527" s="68"/>
      <c r="BA527" s="68"/>
      <c r="BB527" s="68"/>
    </row>
    <row r="528" spans="1:54" ht="13.5" thickBot="1">
      <c r="A528" s="103">
        <v>39447</v>
      </c>
      <c r="B528" s="104">
        <v>4.6725001335144043</v>
      </c>
      <c r="C528" s="105">
        <v>1468.3599853515625</v>
      </c>
      <c r="D528" s="104">
        <v>1.9828000068664551</v>
      </c>
      <c r="E528">
        <v>111.76930930360763</v>
      </c>
      <c r="F528">
        <v>832.630615234375</v>
      </c>
      <c r="H528" s="34"/>
      <c r="I528" s="34"/>
      <c r="J528" s="34"/>
      <c r="K528" s="34"/>
      <c r="L528" s="34"/>
      <c r="N528" s="34"/>
      <c r="O528" s="35"/>
      <c r="P528" s="35"/>
      <c r="Q528" s="35"/>
      <c r="R528" s="35"/>
      <c r="S528" s="74"/>
      <c r="AJ528" s="34"/>
      <c r="AK528" s="34"/>
      <c r="AL528" s="34"/>
      <c r="AM528" s="34"/>
      <c r="AN528" s="34"/>
      <c r="AQ528" s="67"/>
      <c r="AR528" s="67"/>
      <c r="AS528" s="67"/>
      <c r="AT528" s="67"/>
      <c r="AU528" s="67"/>
      <c r="AW528" s="68"/>
      <c r="AX528" s="68"/>
      <c r="AY528" s="68"/>
      <c r="AZ528" s="68"/>
      <c r="BA528" s="68"/>
      <c r="BB528" s="68"/>
    </row>
    <row r="529" spans="1:54" ht="13.5" thickBot="1">
      <c r="A529" s="103">
        <v>39448</v>
      </c>
      <c r="B529" s="104">
        <v>4.6725001335144043</v>
      </c>
      <c r="C529" s="105">
        <v>1468.3599853515625</v>
      </c>
      <c r="D529" s="104">
        <v>1.9900000095367432</v>
      </c>
      <c r="E529">
        <v>111.91942032230328</v>
      </c>
      <c r="F529">
        <v>832.630615234375</v>
      </c>
      <c r="H529" s="34"/>
      <c r="I529" s="34"/>
      <c r="J529" s="34"/>
      <c r="K529" s="34"/>
      <c r="L529" s="34"/>
      <c r="N529" s="34"/>
      <c r="O529" s="35"/>
      <c r="P529" s="35"/>
      <c r="Q529" s="35"/>
      <c r="R529" s="35"/>
      <c r="S529" s="74"/>
      <c r="AJ529" s="34"/>
      <c r="AK529" s="34"/>
      <c r="AL529" s="34"/>
      <c r="AM529" s="34"/>
      <c r="AN529" s="34"/>
      <c r="AQ529" s="67"/>
      <c r="AR529" s="67"/>
      <c r="AS529" s="67"/>
      <c r="AT529" s="67"/>
      <c r="AU529" s="67"/>
      <c r="AW529" s="68"/>
      <c r="AX529" s="68"/>
      <c r="AY529" s="68"/>
      <c r="AZ529" s="68"/>
      <c r="BA529" s="68"/>
      <c r="BB529" s="68"/>
    </row>
    <row r="530" spans="1:54" ht="13.5" thickBot="1">
      <c r="A530" s="103">
        <v>39449</v>
      </c>
      <c r="B530" s="104">
        <v>4.5364999771118164</v>
      </c>
      <c r="C530" s="105">
        <v>1447.1600341796875</v>
      </c>
      <c r="D530" s="104">
        <v>1.9803999662399292</v>
      </c>
      <c r="E530">
        <v>109.42115680673055</v>
      </c>
      <c r="F530">
        <v>856.8524169921875</v>
      </c>
      <c r="H530" s="34"/>
      <c r="I530" s="34"/>
      <c r="J530" s="34"/>
      <c r="K530" s="34"/>
      <c r="L530" s="34"/>
      <c r="N530" s="34"/>
      <c r="O530" s="35"/>
      <c r="P530" s="35"/>
      <c r="Q530" s="35"/>
      <c r="R530" s="35"/>
      <c r="S530" s="74"/>
      <c r="AJ530" s="34"/>
      <c r="AK530" s="34"/>
      <c r="AL530" s="34"/>
      <c r="AM530" s="34"/>
      <c r="AN530" s="34"/>
      <c r="AQ530" s="67"/>
      <c r="AR530" s="67"/>
      <c r="AS530" s="67"/>
      <c r="AT530" s="67"/>
      <c r="AU530" s="67"/>
      <c r="AW530" s="68"/>
      <c r="AX530" s="68"/>
      <c r="AY530" s="68"/>
      <c r="AZ530" s="68"/>
      <c r="BA530" s="68"/>
      <c r="BB530" s="68"/>
    </row>
    <row r="531" spans="1:54" ht="13.5" thickBot="1">
      <c r="A531" s="103">
        <v>39450</v>
      </c>
      <c r="B531" s="104">
        <v>4.5504999160766602</v>
      </c>
      <c r="C531" s="105">
        <v>1447.1600341796875</v>
      </c>
      <c r="D531" s="104">
        <v>1.9735000133514404</v>
      </c>
      <c r="E531">
        <v>109.33741217173197</v>
      </c>
      <c r="F531">
        <v>865.3038330078125</v>
      </c>
      <c r="H531" s="34"/>
      <c r="I531" s="34"/>
      <c r="J531" s="34"/>
      <c r="K531" s="34"/>
      <c r="L531" s="34"/>
      <c r="N531" s="34"/>
      <c r="O531" s="35"/>
      <c r="P531" s="35"/>
      <c r="Q531" s="35"/>
      <c r="R531" s="35"/>
      <c r="S531" s="74"/>
      <c r="AJ531" s="34"/>
      <c r="AK531" s="34"/>
      <c r="AL531" s="34"/>
      <c r="AM531" s="34"/>
      <c r="AN531" s="34"/>
      <c r="AQ531" s="67"/>
      <c r="AR531" s="67"/>
      <c r="AS531" s="67"/>
      <c r="AT531" s="67"/>
      <c r="AU531" s="67"/>
      <c r="AW531" s="68"/>
      <c r="AX531" s="68"/>
      <c r="AY531" s="68"/>
      <c r="AZ531" s="68"/>
      <c r="BA531" s="68"/>
      <c r="BB531" s="68"/>
    </row>
    <row r="532" spans="1:54" ht="13.5" thickBot="1">
      <c r="A532" s="103">
        <v>39451</v>
      </c>
      <c r="B532" s="104">
        <v>4.4835000038146973</v>
      </c>
      <c r="C532" s="105">
        <v>1411.6300048828125</v>
      </c>
      <c r="D532" s="104">
        <v>1.9724999666213989</v>
      </c>
      <c r="E532">
        <v>108.45986565520865</v>
      </c>
      <c r="F532">
        <v>863.3040771484375</v>
      </c>
      <c r="H532" s="34"/>
      <c r="I532" s="34"/>
      <c r="J532" s="34"/>
      <c r="K532" s="34"/>
      <c r="L532" s="34"/>
      <c r="N532" s="34"/>
      <c r="O532" s="35"/>
      <c r="P532" s="35"/>
      <c r="Q532" s="35"/>
      <c r="R532" s="35"/>
      <c r="S532" s="74"/>
      <c r="AJ532" s="34"/>
      <c r="AK532" s="34"/>
      <c r="AL532" s="34"/>
      <c r="AM532" s="34"/>
      <c r="AN532" s="34"/>
      <c r="AQ532" s="67"/>
      <c r="AR532" s="67"/>
      <c r="AS532" s="67"/>
      <c r="AT532" s="67"/>
      <c r="AU532" s="67"/>
      <c r="AW532" s="68"/>
      <c r="AX532" s="68"/>
      <c r="AY532" s="68"/>
      <c r="AZ532" s="68"/>
      <c r="BA532" s="68"/>
      <c r="BB532" s="68"/>
    </row>
    <row r="533" spans="1:54" ht="13.5" thickBot="1">
      <c r="A533" s="103">
        <v>39454</v>
      </c>
      <c r="B533" s="104">
        <v>4.4545001983642578</v>
      </c>
      <c r="C533" s="105">
        <v>1416.1800537109375</v>
      </c>
      <c r="D533" s="104">
        <v>1.9702999591827393</v>
      </c>
      <c r="E533">
        <v>109.01558647938552</v>
      </c>
      <c r="F533">
        <v>859.95220947265625</v>
      </c>
      <c r="H533" s="34"/>
      <c r="I533" s="34"/>
      <c r="J533" s="34"/>
      <c r="K533" s="34"/>
      <c r="L533" s="34"/>
      <c r="N533" s="34"/>
      <c r="O533" s="35"/>
      <c r="P533" s="35"/>
      <c r="Q533" s="35"/>
      <c r="R533" s="35"/>
      <c r="S533" s="74"/>
      <c r="AJ533" s="34"/>
      <c r="AK533" s="34"/>
      <c r="AL533" s="34"/>
      <c r="AM533" s="34"/>
      <c r="AN533" s="34"/>
      <c r="AQ533" s="67"/>
      <c r="AR533" s="67"/>
      <c r="AS533" s="67"/>
      <c r="AT533" s="67"/>
      <c r="AU533" s="67"/>
      <c r="AW533" s="68"/>
      <c r="AX533" s="68"/>
      <c r="AY533" s="68"/>
      <c r="AZ533" s="68"/>
      <c r="BA533" s="68"/>
      <c r="BB533" s="68"/>
    </row>
    <row r="534" spans="1:54" ht="13.5" thickBot="1">
      <c r="A534" s="103">
        <v>39455</v>
      </c>
      <c r="B534" s="104">
        <v>4.445000171661377</v>
      </c>
      <c r="C534" s="105">
        <v>1390.18994140625</v>
      </c>
      <c r="D534" s="104">
        <v>1.9711999893188477</v>
      </c>
      <c r="E534">
        <v>109.36133249204674</v>
      </c>
      <c r="F534">
        <v>878.65118408203125</v>
      </c>
      <c r="H534" s="34"/>
      <c r="I534" s="34"/>
      <c r="J534" s="34"/>
      <c r="K534" s="34"/>
      <c r="L534" s="34"/>
      <c r="N534" s="34"/>
      <c r="O534" s="35"/>
      <c r="P534" s="35"/>
      <c r="Q534" s="35"/>
      <c r="R534" s="35"/>
      <c r="S534" s="74"/>
      <c r="AJ534" s="34"/>
      <c r="AK534" s="34"/>
      <c r="AL534" s="34"/>
      <c r="AM534" s="34"/>
      <c r="AN534" s="34"/>
      <c r="AQ534" s="67"/>
      <c r="AR534" s="67"/>
      <c r="AS534" s="67"/>
      <c r="AT534" s="67"/>
      <c r="AU534" s="67"/>
      <c r="AW534" s="68"/>
      <c r="AX534" s="68"/>
      <c r="AY534" s="68"/>
      <c r="AZ534" s="68"/>
      <c r="BA534" s="68"/>
      <c r="BB534" s="68"/>
    </row>
    <row r="535" spans="1:54" ht="13.5" thickBot="1">
      <c r="A535" s="103">
        <v>39456</v>
      </c>
      <c r="B535" s="104">
        <v>4.4079999923706055</v>
      </c>
      <c r="C535" s="105">
        <v>1409.1300048828125</v>
      </c>
      <c r="D535" s="104">
        <v>1.9572000503540039</v>
      </c>
      <c r="E535">
        <v>109.45709621237336</v>
      </c>
      <c r="F535">
        <v>877.45123291015625</v>
      </c>
      <c r="H535" s="34"/>
      <c r="I535" s="34"/>
      <c r="J535" s="34"/>
      <c r="K535" s="34"/>
      <c r="L535" s="34"/>
      <c r="N535" s="34"/>
      <c r="O535" s="35"/>
      <c r="P535" s="35"/>
      <c r="Q535" s="35"/>
      <c r="R535" s="35"/>
      <c r="S535" s="74"/>
      <c r="AJ535" s="34"/>
      <c r="AK535" s="34"/>
      <c r="AL535" s="34"/>
      <c r="AM535" s="34"/>
      <c r="AN535" s="34"/>
      <c r="AQ535" s="67"/>
      <c r="AR535" s="67"/>
      <c r="AS535" s="67"/>
      <c r="AT535" s="67"/>
      <c r="AU535" s="67"/>
      <c r="AW535" s="68"/>
      <c r="AX535" s="68"/>
      <c r="AY535" s="68"/>
      <c r="AZ535" s="68"/>
      <c r="BA535" s="68"/>
      <c r="BB535" s="68"/>
    </row>
    <row r="536" spans="1:54" ht="13.5" thickBot="1">
      <c r="A536" s="103">
        <v>39457</v>
      </c>
      <c r="B536" s="104">
        <v>4.4994997978210449</v>
      </c>
      <c r="C536" s="105">
        <v>1420.3299560546875</v>
      </c>
      <c r="D536" s="104">
        <v>1.9608999490737915</v>
      </c>
      <c r="E536">
        <v>109.54102435690641</v>
      </c>
      <c r="F536">
        <v>892.10089111328125</v>
      </c>
      <c r="H536" s="34"/>
      <c r="I536" s="34"/>
      <c r="J536" s="34"/>
      <c r="K536" s="34"/>
      <c r="L536" s="34"/>
      <c r="N536" s="34"/>
      <c r="O536" s="35"/>
      <c r="P536" s="35"/>
      <c r="Q536" s="35"/>
      <c r="R536" s="35"/>
      <c r="S536" s="74"/>
      <c r="AJ536" s="34"/>
      <c r="AK536" s="34"/>
      <c r="AL536" s="34"/>
      <c r="AM536" s="34"/>
      <c r="AN536" s="34"/>
      <c r="AQ536" s="67"/>
      <c r="AR536" s="67"/>
      <c r="AS536" s="67"/>
      <c r="AT536" s="67"/>
      <c r="AU536" s="67"/>
      <c r="AW536" s="68"/>
      <c r="AX536" s="68"/>
      <c r="AY536" s="68"/>
      <c r="AZ536" s="68"/>
      <c r="BA536" s="68"/>
      <c r="BB536" s="68"/>
    </row>
    <row r="537" spans="1:54" ht="13.5" thickBot="1">
      <c r="A537" s="103">
        <v>39458</v>
      </c>
      <c r="B537" s="104">
        <v>4.4134998321533203</v>
      </c>
      <c r="C537" s="105">
        <v>1401.02001953125</v>
      </c>
      <c r="D537" s="104">
        <v>1.9572999477386475</v>
      </c>
      <c r="E537">
        <v>108.9205934170986</v>
      </c>
      <c r="F537">
        <v>896.5003662109375</v>
      </c>
      <c r="H537" s="34"/>
      <c r="I537" s="34"/>
      <c r="J537" s="34"/>
      <c r="K537" s="34"/>
      <c r="L537" s="34"/>
      <c r="N537" s="34"/>
      <c r="O537" s="35"/>
      <c r="P537" s="35"/>
      <c r="Q537" s="35"/>
      <c r="R537" s="35"/>
      <c r="S537" s="74"/>
      <c r="AJ537" s="34"/>
      <c r="AK537" s="34"/>
      <c r="AL537" s="34"/>
      <c r="AM537" s="34"/>
      <c r="AN537" s="34"/>
      <c r="AQ537" s="67"/>
      <c r="AR537" s="67"/>
      <c r="AS537" s="67"/>
      <c r="AT537" s="67"/>
      <c r="AU537" s="67"/>
      <c r="AW537" s="68"/>
      <c r="AX537" s="68"/>
      <c r="AY537" s="68"/>
      <c r="AZ537" s="68"/>
      <c r="BA537" s="68"/>
      <c r="BB537" s="68"/>
    </row>
    <row r="538" spans="1:54" ht="13.5" thickBot="1">
      <c r="A538" s="103">
        <v>39461</v>
      </c>
      <c r="B538" s="104">
        <v>4.3810000419616699</v>
      </c>
      <c r="C538" s="105">
        <v>1416.25</v>
      </c>
      <c r="D538" s="104">
        <v>1.9567999839782715</v>
      </c>
      <c r="E538">
        <v>108.17828239083934</v>
      </c>
      <c r="F538">
        <v>904.79974365234375</v>
      </c>
      <c r="H538" s="34"/>
      <c r="I538" s="34"/>
      <c r="J538" s="34"/>
      <c r="K538" s="34"/>
      <c r="L538" s="34"/>
      <c r="N538" s="34"/>
      <c r="O538" s="35"/>
      <c r="P538" s="35"/>
      <c r="Q538" s="35"/>
      <c r="R538" s="35"/>
      <c r="S538" s="74"/>
      <c r="AJ538" s="34"/>
      <c r="AK538" s="34"/>
      <c r="AL538" s="34"/>
      <c r="AM538" s="34"/>
      <c r="AN538" s="34"/>
      <c r="AQ538" s="67"/>
      <c r="AR538" s="67"/>
      <c r="AS538" s="67"/>
      <c r="AT538" s="67"/>
      <c r="AU538" s="67"/>
      <c r="AW538" s="68"/>
      <c r="AX538" s="68"/>
      <c r="AY538" s="68"/>
      <c r="AZ538" s="68"/>
      <c r="BA538" s="68"/>
      <c r="BB538" s="68"/>
    </row>
    <row r="539" spans="1:54" ht="13.5" thickBot="1">
      <c r="A539" s="103">
        <v>39462</v>
      </c>
      <c r="B539" s="104">
        <v>4.2769999504089355</v>
      </c>
      <c r="C539" s="105">
        <v>1380.949951171875</v>
      </c>
      <c r="D539" s="104">
        <v>1.9646999835968018</v>
      </c>
      <c r="E539">
        <v>107.07784446544188</v>
      </c>
      <c r="F539">
        <v>899.00006103515625</v>
      </c>
      <c r="H539" s="34"/>
      <c r="I539" s="34"/>
      <c r="J539" s="34"/>
      <c r="K539" s="34"/>
      <c r="L539" s="34"/>
      <c r="N539" s="34"/>
      <c r="O539" s="35"/>
      <c r="P539" s="35"/>
      <c r="Q539" s="35"/>
      <c r="R539" s="35"/>
      <c r="S539" s="74"/>
      <c r="AJ539" s="34"/>
      <c r="AK539" s="34"/>
      <c r="AL539" s="34"/>
      <c r="AM539" s="34"/>
      <c r="AN539" s="34"/>
      <c r="AQ539" s="67"/>
      <c r="AR539" s="67"/>
      <c r="AS539" s="67"/>
      <c r="AT539" s="67"/>
      <c r="AU539" s="67"/>
      <c r="AW539" s="68"/>
      <c r="AX539" s="68"/>
      <c r="AY539" s="68"/>
      <c r="AZ539" s="68"/>
      <c r="BA539" s="68"/>
      <c r="BB539" s="68"/>
    </row>
    <row r="540" spans="1:54" ht="13.5" thickBot="1">
      <c r="A540" s="103">
        <v>39463</v>
      </c>
      <c r="B540" s="104">
        <v>4.3169999122619629</v>
      </c>
      <c r="C540" s="105">
        <v>1373.199951171875</v>
      </c>
      <c r="D540" s="104">
        <v>1.9642000198364258</v>
      </c>
      <c r="E540">
        <v>107.58472570821097</v>
      </c>
      <c r="F540">
        <v>883.450927734375</v>
      </c>
      <c r="H540" s="34"/>
      <c r="I540" s="34"/>
      <c r="J540" s="34"/>
      <c r="K540" s="34"/>
      <c r="L540" s="34"/>
      <c r="N540" s="34"/>
      <c r="O540" s="35"/>
      <c r="P540" s="35"/>
      <c r="Q540" s="35"/>
      <c r="R540" s="35"/>
      <c r="S540" s="74"/>
      <c r="AJ540" s="34"/>
      <c r="AK540" s="34"/>
      <c r="AL540" s="34"/>
      <c r="AM540" s="34"/>
      <c r="AN540" s="34"/>
      <c r="AQ540" s="67"/>
      <c r="AR540" s="67"/>
      <c r="AS540" s="67"/>
      <c r="AT540" s="67"/>
      <c r="AU540" s="67"/>
      <c r="AW540" s="68"/>
      <c r="AX540" s="68"/>
      <c r="AY540" s="68"/>
      <c r="AZ540" s="68"/>
      <c r="BA540" s="68"/>
      <c r="BB540" s="68"/>
    </row>
    <row r="541" spans="1:54" ht="13.5" thickBot="1">
      <c r="A541" s="103">
        <v>39464</v>
      </c>
      <c r="B541" s="104">
        <v>4.248499870300293</v>
      </c>
      <c r="C541" s="105">
        <v>1333.25</v>
      </c>
      <c r="D541" s="104">
        <v>1.9711999893188477</v>
      </c>
      <c r="E541">
        <v>106.99764698051088</v>
      </c>
      <c r="F541">
        <v>880.377685546875</v>
      </c>
      <c r="H541" s="34"/>
      <c r="I541" s="34"/>
      <c r="J541" s="34"/>
      <c r="K541" s="34"/>
      <c r="L541" s="34"/>
      <c r="N541" s="34"/>
      <c r="O541" s="35"/>
      <c r="P541" s="35"/>
      <c r="Q541" s="35"/>
      <c r="R541" s="35"/>
      <c r="S541" s="74"/>
      <c r="AJ541" s="34"/>
      <c r="AK541" s="34"/>
      <c r="AL541" s="34"/>
      <c r="AM541" s="34"/>
      <c r="AN541" s="34"/>
      <c r="AQ541" s="67"/>
      <c r="AR541" s="67"/>
      <c r="AS541" s="67"/>
      <c r="AT541" s="67"/>
      <c r="AU541" s="67"/>
      <c r="AW541" s="68"/>
      <c r="AX541" s="68"/>
      <c r="AY541" s="68"/>
      <c r="AZ541" s="68"/>
      <c r="BA541" s="68"/>
      <c r="BB541" s="68"/>
    </row>
    <row r="542" spans="1:54" ht="13.5" thickBot="1">
      <c r="A542" s="103">
        <v>39465</v>
      </c>
      <c r="B542" s="104">
        <v>4.2619338035583496</v>
      </c>
      <c r="C542" s="105">
        <v>1325.18994140625</v>
      </c>
      <c r="D542" s="104">
        <v>1.9563000202178955</v>
      </c>
      <c r="E542">
        <v>106.62117038416186</v>
      </c>
      <c r="F542">
        <v>880.97760009765625</v>
      </c>
      <c r="H542" s="34"/>
      <c r="I542" s="34"/>
      <c r="J542" s="34"/>
      <c r="K542" s="34"/>
      <c r="L542" s="34"/>
      <c r="N542" s="34"/>
      <c r="O542" s="35"/>
      <c r="P542" s="35"/>
      <c r="Q542" s="35"/>
      <c r="R542" s="35"/>
      <c r="S542" s="74"/>
      <c r="AJ542" s="34"/>
      <c r="AK542" s="34"/>
      <c r="AL542" s="34"/>
      <c r="AM542" s="34"/>
      <c r="AN542" s="34"/>
      <c r="AQ542" s="67"/>
      <c r="AR542" s="67"/>
      <c r="AS542" s="67"/>
      <c r="AT542" s="67"/>
      <c r="AU542" s="67"/>
      <c r="AW542" s="68"/>
      <c r="AX542" s="68"/>
      <c r="AY542" s="68"/>
      <c r="AZ542" s="68"/>
      <c r="BA542" s="68"/>
      <c r="BB542" s="68"/>
    </row>
    <row r="543" spans="1:54" ht="13.5" thickBot="1">
      <c r="A543" s="103">
        <v>39468</v>
      </c>
      <c r="B543" s="104">
        <v>4.2619338035583496</v>
      </c>
      <c r="C543" s="105">
        <v>1325.18994140625</v>
      </c>
      <c r="D543" s="104">
        <v>1.9405499696731567</v>
      </c>
      <c r="E543">
        <v>105.71941975423876</v>
      </c>
      <c r="F543">
        <v>864.6519775390625</v>
      </c>
      <c r="H543" s="34"/>
      <c r="I543" s="34"/>
      <c r="J543" s="34"/>
      <c r="K543" s="34"/>
      <c r="L543" s="34"/>
      <c r="N543" s="34"/>
      <c r="O543" s="35"/>
      <c r="P543" s="35"/>
      <c r="Q543" s="35"/>
      <c r="R543" s="35"/>
      <c r="S543" s="74"/>
      <c r="AJ543" s="34"/>
      <c r="AK543" s="34"/>
      <c r="AL543" s="34"/>
      <c r="AM543" s="34"/>
      <c r="AN543" s="34"/>
      <c r="AQ543" s="67"/>
      <c r="AR543" s="67"/>
      <c r="AS543" s="67"/>
      <c r="AT543" s="67"/>
      <c r="AU543" s="67"/>
      <c r="AW543" s="68"/>
      <c r="AX543" s="68"/>
      <c r="AY543" s="68"/>
      <c r="AZ543" s="68"/>
      <c r="BA543" s="68"/>
      <c r="BB543" s="68"/>
    </row>
    <row r="544" spans="1:54" ht="13.5" thickBot="1">
      <c r="A544" s="103">
        <v>39469</v>
      </c>
      <c r="B544" s="104">
        <v>4.0970001220703125</v>
      </c>
      <c r="C544" s="105">
        <v>1310.5</v>
      </c>
      <c r="D544" s="104">
        <v>1.9621000289916992</v>
      </c>
      <c r="E544">
        <v>106.48493733679416</v>
      </c>
      <c r="F544">
        <v>891.00048828125</v>
      </c>
      <c r="H544" s="34"/>
      <c r="I544" s="34"/>
      <c r="J544" s="34"/>
      <c r="K544" s="34"/>
      <c r="L544" s="34"/>
      <c r="N544" s="34"/>
      <c r="O544" s="35"/>
      <c r="P544" s="35"/>
      <c r="Q544" s="35"/>
      <c r="R544" s="35"/>
      <c r="S544" s="74"/>
      <c r="AJ544" s="34"/>
      <c r="AK544" s="34"/>
      <c r="AL544" s="34"/>
      <c r="AM544" s="34"/>
      <c r="AN544" s="34"/>
      <c r="AQ544" s="67"/>
      <c r="AR544" s="67"/>
      <c r="AS544" s="67"/>
      <c r="AT544" s="67"/>
      <c r="AU544" s="67"/>
      <c r="AW544" s="68"/>
      <c r="AX544" s="68"/>
      <c r="AY544" s="68"/>
      <c r="AZ544" s="68"/>
      <c r="BA544" s="68"/>
      <c r="BB544" s="68"/>
    </row>
    <row r="545" spans="1:54" ht="13.5" thickBot="1">
      <c r="A545" s="103">
        <v>39470</v>
      </c>
      <c r="B545" s="104">
        <v>4.0310001373291016</v>
      </c>
      <c r="C545" s="105">
        <v>1338.5999755859375</v>
      </c>
      <c r="D545" s="104">
        <v>1.9564499855041504</v>
      </c>
      <c r="E545">
        <v>106.60981137440777</v>
      </c>
      <c r="F545">
        <v>887.15069580078125</v>
      </c>
      <c r="H545" s="34"/>
      <c r="I545" s="34"/>
      <c r="J545" s="34"/>
      <c r="K545" s="34"/>
      <c r="L545" s="34"/>
      <c r="N545" s="34"/>
      <c r="O545" s="35"/>
      <c r="P545" s="35"/>
      <c r="Q545" s="35"/>
      <c r="R545" s="35"/>
      <c r="S545" s="74"/>
      <c r="AJ545" s="34"/>
      <c r="AK545" s="34"/>
      <c r="AL545" s="34"/>
      <c r="AM545" s="34"/>
      <c r="AN545" s="34"/>
      <c r="AQ545" s="67"/>
      <c r="AR545" s="67"/>
      <c r="AS545" s="67"/>
      <c r="AT545" s="67"/>
      <c r="AU545" s="67"/>
      <c r="AW545" s="68"/>
      <c r="AX545" s="68"/>
      <c r="AY545" s="68"/>
      <c r="AZ545" s="68"/>
      <c r="BA545" s="68"/>
      <c r="BB545" s="68"/>
    </row>
    <row r="546" spans="1:54" ht="13.5" thickBot="1">
      <c r="A546" s="103">
        <v>39471</v>
      </c>
      <c r="B546" s="104">
        <v>4.2740001678466797</v>
      </c>
      <c r="C546" s="105">
        <v>1352.0699462890625</v>
      </c>
      <c r="D546" s="104">
        <v>1.9742000102996826</v>
      </c>
      <c r="E546">
        <v>106.78056786711315</v>
      </c>
      <c r="F546">
        <v>905.74932861328125</v>
      </c>
      <c r="H546" s="34"/>
      <c r="I546" s="34"/>
      <c r="J546" s="34"/>
      <c r="K546" s="34"/>
      <c r="L546" s="34"/>
      <c r="N546" s="34"/>
      <c r="O546" s="35"/>
      <c r="P546" s="35"/>
      <c r="Q546" s="35"/>
      <c r="R546" s="35"/>
      <c r="S546" s="74"/>
      <c r="AJ546" s="34"/>
      <c r="AK546" s="34"/>
      <c r="AL546" s="34"/>
      <c r="AM546" s="34"/>
      <c r="AN546" s="34"/>
      <c r="AQ546" s="67"/>
      <c r="AR546" s="67"/>
      <c r="AS546" s="67"/>
      <c r="AT546" s="67"/>
      <c r="AU546" s="67"/>
      <c r="AW546" s="68"/>
      <c r="AX546" s="68"/>
      <c r="AY546" s="68"/>
      <c r="AZ546" s="68"/>
      <c r="BA546" s="68"/>
      <c r="BB546" s="68"/>
    </row>
    <row r="547" spans="1:54" ht="13.5" thickBot="1">
      <c r="A547" s="103">
        <v>39472</v>
      </c>
      <c r="B547" s="104">
        <v>4.1770000457763672</v>
      </c>
      <c r="C547" s="105">
        <v>1330.6099853515625</v>
      </c>
      <c r="D547" s="104">
        <v>1.9800000190734863</v>
      </c>
      <c r="E547">
        <v>107.04346092313189</v>
      </c>
      <c r="F547">
        <v>910.24884033203125</v>
      </c>
      <c r="H547" s="34"/>
      <c r="I547" s="34"/>
      <c r="J547" s="34"/>
      <c r="K547" s="34"/>
      <c r="L547" s="34"/>
      <c r="N547" s="34"/>
      <c r="O547" s="35"/>
      <c r="P547" s="35"/>
      <c r="Q547" s="35"/>
      <c r="R547" s="35"/>
      <c r="S547" s="74"/>
      <c r="AJ547" s="34"/>
      <c r="AK547" s="34"/>
      <c r="AL547" s="34"/>
      <c r="AM547" s="34"/>
      <c r="AN547" s="34"/>
      <c r="AQ547" s="67"/>
      <c r="AR547" s="67"/>
      <c r="AS547" s="67"/>
      <c r="AT547" s="67"/>
      <c r="AU547" s="67"/>
      <c r="AW547" s="68"/>
      <c r="AX547" s="68"/>
      <c r="AY547" s="68"/>
      <c r="AZ547" s="68"/>
      <c r="BA547" s="68"/>
      <c r="BB547" s="68"/>
    </row>
    <row r="548" spans="1:54" ht="13.5" thickBot="1">
      <c r="A548" s="103">
        <v>39475</v>
      </c>
      <c r="B548" s="104">
        <v>4.1855001449584961</v>
      </c>
      <c r="C548" s="105">
        <v>1353.969970703125</v>
      </c>
      <c r="D548" s="104">
        <v>1.9843000173568726</v>
      </c>
      <c r="E548">
        <v>106.80337177952433</v>
      </c>
      <c r="F548">
        <v>926.74853515625</v>
      </c>
      <c r="H548" s="34"/>
      <c r="I548" s="34"/>
      <c r="J548" s="34"/>
      <c r="K548" s="34"/>
      <c r="L548" s="34"/>
      <c r="N548" s="34"/>
      <c r="O548" s="35"/>
      <c r="P548" s="35"/>
      <c r="Q548" s="35"/>
      <c r="R548" s="35"/>
      <c r="S548" s="74"/>
      <c r="AJ548" s="34"/>
      <c r="AK548" s="34"/>
      <c r="AL548" s="34"/>
      <c r="AM548" s="34"/>
      <c r="AN548" s="34"/>
      <c r="AQ548" s="67"/>
      <c r="AR548" s="67"/>
      <c r="AS548" s="67"/>
      <c r="AT548" s="67"/>
      <c r="AU548" s="67"/>
      <c r="AW548" s="68"/>
      <c r="AX548" s="68"/>
      <c r="AY548" s="68"/>
      <c r="AZ548" s="68"/>
      <c r="BA548" s="68"/>
      <c r="BB548" s="68"/>
    </row>
    <row r="549" spans="1:54" ht="13.5" thickBot="1">
      <c r="A549" s="103">
        <v>39476</v>
      </c>
      <c r="B549" s="104">
        <v>4.248499870300293</v>
      </c>
      <c r="C549" s="105">
        <v>1362.300048828125</v>
      </c>
      <c r="D549" s="104">
        <v>1.9901000261306763</v>
      </c>
      <c r="E549">
        <v>106.97474938327778</v>
      </c>
      <c r="F549">
        <v>923.84869384765625</v>
      </c>
      <c r="H549" s="34"/>
      <c r="I549" s="34"/>
      <c r="J549" s="34"/>
      <c r="K549" s="34"/>
      <c r="L549" s="34"/>
      <c r="N549" s="34"/>
      <c r="O549" s="35"/>
      <c r="P549" s="35"/>
      <c r="Q549" s="35"/>
      <c r="R549" s="35"/>
      <c r="S549" s="74"/>
      <c r="AJ549" s="34"/>
      <c r="AK549" s="34"/>
      <c r="AL549" s="34"/>
      <c r="AM549" s="34"/>
      <c r="AN549" s="34"/>
      <c r="AQ549" s="67"/>
      <c r="AR549" s="67"/>
      <c r="AS549" s="67"/>
      <c r="AT549" s="67"/>
      <c r="AU549" s="67"/>
      <c r="AW549" s="68"/>
      <c r="AX549" s="68"/>
      <c r="AY549" s="68"/>
      <c r="AZ549" s="68"/>
      <c r="BA549" s="68"/>
      <c r="BB549" s="68"/>
    </row>
    <row r="550" spans="1:54" ht="13.5" thickBot="1">
      <c r="A550" s="103">
        <v>39477</v>
      </c>
      <c r="B550" s="104">
        <v>4.3524999618530273</v>
      </c>
      <c r="C550" s="105">
        <v>1355.81005859375</v>
      </c>
      <c r="D550" s="104">
        <v>1.993399977684021</v>
      </c>
      <c r="E550">
        <v>106.96331491474946</v>
      </c>
      <c r="F550">
        <v>931.84820556640625</v>
      </c>
      <c r="H550" s="34"/>
      <c r="I550" s="34"/>
      <c r="J550" s="34"/>
      <c r="K550" s="34"/>
      <c r="L550" s="34"/>
      <c r="N550" s="34"/>
      <c r="O550" s="35"/>
      <c r="P550" s="35"/>
      <c r="Q550" s="35"/>
      <c r="R550" s="35"/>
      <c r="S550" s="74"/>
      <c r="AJ550" s="34"/>
      <c r="AK550" s="34"/>
      <c r="AL550" s="34"/>
      <c r="AM550" s="34"/>
      <c r="AN550" s="34"/>
      <c r="AQ550" s="67"/>
      <c r="AR550" s="67"/>
      <c r="AS550" s="67"/>
      <c r="AT550" s="67"/>
      <c r="AU550" s="67"/>
      <c r="AW550" s="68"/>
      <c r="AX550" s="68"/>
      <c r="AY550" s="68"/>
      <c r="AZ550" s="68"/>
      <c r="BA550" s="68"/>
      <c r="BB550" s="68"/>
    </row>
    <row r="551" spans="1:54" ht="13.5" thickBot="1">
      <c r="A551" s="103">
        <v>39478</v>
      </c>
      <c r="B551" s="104">
        <v>4.2680001258850098</v>
      </c>
      <c r="C551" s="105">
        <v>1378.550048828125</v>
      </c>
      <c r="D551" s="104">
        <v>1.9900499582290649</v>
      </c>
      <c r="E551">
        <v>106.4169407347032</v>
      </c>
      <c r="F551">
        <v>925.6971435546875</v>
      </c>
      <c r="H551" s="34"/>
      <c r="I551" s="34"/>
      <c r="J551" s="34"/>
      <c r="K551" s="34"/>
      <c r="L551" s="34"/>
      <c r="N551" s="34"/>
      <c r="O551" s="35"/>
      <c r="P551" s="35"/>
      <c r="Q551" s="35"/>
      <c r="R551" s="35"/>
      <c r="S551" s="74"/>
      <c r="AJ551" s="34"/>
      <c r="AK551" s="34"/>
      <c r="AL551" s="34"/>
      <c r="AM551" s="34"/>
      <c r="AN551" s="34"/>
      <c r="AQ551" s="67"/>
      <c r="AR551" s="67"/>
      <c r="AS551" s="67"/>
      <c r="AT551" s="67"/>
      <c r="AU551" s="67"/>
      <c r="AW551" s="68"/>
      <c r="AX551" s="68"/>
      <c r="AY551" s="68"/>
      <c r="AZ551" s="68"/>
      <c r="BA551" s="68"/>
      <c r="BB551" s="68"/>
    </row>
    <row r="552" spans="1:54" ht="13.5" thickBot="1">
      <c r="A552" s="103">
        <v>39479</v>
      </c>
      <c r="B552" s="104">
        <v>4.2300000190734863</v>
      </c>
      <c r="C552" s="105">
        <v>1395.4200439453125</v>
      </c>
      <c r="D552" s="104">
        <v>1.9674999713897705</v>
      </c>
      <c r="E552">
        <v>106.49626975068327</v>
      </c>
      <c r="F552">
        <v>908.3990478515625</v>
      </c>
      <c r="H552" s="34"/>
      <c r="I552" s="34"/>
      <c r="J552" s="34"/>
      <c r="K552" s="34"/>
      <c r="L552" s="34"/>
      <c r="N552" s="34"/>
      <c r="O552" s="35"/>
      <c r="P552" s="35"/>
      <c r="Q552" s="35"/>
      <c r="R552" s="35"/>
      <c r="S552" s="74"/>
      <c r="AJ552" s="34"/>
      <c r="AK552" s="34"/>
      <c r="AL552" s="34"/>
      <c r="AM552" s="34"/>
      <c r="AN552" s="34"/>
      <c r="AQ552" s="67"/>
      <c r="AR552" s="67"/>
      <c r="AS552" s="67"/>
      <c r="AT552" s="67"/>
      <c r="AU552" s="67"/>
      <c r="AW552" s="68"/>
      <c r="AX552" s="68"/>
      <c r="AY552" s="68"/>
      <c r="AZ552" s="68"/>
      <c r="BA552" s="68"/>
      <c r="BB552" s="68"/>
    </row>
    <row r="553" spans="1:54" ht="13.5" thickBot="1">
      <c r="A553" s="103">
        <v>39482</v>
      </c>
      <c r="B553" s="104">
        <v>4.2709999084472656</v>
      </c>
      <c r="C553" s="105">
        <v>1380.8199462890625</v>
      </c>
      <c r="D553" s="104">
        <v>1.9735000133514404</v>
      </c>
      <c r="E553">
        <v>106.73497863345781</v>
      </c>
      <c r="F553">
        <v>904.54974365234375</v>
      </c>
      <c r="H553" s="34"/>
      <c r="I553" s="34"/>
      <c r="J553" s="34"/>
      <c r="K553" s="34"/>
      <c r="L553" s="34"/>
      <c r="N553" s="34"/>
      <c r="O553" s="35"/>
      <c r="P553" s="35"/>
      <c r="Q553" s="35"/>
      <c r="R553" s="35"/>
      <c r="S553" s="74"/>
      <c r="AJ553" s="34"/>
      <c r="AK553" s="34"/>
      <c r="AL553" s="34"/>
      <c r="AM553" s="34"/>
      <c r="AN553" s="34"/>
      <c r="AQ553" s="67"/>
      <c r="AR553" s="67"/>
      <c r="AS553" s="67"/>
      <c r="AT553" s="67"/>
      <c r="AU553" s="67"/>
      <c r="AW553" s="68"/>
      <c r="AX553" s="68"/>
      <c r="AY553" s="68"/>
      <c r="AZ553" s="68"/>
      <c r="BA553" s="68"/>
      <c r="BB553" s="68"/>
    </row>
    <row r="554" spans="1:54" ht="13.5" thickBot="1">
      <c r="A554" s="103">
        <v>39483</v>
      </c>
      <c r="B554" s="104">
        <v>4.2220001220703125</v>
      </c>
      <c r="C554" s="105">
        <v>1336.6400146484375</v>
      </c>
      <c r="D554" s="104">
        <v>1.9642499685287476</v>
      </c>
      <c r="E554">
        <v>106.56436779977913</v>
      </c>
      <c r="F554">
        <v>886.750732421875</v>
      </c>
      <c r="H554" s="34"/>
      <c r="I554" s="34"/>
      <c r="J554" s="34"/>
      <c r="K554" s="34"/>
      <c r="L554" s="34"/>
      <c r="N554" s="34"/>
      <c r="O554" s="35"/>
      <c r="P554" s="35"/>
      <c r="Q554" s="35"/>
      <c r="R554" s="35"/>
      <c r="S554" s="74"/>
      <c r="AJ554" s="34"/>
      <c r="AK554" s="34"/>
      <c r="AL554" s="34"/>
      <c r="AM554" s="34"/>
      <c r="AN554" s="34"/>
      <c r="AQ554" s="67"/>
      <c r="AR554" s="67"/>
      <c r="AS554" s="67"/>
      <c r="AT554" s="67"/>
      <c r="AU554" s="67"/>
      <c r="AW554" s="68"/>
      <c r="AX554" s="68"/>
      <c r="AY554" s="68"/>
      <c r="AZ554" s="68"/>
      <c r="BA554" s="68"/>
      <c r="BB554" s="68"/>
    </row>
    <row r="555" spans="1:54" ht="13.5" thickBot="1">
      <c r="A555" s="103">
        <v>39484</v>
      </c>
      <c r="B555" s="104">
        <v>4.2554998397827148</v>
      </c>
      <c r="C555" s="105">
        <v>1326.449951171875</v>
      </c>
      <c r="D555" s="104">
        <v>1.9601000547409058</v>
      </c>
      <c r="E555">
        <v>106.5757171272824</v>
      </c>
      <c r="F555">
        <v>905.44970703125</v>
      </c>
      <c r="H555" s="34"/>
      <c r="I555" s="34"/>
      <c r="J555" s="34"/>
      <c r="K555" s="34"/>
      <c r="L555" s="34"/>
      <c r="N555" s="34"/>
      <c r="O555" s="35"/>
      <c r="P555" s="35"/>
      <c r="Q555" s="35"/>
      <c r="R555" s="35"/>
      <c r="S555" s="74"/>
      <c r="AJ555" s="34"/>
      <c r="AK555" s="34"/>
      <c r="AL555" s="34"/>
      <c r="AM555" s="34"/>
      <c r="AN555" s="34"/>
      <c r="AQ555" s="67"/>
      <c r="AR555" s="67"/>
      <c r="AS555" s="67"/>
      <c r="AT555" s="67"/>
      <c r="AU555" s="67"/>
      <c r="AW555" s="68"/>
      <c r="AX555" s="68"/>
      <c r="AY555" s="68"/>
      <c r="AZ555" s="68"/>
      <c r="BA555" s="68"/>
      <c r="BB555" s="68"/>
    </row>
    <row r="556" spans="1:54" ht="13.5" thickBot="1">
      <c r="A556" s="103">
        <v>39485</v>
      </c>
      <c r="B556" s="104">
        <v>4.3920001983642578</v>
      </c>
      <c r="C556" s="105">
        <v>1336.9100341796875</v>
      </c>
      <c r="D556" s="104">
        <v>1.9406000375747681</v>
      </c>
      <c r="E556">
        <v>107.42292017888516</v>
      </c>
      <c r="F556">
        <v>907.4991455078125</v>
      </c>
      <c r="H556" s="34"/>
      <c r="I556" s="34"/>
      <c r="J556" s="34"/>
      <c r="K556" s="34"/>
      <c r="L556" s="34"/>
      <c r="N556" s="34"/>
      <c r="O556" s="35"/>
      <c r="P556" s="35"/>
      <c r="Q556" s="35"/>
      <c r="R556" s="35"/>
      <c r="S556" s="74"/>
      <c r="AJ556" s="34"/>
      <c r="AK556" s="34"/>
      <c r="AL556" s="34"/>
      <c r="AM556" s="34"/>
      <c r="AN556" s="34"/>
      <c r="AQ556" s="67"/>
      <c r="AR556" s="67"/>
      <c r="AS556" s="67"/>
      <c r="AT556" s="67"/>
      <c r="AU556" s="67"/>
      <c r="AW556" s="68"/>
      <c r="AX556" s="68"/>
      <c r="AY556" s="68"/>
      <c r="AZ556" s="68"/>
      <c r="BA556" s="68"/>
      <c r="BB556" s="68"/>
    </row>
    <row r="557" spans="1:54" ht="13.5" thickBot="1">
      <c r="A557" s="103">
        <v>39486</v>
      </c>
      <c r="B557" s="104">
        <v>4.3239998817443848</v>
      </c>
      <c r="C557" s="105">
        <v>1331.2900390625</v>
      </c>
      <c r="D557" s="104">
        <v>1.9453999996185303</v>
      </c>
      <c r="E557">
        <v>107.34220515708371</v>
      </c>
      <c r="F557">
        <v>916.59814453125</v>
      </c>
      <c r="H557" s="34"/>
      <c r="I557" s="34"/>
      <c r="J557" s="34"/>
      <c r="K557" s="34"/>
      <c r="L557" s="34"/>
      <c r="N557" s="34"/>
      <c r="O557" s="35"/>
      <c r="P557" s="35"/>
      <c r="Q557" s="35"/>
      <c r="R557" s="35"/>
      <c r="S557" s="74"/>
      <c r="AJ557" s="34"/>
      <c r="AK557" s="34"/>
      <c r="AL557" s="34"/>
      <c r="AM557" s="34"/>
      <c r="AN557" s="34"/>
      <c r="AQ557" s="67"/>
      <c r="AR557" s="67"/>
      <c r="AS557" s="67"/>
      <c r="AT557" s="67"/>
      <c r="AU557" s="67"/>
      <c r="AW557" s="68"/>
      <c r="AX557" s="68"/>
      <c r="AY557" s="68"/>
      <c r="AZ557" s="68"/>
      <c r="BA557" s="68"/>
      <c r="BB557" s="68"/>
    </row>
    <row r="558" spans="1:54" ht="13.5" thickBot="1">
      <c r="A558" s="103">
        <v>39489</v>
      </c>
      <c r="B558" s="104">
        <v>4.2954998016357422</v>
      </c>
      <c r="C558" s="105">
        <v>1339.1300048828125</v>
      </c>
      <c r="D558" s="104">
        <v>1.9499000310897827</v>
      </c>
      <c r="E558">
        <v>106.91756953578353</v>
      </c>
      <c r="F558">
        <v>921.748779296875</v>
      </c>
      <c r="H558" s="34"/>
      <c r="I558" s="34"/>
      <c r="J558" s="34"/>
      <c r="K558" s="34"/>
      <c r="L558" s="34"/>
      <c r="N558" s="34"/>
      <c r="O558" s="35"/>
      <c r="P558" s="35"/>
      <c r="Q558" s="35"/>
      <c r="R558" s="35"/>
      <c r="S558" s="74"/>
      <c r="AJ558" s="34"/>
      <c r="AK558" s="34"/>
      <c r="AL558" s="34"/>
      <c r="AM558" s="34"/>
      <c r="AN558" s="34"/>
      <c r="AQ558" s="67"/>
      <c r="AR558" s="67"/>
      <c r="AS558" s="67"/>
      <c r="AT558" s="67"/>
      <c r="AU558" s="67"/>
      <c r="AW558" s="68"/>
      <c r="AX558" s="68"/>
      <c r="AY558" s="68"/>
      <c r="AZ558" s="68"/>
      <c r="BA558" s="68"/>
      <c r="BB558" s="68"/>
    </row>
    <row r="559" spans="1:54" ht="13.5" thickBot="1">
      <c r="A559" s="103">
        <v>39490</v>
      </c>
      <c r="B559" s="104">
        <v>4.3590002059936523</v>
      </c>
      <c r="C559" s="105">
        <v>1348.8599853515625</v>
      </c>
      <c r="D559" s="104">
        <v>1.9621000289916992</v>
      </c>
      <c r="E559">
        <v>107.36526034686517</v>
      </c>
      <c r="F559">
        <v>906.2496337890625</v>
      </c>
      <c r="H559" s="34"/>
      <c r="I559" s="34"/>
      <c r="J559" s="34"/>
      <c r="K559" s="34"/>
      <c r="L559" s="34"/>
      <c r="N559" s="34"/>
      <c r="O559" s="35"/>
      <c r="P559" s="35"/>
      <c r="Q559" s="35"/>
      <c r="R559" s="35"/>
      <c r="S559" s="74"/>
      <c r="AJ559" s="34"/>
      <c r="AK559" s="34"/>
      <c r="AL559" s="34"/>
      <c r="AM559" s="34"/>
      <c r="AN559" s="34"/>
      <c r="AQ559" s="67"/>
      <c r="AR559" s="67"/>
      <c r="AS559" s="67"/>
      <c r="AT559" s="67"/>
      <c r="AU559" s="67"/>
      <c r="AW559" s="68"/>
      <c r="AX559" s="68"/>
      <c r="AY559" s="68"/>
      <c r="AZ559" s="68"/>
      <c r="BA559" s="68"/>
      <c r="BB559" s="68"/>
    </row>
    <row r="560" spans="1:54" ht="13.5" thickBot="1">
      <c r="A560" s="103">
        <v>39491</v>
      </c>
      <c r="B560" s="104">
        <v>4.3814997673034668</v>
      </c>
      <c r="C560" s="105">
        <v>1367.2099609375</v>
      </c>
      <c r="D560" s="104">
        <v>1.9650000333786011</v>
      </c>
      <c r="E560">
        <v>108.22511317484856</v>
      </c>
      <c r="F560">
        <v>908.44952392578125</v>
      </c>
      <c r="H560" s="34"/>
      <c r="I560" s="34"/>
      <c r="J560" s="34"/>
      <c r="K560" s="34"/>
      <c r="L560" s="34"/>
      <c r="N560" s="34"/>
      <c r="O560" s="35"/>
      <c r="P560" s="35"/>
      <c r="Q560" s="35"/>
      <c r="R560" s="35"/>
      <c r="S560" s="74"/>
      <c r="AJ560" s="34"/>
      <c r="AK560" s="34"/>
      <c r="AL560" s="34"/>
      <c r="AM560" s="34"/>
      <c r="AN560" s="34"/>
      <c r="AQ560" s="67"/>
      <c r="AR560" s="67"/>
      <c r="AS560" s="67"/>
      <c r="AT560" s="67"/>
      <c r="AU560" s="67"/>
      <c r="AW560" s="68"/>
      <c r="AX560" s="68"/>
      <c r="AY560" s="68"/>
      <c r="AZ560" s="68"/>
      <c r="BA560" s="68"/>
      <c r="BB560" s="68"/>
    </row>
    <row r="561" spans="1:54" ht="13.5" thickBot="1">
      <c r="A561" s="103">
        <v>39492</v>
      </c>
      <c r="B561" s="104">
        <v>4.5590000152587891</v>
      </c>
      <c r="C561" s="105">
        <v>1348.8599853515625</v>
      </c>
      <c r="D561" s="104">
        <v>1.968999981880188</v>
      </c>
      <c r="E561">
        <v>107.92143038921765</v>
      </c>
      <c r="F561">
        <v>909.77362060546875</v>
      </c>
      <c r="H561" s="34"/>
      <c r="I561" s="34"/>
      <c r="J561" s="34"/>
      <c r="K561" s="34"/>
      <c r="L561" s="34"/>
      <c r="N561" s="34"/>
      <c r="O561" s="35"/>
      <c r="P561" s="35"/>
      <c r="Q561" s="35"/>
      <c r="R561" s="35"/>
      <c r="S561" s="74"/>
      <c r="AJ561" s="34"/>
      <c r="AK561" s="34"/>
      <c r="AL561" s="34"/>
      <c r="AM561" s="34"/>
      <c r="AN561" s="34"/>
      <c r="AQ561" s="67"/>
      <c r="AR561" s="67"/>
      <c r="AS561" s="67"/>
      <c r="AT561" s="67"/>
      <c r="AU561" s="67"/>
      <c r="AW561" s="68"/>
      <c r="AX561" s="68"/>
      <c r="AY561" s="68"/>
      <c r="AZ561" s="68"/>
      <c r="BA561" s="68"/>
      <c r="BB561" s="68"/>
    </row>
    <row r="562" spans="1:54" ht="13.5" thickBot="1">
      <c r="A562" s="103">
        <v>39493</v>
      </c>
      <c r="B562" s="104">
        <v>4.5105948448181152</v>
      </c>
      <c r="C562" s="105">
        <v>1349.989990234375</v>
      </c>
      <c r="D562" s="104">
        <v>1.9585000276565552</v>
      </c>
      <c r="E562">
        <v>107.65421253765294</v>
      </c>
      <c r="F562">
        <v>901.77471923828125</v>
      </c>
      <c r="H562" s="34"/>
      <c r="I562" s="34"/>
      <c r="J562" s="34"/>
      <c r="K562" s="34"/>
      <c r="L562" s="34"/>
      <c r="N562" s="34"/>
      <c r="O562" s="35"/>
      <c r="P562" s="35"/>
      <c r="Q562" s="35"/>
      <c r="R562" s="35"/>
      <c r="S562" s="74"/>
      <c r="AJ562" s="34"/>
      <c r="AK562" s="34"/>
      <c r="AL562" s="34"/>
      <c r="AM562" s="34"/>
      <c r="AN562" s="34"/>
      <c r="AQ562" s="67"/>
      <c r="AR562" s="67"/>
      <c r="AS562" s="67"/>
      <c r="AT562" s="67"/>
      <c r="AU562" s="67"/>
      <c r="AW562" s="68"/>
      <c r="AX562" s="68"/>
      <c r="AY562" s="68"/>
      <c r="AZ562" s="68"/>
      <c r="BA562" s="68"/>
      <c r="BB562" s="68"/>
    </row>
    <row r="563" spans="1:54" ht="13.5" thickBot="1">
      <c r="A563" s="103">
        <v>39496</v>
      </c>
      <c r="B563" s="104">
        <v>4.5105948448181152</v>
      </c>
      <c r="C563" s="105">
        <v>1349.989990234375</v>
      </c>
      <c r="D563" s="104">
        <v>1.9487500190734863</v>
      </c>
      <c r="E563">
        <v>108.15487674682159</v>
      </c>
      <c r="F563">
        <v>903.34979248046875</v>
      </c>
      <c r="H563" s="34"/>
      <c r="I563" s="34"/>
      <c r="J563" s="34"/>
      <c r="K563" s="34"/>
      <c r="L563" s="34"/>
      <c r="N563" s="34"/>
      <c r="O563" s="35"/>
      <c r="P563" s="35"/>
      <c r="Q563" s="35"/>
      <c r="R563" s="35"/>
      <c r="S563" s="74"/>
      <c r="AJ563" s="34"/>
      <c r="AK563" s="34"/>
      <c r="AL563" s="34"/>
      <c r="AM563" s="34"/>
      <c r="AN563" s="34"/>
      <c r="AQ563" s="67"/>
      <c r="AR563" s="67"/>
      <c r="AS563" s="67"/>
      <c r="AT563" s="67"/>
      <c r="AU563" s="67"/>
      <c r="AW563" s="68"/>
      <c r="AX563" s="68"/>
      <c r="AY563" s="68"/>
      <c r="AZ563" s="68"/>
      <c r="BA563" s="68"/>
      <c r="BB563" s="68"/>
    </row>
    <row r="564" spans="1:54" ht="13.5" thickBot="1">
      <c r="A564" s="103">
        <v>39497</v>
      </c>
      <c r="B564" s="104">
        <v>4.6284999847412109</v>
      </c>
      <c r="C564" s="105">
        <v>1348.780029296875</v>
      </c>
      <c r="D564" s="104">
        <v>1.948699951171875</v>
      </c>
      <c r="E564">
        <v>107.61945790651474</v>
      </c>
      <c r="F564">
        <v>927.448486328125</v>
      </c>
      <c r="H564" s="34"/>
      <c r="I564" s="34"/>
      <c r="J564" s="34"/>
      <c r="K564" s="34"/>
      <c r="L564" s="34"/>
      <c r="N564" s="34"/>
      <c r="O564" s="35"/>
      <c r="P564" s="35"/>
      <c r="Q564" s="35"/>
      <c r="R564" s="35"/>
      <c r="S564" s="74"/>
      <c r="AJ564" s="34"/>
      <c r="AK564" s="34"/>
      <c r="AL564" s="34"/>
      <c r="AM564" s="34"/>
      <c r="AN564" s="34"/>
      <c r="AQ564" s="67"/>
      <c r="AR564" s="67"/>
      <c r="AS564" s="67"/>
      <c r="AT564" s="67"/>
      <c r="AU564" s="67"/>
      <c r="AW564" s="68"/>
      <c r="AX564" s="68"/>
      <c r="AY564" s="68"/>
      <c r="AZ564" s="68"/>
      <c r="BA564" s="68"/>
      <c r="BB564" s="68"/>
    </row>
    <row r="565" spans="1:54" ht="13.5" thickBot="1">
      <c r="A565" s="103">
        <v>39498</v>
      </c>
      <c r="B565" s="104">
        <v>4.6449999809265137</v>
      </c>
      <c r="C565" s="105">
        <v>1360.030029296875</v>
      </c>
      <c r="D565" s="104">
        <v>1.9431999921798706</v>
      </c>
      <c r="E565">
        <v>108.17828239083934</v>
      </c>
      <c r="F565">
        <v>932.0482177734375</v>
      </c>
      <c r="H565" s="34"/>
      <c r="I565" s="34"/>
      <c r="J565" s="34"/>
      <c r="K565" s="34"/>
      <c r="L565" s="34"/>
      <c r="N565" s="34"/>
      <c r="O565" s="35"/>
      <c r="P565" s="35"/>
      <c r="Q565" s="35"/>
      <c r="R565" s="35"/>
      <c r="S565" s="74"/>
      <c r="AJ565" s="34"/>
      <c r="AK565" s="34"/>
      <c r="AL565" s="34"/>
      <c r="AM565" s="34"/>
      <c r="AN565" s="34"/>
      <c r="AQ565" s="67"/>
      <c r="AR565" s="67"/>
      <c r="AS565" s="67"/>
      <c r="AT565" s="67"/>
      <c r="AU565" s="67"/>
      <c r="AW565" s="68"/>
      <c r="AX565" s="68"/>
      <c r="AY565" s="68"/>
      <c r="AZ565" s="68"/>
      <c r="BA565" s="68"/>
      <c r="BB565" s="68"/>
    </row>
    <row r="566" spans="1:54" ht="13.5" thickBot="1">
      <c r="A566" s="103">
        <v>39499</v>
      </c>
      <c r="B566" s="104">
        <v>4.4920001029968262</v>
      </c>
      <c r="C566" s="105">
        <v>1342.530029296875</v>
      </c>
      <c r="D566" s="104">
        <v>1.961400032043457</v>
      </c>
      <c r="E566">
        <v>107.37678091809822</v>
      </c>
      <c r="F566">
        <v>945.094970703125</v>
      </c>
      <c r="H566" s="34"/>
      <c r="I566" s="34"/>
      <c r="J566" s="34"/>
      <c r="K566" s="34"/>
      <c r="L566" s="34"/>
      <c r="N566" s="34"/>
      <c r="O566" s="35"/>
      <c r="P566" s="35"/>
      <c r="Q566" s="35"/>
      <c r="R566" s="35"/>
      <c r="S566" s="74"/>
      <c r="AJ566" s="34"/>
      <c r="AK566" s="34"/>
      <c r="AL566" s="34"/>
      <c r="AM566" s="34"/>
      <c r="AN566" s="34"/>
      <c r="AQ566" s="67"/>
      <c r="AR566" s="67"/>
      <c r="AS566" s="67"/>
      <c r="AT566" s="67"/>
      <c r="AU566" s="67"/>
      <c r="AW566" s="68"/>
      <c r="AX566" s="68"/>
      <c r="AY566" s="68"/>
      <c r="AZ566" s="68"/>
      <c r="BA566" s="68"/>
      <c r="BB566" s="68"/>
    </row>
    <row r="567" spans="1:54" ht="13.5" thickBot="1">
      <c r="A567" s="103">
        <v>39500</v>
      </c>
      <c r="B567" s="104">
        <v>4.5450000762939453</v>
      </c>
      <c r="C567" s="105">
        <v>1353.1099853515625</v>
      </c>
      <c r="D567" s="104">
        <v>1.9686000347137451</v>
      </c>
      <c r="E567">
        <v>106.96331491474946</v>
      </c>
      <c r="F567">
        <v>945.04498291015625</v>
      </c>
      <c r="H567" s="34"/>
      <c r="I567" s="34"/>
      <c r="J567" s="34"/>
      <c r="K567" s="34"/>
      <c r="L567" s="34"/>
      <c r="N567" s="34"/>
      <c r="O567" s="35"/>
      <c r="P567" s="35"/>
      <c r="Q567" s="35"/>
      <c r="R567" s="35"/>
      <c r="S567" s="74"/>
      <c r="AJ567" s="34"/>
      <c r="AK567" s="34"/>
      <c r="AL567" s="34"/>
      <c r="AM567" s="34"/>
      <c r="AN567" s="34"/>
      <c r="AQ567" s="67"/>
      <c r="AR567" s="67"/>
      <c r="AS567" s="67"/>
      <c r="AT567" s="67"/>
      <c r="AU567" s="67"/>
      <c r="AW567" s="68"/>
      <c r="AX567" s="68"/>
      <c r="AY567" s="68"/>
      <c r="AZ567" s="68"/>
      <c r="BA567" s="68"/>
      <c r="BB567" s="68"/>
    </row>
    <row r="568" spans="1:54" ht="13.5" thickBot="1">
      <c r="A568" s="103">
        <v>39503</v>
      </c>
      <c r="B568" s="104">
        <v>4.6405000686645508</v>
      </c>
      <c r="C568" s="105">
        <v>1371.800048828125</v>
      </c>
      <c r="D568" s="104">
        <v>1.9668999910354614</v>
      </c>
      <c r="E568">
        <v>108.08474230438324</v>
      </c>
      <c r="F568">
        <v>936.2979736328125</v>
      </c>
      <c r="H568" s="34"/>
      <c r="I568" s="34"/>
      <c r="J568" s="34"/>
      <c r="K568" s="34"/>
      <c r="L568" s="34"/>
      <c r="N568" s="34"/>
      <c r="O568" s="35"/>
      <c r="P568" s="35"/>
      <c r="Q568" s="35"/>
      <c r="R568" s="35"/>
      <c r="S568" s="74"/>
      <c r="AJ568" s="34"/>
      <c r="AK568" s="34"/>
      <c r="AL568" s="34"/>
      <c r="AM568" s="34"/>
      <c r="AN568" s="34"/>
      <c r="AQ568" s="67"/>
      <c r="AR568" s="67"/>
      <c r="AS568" s="67"/>
      <c r="AT568" s="67"/>
      <c r="AU568" s="67"/>
      <c r="AW568" s="68"/>
      <c r="AX568" s="68"/>
      <c r="AY568" s="68"/>
      <c r="AZ568" s="68"/>
      <c r="BA568" s="68"/>
      <c r="BB568" s="68"/>
    </row>
    <row r="569" spans="1:54" ht="13.5" thickBot="1">
      <c r="A569" s="103">
        <v>39504</v>
      </c>
      <c r="B569" s="104">
        <v>4.5669999122619629</v>
      </c>
      <c r="C569" s="105">
        <v>1381.2900390625</v>
      </c>
      <c r="D569" s="104">
        <v>1.9859000444412231</v>
      </c>
      <c r="E569">
        <v>107.28462119822372</v>
      </c>
      <c r="F569">
        <v>944.49755859375</v>
      </c>
      <c r="H569" s="34"/>
      <c r="I569" s="34"/>
      <c r="J569" s="34"/>
      <c r="K569" s="34"/>
      <c r="L569" s="34"/>
      <c r="N569" s="34"/>
      <c r="O569" s="35"/>
      <c r="P569" s="35"/>
      <c r="Q569" s="35"/>
      <c r="R569" s="35"/>
      <c r="S569" s="74"/>
      <c r="AJ569" s="34"/>
      <c r="AK569" s="34"/>
      <c r="AL569" s="34"/>
      <c r="AM569" s="34"/>
      <c r="AN569" s="34"/>
      <c r="AQ569" s="67"/>
      <c r="AR569" s="67"/>
      <c r="AS569" s="67"/>
      <c r="AT569" s="67"/>
      <c r="AU569" s="67"/>
      <c r="AW569" s="68"/>
      <c r="AX569" s="68"/>
      <c r="AY569" s="68"/>
      <c r="AZ569" s="68"/>
      <c r="BA569" s="68"/>
      <c r="BB569" s="68"/>
    </row>
    <row r="570" spans="1:54" ht="13.5" thickBot="1">
      <c r="A570" s="103">
        <v>39505</v>
      </c>
      <c r="B570" s="104">
        <v>4.5335001945495605</v>
      </c>
      <c r="C570" s="105">
        <v>1380.02001953125</v>
      </c>
      <c r="D570" s="104">
        <v>1.9843000173568726</v>
      </c>
      <c r="E570">
        <v>106.43960013497487</v>
      </c>
      <c r="F570">
        <v>958.2967529296875</v>
      </c>
      <c r="H570" s="34"/>
      <c r="I570" s="34"/>
      <c r="J570" s="34"/>
      <c r="K570" s="34"/>
      <c r="L570" s="34"/>
      <c r="N570" s="34"/>
      <c r="O570" s="35"/>
      <c r="P570" s="35"/>
      <c r="Q570" s="35"/>
      <c r="R570" s="35"/>
      <c r="S570" s="74"/>
      <c r="AJ570" s="34"/>
      <c r="AK570" s="34"/>
      <c r="AL570" s="34"/>
      <c r="AM570" s="34"/>
      <c r="AN570" s="34"/>
      <c r="AQ570" s="67"/>
      <c r="AR570" s="67"/>
      <c r="AS570" s="67"/>
      <c r="AT570" s="67"/>
      <c r="AU570" s="67"/>
      <c r="AW570" s="68"/>
      <c r="AX570" s="68"/>
      <c r="AY570" s="68"/>
      <c r="AZ570" s="68"/>
      <c r="BA570" s="68"/>
      <c r="BB570" s="68"/>
    </row>
    <row r="571" spans="1:54" ht="13.5" thickBot="1">
      <c r="A571" s="103">
        <v>39506</v>
      </c>
      <c r="B571" s="104">
        <v>4.4149999618530273</v>
      </c>
      <c r="C571" s="105">
        <v>1367.6800537109375</v>
      </c>
      <c r="D571" s="104">
        <v>1.9922000169754028</v>
      </c>
      <c r="E571">
        <v>105.28532161907751</v>
      </c>
      <c r="F571">
        <v>963.5928955078125</v>
      </c>
      <c r="H571" s="34"/>
      <c r="I571" s="34"/>
      <c r="J571" s="34"/>
      <c r="K571" s="34"/>
      <c r="L571" s="34"/>
      <c r="N571" s="34"/>
      <c r="O571" s="35"/>
      <c r="P571" s="35"/>
      <c r="Q571" s="35"/>
      <c r="R571" s="35"/>
      <c r="S571" s="74"/>
      <c r="AJ571" s="34"/>
      <c r="AK571" s="34"/>
      <c r="AL571" s="34"/>
      <c r="AM571" s="34"/>
      <c r="AN571" s="34"/>
      <c r="AQ571" s="67"/>
      <c r="AR571" s="67"/>
      <c r="AS571" s="67"/>
      <c r="AT571" s="67"/>
      <c r="AU571" s="67"/>
      <c r="AW571" s="68"/>
      <c r="AX571" s="68"/>
      <c r="AY571" s="68"/>
      <c r="AZ571" s="68"/>
      <c r="BA571" s="68"/>
      <c r="BB571" s="68"/>
    </row>
    <row r="572" spans="1:54" ht="13.5" thickBot="1">
      <c r="A572" s="103">
        <v>39507</v>
      </c>
      <c r="B572" s="104">
        <v>4.2239999771118164</v>
      </c>
      <c r="C572" s="105">
        <v>1330.6300048828125</v>
      </c>
      <c r="D572" s="104">
        <v>1.9884500503540039</v>
      </c>
      <c r="E572">
        <v>103.95010744093847</v>
      </c>
      <c r="F572">
        <v>972.7918701171875</v>
      </c>
      <c r="H572" s="34"/>
      <c r="I572" s="34"/>
      <c r="J572" s="34"/>
      <c r="K572" s="34"/>
      <c r="L572" s="34"/>
      <c r="N572" s="34"/>
      <c r="O572" s="35"/>
      <c r="P572" s="35"/>
      <c r="Q572" s="35"/>
      <c r="R572" s="35"/>
      <c r="S572" s="74"/>
      <c r="AJ572" s="34"/>
      <c r="AK572" s="34"/>
      <c r="AL572" s="34"/>
      <c r="AM572" s="34"/>
      <c r="AN572" s="34"/>
      <c r="AQ572" s="67"/>
      <c r="AR572" s="67"/>
      <c r="AS572" s="67"/>
      <c r="AT572" s="67"/>
      <c r="AU572" s="67"/>
      <c r="AW572" s="68"/>
      <c r="AX572" s="68"/>
      <c r="AY572" s="68"/>
      <c r="AZ572" s="68"/>
      <c r="BA572" s="68"/>
      <c r="BB572" s="68"/>
    </row>
    <row r="573" spans="1:54" ht="13.5" thickBot="1">
      <c r="A573" s="103">
        <v>39510</v>
      </c>
      <c r="B573" s="104">
        <v>4.2369999885559082</v>
      </c>
      <c r="C573" s="105">
        <v>1331.3399658203125</v>
      </c>
      <c r="D573" s="104">
        <v>1.9845000505447388</v>
      </c>
      <c r="E573">
        <v>103.24179532767585</v>
      </c>
      <c r="F573">
        <v>980.34552001953125</v>
      </c>
      <c r="H573" s="34"/>
      <c r="I573" s="34"/>
      <c r="J573" s="34"/>
      <c r="K573" s="34"/>
      <c r="L573" s="34"/>
      <c r="N573" s="34"/>
      <c r="O573" s="35"/>
      <c r="P573" s="35"/>
      <c r="Q573" s="35"/>
      <c r="R573" s="35"/>
      <c r="S573" s="74"/>
      <c r="AJ573" s="34"/>
      <c r="AK573" s="34"/>
      <c r="AL573" s="34"/>
      <c r="AM573" s="34"/>
      <c r="AN573" s="34"/>
      <c r="AQ573" s="67"/>
      <c r="AR573" s="67"/>
      <c r="AS573" s="67"/>
      <c r="AT573" s="67"/>
      <c r="AU573" s="67"/>
      <c r="AW573" s="68"/>
      <c r="AX573" s="68"/>
      <c r="AY573" s="68"/>
      <c r="AZ573" s="68"/>
      <c r="BA573" s="68"/>
      <c r="BB573" s="68"/>
    </row>
    <row r="574" spans="1:54" ht="13.5" thickBot="1">
      <c r="A574" s="103">
        <v>39511</v>
      </c>
      <c r="B574" s="104">
        <v>4.3220000267028809</v>
      </c>
      <c r="C574" s="105">
        <v>1326.75</v>
      </c>
      <c r="D574" s="104">
        <v>1.9859000444412231</v>
      </c>
      <c r="E574">
        <v>103.13531081209194</v>
      </c>
      <c r="F574">
        <v>959.8466796875</v>
      </c>
      <c r="H574" s="34"/>
      <c r="I574" s="34"/>
      <c r="J574" s="34"/>
      <c r="K574" s="34"/>
      <c r="L574" s="34"/>
      <c r="N574" s="34"/>
      <c r="O574" s="35"/>
      <c r="P574" s="35"/>
      <c r="Q574" s="35"/>
      <c r="R574" s="35"/>
      <c r="S574" s="74"/>
      <c r="AJ574" s="34"/>
      <c r="AK574" s="34"/>
      <c r="AL574" s="34"/>
      <c r="AM574" s="34"/>
      <c r="AN574" s="34"/>
      <c r="AQ574" s="67"/>
      <c r="AR574" s="67"/>
      <c r="AS574" s="67"/>
      <c r="AT574" s="67"/>
      <c r="AU574" s="67"/>
      <c r="AW574" s="68"/>
      <c r="AX574" s="68"/>
      <c r="AY574" s="68"/>
      <c r="AZ574" s="68"/>
      <c r="BA574" s="68"/>
      <c r="BB574" s="68"/>
    </row>
    <row r="575" spans="1:54" ht="13.5" thickBot="1">
      <c r="A575" s="103">
        <v>39512</v>
      </c>
      <c r="B575" s="104">
        <v>4.4840002059936523</v>
      </c>
      <c r="C575" s="105">
        <v>1333.699951171875</v>
      </c>
      <c r="D575" s="104">
        <v>1.9917999505996704</v>
      </c>
      <c r="E575">
        <v>103.88530858501183</v>
      </c>
      <c r="F575">
        <v>987.045166015625</v>
      </c>
      <c r="H575" s="34"/>
      <c r="I575" s="34"/>
      <c r="J575" s="34"/>
      <c r="K575" s="34"/>
      <c r="L575" s="34"/>
      <c r="N575" s="34"/>
      <c r="O575" s="35"/>
      <c r="P575" s="35"/>
      <c r="Q575" s="35"/>
      <c r="R575" s="35"/>
      <c r="S575" s="74"/>
      <c r="AJ575" s="34"/>
      <c r="AK575" s="34"/>
      <c r="AL575" s="34"/>
      <c r="AM575" s="34"/>
      <c r="AN575" s="34"/>
      <c r="AQ575" s="67"/>
      <c r="AR575" s="67"/>
      <c r="AS575" s="67"/>
      <c r="AT575" s="67"/>
      <c r="AU575" s="67"/>
      <c r="AW575" s="68"/>
      <c r="AX575" s="68"/>
      <c r="AY575" s="68"/>
      <c r="AZ575" s="68"/>
      <c r="BA575" s="68"/>
      <c r="BB575" s="68"/>
    </row>
    <row r="576" spans="1:54" ht="13.5" thickBot="1">
      <c r="A576" s="103">
        <v>39513</v>
      </c>
      <c r="B576" s="104">
        <v>4.5089998245239258</v>
      </c>
      <c r="C576" s="105">
        <v>1304.3399658203125</v>
      </c>
      <c r="D576" s="104">
        <v>2.0088999271392822</v>
      </c>
      <c r="E576">
        <v>102.92300926453126</v>
      </c>
      <c r="F576">
        <v>975.09161376953125</v>
      </c>
      <c r="H576" s="34"/>
      <c r="I576" s="34"/>
      <c r="J576" s="34"/>
      <c r="K576" s="34"/>
      <c r="L576" s="34"/>
      <c r="N576" s="34"/>
      <c r="O576" s="35"/>
      <c r="P576" s="35"/>
      <c r="Q576" s="35"/>
      <c r="R576" s="35"/>
      <c r="S576" s="74"/>
      <c r="AJ576" s="34"/>
      <c r="AK576" s="34"/>
      <c r="AL576" s="34"/>
      <c r="AM576" s="34"/>
      <c r="AN576" s="34"/>
      <c r="AQ576" s="67"/>
      <c r="AR576" s="67"/>
      <c r="AS576" s="67"/>
      <c r="AT576" s="67"/>
      <c r="AU576" s="67"/>
      <c r="AW576" s="68"/>
      <c r="AX576" s="68"/>
      <c r="AY576" s="68"/>
      <c r="AZ576" s="68"/>
      <c r="BA576" s="68"/>
      <c r="BB576" s="68"/>
    </row>
    <row r="577" spans="1:54" ht="13.5" thickBot="1">
      <c r="A577" s="103">
        <v>39514</v>
      </c>
      <c r="B577" s="104">
        <v>4.4190001487731934</v>
      </c>
      <c r="C577" s="105">
        <v>1293.3699951171875</v>
      </c>
      <c r="D577" s="104">
        <v>2.0151998996734619</v>
      </c>
      <c r="E577">
        <v>102.65886564890123</v>
      </c>
      <c r="F577">
        <v>972.29193115234375</v>
      </c>
      <c r="H577" s="34"/>
      <c r="I577" s="34"/>
      <c r="J577" s="34"/>
      <c r="K577" s="34"/>
      <c r="L577" s="34"/>
      <c r="N577" s="34"/>
      <c r="O577" s="35"/>
      <c r="P577" s="35"/>
      <c r="Q577" s="35"/>
      <c r="R577" s="35"/>
      <c r="S577" s="74"/>
      <c r="AJ577" s="34"/>
      <c r="AK577" s="34"/>
      <c r="AL577" s="34"/>
      <c r="AM577" s="34"/>
      <c r="AN577" s="34"/>
      <c r="AQ577" s="67"/>
      <c r="AR577" s="67"/>
      <c r="AS577" s="67"/>
      <c r="AT577" s="67"/>
      <c r="AU577" s="67"/>
      <c r="AW577" s="68"/>
      <c r="AX577" s="68"/>
      <c r="AY577" s="68"/>
      <c r="AZ577" s="68"/>
      <c r="BA577" s="68"/>
      <c r="BB577" s="68"/>
    </row>
    <row r="578" spans="1:54" ht="13.5" thickBot="1">
      <c r="A578" s="103">
        <v>39517</v>
      </c>
      <c r="B578" s="104">
        <v>4.3029999732971191</v>
      </c>
      <c r="C578" s="105">
        <v>1273.3699951171875</v>
      </c>
      <c r="D578" s="104">
        <v>2.0097999572753906</v>
      </c>
      <c r="E578">
        <v>101.78117454331777</v>
      </c>
      <c r="F578">
        <v>969.94610595703125</v>
      </c>
      <c r="H578" s="34"/>
      <c r="I578" s="34"/>
      <c r="J578" s="34"/>
      <c r="K578" s="34"/>
      <c r="L578" s="34"/>
      <c r="N578" s="34"/>
      <c r="O578" s="35"/>
      <c r="P578" s="35"/>
      <c r="Q578" s="35"/>
      <c r="R578" s="35"/>
      <c r="S578" s="74"/>
      <c r="AJ578" s="34"/>
      <c r="AK578" s="34"/>
      <c r="AL578" s="34"/>
      <c r="AM578" s="34"/>
      <c r="AN578" s="34"/>
      <c r="AQ578" s="67"/>
      <c r="AR578" s="67"/>
      <c r="AS578" s="67"/>
      <c r="AT578" s="67"/>
      <c r="AU578" s="67"/>
      <c r="AW578" s="68"/>
      <c r="AX578" s="68"/>
      <c r="AY578" s="68"/>
      <c r="AZ578" s="68"/>
      <c r="BA578" s="68"/>
      <c r="BB578" s="68"/>
    </row>
    <row r="579" spans="1:54" ht="13.5" thickBot="1">
      <c r="A579" s="103">
        <v>39518</v>
      </c>
      <c r="B579" s="104">
        <v>4.3814997673034668</v>
      </c>
      <c r="C579" s="105">
        <v>1320.6500244140625</v>
      </c>
      <c r="D579" s="104">
        <v>2.0027999877929687</v>
      </c>
      <c r="E579">
        <v>103.44471092197566</v>
      </c>
      <c r="F579">
        <v>974.54583740234375</v>
      </c>
      <c r="H579" s="34"/>
      <c r="I579" s="34"/>
      <c r="J579" s="34"/>
      <c r="K579" s="34"/>
      <c r="L579" s="34"/>
      <c r="N579" s="34"/>
      <c r="O579" s="35"/>
      <c r="P579" s="35"/>
      <c r="Q579" s="35"/>
      <c r="R579" s="35"/>
      <c r="S579" s="74"/>
      <c r="AJ579" s="34"/>
      <c r="AK579" s="34"/>
      <c r="AL579" s="34"/>
      <c r="AM579" s="34"/>
      <c r="AN579" s="34"/>
      <c r="AQ579" s="67"/>
      <c r="AR579" s="67"/>
      <c r="AS579" s="67"/>
      <c r="AT579" s="67"/>
      <c r="AU579" s="67"/>
      <c r="AW579" s="68"/>
      <c r="AX579" s="68"/>
      <c r="AY579" s="68"/>
      <c r="AZ579" s="68"/>
      <c r="BA579" s="68"/>
      <c r="BB579" s="68"/>
    </row>
    <row r="580" spans="1:54" ht="13.5" thickBot="1">
      <c r="A580" s="103">
        <v>39519</v>
      </c>
      <c r="B580" s="104">
        <v>4.2280001640319824</v>
      </c>
      <c r="C580" s="105">
        <v>1308.77001953125</v>
      </c>
      <c r="D580" s="104">
        <v>2.0236999988555908</v>
      </c>
      <c r="E580">
        <v>101.97838374214274</v>
      </c>
      <c r="F580">
        <v>979.64556884765625</v>
      </c>
      <c r="H580" s="34"/>
      <c r="I580" s="34"/>
      <c r="J580" s="34"/>
      <c r="K580" s="34"/>
      <c r="L580" s="34"/>
      <c r="N580" s="34"/>
      <c r="O580" s="35"/>
      <c r="P580" s="35"/>
      <c r="Q580" s="35"/>
      <c r="R580" s="35"/>
      <c r="S580" s="74"/>
      <c r="AJ580" s="34"/>
      <c r="AK580" s="34"/>
      <c r="AL580" s="34"/>
      <c r="AM580" s="34"/>
      <c r="AN580" s="34"/>
      <c r="AQ580" s="67"/>
      <c r="AR580" s="67"/>
      <c r="AS580" s="67"/>
      <c r="AT580" s="67"/>
      <c r="AU580" s="67"/>
      <c r="AW580" s="68"/>
      <c r="AX580" s="68"/>
      <c r="AY580" s="68"/>
      <c r="AZ580" s="68"/>
      <c r="BA580" s="68"/>
      <c r="BB580" s="68"/>
    </row>
    <row r="581" spans="1:54" ht="13.5" thickBot="1">
      <c r="A581" s="103">
        <v>39520</v>
      </c>
      <c r="B581" s="104">
        <v>4.254000186920166</v>
      </c>
      <c r="C581" s="105">
        <v>1315.47998046875</v>
      </c>
      <c r="D581" s="104">
        <v>2.0290000438690186</v>
      </c>
      <c r="E581">
        <v>101.08157154304511</v>
      </c>
      <c r="F581">
        <v>992.28973388671875</v>
      </c>
      <c r="H581" s="34"/>
      <c r="I581" s="34"/>
      <c r="J581" s="34"/>
      <c r="K581" s="34"/>
      <c r="L581" s="34"/>
      <c r="N581" s="34"/>
      <c r="O581" s="35"/>
      <c r="P581" s="35"/>
      <c r="Q581" s="35"/>
      <c r="R581" s="35"/>
      <c r="S581" s="74"/>
      <c r="AJ581" s="34"/>
      <c r="AK581" s="34"/>
      <c r="AL581" s="34"/>
      <c r="AM581" s="34"/>
      <c r="AN581" s="34"/>
      <c r="AQ581" s="67"/>
      <c r="AR581" s="67"/>
      <c r="AS581" s="67"/>
      <c r="AT581" s="67"/>
      <c r="AU581" s="67"/>
      <c r="AW581" s="68"/>
      <c r="AX581" s="68"/>
      <c r="AY581" s="68"/>
      <c r="AZ581" s="68"/>
      <c r="BA581" s="68"/>
      <c r="BB581" s="68"/>
    </row>
    <row r="582" spans="1:54" ht="13.5" thickBot="1">
      <c r="A582" s="103">
        <v>39521</v>
      </c>
      <c r="B582" s="104">
        <v>4.1399998664855957</v>
      </c>
      <c r="C582" s="105">
        <v>1288.1400146484375</v>
      </c>
      <c r="D582" s="104">
        <v>2.0216999053955078</v>
      </c>
      <c r="E582">
        <v>99.196511286408636</v>
      </c>
      <c r="F582">
        <v>997.78912353515625</v>
      </c>
      <c r="H582" s="34"/>
      <c r="I582" s="34"/>
      <c r="J582" s="34"/>
      <c r="K582" s="34"/>
      <c r="L582" s="34"/>
      <c r="N582" s="34"/>
      <c r="O582" s="35"/>
      <c r="P582" s="35"/>
      <c r="Q582" s="35"/>
      <c r="R582" s="35"/>
      <c r="S582" s="74"/>
      <c r="AJ582" s="34"/>
      <c r="AK582" s="34"/>
      <c r="AL582" s="34"/>
      <c r="AM582" s="34"/>
      <c r="AN582" s="34"/>
      <c r="AQ582" s="67"/>
      <c r="AR582" s="67"/>
      <c r="AS582" s="67"/>
      <c r="AT582" s="67"/>
      <c r="AU582" s="67"/>
      <c r="AW582" s="68"/>
      <c r="AX582" s="68"/>
      <c r="AY582" s="68"/>
      <c r="AZ582" s="68"/>
      <c r="BA582" s="68"/>
      <c r="BB582" s="68"/>
    </row>
    <row r="583" spans="1:54" ht="13.5" thickBot="1">
      <c r="A583" s="103">
        <v>39524</v>
      </c>
      <c r="B583" s="104">
        <v>3.940500020980835</v>
      </c>
      <c r="C583" s="105">
        <v>1276.5999755859375</v>
      </c>
      <c r="D583" s="104">
        <v>2.002000093460083</v>
      </c>
      <c r="E583">
        <v>97.380463629763682</v>
      </c>
      <c r="F583">
        <v>996.54461669921875</v>
      </c>
      <c r="H583" s="34"/>
      <c r="I583" s="34"/>
      <c r="J583" s="34"/>
      <c r="K583" s="34"/>
      <c r="L583" s="34"/>
      <c r="N583" s="34"/>
      <c r="O583" s="35"/>
      <c r="P583" s="35"/>
      <c r="Q583" s="35"/>
      <c r="R583" s="35"/>
      <c r="S583" s="74"/>
      <c r="AJ583" s="34"/>
      <c r="AK583" s="34"/>
      <c r="AL583" s="34"/>
      <c r="AM583" s="34"/>
      <c r="AN583" s="34"/>
      <c r="AQ583" s="67"/>
      <c r="AR583" s="67"/>
      <c r="AS583" s="67"/>
      <c r="AT583" s="67"/>
      <c r="AU583" s="67"/>
      <c r="AW583" s="68"/>
      <c r="AX583" s="68"/>
      <c r="AY583" s="68"/>
      <c r="AZ583" s="68"/>
      <c r="BA583" s="68"/>
      <c r="BB583" s="68"/>
    </row>
    <row r="584" spans="1:54" ht="13.5" thickBot="1">
      <c r="A584" s="103">
        <v>39525</v>
      </c>
      <c r="B584" s="104">
        <v>4.0850000381469727</v>
      </c>
      <c r="C584" s="105">
        <v>1330.739990234375</v>
      </c>
      <c r="D584" s="104">
        <v>2.0181000232696533</v>
      </c>
      <c r="E584">
        <v>99.098203999232496</v>
      </c>
      <c r="F584">
        <v>1001.0443725585937</v>
      </c>
      <c r="H584" s="34"/>
      <c r="I584" s="34"/>
      <c r="J584" s="34"/>
      <c r="K584" s="34"/>
      <c r="L584" s="34"/>
      <c r="N584" s="34"/>
      <c r="O584" s="35"/>
      <c r="P584" s="35"/>
      <c r="Q584" s="35"/>
      <c r="R584" s="35"/>
      <c r="S584" s="74"/>
      <c r="AJ584" s="34"/>
      <c r="AK584" s="34"/>
      <c r="AL584" s="34"/>
      <c r="AM584" s="34"/>
      <c r="AN584" s="34"/>
      <c r="AQ584" s="67"/>
      <c r="AR584" s="67"/>
      <c r="AS584" s="67"/>
      <c r="AT584" s="67"/>
      <c r="AU584" s="67"/>
      <c r="AW584" s="68"/>
      <c r="AX584" s="68"/>
      <c r="AY584" s="68"/>
      <c r="AZ584" s="68"/>
      <c r="BA584" s="68"/>
      <c r="BB584" s="68"/>
    </row>
    <row r="585" spans="1:54" ht="13.5" thickBot="1">
      <c r="A585" s="103">
        <v>39526</v>
      </c>
      <c r="B585" s="104">
        <v>3.9525001049041748</v>
      </c>
      <c r="C585" s="105">
        <v>1298.4200439453125</v>
      </c>
      <c r="D585" s="104">
        <v>1.9848999977111816</v>
      </c>
      <c r="E585">
        <v>99.462903088352448</v>
      </c>
      <c r="F585">
        <v>946.468505859375</v>
      </c>
      <c r="H585" s="34"/>
      <c r="I585" s="34"/>
      <c r="J585" s="34"/>
      <c r="K585" s="34"/>
      <c r="L585" s="34"/>
      <c r="N585" s="34"/>
      <c r="O585" s="35"/>
      <c r="P585" s="35"/>
      <c r="Q585" s="35"/>
      <c r="R585" s="35"/>
      <c r="S585" s="74"/>
      <c r="AJ585" s="34"/>
      <c r="AK585" s="34"/>
      <c r="AL585" s="34"/>
      <c r="AM585" s="34"/>
      <c r="AN585" s="34"/>
      <c r="AQ585" s="67"/>
      <c r="AR585" s="67"/>
      <c r="AS585" s="67"/>
      <c r="AT585" s="67"/>
      <c r="AU585" s="67"/>
      <c r="AW585" s="68"/>
      <c r="AX585" s="68"/>
      <c r="AY585" s="68"/>
      <c r="AZ585" s="68"/>
      <c r="BA585" s="68"/>
      <c r="BB585" s="68"/>
    </row>
    <row r="586" spans="1:54" ht="13.5" thickBot="1">
      <c r="A586" s="103">
        <v>39527</v>
      </c>
      <c r="B586" s="104">
        <v>3.9414999485015869</v>
      </c>
      <c r="C586" s="105">
        <v>1329.510009765625</v>
      </c>
      <c r="D586" s="104">
        <v>1.9823999404907227</v>
      </c>
      <c r="E586">
        <v>99.265437013924995</v>
      </c>
      <c r="F586">
        <v>920.47216796875</v>
      </c>
      <c r="H586" s="34"/>
      <c r="I586" s="34"/>
      <c r="J586" s="34"/>
      <c r="K586" s="34"/>
      <c r="L586" s="34"/>
      <c r="N586" s="34"/>
      <c r="O586" s="35"/>
      <c r="P586" s="35"/>
      <c r="Q586" s="35"/>
      <c r="R586" s="35"/>
      <c r="S586" s="74"/>
      <c r="AJ586" s="34"/>
      <c r="AK586" s="34"/>
      <c r="AL586" s="34"/>
      <c r="AM586" s="34"/>
      <c r="AN586" s="34"/>
      <c r="AQ586" s="67"/>
      <c r="AR586" s="67"/>
      <c r="AS586" s="67"/>
      <c r="AT586" s="67"/>
      <c r="AU586" s="67"/>
      <c r="AW586" s="68"/>
      <c r="AX586" s="68"/>
      <c r="AY586" s="68"/>
      <c r="AZ586" s="68"/>
      <c r="BA586" s="68"/>
      <c r="BB586" s="68"/>
    </row>
    <row r="587" spans="1:54" ht="13.5" thickBot="1">
      <c r="A587" s="103">
        <v>39528</v>
      </c>
      <c r="B587" s="104">
        <v>3.9414999485015869</v>
      </c>
      <c r="C587" s="105">
        <v>1329.510009765625</v>
      </c>
      <c r="D587" s="104">
        <v>1.9816000461578369</v>
      </c>
      <c r="E587">
        <v>99.42334704822683</v>
      </c>
      <c r="F587">
        <v>920.47216796875</v>
      </c>
      <c r="H587" s="34"/>
      <c r="I587" s="34"/>
      <c r="J587" s="34"/>
      <c r="K587" s="34"/>
      <c r="L587" s="34"/>
      <c r="N587" s="34"/>
      <c r="O587" s="35"/>
      <c r="P587" s="35"/>
      <c r="Q587" s="35"/>
      <c r="R587" s="35"/>
      <c r="S587" s="74"/>
      <c r="AJ587" s="34"/>
      <c r="AK587" s="34"/>
      <c r="AL587" s="34"/>
      <c r="AM587" s="34"/>
      <c r="AN587" s="34"/>
      <c r="AQ587" s="67"/>
      <c r="AR587" s="67"/>
      <c r="AS587" s="67"/>
      <c r="AT587" s="67"/>
      <c r="AU587" s="67"/>
      <c r="AW587" s="68"/>
      <c r="AX587" s="68"/>
      <c r="AY587" s="68"/>
      <c r="AZ587" s="68"/>
      <c r="BA587" s="68"/>
      <c r="BB587" s="68"/>
    </row>
    <row r="588" spans="1:54" ht="13.5" thickBot="1">
      <c r="A588" s="103">
        <v>39531</v>
      </c>
      <c r="B588" s="104">
        <v>4.1369638442993164</v>
      </c>
      <c r="C588" s="105">
        <v>1349.8800048828125</v>
      </c>
      <c r="D588" s="104">
        <v>1.9840999841690063</v>
      </c>
      <c r="E588">
        <v>100.79628725137626</v>
      </c>
      <c r="F588">
        <v>920.54888916015625</v>
      </c>
      <c r="H588" s="34"/>
      <c r="I588" s="34"/>
      <c r="J588" s="34"/>
      <c r="K588" s="34"/>
      <c r="L588" s="34"/>
      <c r="N588" s="34"/>
      <c r="O588" s="35"/>
      <c r="P588" s="35"/>
      <c r="Q588" s="35"/>
      <c r="R588" s="35"/>
      <c r="S588" s="74"/>
      <c r="AJ588" s="34"/>
      <c r="AK588" s="34"/>
      <c r="AL588" s="34"/>
      <c r="AM588" s="34"/>
      <c r="AN588" s="34"/>
      <c r="AQ588" s="67"/>
      <c r="AR588" s="67"/>
      <c r="AS588" s="67"/>
      <c r="AT588" s="67"/>
      <c r="AU588" s="67"/>
      <c r="AW588" s="68"/>
      <c r="AX588" s="68"/>
      <c r="AY588" s="68"/>
      <c r="AZ588" s="68"/>
      <c r="BA588" s="68"/>
      <c r="BB588" s="68"/>
    </row>
    <row r="589" spans="1:54" ht="13.5" thickBot="1">
      <c r="A589" s="103">
        <v>39532</v>
      </c>
      <c r="B589" s="104">
        <v>4.117499828338623</v>
      </c>
      <c r="C589" s="105">
        <v>1352.989990234375</v>
      </c>
      <c r="D589" s="104">
        <v>1.9996999502182007</v>
      </c>
      <c r="E589">
        <v>100.28079059315594</v>
      </c>
      <c r="F589">
        <v>934.748046875</v>
      </c>
      <c r="H589" s="34"/>
      <c r="I589" s="34"/>
      <c r="J589" s="34"/>
      <c r="K589" s="34"/>
      <c r="L589" s="34"/>
      <c r="N589" s="34"/>
      <c r="O589" s="35"/>
      <c r="P589" s="35"/>
      <c r="Q589" s="35"/>
      <c r="R589" s="35"/>
      <c r="S589" s="74"/>
      <c r="AJ589" s="34"/>
      <c r="AK589" s="34"/>
      <c r="AL589" s="34"/>
      <c r="AM589" s="34"/>
      <c r="AN589" s="34"/>
      <c r="AQ589" s="67"/>
      <c r="AR589" s="67"/>
      <c r="AS589" s="67"/>
      <c r="AT589" s="67"/>
      <c r="AU589" s="67"/>
      <c r="AW589" s="68"/>
      <c r="AX589" s="68"/>
      <c r="AY589" s="68"/>
      <c r="AZ589" s="68"/>
      <c r="BA589" s="68"/>
      <c r="BB589" s="68"/>
    </row>
    <row r="590" spans="1:54" ht="13.5" thickBot="1">
      <c r="A590" s="103">
        <v>39533</v>
      </c>
      <c r="B590" s="104">
        <v>4.1395001411437988</v>
      </c>
      <c r="C590" s="105">
        <v>1341.1300048828125</v>
      </c>
      <c r="D590" s="104">
        <v>2.0060000419616699</v>
      </c>
      <c r="E590">
        <v>99.542109669123676</v>
      </c>
      <c r="F590">
        <v>948.8472900390625</v>
      </c>
      <c r="H590" s="34"/>
      <c r="I590" s="34"/>
      <c r="J590" s="34"/>
      <c r="K590" s="34"/>
      <c r="L590" s="34"/>
      <c r="N590" s="34"/>
      <c r="O590" s="35"/>
      <c r="P590" s="35"/>
      <c r="Q590" s="35"/>
      <c r="R590" s="35"/>
      <c r="S590" s="74"/>
      <c r="AJ590" s="34"/>
      <c r="AK590" s="34"/>
      <c r="AL590" s="34"/>
      <c r="AM590" s="34"/>
      <c r="AN590" s="34"/>
      <c r="AQ590" s="67"/>
      <c r="AR590" s="67"/>
      <c r="AS590" s="67"/>
      <c r="AT590" s="67"/>
      <c r="AU590" s="67"/>
      <c r="AW590" s="68"/>
      <c r="AX590" s="68"/>
      <c r="AY590" s="68"/>
      <c r="AZ590" s="68"/>
      <c r="BA590" s="68"/>
      <c r="BB590" s="68"/>
    </row>
    <row r="591" spans="1:54" ht="13.5" thickBot="1">
      <c r="A591" s="103">
        <v>39534</v>
      </c>
      <c r="B591" s="104">
        <v>4.2010002136230469</v>
      </c>
      <c r="C591" s="105">
        <v>1325.760009765625</v>
      </c>
      <c r="D591" s="104">
        <v>2.0039000511169434</v>
      </c>
      <c r="E591">
        <v>99.860192248260418</v>
      </c>
      <c r="F591">
        <v>948.89453125</v>
      </c>
      <c r="H591" s="34"/>
      <c r="I591" s="34"/>
      <c r="J591" s="34"/>
      <c r="K591" s="34"/>
      <c r="L591" s="34"/>
      <c r="N591" s="34"/>
      <c r="O591" s="35"/>
      <c r="P591" s="35"/>
      <c r="Q591" s="35"/>
      <c r="R591" s="35"/>
      <c r="S591" s="74"/>
      <c r="AJ591" s="34"/>
      <c r="AK591" s="34"/>
      <c r="AL591" s="34"/>
      <c r="AM591" s="34"/>
      <c r="AN591" s="34"/>
      <c r="AQ591" s="67"/>
      <c r="AR591" s="67"/>
      <c r="AS591" s="67"/>
      <c r="AT591" s="67"/>
      <c r="AU591" s="67"/>
      <c r="AW591" s="68"/>
      <c r="AX591" s="68"/>
      <c r="AY591" s="68"/>
      <c r="AZ591" s="68"/>
      <c r="BA591" s="68"/>
      <c r="BB591" s="68"/>
    </row>
    <row r="592" spans="1:54" ht="13.5" thickBot="1">
      <c r="A592" s="103">
        <v>39535</v>
      </c>
      <c r="B592" s="104">
        <v>4.1455001831054687</v>
      </c>
      <c r="C592" s="105">
        <v>1315.219970703125</v>
      </c>
      <c r="D592" s="104">
        <v>1.9916000366210937</v>
      </c>
      <c r="E592">
        <v>99.42334704822683</v>
      </c>
      <c r="F592">
        <v>931.89642333984375</v>
      </c>
      <c r="H592" s="34"/>
      <c r="I592" s="34"/>
      <c r="J592" s="34"/>
      <c r="K592" s="34"/>
      <c r="L592" s="34"/>
      <c r="N592" s="34"/>
      <c r="O592" s="35"/>
      <c r="P592" s="35"/>
      <c r="Q592" s="35"/>
      <c r="R592" s="35"/>
      <c r="S592" s="74"/>
      <c r="AJ592" s="34"/>
      <c r="AK592" s="34"/>
      <c r="AL592" s="34"/>
      <c r="AM592" s="34"/>
      <c r="AN592" s="34"/>
      <c r="AQ592" s="67"/>
      <c r="AR592" s="67"/>
      <c r="AS592" s="67"/>
      <c r="AT592" s="67"/>
      <c r="AU592" s="67"/>
      <c r="AW592" s="68"/>
      <c r="AX592" s="68"/>
      <c r="AY592" s="68"/>
      <c r="AZ592" s="68"/>
      <c r="BA592" s="68"/>
      <c r="BB592" s="68"/>
    </row>
    <row r="593" spans="1:54" ht="13.5" thickBot="1">
      <c r="A593" s="103">
        <v>39538</v>
      </c>
      <c r="B593" s="104">
        <v>4.0799999237060547</v>
      </c>
      <c r="C593" s="105">
        <v>1322.699951171875</v>
      </c>
      <c r="D593" s="104">
        <v>1.9830000400543213</v>
      </c>
      <c r="E593">
        <v>99.720781913470404</v>
      </c>
      <c r="F593">
        <v>916.74908447265625</v>
      </c>
      <c r="H593" s="34"/>
      <c r="I593" s="34"/>
      <c r="J593" s="34"/>
      <c r="K593" s="34"/>
      <c r="L593" s="34"/>
      <c r="N593" s="34"/>
      <c r="O593" s="35"/>
      <c r="P593" s="35"/>
      <c r="Q593" s="35"/>
      <c r="R593" s="35"/>
      <c r="S593" s="74"/>
      <c r="AJ593" s="34"/>
      <c r="AK593" s="34"/>
      <c r="AL593" s="34"/>
      <c r="AM593" s="34"/>
      <c r="AN593" s="34"/>
      <c r="AQ593" s="67"/>
      <c r="AR593" s="67"/>
      <c r="AS593" s="67"/>
      <c r="AT593" s="67"/>
      <c r="AU593" s="67"/>
      <c r="AW593" s="68"/>
      <c r="AX593" s="68"/>
      <c r="AY593" s="68"/>
      <c r="AZ593" s="68"/>
      <c r="BA593" s="68"/>
      <c r="BB593" s="68"/>
    </row>
    <row r="594" spans="1:54" ht="13.5" thickBot="1">
      <c r="A594" s="103">
        <v>39539</v>
      </c>
      <c r="B594" s="104">
        <v>4.190000057220459</v>
      </c>
      <c r="C594" s="105">
        <v>1370.1800537109375</v>
      </c>
      <c r="D594" s="104">
        <v>1.9766999483108521</v>
      </c>
      <c r="E594">
        <v>101.99918248042052</v>
      </c>
      <c r="F594">
        <v>885.600830078125</v>
      </c>
      <c r="H594" s="34"/>
      <c r="I594" s="34"/>
      <c r="J594" s="34"/>
      <c r="K594" s="34"/>
      <c r="L594" s="34"/>
      <c r="N594" s="34"/>
      <c r="O594" s="35"/>
      <c r="P594" s="35"/>
      <c r="Q594" s="35"/>
      <c r="R594" s="35"/>
      <c r="S594" s="74"/>
      <c r="AJ594" s="34"/>
      <c r="AK594" s="34"/>
      <c r="AL594" s="34"/>
      <c r="AM594" s="34"/>
      <c r="AN594" s="34"/>
      <c r="AQ594" s="67"/>
      <c r="AR594" s="67"/>
      <c r="AS594" s="67"/>
      <c r="AT594" s="67"/>
      <c r="AU594" s="67"/>
      <c r="AW594" s="68"/>
      <c r="AX594" s="68"/>
      <c r="AY594" s="68"/>
      <c r="AZ594" s="68"/>
      <c r="BA594" s="68"/>
      <c r="BB594" s="68"/>
    </row>
    <row r="595" spans="1:54" ht="13.5" thickBot="1">
      <c r="A595" s="103">
        <v>39540</v>
      </c>
      <c r="B595" s="104">
        <v>4.245999813079834</v>
      </c>
      <c r="C595" s="105">
        <v>1367.530029296875</v>
      </c>
      <c r="D595" s="104">
        <v>1.9886000156402588</v>
      </c>
      <c r="E595">
        <v>102.37510371070267</v>
      </c>
      <c r="F595">
        <v>890.75048828125</v>
      </c>
      <c r="H595" s="34"/>
      <c r="I595" s="34"/>
      <c r="J595" s="34"/>
      <c r="K595" s="34"/>
      <c r="L595" s="34"/>
      <c r="N595" s="34"/>
      <c r="O595" s="35"/>
      <c r="P595" s="35"/>
      <c r="Q595" s="35"/>
      <c r="R595" s="35"/>
      <c r="S595" s="74"/>
      <c r="AJ595" s="34"/>
      <c r="AK595" s="34"/>
      <c r="AL595" s="34"/>
      <c r="AM595" s="34"/>
      <c r="AN595" s="34"/>
      <c r="AQ595" s="67"/>
      <c r="AR595" s="67"/>
      <c r="AS595" s="67"/>
      <c r="AT595" s="67"/>
      <c r="AU595" s="67"/>
      <c r="AW595" s="68"/>
      <c r="AX595" s="68"/>
      <c r="AY595" s="68"/>
      <c r="AZ595" s="68"/>
      <c r="BA595" s="68"/>
      <c r="BB595" s="68"/>
    </row>
    <row r="596" spans="1:54" ht="13.5" thickBot="1">
      <c r="A596" s="103">
        <v>39541</v>
      </c>
      <c r="B596" s="104">
        <v>4.2659997940063477</v>
      </c>
      <c r="C596" s="105">
        <v>1369.31005859375</v>
      </c>
      <c r="D596" s="104">
        <v>1.9951000213623047</v>
      </c>
      <c r="E596">
        <v>102.34367357824135</v>
      </c>
      <c r="F596">
        <v>907.19921875</v>
      </c>
      <c r="H596" s="34"/>
      <c r="I596" s="34"/>
      <c r="J596" s="34"/>
      <c r="K596" s="34"/>
      <c r="L596" s="34"/>
      <c r="N596" s="34"/>
      <c r="O596" s="35"/>
      <c r="P596" s="35"/>
      <c r="Q596" s="35"/>
      <c r="R596" s="35"/>
      <c r="S596" s="74"/>
      <c r="AJ596" s="34"/>
      <c r="AK596" s="34"/>
      <c r="AL596" s="34"/>
      <c r="AM596" s="34"/>
      <c r="AN596" s="34"/>
      <c r="AQ596" s="67"/>
      <c r="AR596" s="67"/>
      <c r="AS596" s="67"/>
      <c r="AT596" s="67"/>
      <c r="AU596" s="67"/>
      <c r="AW596" s="68"/>
      <c r="AX596" s="68"/>
      <c r="AY596" s="68"/>
      <c r="AZ596" s="68"/>
      <c r="BA596" s="68"/>
      <c r="BB596" s="68"/>
    </row>
    <row r="597" spans="1:54" ht="13.5" thickBot="1">
      <c r="A597" s="103">
        <v>39542</v>
      </c>
      <c r="B597" s="104">
        <v>4.1104998588562012</v>
      </c>
      <c r="C597" s="105">
        <v>1370.4000244140625</v>
      </c>
      <c r="D597" s="104">
        <v>1.9912999868392944</v>
      </c>
      <c r="E597">
        <v>101.76045496533673</v>
      </c>
      <c r="F597">
        <v>906.499267578125</v>
      </c>
      <c r="H597" s="34"/>
      <c r="I597" s="34"/>
      <c r="J597" s="34"/>
      <c r="K597" s="34"/>
      <c r="L597" s="34"/>
      <c r="N597" s="34"/>
      <c r="O597" s="35"/>
      <c r="P597" s="35"/>
      <c r="Q597" s="35"/>
      <c r="R597" s="35"/>
      <c r="S597" s="74"/>
      <c r="AJ597" s="34"/>
      <c r="AK597" s="34"/>
      <c r="AL597" s="34"/>
      <c r="AM597" s="34"/>
      <c r="AN597" s="34"/>
      <c r="AQ597" s="67"/>
      <c r="AR597" s="67"/>
      <c r="AS597" s="67"/>
      <c r="AT597" s="67"/>
      <c r="AU597" s="67"/>
      <c r="AW597" s="68"/>
      <c r="AX597" s="68"/>
      <c r="AY597" s="68"/>
      <c r="AZ597" s="68"/>
      <c r="BA597" s="68"/>
      <c r="BB597" s="68"/>
    </row>
    <row r="598" spans="1:54" ht="13.5" thickBot="1">
      <c r="A598" s="103">
        <v>39545</v>
      </c>
      <c r="B598" s="104">
        <v>4.1785001754760742</v>
      </c>
      <c r="C598" s="105">
        <v>1372.5400390625</v>
      </c>
      <c r="D598" s="104">
        <v>1.9859999418258667</v>
      </c>
      <c r="E598">
        <v>102.41704385199755</v>
      </c>
      <c r="F598">
        <v>926.1485595703125</v>
      </c>
      <c r="H598" s="34"/>
      <c r="I598" s="34"/>
      <c r="J598" s="34"/>
      <c r="K598" s="34"/>
      <c r="L598" s="34"/>
      <c r="N598" s="34"/>
      <c r="O598" s="35"/>
      <c r="P598" s="35"/>
      <c r="Q598" s="35"/>
      <c r="R598" s="35"/>
      <c r="S598" s="74"/>
      <c r="AJ598" s="34"/>
      <c r="AK598" s="34"/>
      <c r="AL598" s="34"/>
      <c r="AM598" s="34"/>
      <c r="AN598" s="34"/>
      <c r="AQ598" s="67"/>
      <c r="AR598" s="67"/>
      <c r="AS598" s="67"/>
      <c r="AT598" s="67"/>
      <c r="AU598" s="67"/>
      <c r="AW598" s="68"/>
      <c r="AX598" s="68"/>
      <c r="AY598" s="68"/>
      <c r="AZ598" s="68"/>
      <c r="BA598" s="68"/>
      <c r="BB598" s="68"/>
    </row>
    <row r="599" spans="1:54" ht="13.5" thickBot="1">
      <c r="A599" s="103">
        <v>39546</v>
      </c>
      <c r="B599" s="104">
        <v>4.2005000114440918</v>
      </c>
      <c r="C599" s="105">
        <v>1365.5400390625</v>
      </c>
      <c r="D599" s="104">
        <v>1.9693000316619873</v>
      </c>
      <c r="E599">
        <v>102.48001364438119</v>
      </c>
      <c r="F599">
        <v>914.24920654296875</v>
      </c>
      <c r="H599" s="34"/>
      <c r="I599" s="34"/>
      <c r="J599" s="34"/>
      <c r="K599" s="34"/>
      <c r="L599" s="34"/>
      <c r="N599" s="34"/>
      <c r="O599" s="35"/>
      <c r="P599" s="35"/>
      <c r="Q599" s="35"/>
      <c r="R599" s="35"/>
      <c r="S599" s="74"/>
      <c r="AJ599" s="34"/>
      <c r="AK599" s="34"/>
      <c r="AL599" s="34"/>
      <c r="AM599" s="34"/>
      <c r="AN599" s="34"/>
      <c r="AQ599" s="67"/>
      <c r="AR599" s="67"/>
      <c r="AS599" s="67"/>
      <c r="AT599" s="67"/>
      <c r="AU599" s="67"/>
      <c r="AW599" s="68"/>
      <c r="AX599" s="68"/>
      <c r="AY599" s="68"/>
      <c r="AZ599" s="68"/>
      <c r="BA599" s="68"/>
      <c r="BB599" s="68"/>
    </row>
    <row r="600" spans="1:54" ht="13.5" thickBot="1">
      <c r="A600" s="103">
        <v>39547</v>
      </c>
      <c r="B600" s="104">
        <v>4.1160001754760742</v>
      </c>
      <c r="C600" s="105">
        <v>1354.489990234375</v>
      </c>
      <c r="D600" s="104">
        <v>1.9752999544143677</v>
      </c>
      <c r="E600">
        <v>101.67768019907861</v>
      </c>
      <c r="F600">
        <v>931.3482666015625</v>
      </c>
      <c r="H600" s="34"/>
      <c r="I600" s="34"/>
      <c r="J600" s="34"/>
      <c r="K600" s="34"/>
      <c r="L600" s="34"/>
      <c r="N600" s="34"/>
      <c r="O600" s="35"/>
      <c r="P600" s="35"/>
      <c r="Q600" s="35"/>
      <c r="R600" s="35"/>
      <c r="S600" s="74"/>
      <c r="AJ600" s="34"/>
      <c r="AK600" s="34"/>
      <c r="AL600" s="34"/>
      <c r="AM600" s="34"/>
      <c r="AN600" s="34"/>
      <c r="AQ600" s="67"/>
      <c r="AR600" s="67"/>
      <c r="AS600" s="67"/>
      <c r="AT600" s="67"/>
      <c r="AU600" s="67"/>
      <c r="AW600" s="68"/>
      <c r="AX600" s="68"/>
      <c r="AY600" s="68"/>
      <c r="AZ600" s="68"/>
      <c r="BA600" s="68"/>
      <c r="BB600" s="68"/>
    </row>
    <row r="601" spans="1:54" ht="13.5" thickBot="1">
      <c r="A601" s="103">
        <v>39548</v>
      </c>
      <c r="B601" s="104">
        <v>4.1719999313354492</v>
      </c>
      <c r="C601" s="105">
        <v>1360.550048828125</v>
      </c>
      <c r="D601" s="104">
        <v>1.9723999500274658</v>
      </c>
      <c r="E601">
        <v>101.88487012153973</v>
      </c>
      <c r="F601">
        <v>923.94732666015625</v>
      </c>
      <c r="H601" s="34"/>
      <c r="I601" s="34"/>
      <c r="J601" s="34"/>
      <c r="K601" s="34"/>
      <c r="L601" s="34"/>
      <c r="N601" s="34"/>
      <c r="O601" s="35"/>
      <c r="P601" s="35"/>
      <c r="Q601" s="35"/>
      <c r="R601" s="35"/>
      <c r="S601" s="74"/>
      <c r="AJ601" s="34"/>
      <c r="AK601" s="34"/>
      <c r="AL601" s="34"/>
      <c r="AM601" s="34"/>
      <c r="AN601" s="34"/>
      <c r="AQ601" s="67"/>
      <c r="AR601" s="67"/>
      <c r="AS601" s="67"/>
      <c r="AT601" s="67"/>
      <c r="AU601" s="67"/>
      <c r="AW601" s="68"/>
      <c r="AX601" s="68"/>
      <c r="AY601" s="68"/>
      <c r="AZ601" s="68"/>
      <c r="BA601" s="68"/>
      <c r="BB601" s="68"/>
    </row>
    <row r="602" spans="1:54" ht="13.5" thickBot="1">
      <c r="A602" s="103">
        <v>39549</v>
      </c>
      <c r="B602" s="104">
        <v>4.1160001754760742</v>
      </c>
      <c r="C602" s="105">
        <v>1332.8299560546875</v>
      </c>
      <c r="D602" s="104">
        <v>1.9720000028610229</v>
      </c>
      <c r="E602">
        <v>100.85728869121701</v>
      </c>
      <c r="F602">
        <v>923.94732666015625</v>
      </c>
      <c r="H602" s="34"/>
      <c r="I602" s="34"/>
      <c r="J602" s="34"/>
      <c r="K602" s="34"/>
      <c r="L602" s="34"/>
      <c r="N602" s="34"/>
      <c r="O602" s="35"/>
      <c r="P602" s="35"/>
      <c r="Q602" s="35"/>
      <c r="R602" s="35"/>
      <c r="S602" s="74"/>
      <c r="AJ602" s="34"/>
      <c r="AK602" s="34"/>
      <c r="AL602" s="34"/>
      <c r="AM602" s="34"/>
      <c r="AN602" s="34"/>
      <c r="AQ602" s="67"/>
      <c r="AR602" s="67"/>
      <c r="AS602" s="67"/>
      <c r="AT602" s="67"/>
      <c r="AU602" s="67"/>
      <c r="AW602" s="68"/>
      <c r="AX602" s="68"/>
      <c r="AY602" s="68"/>
      <c r="AZ602" s="68"/>
      <c r="BA602" s="68"/>
      <c r="BB602" s="68"/>
    </row>
    <row r="603" spans="1:54" ht="13.5" thickBot="1">
      <c r="A603" s="103">
        <v>39552</v>
      </c>
      <c r="B603" s="104">
        <v>4.1735000610351562</v>
      </c>
      <c r="C603" s="105">
        <v>1328.3199462890625</v>
      </c>
      <c r="D603" s="104">
        <v>1.9750000238418579</v>
      </c>
      <c r="E603">
        <v>101.08157154304511</v>
      </c>
      <c r="F603">
        <v>925.8985595703125</v>
      </c>
      <c r="H603" s="34"/>
      <c r="I603" s="34"/>
      <c r="J603" s="34"/>
      <c r="K603" s="34"/>
      <c r="L603" s="34"/>
      <c r="N603" s="34"/>
      <c r="O603" s="35"/>
      <c r="P603" s="35"/>
      <c r="Q603" s="35"/>
      <c r="R603" s="35"/>
      <c r="S603" s="74"/>
      <c r="AJ603" s="34"/>
      <c r="AK603" s="34"/>
      <c r="AL603" s="34"/>
      <c r="AM603" s="34"/>
      <c r="AN603" s="34"/>
      <c r="AQ603" s="67"/>
      <c r="AR603" s="67"/>
      <c r="AS603" s="67"/>
      <c r="AT603" s="67"/>
      <c r="AU603" s="67"/>
      <c r="AW603" s="68"/>
      <c r="AX603" s="68"/>
      <c r="AY603" s="68"/>
      <c r="AZ603" s="68"/>
      <c r="BA603" s="68"/>
      <c r="BB603" s="68"/>
    </row>
    <row r="604" spans="1:54" ht="13.5" thickBot="1">
      <c r="A604" s="103">
        <v>39553</v>
      </c>
      <c r="B604" s="104">
        <v>4.2719998359680176</v>
      </c>
      <c r="C604" s="105">
        <v>1334.4300537109375</v>
      </c>
      <c r="D604" s="104">
        <v>1.961400032043457</v>
      </c>
      <c r="E604">
        <v>101.46104296226358</v>
      </c>
      <c r="F604">
        <v>928.9984130859375</v>
      </c>
      <c r="H604" s="34"/>
      <c r="I604" s="34"/>
      <c r="J604" s="34"/>
      <c r="K604" s="34"/>
      <c r="L604" s="34"/>
      <c r="N604" s="34"/>
      <c r="O604" s="35"/>
      <c r="P604" s="35"/>
      <c r="Q604" s="35"/>
      <c r="R604" s="35"/>
      <c r="S604" s="74"/>
      <c r="AJ604" s="34"/>
      <c r="AK604" s="34"/>
      <c r="AL604" s="34"/>
      <c r="AM604" s="34"/>
      <c r="AN604" s="34"/>
      <c r="AQ604" s="67"/>
      <c r="AR604" s="67"/>
      <c r="AS604" s="67"/>
      <c r="AT604" s="67"/>
      <c r="AU604" s="67"/>
      <c r="AW604" s="68"/>
      <c r="AX604" s="68"/>
      <c r="AY604" s="68"/>
      <c r="AZ604" s="68"/>
      <c r="BA604" s="68"/>
      <c r="BB604" s="68"/>
    </row>
    <row r="605" spans="1:54" ht="13.5" thickBot="1">
      <c r="A605" s="103">
        <v>39554</v>
      </c>
      <c r="B605" s="104">
        <v>4.4215002059936523</v>
      </c>
      <c r="C605" s="105">
        <v>1364.7099609375</v>
      </c>
      <c r="D605" s="104">
        <v>1.9709999561309814</v>
      </c>
      <c r="E605">
        <v>101.71905074253814</v>
      </c>
      <c r="F605">
        <v>947.997314453125</v>
      </c>
      <c r="H605" s="34"/>
      <c r="I605" s="34"/>
      <c r="J605" s="34"/>
      <c r="K605" s="34"/>
      <c r="L605" s="34"/>
      <c r="N605" s="34"/>
      <c r="O605" s="35"/>
      <c r="P605" s="35"/>
      <c r="Q605" s="35"/>
      <c r="R605" s="35"/>
      <c r="S605" s="74"/>
      <c r="AJ605" s="34"/>
      <c r="AK605" s="34"/>
      <c r="AL605" s="34"/>
      <c r="AM605" s="34"/>
      <c r="AN605" s="34"/>
      <c r="AQ605" s="67"/>
      <c r="AR605" s="67"/>
      <c r="AS605" s="67"/>
      <c r="AT605" s="67"/>
      <c r="AU605" s="67"/>
      <c r="AW605" s="68"/>
      <c r="AX605" s="68"/>
      <c r="AY605" s="68"/>
      <c r="AZ605" s="68"/>
      <c r="BA605" s="68"/>
      <c r="BB605" s="68"/>
    </row>
    <row r="606" spans="1:54" ht="13.5" thickBot="1">
      <c r="A606" s="103">
        <v>39555</v>
      </c>
      <c r="B606" s="104">
        <v>4.4244999885559082</v>
      </c>
      <c r="C606" s="105">
        <v>1365.56005859375</v>
      </c>
      <c r="D606" s="104">
        <v>1.9914000034332275</v>
      </c>
      <c r="E606">
        <v>102.52203980453875</v>
      </c>
      <c r="F606">
        <v>941.9453125</v>
      </c>
      <c r="H606" s="34"/>
      <c r="I606" s="34"/>
      <c r="J606" s="34"/>
      <c r="K606" s="34"/>
      <c r="L606" s="34"/>
      <c r="N606" s="34"/>
      <c r="O606" s="35"/>
      <c r="P606" s="35"/>
      <c r="Q606" s="35"/>
      <c r="R606" s="35"/>
      <c r="S606" s="74"/>
      <c r="AJ606" s="34"/>
      <c r="AK606" s="34"/>
      <c r="AL606" s="34"/>
      <c r="AM606" s="34"/>
      <c r="AN606" s="34"/>
      <c r="AQ606" s="67"/>
      <c r="AR606" s="67"/>
      <c r="AS606" s="67"/>
      <c r="AT606" s="67"/>
      <c r="AU606" s="67"/>
      <c r="AW606" s="68"/>
      <c r="AX606" s="68"/>
      <c r="AY606" s="68"/>
      <c r="AZ606" s="68"/>
      <c r="BA606" s="68"/>
      <c r="BB606" s="68"/>
    </row>
    <row r="607" spans="1:54" ht="13.5" thickBot="1">
      <c r="A607" s="103">
        <v>39556</v>
      </c>
      <c r="B607" s="104">
        <v>4.4149999618530273</v>
      </c>
      <c r="C607" s="105">
        <v>1390.3299560546875</v>
      </c>
      <c r="D607" s="104">
        <v>1.9939999580383301</v>
      </c>
      <c r="E607">
        <v>103.83137289183237</v>
      </c>
      <c r="F607">
        <v>913.9984130859375</v>
      </c>
      <c r="H607" s="34"/>
      <c r="I607" s="34"/>
      <c r="J607" s="34"/>
      <c r="K607" s="34"/>
      <c r="L607" s="34"/>
      <c r="N607" s="34"/>
      <c r="O607" s="35"/>
      <c r="P607" s="35"/>
      <c r="Q607" s="35"/>
      <c r="R607" s="35"/>
      <c r="S607" s="74"/>
      <c r="AJ607" s="34"/>
      <c r="AK607" s="34"/>
      <c r="AL607" s="34"/>
      <c r="AM607" s="34"/>
      <c r="AN607" s="34"/>
      <c r="AQ607" s="67"/>
      <c r="AR607" s="67"/>
      <c r="AS607" s="67"/>
      <c r="AT607" s="67"/>
      <c r="AU607" s="67"/>
      <c r="AW607" s="68"/>
      <c r="AX607" s="68"/>
      <c r="AY607" s="68"/>
      <c r="AZ607" s="68"/>
      <c r="BA607" s="68"/>
      <c r="BB607" s="68"/>
    </row>
    <row r="608" spans="1:54" ht="13.5" thickBot="1">
      <c r="A608" s="103">
        <v>39559</v>
      </c>
      <c r="B608" s="104">
        <v>4.3619999885559082</v>
      </c>
      <c r="C608" s="105">
        <v>1388.1700439453125</v>
      </c>
      <c r="D608" s="104">
        <v>1.979699969291687</v>
      </c>
      <c r="E608">
        <v>103.10341223761122</v>
      </c>
      <c r="F608">
        <v>915.149169921875</v>
      </c>
      <c r="H608" s="34"/>
      <c r="I608" s="34"/>
      <c r="J608" s="34"/>
      <c r="K608" s="34"/>
      <c r="L608" s="34"/>
      <c r="N608" s="34"/>
      <c r="O608" s="35"/>
      <c r="P608" s="35"/>
      <c r="Q608" s="35"/>
      <c r="R608" s="35"/>
      <c r="S608" s="74"/>
      <c r="AJ608" s="34"/>
      <c r="AK608" s="34"/>
      <c r="AL608" s="34"/>
      <c r="AM608" s="34"/>
      <c r="AN608" s="34"/>
      <c r="AQ608" s="67"/>
      <c r="AR608" s="67"/>
      <c r="AS608" s="67"/>
      <c r="AT608" s="67"/>
      <c r="AU608" s="67"/>
      <c r="AW608" s="68"/>
      <c r="AX608" s="68"/>
      <c r="AY608" s="68"/>
      <c r="AZ608" s="68"/>
      <c r="BA608" s="68"/>
      <c r="BB608" s="68"/>
    </row>
    <row r="609" spans="1:54" ht="13.5" thickBot="1">
      <c r="A609" s="103">
        <v>39560</v>
      </c>
      <c r="B609" s="104">
        <v>4.3460001945495605</v>
      </c>
      <c r="C609" s="105">
        <v>1375.93994140625</v>
      </c>
      <c r="D609" s="104">
        <v>1.9948999881744385</v>
      </c>
      <c r="E609">
        <v>102.944205014454</v>
      </c>
      <c r="F609">
        <v>921.24884033203125</v>
      </c>
      <c r="H609" s="34"/>
      <c r="I609" s="34"/>
      <c r="J609" s="34"/>
      <c r="K609" s="34"/>
      <c r="L609" s="34"/>
      <c r="N609" s="34"/>
      <c r="O609" s="35"/>
      <c r="P609" s="35"/>
      <c r="Q609" s="35"/>
      <c r="R609" s="35"/>
      <c r="S609" s="74"/>
      <c r="AJ609" s="34"/>
      <c r="AK609" s="34"/>
      <c r="AL609" s="34"/>
      <c r="AM609" s="34"/>
      <c r="AN609" s="34"/>
      <c r="AQ609" s="67"/>
      <c r="AR609" s="67"/>
      <c r="AS609" s="67"/>
      <c r="AT609" s="67"/>
      <c r="AU609" s="67"/>
      <c r="AW609" s="68"/>
      <c r="AX609" s="68"/>
      <c r="AY609" s="68"/>
      <c r="AZ609" s="68"/>
      <c r="BA609" s="68"/>
      <c r="BB609" s="68"/>
    </row>
    <row r="610" spans="1:54" ht="13.5" thickBot="1">
      <c r="A610" s="103">
        <v>39561</v>
      </c>
      <c r="B610" s="104">
        <v>4.3654999732971191</v>
      </c>
      <c r="C610" s="105">
        <v>1379.9300537109375</v>
      </c>
      <c r="D610" s="104">
        <v>1.9802999496459961</v>
      </c>
      <c r="E610">
        <v>103.56255230611809</v>
      </c>
      <c r="F610">
        <v>906.44964599609375</v>
      </c>
      <c r="H610" s="34"/>
      <c r="I610" s="34"/>
      <c r="J610" s="34"/>
      <c r="K610" s="34"/>
      <c r="L610" s="34"/>
      <c r="N610" s="34"/>
      <c r="O610" s="35"/>
      <c r="P610" s="35"/>
      <c r="Q610" s="35"/>
      <c r="R610" s="35"/>
      <c r="S610" s="74"/>
      <c r="AJ610" s="34"/>
      <c r="AK610" s="34"/>
      <c r="AL610" s="34"/>
      <c r="AM610" s="34"/>
      <c r="AN610" s="34"/>
      <c r="AQ610" s="67"/>
      <c r="AR610" s="67"/>
      <c r="AS610" s="67"/>
      <c r="AT610" s="67"/>
      <c r="AU610" s="67"/>
      <c r="AW610" s="68"/>
      <c r="AX610" s="68"/>
      <c r="AY610" s="68"/>
      <c r="AZ610" s="68"/>
      <c r="BA610" s="68"/>
      <c r="BB610" s="68"/>
    </row>
    <row r="611" spans="1:54" ht="13.5" thickBot="1">
      <c r="A611" s="103">
        <v>39562</v>
      </c>
      <c r="B611" s="104">
        <v>4.4819998741149902</v>
      </c>
      <c r="C611" s="105">
        <v>1388.8199462890625</v>
      </c>
      <c r="D611" s="104">
        <v>1.9746999740600586</v>
      </c>
      <c r="E611">
        <v>104.36234766383045</v>
      </c>
      <c r="F611">
        <v>885.401611328125</v>
      </c>
      <c r="H611" s="34"/>
      <c r="I611" s="34"/>
      <c r="J611" s="34"/>
      <c r="K611" s="34"/>
      <c r="L611" s="34"/>
      <c r="N611" s="34"/>
      <c r="O611" s="35"/>
      <c r="P611" s="35"/>
      <c r="Q611" s="35"/>
      <c r="R611" s="35"/>
      <c r="S611" s="74"/>
      <c r="AJ611" s="34"/>
      <c r="AK611" s="34"/>
      <c r="AL611" s="34"/>
      <c r="AM611" s="34"/>
      <c r="AN611" s="34"/>
      <c r="AQ611" s="67"/>
      <c r="AR611" s="67"/>
      <c r="AS611" s="67"/>
      <c r="AT611" s="67"/>
      <c r="AU611" s="67"/>
      <c r="AW611" s="68"/>
      <c r="AX611" s="68"/>
      <c r="AY611" s="68"/>
      <c r="AZ611" s="68"/>
      <c r="BA611" s="68"/>
      <c r="BB611" s="68"/>
    </row>
    <row r="612" spans="1:54" ht="13.5" thickBot="1">
      <c r="A612" s="103">
        <v>39563</v>
      </c>
      <c r="B612" s="104">
        <v>4.5104999542236328</v>
      </c>
      <c r="C612" s="105">
        <v>1397.8399658203125</v>
      </c>
      <c r="D612" s="104">
        <v>1.9816999435424805</v>
      </c>
      <c r="E612">
        <v>104.48229022642592</v>
      </c>
      <c r="F612">
        <v>887.80133056640625</v>
      </c>
      <c r="H612" s="34"/>
      <c r="I612" s="34"/>
      <c r="J612" s="34"/>
      <c r="K612" s="34"/>
      <c r="L612" s="34"/>
      <c r="N612" s="34"/>
      <c r="O612" s="35"/>
      <c r="P612" s="35"/>
      <c r="Q612" s="35"/>
      <c r="R612" s="35"/>
      <c r="S612" s="74"/>
      <c r="AJ612" s="34"/>
      <c r="AK612" s="34"/>
      <c r="AL612" s="34"/>
      <c r="AM612" s="34"/>
      <c r="AN612" s="34"/>
      <c r="AQ612" s="67"/>
      <c r="AR612" s="67"/>
      <c r="AS612" s="67"/>
      <c r="AT612" s="67"/>
      <c r="AU612" s="67"/>
      <c r="AW612" s="68"/>
      <c r="AX612" s="68"/>
      <c r="AY612" s="68"/>
      <c r="AZ612" s="68"/>
      <c r="BA612" s="68"/>
      <c r="BB612" s="68"/>
    </row>
    <row r="613" spans="1:54" ht="13.5" thickBot="1">
      <c r="A613" s="103">
        <v>39566</v>
      </c>
      <c r="B613" s="104">
        <v>4.4650001525878906</v>
      </c>
      <c r="C613" s="105">
        <v>1396.3699951171875</v>
      </c>
      <c r="D613" s="104">
        <v>1.9896999597549438</v>
      </c>
      <c r="E613">
        <v>104.24268016645948</v>
      </c>
      <c r="F613">
        <v>892.95037841796875</v>
      </c>
      <c r="H613" s="34"/>
      <c r="I613" s="34"/>
      <c r="J613" s="34"/>
      <c r="K613" s="34"/>
      <c r="L613" s="34"/>
      <c r="N613" s="34"/>
      <c r="O613" s="35"/>
      <c r="P613" s="35"/>
      <c r="Q613" s="35"/>
      <c r="R613" s="35"/>
      <c r="S613" s="74"/>
      <c r="AJ613" s="34"/>
      <c r="AK613" s="34"/>
      <c r="AL613" s="34"/>
      <c r="AM613" s="34"/>
      <c r="AN613" s="34"/>
      <c r="AQ613" s="67"/>
      <c r="AR613" s="67"/>
      <c r="AS613" s="67"/>
      <c r="AT613" s="67"/>
      <c r="AU613" s="67"/>
      <c r="AW613" s="68"/>
      <c r="AX613" s="68"/>
      <c r="AY613" s="68"/>
      <c r="AZ613" s="68"/>
      <c r="BA613" s="68"/>
      <c r="BB613" s="68"/>
    </row>
    <row r="614" spans="1:54" ht="13.5" thickBot="1">
      <c r="A614" s="103">
        <v>39567</v>
      </c>
      <c r="B614" s="104">
        <v>4.4419999122619629</v>
      </c>
      <c r="C614" s="105">
        <v>1390.93994140625</v>
      </c>
      <c r="D614" s="104">
        <v>1.9667999744415283</v>
      </c>
      <c r="E614">
        <v>103.9825321573574</v>
      </c>
      <c r="F614">
        <v>872.75152587890625</v>
      </c>
      <c r="H614" s="34"/>
      <c r="I614" s="34"/>
      <c r="J614" s="34"/>
      <c r="K614" s="34"/>
      <c r="L614" s="34"/>
      <c r="N614" s="34"/>
      <c r="O614" s="35"/>
      <c r="P614" s="35"/>
      <c r="Q614" s="35"/>
      <c r="R614" s="35"/>
      <c r="S614" s="74"/>
      <c r="AJ614" s="34"/>
      <c r="AK614" s="34"/>
      <c r="AL614" s="34"/>
      <c r="AM614" s="34"/>
      <c r="AN614" s="34"/>
      <c r="AQ614" s="67"/>
      <c r="AR614" s="67"/>
      <c r="AS614" s="67"/>
      <c r="AT614" s="67"/>
      <c r="AU614" s="67"/>
      <c r="AW614" s="68"/>
      <c r="AX614" s="68"/>
      <c r="AY614" s="68"/>
      <c r="AZ614" s="68"/>
      <c r="BA614" s="68"/>
      <c r="BB614" s="68"/>
    </row>
    <row r="615" spans="1:54" ht="13.5" thickBot="1">
      <c r="A615" s="103">
        <v>39568</v>
      </c>
      <c r="B615" s="104">
        <v>4.3705000877380371</v>
      </c>
      <c r="C615" s="105">
        <v>1385.5899658203125</v>
      </c>
      <c r="D615" s="104">
        <v>1.989050030708313</v>
      </c>
      <c r="E615">
        <v>103.9069025772108</v>
      </c>
      <c r="F615">
        <v>863.30206298828125</v>
      </c>
      <c r="H615" s="34"/>
      <c r="I615" s="34"/>
      <c r="J615" s="34"/>
      <c r="K615" s="34"/>
      <c r="L615" s="34"/>
      <c r="N615" s="34"/>
      <c r="O615" s="35"/>
      <c r="P615" s="35"/>
      <c r="Q615" s="35"/>
      <c r="R615" s="35"/>
      <c r="S615" s="74"/>
      <c r="AJ615" s="34"/>
      <c r="AK615" s="34"/>
      <c r="AL615" s="34"/>
      <c r="AM615" s="34"/>
      <c r="AN615" s="34"/>
      <c r="AQ615" s="67"/>
      <c r="AR615" s="67"/>
      <c r="AS615" s="67"/>
      <c r="AT615" s="67"/>
      <c r="AU615" s="67"/>
      <c r="AW615" s="68"/>
      <c r="AX615" s="68"/>
      <c r="AY615" s="68"/>
      <c r="AZ615" s="68"/>
      <c r="BA615" s="68"/>
      <c r="BB615" s="68"/>
    </row>
    <row r="616" spans="1:54" ht="13.5" thickBot="1">
      <c r="A616" s="103">
        <v>39569</v>
      </c>
      <c r="B616" s="104">
        <v>4.3569998741149902</v>
      </c>
      <c r="C616" s="105">
        <v>1409.3399658203125</v>
      </c>
      <c r="D616" s="104">
        <v>1.9737999439239502</v>
      </c>
      <c r="E616">
        <v>104.38413030271774</v>
      </c>
      <c r="F616">
        <v>852.35528564453125</v>
      </c>
      <c r="H616" s="34"/>
      <c r="I616" s="34"/>
      <c r="J616" s="34"/>
      <c r="K616" s="34"/>
      <c r="L616" s="34"/>
      <c r="N616" s="34"/>
      <c r="O616" s="35"/>
      <c r="P616" s="35"/>
      <c r="Q616" s="35"/>
      <c r="R616" s="35"/>
      <c r="S616" s="74"/>
      <c r="AJ616" s="34"/>
      <c r="AK616" s="34"/>
      <c r="AL616" s="34"/>
      <c r="AM616" s="34"/>
      <c r="AN616" s="34"/>
      <c r="AQ616" s="67"/>
      <c r="AR616" s="67"/>
      <c r="AS616" s="67"/>
      <c r="AT616" s="67"/>
      <c r="AU616" s="67"/>
      <c r="AW616" s="68"/>
      <c r="AX616" s="68"/>
      <c r="AY616" s="68"/>
      <c r="AZ616" s="68"/>
      <c r="BA616" s="68"/>
      <c r="BB616" s="68"/>
    </row>
    <row r="617" spans="1:54" ht="13.5" thickBot="1">
      <c r="A617" s="103">
        <v>39570</v>
      </c>
      <c r="B617" s="104">
        <v>4.4489998817443848</v>
      </c>
      <c r="C617" s="105">
        <v>1413.9000244140625</v>
      </c>
      <c r="D617" s="104">
        <v>1.9739999771118164</v>
      </c>
      <c r="E617">
        <v>105.2409999514834</v>
      </c>
      <c r="F617">
        <v>856.50482177734375</v>
      </c>
      <c r="H617" s="34"/>
      <c r="I617" s="34"/>
      <c r="J617" s="34"/>
      <c r="K617" s="34"/>
      <c r="L617" s="34"/>
      <c r="N617" s="34"/>
      <c r="O617" s="35"/>
      <c r="P617" s="35"/>
      <c r="Q617" s="35"/>
      <c r="R617" s="35"/>
      <c r="S617" s="74"/>
      <c r="AJ617" s="34"/>
      <c r="AK617" s="34"/>
      <c r="AL617" s="34"/>
      <c r="AM617" s="34"/>
      <c r="AN617" s="34"/>
      <c r="AQ617" s="67"/>
      <c r="AR617" s="67"/>
      <c r="AS617" s="67"/>
      <c r="AT617" s="67"/>
      <c r="AU617" s="67"/>
      <c r="AW617" s="68"/>
      <c r="AX617" s="68"/>
      <c r="AY617" s="68"/>
      <c r="AZ617" s="68"/>
      <c r="BA617" s="68"/>
      <c r="BB617" s="68"/>
    </row>
    <row r="618" spans="1:54" ht="13.5" thickBot="1">
      <c r="A618" s="103">
        <v>39573</v>
      </c>
      <c r="B618" s="104">
        <v>4.4512991905212402</v>
      </c>
      <c r="C618" s="105">
        <v>1407.489990234375</v>
      </c>
      <c r="D618" s="104">
        <v>1.9718999862670898</v>
      </c>
      <c r="E618">
        <v>104.79983727718823</v>
      </c>
      <c r="F618">
        <v>863.552001953125</v>
      </c>
      <c r="H618" s="34"/>
      <c r="I618" s="34"/>
      <c r="J618" s="34"/>
      <c r="K618" s="34"/>
      <c r="L618" s="34"/>
      <c r="N618" s="34"/>
      <c r="O618" s="35"/>
      <c r="P618" s="35"/>
      <c r="Q618" s="35"/>
      <c r="R618" s="35"/>
      <c r="S618" s="74"/>
      <c r="AJ618" s="34"/>
      <c r="AK618" s="34"/>
      <c r="AL618" s="34"/>
      <c r="AM618" s="34"/>
      <c r="AN618" s="34"/>
      <c r="AQ618" s="67"/>
      <c r="AR618" s="67"/>
      <c r="AS618" s="67"/>
      <c r="AT618" s="67"/>
      <c r="AU618" s="67"/>
      <c r="AW618" s="68"/>
      <c r="AX618" s="68"/>
      <c r="AY618" s="68"/>
      <c r="AZ618" s="68"/>
      <c r="BA618" s="68"/>
      <c r="BB618" s="68"/>
    </row>
    <row r="619" spans="1:54" ht="13.5" thickBot="1">
      <c r="A619" s="103">
        <v>39574</v>
      </c>
      <c r="B619" s="104">
        <v>4.5130000114440918</v>
      </c>
      <c r="C619" s="105">
        <v>1418.260009765625</v>
      </c>
      <c r="D619" s="104">
        <v>1.9730000495910645</v>
      </c>
      <c r="E619">
        <v>104.72300434958547</v>
      </c>
      <c r="F619">
        <v>881.6510009765625</v>
      </c>
      <c r="H619" s="34"/>
      <c r="I619" s="34"/>
      <c r="J619" s="34"/>
      <c r="K619" s="34"/>
      <c r="L619" s="34"/>
      <c r="N619" s="34"/>
      <c r="O619" s="35"/>
      <c r="P619" s="35"/>
      <c r="Q619" s="35"/>
      <c r="R619" s="35"/>
      <c r="S619" s="74"/>
      <c r="AJ619" s="34"/>
      <c r="AK619" s="34"/>
      <c r="AL619" s="34"/>
      <c r="AM619" s="34"/>
      <c r="AN619" s="34"/>
      <c r="AQ619" s="67"/>
      <c r="AR619" s="67"/>
      <c r="AS619" s="67"/>
      <c r="AT619" s="67"/>
      <c r="AU619" s="67"/>
      <c r="AW619" s="68"/>
      <c r="AX619" s="68"/>
      <c r="AY619" s="68"/>
      <c r="AZ619" s="68"/>
      <c r="BA619" s="68"/>
      <c r="BB619" s="68"/>
    </row>
    <row r="620" spans="1:54" ht="13.5" thickBot="1">
      <c r="A620" s="103">
        <v>39575</v>
      </c>
      <c r="B620" s="104">
        <v>4.4770002365112305</v>
      </c>
      <c r="C620" s="105">
        <v>1392.5699462890625</v>
      </c>
      <c r="D620" s="104">
        <v>1.9530999660491943</v>
      </c>
      <c r="E620">
        <v>104.85477383617395</v>
      </c>
      <c r="F620">
        <v>865.85186767578125</v>
      </c>
      <c r="H620" s="34"/>
      <c r="I620" s="34"/>
      <c r="J620" s="34"/>
      <c r="K620" s="34"/>
      <c r="L620" s="34"/>
      <c r="N620" s="34"/>
      <c r="O620" s="35"/>
      <c r="P620" s="35"/>
      <c r="Q620" s="35"/>
      <c r="R620" s="35"/>
      <c r="S620" s="74"/>
      <c r="AJ620" s="34"/>
      <c r="AK620" s="34"/>
      <c r="AL620" s="34"/>
      <c r="AM620" s="34"/>
      <c r="AN620" s="34"/>
      <c r="AQ620" s="67"/>
      <c r="AR620" s="67"/>
      <c r="AS620" s="67"/>
      <c r="AT620" s="67"/>
      <c r="AU620" s="67"/>
      <c r="AW620" s="68"/>
      <c r="AX620" s="68"/>
      <c r="AY620" s="68"/>
      <c r="AZ620" s="68"/>
      <c r="BA620" s="68"/>
      <c r="BB620" s="68"/>
    </row>
    <row r="621" spans="1:54" ht="13.5" thickBot="1">
      <c r="A621" s="103">
        <v>39576</v>
      </c>
      <c r="B621" s="104">
        <v>4.3885002136230469</v>
      </c>
      <c r="C621" s="105">
        <v>1397.6800537109375</v>
      </c>
      <c r="D621" s="104">
        <v>1.9531999826431274</v>
      </c>
      <c r="E621">
        <v>104.03662504653222</v>
      </c>
      <c r="F621">
        <v>883.00189208984375</v>
      </c>
      <c r="H621" s="34"/>
      <c r="I621" s="34"/>
      <c r="J621" s="34"/>
      <c r="K621" s="34"/>
      <c r="L621" s="34"/>
      <c r="N621" s="34"/>
      <c r="O621" s="35"/>
      <c r="P621" s="35"/>
      <c r="Q621" s="35"/>
      <c r="R621" s="35"/>
      <c r="S621" s="74"/>
      <c r="AJ621" s="34"/>
      <c r="AK621" s="34"/>
      <c r="AL621" s="34"/>
      <c r="AM621" s="34"/>
      <c r="AN621" s="34"/>
      <c r="AQ621" s="67"/>
      <c r="AR621" s="67"/>
      <c r="AS621" s="67"/>
      <c r="AT621" s="67"/>
      <c r="AU621" s="67"/>
      <c r="AW621" s="68"/>
      <c r="AX621" s="68"/>
      <c r="AY621" s="68"/>
      <c r="AZ621" s="68"/>
      <c r="BA621" s="68"/>
      <c r="BB621" s="68"/>
    </row>
    <row r="622" spans="1:54" ht="13.5" thickBot="1">
      <c r="A622" s="103">
        <v>39577</v>
      </c>
      <c r="B622" s="104">
        <v>4.367499828338623</v>
      </c>
      <c r="C622" s="105">
        <v>1388.280029296875</v>
      </c>
      <c r="D622" s="104">
        <v>1.9519000053405762</v>
      </c>
      <c r="E622">
        <v>102.95480616350892</v>
      </c>
      <c r="F622">
        <v>879.102294921875</v>
      </c>
      <c r="H622" s="34"/>
      <c r="I622" s="34"/>
      <c r="J622" s="34"/>
      <c r="K622" s="34"/>
      <c r="L622" s="34"/>
      <c r="N622" s="34"/>
      <c r="O622" s="35"/>
      <c r="P622" s="35"/>
      <c r="Q622" s="35"/>
      <c r="R622" s="35"/>
      <c r="S622" s="74"/>
      <c r="AJ622" s="34"/>
      <c r="AK622" s="34"/>
      <c r="AL622" s="34"/>
      <c r="AM622" s="34"/>
      <c r="AN622" s="34"/>
      <c r="AQ622" s="67"/>
      <c r="AR622" s="67"/>
      <c r="AS622" s="67"/>
      <c r="AT622" s="67"/>
      <c r="AU622" s="67"/>
      <c r="AW622" s="68"/>
      <c r="AX622" s="68"/>
      <c r="AY622" s="68"/>
      <c r="AZ622" s="68"/>
      <c r="BA622" s="68"/>
      <c r="BB622" s="68"/>
    </row>
    <row r="623" spans="1:54" ht="13.5" thickBot="1">
      <c r="A623" s="103">
        <v>39580</v>
      </c>
      <c r="B623" s="104">
        <v>4.373499870300293</v>
      </c>
      <c r="C623" s="105">
        <v>1403.5799560546875</v>
      </c>
      <c r="D623" s="104">
        <v>1.9565999507904053</v>
      </c>
      <c r="E623">
        <v>103.88530858501183</v>
      </c>
      <c r="F623">
        <v>884.2508544921875</v>
      </c>
      <c r="H623" s="34"/>
      <c r="I623" s="34"/>
      <c r="J623" s="34"/>
      <c r="K623" s="34"/>
      <c r="L623" s="34"/>
      <c r="N623" s="34"/>
      <c r="O623" s="35"/>
      <c r="P623" s="35"/>
      <c r="Q623" s="35"/>
      <c r="R623" s="35"/>
      <c r="S623" s="74"/>
      <c r="AJ623" s="34"/>
      <c r="AK623" s="34"/>
      <c r="AL623" s="34"/>
      <c r="AM623" s="34"/>
      <c r="AN623" s="34"/>
      <c r="AQ623" s="67"/>
      <c r="AR623" s="67"/>
      <c r="AS623" s="67"/>
      <c r="AT623" s="67"/>
      <c r="AU623" s="67"/>
      <c r="AW623" s="68"/>
      <c r="AX623" s="68"/>
      <c r="AY623" s="68"/>
      <c r="AZ623" s="68"/>
      <c r="BA623" s="68"/>
      <c r="BB623" s="68"/>
    </row>
    <row r="624" spans="1:54" ht="13.5" thickBot="1">
      <c r="A624" s="103">
        <v>39581</v>
      </c>
      <c r="B624" s="104">
        <v>4.5419998168945313</v>
      </c>
      <c r="C624" s="105">
        <v>1403.0400390625</v>
      </c>
      <c r="D624" s="104">
        <v>1.9453999996185303</v>
      </c>
      <c r="E624">
        <v>104.82180294483418</v>
      </c>
      <c r="F624">
        <v>868.0517578125</v>
      </c>
      <c r="H624" s="34"/>
      <c r="I624" s="34"/>
      <c r="J624" s="34"/>
      <c r="K624" s="34"/>
      <c r="L624" s="34"/>
      <c r="N624" s="34"/>
      <c r="O624" s="35"/>
      <c r="P624" s="35"/>
      <c r="Q624" s="35"/>
      <c r="R624" s="35"/>
      <c r="S624" s="74"/>
      <c r="AJ624" s="34"/>
      <c r="AK624" s="34"/>
      <c r="AL624" s="34"/>
      <c r="AM624" s="34"/>
      <c r="AN624" s="34"/>
      <c r="AQ624" s="67"/>
      <c r="AR624" s="67"/>
      <c r="AS624" s="67"/>
      <c r="AT624" s="67"/>
      <c r="AU624" s="67"/>
      <c r="AW624" s="68"/>
      <c r="AX624" s="68"/>
      <c r="AY624" s="68"/>
      <c r="AZ624" s="68"/>
      <c r="BA624" s="68"/>
      <c r="BB624" s="68"/>
    </row>
    <row r="625" spans="1:54" ht="13.5" thickBot="1">
      <c r="A625" s="103">
        <v>39582</v>
      </c>
      <c r="B625" s="104">
        <v>4.563499927520752</v>
      </c>
      <c r="C625" s="105">
        <v>1408.6600341796875</v>
      </c>
      <c r="D625" s="104">
        <v>1.9438999891281128</v>
      </c>
      <c r="E625">
        <v>105.28532161907751</v>
      </c>
      <c r="F625">
        <v>867.2518310546875</v>
      </c>
      <c r="H625" s="34"/>
      <c r="I625" s="34"/>
      <c r="J625" s="34"/>
      <c r="K625" s="34"/>
      <c r="L625" s="34"/>
      <c r="N625" s="34"/>
      <c r="O625" s="35"/>
      <c r="P625" s="35"/>
      <c r="Q625" s="35"/>
      <c r="R625" s="35"/>
      <c r="S625" s="74"/>
      <c r="AJ625" s="34"/>
      <c r="AK625" s="34"/>
      <c r="AL625" s="34"/>
      <c r="AM625" s="34"/>
      <c r="AN625" s="34"/>
      <c r="AQ625" s="67"/>
      <c r="AR625" s="67"/>
      <c r="AS625" s="67"/>
      <c r="AT625" s="67"/>
      <c r="AU625" s="67"/>
      <c r="AW625" s="68"/>
      <c r="AX625" s="68"/>
      <c r="AY625" s="68"/>
      <c r="AZ625" s="68"/>
      <c r="BA625" s="68"/>
      <c r="BB625" s="68"/>
    </row>
    <row r="626" spans="1:54" ht="13.5" thickBot="1">
      <c r="A626" s="103">
        <v>39583</v>
      </c>
      <c r="B626" s="104">
        <v>4.434999942779541</v>
      </c>
      <c r="C626" s="105">
        <v>1423.5699462890625</v>
      </c>
      <c r="D626" s="104">
        <v>1.9450000524520874</v>
      </c>
      <c r="E626">
        <v>104.74494803586728</v>
      </c>
      <c r="F626">
        <v>879.80224609375</v>
      </c>
      <c r="H626" s="34"/>
      <c r="I626" s="34"/>
      <c r="J626" s="34"/>
      <c r="K626" s="34"/>
      <c r="L626" s="34"/>
      <c r="N626" s="34"/>
      <c r="O626" s="35"/>
      <c r="P626" s="35"/>
      <c r="Q626" s="35"/>
      <c r="R626" s="35"/>
      <c r="S626" s="74"/>
      <c r="AJ626" s="34"/>
      <c r="AK626" s="34"/>
      <c r="AL626" s="34"/>
      <c r="AM626" s="34"/>
      <c r="AN626" s="34"/>
      <c r="AQ626" s="67"/>
      <c r="AR626" s="67"/>
      <c r="AS626" s="67"/>
      <c r="AT626" s="67"/>
      <c r="AU626" s="67"/>
      <c r="AW626" s="68"/>
      <c r="AX626" s="68"/>
      <c r="AY626" s="68"/>
      <c r="AZ626" s="68"/>
      <c r="BA626" s="68"/>
      <c r="BB626" s="68"/>
    </row>
    <row r="627" spans="1:54" ht="13.5" thickBot="1">
      <c r="A627" s="103">
        <v>39584</v>
      </c>
      <c r="B627" s="104">
        <v>4.439000129699707</v>
      </c>
      <c r="C627" s="105">
        <v>1425.3499755859375</v>
      </c>
      <c r="D627" s="104">
        <v>1.9558000564575195</v>
      </c>
      <c r="E627">
        <v>104.12328678918284</v>
      </c>
      <c r="F627">
        <v>900.7999267578125</v>
      </c>
      <c r="H627" s="34"/>
      <c r="I627" s="34"/>
      <c r="J627" s="34"/>
      <c r="K627" s="34"/>
      <c r="L627" s="34"/>
      <c r="N627" s="34"/>
      <c r="O627" s="35"/>
      <c r="P627" s="35"/>
      <c r="Q627" s="35"/>
      <c r="R627" s="35"/>
      <c r="S627" s="74"/>
      <c r="AJ627" s="34"/>
      <c r="AK627" s="34"/>
      <c r="AL627" s="34"/>
      <c r="AM627" s="34"/>
      <c r="AN627" s="34"/>
      <c r="AQ627" s="67"/>
      <c r="AR627" s="67"/>
      <c r="AS627" s="67"/>
      <c r="AT627" s="67"/>
      <c r="AU627" s="67"/>
      <c r="AW627" s="68"/>
      <c r="AX627" s="68"/>
      <c r="AY627" s="68"/>
      <c r="AZ627" s="68"/>
      <c r="BA627" s="68"/>
      <c r="BB627" s="68"/>
    </row>
    <row r="628" spans="1:54" ht="13.5" thickBot="1">
      <c r="A628" s="103">
        <v>39587</v>
      </c>
      <c r="B628" s="104">
        <v>4.4074997901916504</v>
      </c>
      <c r="C628" s="105">
        <v>1426.6300048828125</v>
      </c>
      <c r="D628" s="104">
        <v>1.9480999708175659</v>
      </c>
      <c r="E628">
        <v>104.36234766383045</v>
      </c>
      <c r="F628">
        <v>903.94976806640625</v>
      </c>
      <c r="H628" s="34"/>
      <c r="I628" s="34"/>
      <c r="J628" s="34"/>
      <c r="K628" s="34"/>
      <c r="L628" s="34"/>
      <c r="N628" s="34"/>
      <c r="O628" s="35"/>
      <c r="P628" s="35"/>
      <c r="Q628" s="35"/>
      <c r="R628" s="35"/>
      <c r="S628" s="74"/>
      <c r="AJ628" s="34"/>
      <c r="AK628" s="34"/>
      <c r="AL628" s="34"/>
      <c r="AM628" s="34"/>
      <c r="AN628" s="34"/>
      <c r="AQ628" s="67"/>
      <c r="AR628" s="67"/>
      <c r="AS628" s="67"/>
      <c r="AT628" s="67"/>
      <c r="AU628" s="67"/>
      <c r="AW628" s="68"/>
      <c r="AX628" s="68"/>
      <c r="AY628" s="68"/>
      <c r="AZ628" s="68"/>
      <c r="BA628" s="68"/>
      <c r="BB628" s="68"/>
    </row>
    <row r="629" spans="1:54" ht="13.5" thickBot="1">
      <c r="A629" s="103">
        <v>39588</v>
      </c>
      <c r="B629" s="104">
        <v>4.3575000762939453</v>
      </c>
      <c r="C629" s="105">
        <v>1413.4000244140625</v>
      </c>
      <c r="D629" s="104">
        <v>1.9679000377655029</v>
      </c>
      <c r="E629">
        <v>103.63768125873808</v>
      </c>
      <c r="F629">
        <v>920.9488525390625</v>
      </c>
      <c r="H629" s="34"/>
      <c r="I629" s="34"/>
      <c r="J629" s="34"/>
      <c r="K629" s="34"/>
      <c r="L629" s="34"/>
      <c r="N629" s="34"/>
      <c r="O629" s="35"/>
      <c r="P629" s="35"/>
      <c r="Q629" s="35"/>
      <c r="R629" s="35"/>
      <c r="S629" s="74"/>
      <c r="AJ629" s="34"/>
      <c r="AK629" s="34"/>
      <c r="AL629" s="34"/>
      <c r="AM629" s="34"/>
      <c r="AN629" s="34"/>
      <c r="AQ629" s="67"/>
      <c r="AR629" s="67"/>
      <c r="AS629" s="67"/>
      <c r="AT629" s="67"/>
      <c r="AU629" s="67"/>
      <c r="AW629" s="68"/>
      <c r="AX629" s="68"/>
      <c r="AY629" s="68"/>
      <c r="AZ629" s="68"/>
      <c r="BA629" s="68"/>
      <c r="BB629" s="68"/>
    </row>
    <row r="630" spans="1:54" ht="13.5" thickBot="1">
      <c r="A630" s="103">
        <v>39589</v>
      </c>
      <c r="B630" s="104">
        <v>4.4105000495910645</v>
      </c>
      <c r="C630" s="105">
        <v>1390.7099609375</v>
      </c>
      <c r="D630" s="104">
        <v>1.968500018119812</v>
      </c>
      <c r="E630">
        <v>103.10341223761122</v>
      </c>
      <c r="F630">
        <v>927.94842529296875</v>
      </c>
      <c r="H630" s="34"/>
      <c r="I630" s="34"/>
      <c r="J630" s="34"/>
      <c r="K630" s="34"/>
      <c r="L630" s="34"/>
      <c r="N630" s="34"/>
      <c r="O630" s="35"/>
      <c r="P630" s="35"/>
      <c r="Q630" s="35"/>
      <c r="R630" s="35"/>
      <c r="S630" s="74"/>
      <c r="AJ630" s="34"/>
      <c r="AK630" s="34"/>
      <c r="AL630" s="34"/>
      <c r="AM630" s="34"/>
      <c r="AN630" s="34"/>
      <c r="AQ630" s="67"/>
      <c r="AR630" s="67"/>
      <c r="AS630" s="67"/>
      <c r="AT630" s="67"/>
      <c r="AU630" s="67"/>
      <c r="AW630" s="68"/>
      <c r="AX630" s="68"/>
      <c r="AY630" s="68"/>
      <c r="AZ630" s="68"/>
      <c r="BA630" s="68"/>
      <c r="BB630" s="68"/>
    </row>
    <row r="631" spans="1:54" ht="13.5" thickBot="1">
      <c r="A631" s="103">
        <v>39590</v>
      </c>
      <c r="B631" s="104">
        <v>4.5285000801086426</v>
      </c>
      <c r="C631" s="105">
        <v>1394.3499755859375</v>
      </c>
      <c r="D631" s="104">
        <v>1.9781999588012695</v>
      </c>
      <c r="E631">
        <v>104.36234766383045</v>
      </c>
      <c r="F631">
        <v>921.07208251953125</v>
      </c>
      <c r="H631" s="34"/>
      <c r="I631" s="34"/>
      <c r="J631" s="34"/>
      <c r="K631" s="34"/>
      <c r="L631" s="34"/>
      <c r="N631" s="34"/>
      <c r="O631" s="35"/>
      <c r="P631" s="35"/>
      <c r="Q631" s="35"/>
      <c r="R631" s="35"/>
      <c r="S631" s="74"/>
      <c r="AJ631" s="34"/>
      <c r="AK631" s="34"/>
      <c r="AL631" s="34"/>
      <c r="AM631" s="34"/>
      <c r="AN631" s="34"/>
      <c r="AQ631" s="67"/>
      <c r="AR631" s="67"/>
      <c r="AS631" s="67"/>
      <c r="AT631" s="67"/>
      <c r="AU631" s="67"/>
      <c r="AW631" s="68"/>
      <c r="AX631" s="68"/>
      <c r="AY631" s="68"/>
      <c r="AZ631" s="68"/>
      <c r="BA631" s="68"/>
      <c r="BB631" s="68"/>
    </row>
    <row r="632" spans="1:54" ht="13.5" thickBot="1">
      <c r="A632" s="103">
        <v>39591</v>
      </c>
      <c r="B632" s="104">
        <v>4.4460000991821289</v>
      </c>
      <c r="C632" s="105">
        <v>1375.9300537109375</v>
      </c>
      <c r="D632" s="104">
        <v>1.9810999631881714</v>
      </c>
      <c r="E632">
        <v>103.08216077982644</v>
      </c>
      <c r="F632">
        <v>924.0716552734375</v>
      </c>
      <c r="H632" s="34"/>
      <c r="I632" s="34"/>
      <c r="J632" s="34"/>
      <c r="K632" s="34"/>
      <c r="L632" s="34"/>
      <c r="N632" s="34"/>
      <c r="O632" s="35"/>
      <c r="P632" s="35"/>
      <c r="Q632" s="35"/>
      <c r="R632" s="35"/>
      <c r="S632" s="74"/>
      <c r="AJ632" s="34"/>
      <c r="AK632" s="34"/>
      <c r="AL632" s="34"/>
      <c r="AM632" s="34"/>
      <c r="AN632" s="34"/>
      <c r="AQ632" s="67"/>
      <c r="AR632" s="67"/>
      <c r="AS632" s="67"/>
      <c r="AT632" s="67"/>
      <c r="AU632" s="67"/>
      <c r="AW632" s="68"/>
      <c r="AX632" s="68"/>
      <c r="AY632" s="68"/>
      <c r="AZ632" s="68"/>
      <c r="BA632" s="68"/>
      <c r="BB632" s="68"/>
    </row>
    <row r="633" spans="1:54" ht="13.5" thickBot="1">
      <c r="A633" s="103">
        <v>39594</v>
      </c>
      <c r="B633" s="104">
        <v>4.4460000991821289</v>
      </c>
      <c r="C633" s="105">
        <v>1375.9300537109375</v>
      </c>
      <c r="D633" s="104">
        <v>1.9775500297546387</v>
      </c>
      <c r="E633">
        <v>103.42330858860664</v>
      </c>
      <c r="F633">
        <v>924.0716552734375</v>
      </c>
      <c r="H633" s="34"/>
      <c r="I633" s="34"/>
      <c r="J633" s="34"/>
      <c r="K633" s="34"/>
      <c r="L633" s="34"/>
      <c r="N633" s="34"/>
      <c r="O633" s="35"/>
      <c r="P633" s="35"/>
      <c r="Q633" s="35"/>
      <c r="R633" s="35"/>
      <c r="S633" s="74"/>
      <c r="AJ633" s="34"/>
      <c r="AK633" s="34"/>
      <c r="AL633" s="34"/>
      <c r="AM633" s="34"/>
      <c r="AN633" s="34"/>
      <c r="AQ633" s="67"/>
      <c r="AR633" s="67"/>
      <c r="AS633" s="67"/>
      <c r="AT633" s="67"/>
      <c r="AU633" s="67"/>
      <c r="AW633" s="68"/>
      <c r="AX633" s="68"/>
      <c r="AY633" s="68"/>
      <c r="AZ633" s="68"/>
      <c r="BA633" s="68"/>
      <c r="BB633" s="68"/>
    </row>
    <row r="634" spans="1:54" ht="13.5" thickBot="1">
      <c r="A634" s="103">
        <v>39595</v>
      </c>
      <c r="B634" s="104">
        <v>4.5605001449584961</v>
      </c>
      <c r="C634" s="105">
        <v>1385.3499755859375</v>
      </c>
      <c r="D634" s="104">
        <v>1.976099967956543</v>
      </c>
      <c r="E634">
        <v>104.31879951294529</v>
      </c>
      <c r="F634">
        <v>908.6495361328125</v>
      </c>
      <c r="H634" s="34"/>
      <c r="I634" s="34"/>
      <c r="J634" s="34"/>
      <c r="K634" s="34"/>
      <c r="L634" s="34"/>
      <c r="N634" s="34"/>
      <c r="O634" s="35"/>
      <c r="P634" s="35"/>
      <c r="Q634" s="35"/>
      <c r="R634" s="35"/>
      <c r="S634" s="74"/>
      <c r="AJ634" s="34"/>
      <c r="AK634" s="34"/>
      <c r="AL634" s="34"/>
      <c r="AM634" s="34"/>
      <c r="AN634" s="34"/>
      <c r="AQ634" s="67"/>
      <c r="AR634" s="67"/>
      <c r="AS634" s="67"/>
      <c r="AT634" s="67"/>
      <c r="AU634" s="67"/>
      <c r="AW634" s="68"/>
      <c r="AX634" s="68"/>
      <c r="AY634" s="68"/>
      <c r="AZ634" s="68"/>
      <c r="BA634" s="68"/>
      <c r="BB634" s="68"/>
    </row>
    <row r="635" spans="1:54" ht="13.5" thickBot="1">
      <c r="A635" s="103">
        <v>39596</v>
      </c>
      <c r="B635" s="104">
        <v>4.6430001258850098</v>
      </c>
      <c r="C635" s="105">
        <v>1390.8399658203125</v>
      </c>
      <c r="D635" s="104">
        <v>1.9800000190734863</v>
      </c>
      <c r="E635">
        <v>104.70108006507459</v>
      </c>
      <c r="F635">
        <v>900.449951171875</v>
      </c>
      <c r="H635" s="34"/>
      <c r="I635" s="34"/>
      <c r="J635" s="34"/>
      <c r="K635" s="34"/>
      <c r="L635" s="34"/>
      <c r="N635" s="34"/>
      <c r="O635" s="35"/>
      <c r="P635" s="35"/>
      <c r="Q635" s="35"/>
      <c r="R635" s="35"/>
      <c r="S635" s="74"/>
      <c r="AJ635" s="34"/>
      <c r="AK635" s="34"/>
      <c r="AL635" s="34"/>
      <c r="AM635" s="34"/>
      <c r="AN635" s="34"/>
      <c r="AQ635" s="67"/>
      <c r="AR635" s="67"/>
      <c r="AS635" s="67"/>
      <c r="AT635" s="67"/>
      <c r="AU635" s="67"/>
      <c r="AW635" s="68"/>
      <c r="AX635" s="68"/>
      <c r="AY635" s="68"/>
      <c r="AZ635" s="68"/>
      <c r="BA635" s="68"/>
      <c r="BB635" s="68"/>
    </row>
    <row r="636" spans="1:54" ht="13.5" thickBot="1">
      <c r="A636" s="103">
        <v>39597</v>
      </c>
      <c r="B636" s="104">
        <v>4.7284998893737793</v>
      </c>
      <c r="C636" s="105">
        <v>1398.260009765625</v>
      </c>
      <c r="D636" s="104">
        <v>1.9746999740600586</v>
      </c>
      <c r="E636">
        <v>105.5631826634981</v>
      </c>
      <c r="F636">
        <v>875.4027099609375</v>
      </c>
      <c r="H636" s="34"/>
      <c r="I636" s="34"/>
      <c r="J636" s="34"/>
      <c r="K636" s="34"/>
      <c r="L636" s="34"/>
      <c r="N636" s="34"/>
      <c r="O636" s="35"/>
      <c r="P636" s="35"/>
      <c r="Q636" s="35"/>
      <c r="R636" s="35"/>
      <c r="S636" s="74"/>
      <c r="AJ636" s="34"/>
      <c r="AK636" s="34"/>
      <c r="AL636" s="34"/>
      <c r="AM636" s="34"/>
      <c r="AN636" s="34"/>
      <c r="AQ636" s="67"/>
      <c r="AR636" s="67"/>
      <c r="AS636" s="67"/>
      <c r="AT636" s="67"/>
      <c r="AU636" s="67"/>
      <c r="AW636" s="68"/>
      <c r="AX636" s="68"/>
      <c r="AY636" s="68"/>
      <c r="AZ636" s="68"/>
      <c r="BA636" s="68"/>
      <c r="BB636" s="68"/>
    </row>
    <row r="637" spans="1:54" ht="13.5" thickBot="1">
      <c r="A637" s="103">
        <v>39598</v>
      </c>
      <c r="B637" s="104">
        <v>4.6929998397827148</v>
      </c>
      <c r="C637" s="105">
        <v>1400.3800048828125</v>
      </c>
      <c r="D637" s="104">
        <v>1.9803999662399292</v>
      </c>
      <c r="E637">
        <v>105.46298223592065</v>
      </c>
      <c r="F637">
        <v>887.80133056640625</v>
      </c>
      <c r="H637" s="34"/>
      <c r="I637" s="34"/>
      <c r="J637" s="34"/>
      <c r="K637" s="34"/>
      <c r="L637" s="34"/>
      <c r="N637" s="34"/>
      <c r="O637" s="35"/>
      <c r="P637" s="35"/>
      <c r="Q637" s="35"/>
      <c r="R637" s="35"/>
      <c r="S637" s="74"/>
      <c r="AJ637" s="34"/>
      <c r="AK637" s="34"/>
      <c r="AL637" s="34"/>
      <c r="AM637" s="34"/>
      <c r="AN637" s="34"/>
      <c r="AQ637" s="67"/>
      <c r="AR637" s="67"/>
      <c r="AS637" s="67"/>
      <c r="AT637" s="67"/>
      <c r="AU637" s="67"/>
      <c r="AW637" s="68"/>
      <c r="AX637" s="68"/>
      <c r="AY637" s="68"/>
      <c r="AZ637" s="68"/>
      <c r="BA637" s="68"/>
      <c r="BB637" s="68"/>
    </row>
    <row r="638" spans="1:54" ht="13.5" thickBot="1">
      <c r="A638" s="103">
        <v>39601</v>
      </c>
      <c r="B638" s="104">
        <v>4.6164999008178711</v>
      </c>
      <c r="C638" s="105">
        <v>1385.6700439453125</v>
      </c>
      <c r="D638" s="104">
        <v>1.9656000137329102</v>
      </c>
      <c r="E638">
        <v>104.39503010731842</v>
      </c>
      <c r="F638">
        <v>895.55023193359375</v>
      </c>
      <c r="H638" s="34"/>
      <c r="I638" s="34"/>
      <c r="J638" s="34"/>
      <c r="K638" s="34"/>
      <c r="L638" s="34"/>
      <c r="N638" s="34"/>
      <c r="O638" s="35"/>
      <c r="P638" s="35"/>
      <c r="Q638" s="35"/>
      <c r="R638" s="35"/>
      <c r="S638" s="74"/>
      <c r="AJ638" s="34"/>
      <c r="AK638" s="34"/>
      <c r="AL638" s="34"/>
      <c r="AM638" s="34"/>
      <c r="AN638" s="34"/>
      <c r="AQ638" s="67"/>
      <c r="AR638" s="67"/>
      <c r="AS638" s="67"/>
      <c r="AT638" s="67"/>
      <c r="AU638" s="67"/>
      <c r="AW638" s="68"/>
      <c r="AX638" s="68"/>
      <c r="AY638" s="68"/>
      <c r="AZ638" s="68"/>
      <c r="BA638" s="68"/>
      <c r="BB638" s="68"/>
    </row>
    <row r="639" spans="1:54" ht="13.5" thickBot="1">
      <c r="A639" s="103">
        <v>39602</v>
      </c>
      <c r="B639" s="104">
        <v>4.5504999160766602</v>
      </c>
      <c r="C639" s="105">
        <v>1377.6500244140625</v>
      </c>
      <c r="D639" s="104">
        <v>1.9657000303268433</v>
      </c>
      <c r="E639">
        <v>104.87677278502476</v>
      </c>
      <c r="F639">
        <v>883.5509033203125</v>
      </c>
      <c r="H639" s="34"/>
      <c r="I639" s="34"/>
      <c r="J639" s="34"/>
      <c r="K639" s="34"/>
      <c r="L639" s="34"/>
      <c r="N639" s="34"/>
      <c r="O639" s="35"/>
      <c r="P639" s="35"/>
      <c r="Q639" s="35"/>
      <c r="R639" s="35"/>
      <c r="S639" s="74"/>
      <c r="AJ639" s="34"/>
      <c r="AK639" s="34"/>
      <c r="AL639" s="34"/>
      <c r="AM639" s="34"/>
      <c r="AN639" s="34"/>
      <c r="AQ639" s="67"/>
      <c r="AR639" s="67"/>
      <c r="AS639" s="67"/>
      <c r="AT639" s="67"/>
      <c r="AU639" s="67"/>
      <c r="AW639" s="68"/>
      <c r="AX639" s="68"/>
      <c r="AY639" s="68"/>
      <c r="AZ639" s="68"/>
      <c r="BA639" s="68"/>
      <c r="BB639" s="68"/>
    </row>
    <row r="640" spans="1:54" ht="13.5" thickBot="1">
      <c r="A640" s="103">
        <v>39603</v>
      </c>
      <c r="B640" s="104">
        <v>4.6189999580383301</v>
      </c>
      <c r="C640" s="105">
        <v>1377.199951171875</v>
      </c>
      <c r="D640" s="104">
        <v>1.9551000595092773</v>
      </c>
      <c r="E640">
        <v>105.04201849692751</v>
      </c>
      <c r="F640">
        <v>881.85101318359375</v>
      </c>
      <c r="H640" s="34"/>
      <c r="I640" s="34"/>
      <c r="J640" s="34"/>
      <c r="K640" s="34"/>
      <c r="L640" s="34"/>
      <c r="N640" s="34"/>
      <c r="O640" s="35"/>
      <c r="P640" s="35"/>
      <c r="Q640" s="35"/>
      <c r="R640" s="35"/>
      <c r="S640" s="74"/>
      <c r="AJ640" s="34"/>
      <c r="AK640" s="34"/>
      <c r="AL640" s="34"/>
      <c r="AM640" s="34"/>
      <c r="AN640" s="34"/>
      <c r="AQ640" s="67"/>
      <c r="AR640" s="67"/>
      <c r="AS640" s="67"/>
      <c r="AT640" s="67"/>
      <c r="AU640" s="67"/>
      <c r="AW640" s="68"/>
      <c r="AX640" s="68"/>
      <c r="AY640" s="68"/>
      <c r="AZ640" s="68"/>
      <c r="BA640" s="68"/>
      <c r="BB640" s="68"/>
    </row>
    <row r="641" spans="1:54" ht="13.5" thickBot="1">
      <c r="A641" s="103">
        <v>39604</v>
      </c>
      <c r="B641" s="104">
        <v>4.755000114440918</v>
      </c>
      <c r="C641" s="105">
        <v>1404.050048828125</v>
      </c>
      <c r="D641" s="104">
        <v>1.9585000276565552</v>
      </c>
      <c r="E641">
        <v>105.74178304998752</v>
      </c>
      <c r="F641">
        <v>872.0531005859375</v>
      </c>
      <c r="H641" s="34"/>
      <c r="I641" s="34"/>
      <c r="J641" s="34"/>
      <c r="K641" s="34"/>
      <c r="L641" s="34"/>
      <c r="N641" s="34"/>
      <c r="O641" s="35"/>
      <c r="P641" s="35"/>
      <c r="Q641" s="35"/>
      <c r="R641" s="35"/>
      <c r="S641" s="74"/>
      <c r="AJ641" s="34"/>
      <c r="AK641" s="34"/>
      <c r="AL641" s="34"/>
      <c r="AM641" s="34"/>
      <c r="AN641" s="34"/>
      <c r="AQ641" s="67"/>
      <c r="AR641" s="67"/>
      <c r="AS641" s="67"/>
      <c r="AT641" s="67"/>
      <c r="AU641" s="67"/>
      <c r="AW641" s="68"/>
      <c r="AX641" s="68"/>
      <c r="AY641" s="68"/>
      <c r="AZ641" s="68"/>
      <c r="BA641" s="68"/>
      <c r="BB641" s="68"/>
    </row>
    <row r="642" spans="1:54" ht="13.5" thickBot="1">
      <c r="A642" s="103">
        <v>39605</v>
      </c>
      <c r="B642" s="104">
        <v>4.6810002326965332</v>
      </c>
      <c r="C642" s="105">
        <v>1360.6800537109375</v>
      </c>
      <c r="D642" s="104">
        <v>1.9709000587463379</v>
      </c>
      <c r="E642">
        <v>105.09721960802624</v>
      </c>
      <c r="F642">
        <v>894.150634765625</v>
      </c>
      <c r="H642" s="34"/>
      <c r="I642" s="34"/>
      <c r="J642" s="34"/>
      <c r="K642" s="34"/>
      <c r="L642" s="34"/>
      <c r="N642" s="34"/>
      <c r="O642" s="35"/>
      <c r="P642" s="35"/>
      <c r="Q642" s="35"/>
      <c r="R642" s="35"/>
      <c r="S642" s="74"/>
      <c r="AJ642" s="34"/>
      <c r="AK642" s="34"/>
      <c r="AL642" s="34"/>
      <c r="AM642" s="34"/>
      <c r="AN642" s="34"/>
      <c r="AQ642" s="67"/>
      <c r="AR642" s="67"/>
      <c r="AS642" s="67"/>
      <c r="AT642" s="67"/>
      <c r="AU642" s="67"/>
      <c r="AW642" s="68"/>
      <c r="AX642" s="68"/>
      <c r="AY642" s="68"/>
      <c r="AZ642" s="68"/>
      <c r="BA642" s="68"/>
      <c r="BB642" s="68"/>
    </row>
    <row r="643" spans="1:54" ht="13.5" thickBot="1">
      <c r="A643" s="103">
        <v>39608</v>
      </c>
      <c r="B643" s="104">
        <v>4.7404999732971191</v>
      </c>
      <c r="C643" s="105">
        <v>1361.760009765625</v>
      </c>
      <c r="D643" s="104">
        <v>1.9749000072479248</v>
      </c>
      <c r="E643">
        <v>106.10079251843155</v>
      </c>
      <c r="F643">
        <v>894.15032958984375</v>
      </c>
      <c r="H643" s="34"/>
      <c r="I643" s="34"/>
      <c r="J643" s="34"/>
      <c r="K643" s="34"/>
      <c r="L643" s="34"/>
      <c r="N643" s="34"/>
      <c r="O643" s="35"/>
      <c r="P643" s="35"/>
      <c r="Q643" s="35"/>
      <c r="R643" s="35"/>
      <c r="S643" s="74"/>
      <c r="AJ643" s="34"/>
      <c r="AK643" s="34"/>
      <c r="AL643" s="34"/>
      <c r="AM643" s="34"/>
      <c r="AN643" s="34"/>
      <c r="AQ643" s="67"/>
      <c r="AR643" s="67"/>
      <c r="AS643" s="67"/>
      <c r="AT643" s="67"/>
      <c r="AU643" s="67"/>
      <c r="AW643" s="68"/>
      <c r="AX643" s="68"/>
      <c r="AY643" s="68"/>
      <c r="AZ643" s="68"/>
      <c r="BA643" s="68"/>
      <c r="BB643" s="68"/>
    </row>
    <row r="644" spans="1:54" ht="13.5" thickBot="1">
      <c r="A644" s="103">
        <v>39609</v>
      </c>
      <c r="B644" s="104">
        <v>4.8445000648498535</v>
      </c>
      <c r="C644" s="105">
        <v>1358.43994140625</v>
      </c>
      <c r="D644" s="104">
        <v>1.9530999660491943</v>
      </c>
      <c r="E644">
        <v>107.39985096438049</v>
      </c>
      <c r="F644">
        <v>869.1517333984375</v>
      </c>
      <c r="H644" s="34"/>
      <c r="I644" s="34"/>
      <c r="J644" s="34"/>
      <c r="K644" s="34"/>
      <c r="L644" s="34"/>
      <c r="N644" s="34"/>
      <c r="O644" s="35"/>
      <c r="P644" s="35"/>
      <c r="Q644" s="35"/>
      <c r="R644" s="35"/>
      <c r="S644" s="74"/>
      <c r="AJ644" s="34"/>
      <c r="AK644" s="34"/>
      <c r="AL644" s="34"/>
      <c r="AM644" s="34"/>
      <c r="AN644" s="34"/>
      <c r="AQ644" s="67"/>
      <c r="AR644" s="67"/>
      <c r="AS644" s="67"/>
      <c r="AT644" s="67"/>
      <c r="AU644" s="67"/>
      <c r="AW644" s="68"/>
      <c r="AX644" s="68"/>
      <c r="AY644" s="68"/>
      <c r="AZ644" s="68"/>
      <c r="BA644" s="68"/>
      <c r="BB644" s="68"/>
    </row>
    <row r="645" spans="1:54" ht="13.5" thickBot="1">
      <c r="A645" s="103">
        <v>39610</v>
      </c>
      <c r="B645" s="104">
        <v>4.7804999351501465</v>
      </c>
      <c r="C645" s="105">
        <v>1335.489990234375</v>
      </c>
      <c r="D645" s="104">
        <v>1.9630000591278076</v>
      </c>
      <c r="E645">
        <v>106.94043200777647</v>
      </c>
      <c r="F645">
        <v>881.4010009765625</v>
      </c>
      <c r="H645" s="34"/>
      <c r="I645" s="34"/>
      <c r="J645" s="34"/>
      <c r="K645" s="34"/>
      <c r="L645" s="34"/>
      <c r="N645" s="34"/>
      <c r="O645" s="35"/>
      <c r="P645" s="35"/>
      <c r="Q645" s="35"/>
      <c r="R645" s="35"/>
      <c r="S645" s="74"/>
      <c r="AJ645" s="34"/>
      <c r="AK645" s="34"/>
      <c r="AL645" s="34"/>
      <c r="AM645" s="34"/>
      <c r="AN645" s="34"/>
      <c r="AQ645" s="67"/>
      <c r="AR645" s="67"/>
      <c r="AS645" s="67"/>
      <c r="AT645" s="67"/>
      <c r="AU645" s="67"/>
      <c r="AW645" s="68"/>
      <c r="AX645" s="68"/>
      <c r="AY645" s="68"/>
      <c r="AZ645" s="68"/>
      <c r="BA645" s="68"/>
      <c r="BB645" s="68"/>
    </row>
    <row r="646" spans="1:54" ht="13.5" thickBot="1">
      <c r="A646" s="103">
        <v>39611</v>
      </c>
      <c r="B646" s="104">
        <v>4.9010000228881836</v>
      </c>
      <c r="C646" s="105">
        <v>1339.8699951171875</v>
      </c>
      <c r="D646" s="104">
        <v>1.9473999738693237</v>
      </c>
      <c r="E646">
        <v>107.94473509180122</v>
      </c>
      <c r="F646">
        <v>861.35430908203125</v>
      </c>
      <c r="H646" s="34"/>
      <c r="I646" s="34"/>
      <c r="J646" s="34"/>
      <c r="K646" s="34"/>
      <c r="L646" s="34"/>
      <c r="N646" s="34"/>
      <c r="O646" s="35"/>
      <c r="P646" s="35"/>
      <c r="Q646" s="35"/>
      <c r="R646" s="35"/>
      <c r="S646" s="74"/>
      <c r="AJ646" s="34"/>
      <c r="AK646" s="34"/>
      <c r="AL646" s="34"/>
      <c r="AM646" s="34"/>
      <c r="AN646" s="34"/>
      <c r="AQ646" s="67"/>
      <c r="AR646" s="67"/>
      <c r="AS646" s="67"/>
      <c r="AT646" s="67"/>
      <c r="AU646" s="67"/>
      <c r="AW646" s="68"/>
      <c r="AX646" s="68"/>
      <c r="AY646" s="68"/>
      <c r="AZ646" s="68"/>
      <c r="BA646" s="68"/>
      <c r="BB646" s="68"/>
    </row>
    <row r="647" spans="1:54" ht="13.5" thickBot="1">
      <c r="A647" s="103">
        <v>39612</v>
      </c>
      <c r="B647" s="104">
        <v>4.9619998931884766</v>
      </c>
      <c r="C647" s="105">
        <v>1360.030029296875</v>
      </c>
      <c r="D647" s="104">
        <v>1.9467999935150146</v>
      </c>
      <c r="E647">
        <v>108.20168726385653</v>
      </c>
      <c r="F647">
        <v>867.3536376953125</v>
      </c>
      <c r="H647" s="34"/>
      <c r="I647" s="34"/>
      <c r="J647" s="34"/>
      <c r="K647" s="34"/>
      <c r="L647" s="34"/>
      <c r="N647" s="34"/>
      <c r="O647" s="35"/>
      <c r="P647" s="35"/>
      <c r="Q647" s="35"/>
      <c r="R647" s="35"/>
      <c r="S647" s="74"/>
      <c r="AJ647" s="34"/>
      <c r="AK647" s="34"/>
      <c r="AL647" s="34"/>
      <c r="AM647" s="34"/>
      <c r="AN647" s="34"/>
      <c r="AQ647" s="67"/>
      <c r="AR647" s="67"/>
      <c r="AS647" s="67"/>
      <c r="AT647" s="67"/>
      <c r="AU647" s="67"/>
      <c r="AW647" s="68"/>
      <c r="AX647" s="68"/>
      <c r="AY647" s="68"/>
      <c r="AZ647" s="68"/>
      <c r="BA647" s="68"/>
      <c r="BB647" s="68"/>
    </row>
    <row r="648" spans="1:54" ht="13.5" thickBot="1">
      <c r="A648" s="103">
        <v>39615</v>
      </c>
      <c r="B648" s="104">
        <v>4.9524998664855957</v>
      </c>
      <c r="C648" s="105">
        <v>1360.1400146484375</v>
      </c>
      <c r="D648" s="104">
        <v>1.9641000032424927</v>
      </c>
      <c r="E648">
        <v>108.11979815201593</v>
      </c>
      <c r="F648">
        <v>886.750732421875</v>
      </c>
      <c r="H648" s="34"/>
      <c r="I648" s="34"/>
      <c r="J648" s="34"/>
      <c r="K648" s="34"/>
      <c r="L648" s="34"/>
      <c r="N648" s="34"/>
      <c r="O648" s="35"/>
      <c r="P648" s="35"/>
      <c r="Q648" s="35"/>
      <c r="R648" s="35"/>
      <c r="S648" s="74"/>
      <c r="AJ648" s="34"/>
      <c r="AK648" s="34"/>
      <c r="AL648" s="34"/>
      <c r="AM648" s="34"/>
      <c r="AN648" s="34"/>
      <c r="AQ648" s="67"/>
      <c r="AR648" s="67"/>
      <c r="AS648" s="67"/>
      <c r="AT648" s="67"/>
      <c r="AU648" s="67"/>
      <c r="AW648" s="68"/>
      <c r="AX648" s="68"/>
      <c r="AY648" s="68"/>
      <c r="AZ648" s="68"/>
      <c r="BA648" s="68"/>
      <c r="BB648" s="68"/>
    </row>
    <row r="649" spans="1:54" ht="13.5" thickBot="1">
      <c r="A649" s="103">
        <v>39616</v>
      </c>
      <c r="B649" s="104">
        <v>4.9054999351501465</v>
      </c>
      <c r="C649" s="105">
        <v>1350.9300537109375</v>
      </c>
      <c r="D649" s="104">
        <v>1.9566999673843384</v>
      </c>
      <c r="E649">
        <v>108.00301917886704</v>
      </c>
      <c r="F649">
        <v>885.350830078125</v>
      </c>
      <c r="H649" s="34"/>
      <c r="I649" s="34"/>
      <c r="J649" s="34"/>
      <c r="K649" s="34"/>
      <c r="L649" s="34"/>
      <c r="N649" s="34"/>
      <c r="O649" s="35"/>
      <c r="P649" s="35"/>
      <c r="Q649" s="35"/>
      <c r="R649" s="35"/>
      <c r="S649" s="74"/>
      <c r="AJ649" s="34"/>
      <c r="AK649" s="34"/>
      <c r="AL649" s="34"/>
      <c r="AM649" s="34"/>
      <c r="AN649" s="34"/>
      <c r="AQ649" s="67"/>
      <c r="AR649" s="67"/>
      <c r="AS649" s="67"/>
      <c r="AT649" s="67"/>
      <c r="AU649" s="67"/>
      <c r="AW649" s="68"/>
      <c r="AX649" s="68"/>
      <c r="AY649" s="68"/>
      <c r="AZ649" s="68"/>
      <c r="BA649" s="68"/>
      <c r="BB649" s="68"/>
    </row>
    <row r="650" spans="1:54" ht="13.5" thickBot="1">
      <c r="A650" s="103">
        <v>39617</v>
      </c>
      <c r="B650" s="104">
        <v>4.809999942779541</v>
      </c>
      <c r="C650" s="105">
        <v>1337.81005859375</v>
      </c>
      <c r="D650" s="104">
        <v>1.9598000049591064</v>
      </c>
      <c r="E650">
        <v>107.86323430433586</v>
      </c>
      <c r="F650">
        <v>891.65045166015625</v>
      </c>
      <c r="H650" s="34"/>
      <c r="I650" s="34"/>
      <c r="J650" s="34"/>
      <c r="K650" s="34"/>
      <c r="L650" s="34"/>
      <c r="N650" s="34"/>
      <c r="O650" s="35"/>
      <c r="P650" s="35"/>
      <c r="Q650" s="35"/>
      <c r="R650" s="35"/>
      <c r="S650" s="74"/>
      <c r="AJ650" s="34"/>
      <c r="AK650" s="34"/>
      <c r="AL650" s="34"/>
      <c r="AM650" s="34"/>
      <c r="AN650" s="34"/>
      <c r="AQ650" s="67"/>
      <c r="AR650" s="67"/>
      <c r="AS650" s="67"/>
      <c r="AT650" s="67"/>
      <c r="AU650" s="67"/>
      <c r="AW650" s="68"/>
      <c r="AX650" s="68"/>
      <c r="AY650" s="68"/>
      <c r="AZ650" s="68"/>
      <c r="BA650" s="68"/>
      <c r="BB650" s="68"/>
    </row>
    <row r="651" spans="1:54" ht="13.5" thickBot="1">
      <c r="A651" s="103">
        <v>39618</v>
      </c>
      <c r="B651" s="104">
        <v>4.8439998626708984</v>
      </c>
      <c r="C651" s="105">
        <v>1342.8299560546875</v>
      </c>
      <c r="D651" s="104">
        <v>1.9736000299453735</v>
      </c>
      <c r="E651">
        <v>107.9563803636632</v>
      </c>
      <c r="F651">
        <v>903.49957275390625</v>
      </c>
      <c r="H651" s="34"/>
      <c r="I651" s="34"/>
      <c r="J651" s="34"/>
      <c r="K651" s="34"/>
      <c r="L651" s="34"/>
      <c r="N651" s="34"/>
      <c r="O651" s="35"/>
      <c r="P651" s="35"/>
      <c r="Q651" s="35"/>
      <c r="R651" s="35"/>
      <c r="S651" s="74"/>
      <c r="AJ651" s="34"/>
      <c r="AK651" s="34"/>
      <c r="AL651" s="34"/>
      <c r="AM651" s="34"/>
      <c r="AN651" s="34"/>
      <c r="AQ651" s="67"/>
      <c r="AR651" s="67"/>
      <c r="AS651" s="67"/>
      <c r="AT651" s="67"/>
      <c r="AU651" s="67"/>
      <c r="AW651" s="68"/>
      <c r="AX651" s="68"/>
      <c r="AY651" s="68"/>
      <c r="AZ651" s="68"/>
      <c r="BA651" s="68"/>
      <c r="BB651" s="68"/>
    </row>
    <row r="652" spans="1:54" ht="13.5" thickBot="1">
      <c r="A652" s="103">
        <v>39619</v>
      </c>
      <c r="B652" s="104">
        <v>4.8204998970031738</v>
      </c>
      <c r="C652" s="105">
        <v>1317.9300537109375</v>
      </c>
      <c r="D652" s="104">
        <v>1.9766000509262085</v>
      </c>
      <c r="E652">
        <v>107.18113845153493</v>
      </c>
      <c r="F652">
        <v>903.799560546875</v>
      </c>
      <c r="H652" s="34"/>
      <c r="I652" s="34"/>
      <c r="J652" s="34"/>
      <c r="K652" s="34"/>
      <c r="L652" s="34"/>
      <c r="N652" s="34"/>
      <c r="O652" s="35"/>
      <c r="P652" s="35"/>
      <c r="Q652" s="35"/>
      <c r="R652" s="35"/>
      <c r="S652" s="74"/>
      <c r="AJ652" s="34"/>
      <c r="AK652" s="34"/>
      <c r="AL652" s="34"/>
      <c r="AM652" s="34"/>
      <c r="AN652" s="34"/>
      <c r="AQ652" s="67"/>
      <c r="AR652" s="67"/>
      <c r="AS652" s="67"/>
      <c r="AT652" s="67"/>
      <c r="AU652" s="67"/>
      <c r="AW652" s="68"/>
      <c r="AX652" s="68"/>
      <c r="AY652" s="68"/>
      <c r="AZ652" s="68"/>
      <c r="BA652" s="68"/>
      <c r="BB652" s="68"/>
    </row>
    <row r="653" spans="1:54" ht="13.5" thickBot="1">
      <c r="A653" s="103">
        <v>39622</v>
      </c>
      <c r="B653" s="104">
        <v>4.875999927520752</v>
      </c>
      <c r="C653" s="105">
        <v>1318</v>
      </c>
      <c r="D653" s="104">
        <v>1.9650000333786011</v>
      </c>
      <c r="E653">
        <v>107.8050901257416</v>
      </c>
      <c r="F653">
        <v>884.0509033203125</v>
      </c>
      <c r="H653" s="34"/>
      <c r="I653" s="34"/>
      <c r="J653" s="34"/>
      <c r="K653" s="34"/>
      <c r="L653" s="34"/>
      <c r="N653" s="34"/>
      <c r="O653" s="35"/>
      <c r="P653" s="35"/>
      <c r="Q653" s="35"/>
      <c r="R653" s="35"/>
      <c r="S653" s="74"/>
      <c r="AJ653" s="34"/>
      <c r="AK653" s="34"/>
      <c r="AL653" s="34"/>
      <c r="AM653" s="34"/>
      <c r="AN653" s="34"/>
      <c r="AQ653" s="67"/>
      <c r="AR653" s="67"/>
      <c r="AS653" s="67"/>
      <c r="AT653" s="67"/>
      <c r="AU653" s="67"/>
      <c r="AW653" s="68"/>
      <c r="AX653" s="68"/>
      <c r="AY653" s="68"/>
      <c r="AZ653" s="68"/>
      <c r="BA653" s="68"/>
      <c r="BB653" s="68"/>
    </row>
    <row r="654" spans="1:54" ht="13.5" thickBot="1">
      <c r="A654" s="103">
        <v>39623</v>
      </c>
      <c r="B654" s="104">
        <v>4.8105001449584961</v>
      </c>
      <c r="C654" s="105">
        <v>1314.2900390625</v>
      </c>
      <c r="D654" s="104">
        <v>1.9696999788284302</v>
      </c>
      <c r="E654">
        <v>107.89814658965402</v>
      </c>
      <c r="F654">
        <v>889.05059814453125</v>
      </c>
      <c r="H654" s="34"/>
      <c r="I654" s="34"/>
      <c r="J654" s="34"/>
      <c r="K654" s="34"/>
      <c r="L654" s="34"/>
      <c r="N654" s="34"/>
      <c r="O654" s="35"/>
      <c r="P654" s="35"/>
      <c r="Q654" s="35"/>
      <c r="R654" s="35"/>
      <c r="S654" s="74"/>
      <c r="AJ654" s="34"/>
      <c r="AK654" s="34"/>
      <c r="AL654" s="34"/>
      <c r="AM654" s="34"/>
      <c r="AN654" s="34"/>
      <c r="AQ654" s="67"/>
      <c r="AR654" s="67"/>
      <c r="AS654" s="67"/>
      <c r="AT654" s="67"/>
      <c r="AU654" s="67"/>
      <c r="AW654" s="68"/>
      <c r="AX654" s="68"/>
      <c r="AY654" s="68"/>
      <c r="AZ654" s="68"/>
      <c r="BA654" s="68"/>
      <c r="BB654" s="68"/>
    </row>
    <row r="655" spans="1:54" ht="13.5" thickBot="1">
      <c r="A655" s="103">
        <v>39624</v>
      </c>
      <c r="B655" s="104">
        <v>4.807499885559082</v>
      </c>
      <c r="C655" s="105">
        <v>1321.969970703125</v>
      </c>
      <c r="D655" s="104">
        <v>1.9724999666213989</v>
      </c>
      <c r="E655">
        <v>107.92143038921765</v>
      </c>
      <c r="F655">
        <v>880.2510986328125</v>
      </c>
      <c r="H655" s="34"/>
      <c r="I655" s="34"/>
      <c r="J655" s="34"/>
      <c r="K655" s="34"/>
      <c r="L655" s="34"/>
      <c r="N655" s="34"/>
      <c r="O655" s="35"/>
      <c r="P655" s="35"/>
      <c r="Q655" s="35"/>
      <c r="R655" s="35"/>
      <c r="S655" s="74"/>
      <c r="AJ655" s="34"/>
      <c r="AK655" s="34"/>
      <c r="AL655" s="34"/>
      <c r="AM655" s="34"/>
      <c r="AN655" s="34"/>
      <c r="AQ655" s="67"/>
      <c r="AR655" s="67"/>
      <c r="AS655" s="67"/>
      <c r="AT655" s="67"/>
      <c r="AU655" s="67"/>
      <c r="AW655" s="68"/>
      <c r="AX655" s="68"/>
      <c r="AY655" s="68"/>
      <c r="AZ655" s="68"/>
      <c r="BA655" s="68"/>
      <c r="BB655" s="68"/>
    </row>
    <row r="656" spans="1:54" ht="13.5" thickBot="1">
      <c r="A656" s="103">
        <v>39625</v>
      </c>
      <c r="B656" s="104">
        <v>4.7379999160766602</v>
      </c>
      <c r="C656" s="105">
        <v>1283.1500244140625</v>
      </c>
      <c r="D656" s="104">
        <v>1.9875999689102173</v>
      </c>
      <c r="E656">
        <v>106.65529372371405</v>
      </c>
      <c r="F656">
        <v>912.1986083984375</v>
      </c>
      <c r="H656" s="34"/>
      <c r="I656" s="34"/>
      <c r="J656" s="34"/>
      <c r="K656" s="34"/>
      <c r="L656" s="34"/>
      <c r="N656" s="34"/>
      <c r="O656" s="35"/>
      <c r="P656" s="35"/>
      <c r="Q656" s="35"/>
      <c r="R656" s="35"/>
      <c r="S656" s="74"/>
      <c r="AJ656" s="34"/>
      <c r="AK656" s="34"/>
      <c r="AL656" s="34"/>
      <c r="AM656" s="34"/>
      <c r="AN656" s="34"/>
      <c r="AQ656" s="67"/>
      <c r="AR656" s="67"/>
      <c r="AS656" s="67"/>
      <c r="AT656" s="67"/>
      <c r="AU656" s="67"/>
      <c r="AW656" s="68"/>
      <c r="AX656" s="68"/>
      <c r="AY656" s="68"/>
      <c r="AZ656" s="68"/>
      <c r="BA656" s="68"/>
      <c r="BB656" s="68"/>
    </row>
    <row r="657" spans="1:54" ht="13.5" thickBot="1">
      <c r="A657" s="103">
        <v>39626</v>
      </c>
      <c r="B657" s="104">
        <v>4.6985001564025879</v>
      </c>
      <c r="C657" s="105">
        <v>1278.3800048828125</v>
      </c>
      <c r="D657" s="104">
        <v>1.9930000305175781</v>
      </c>
      <c r="E657">
        <v>106.25863672817295</v>
      </c>
      <c r="F657">
        <v>927.19696044921875</v>
      </c>
      <c r="H657" s="34"/>
      <c r="I657" s="34"/>
      <c r="J657" s="34"/>
      <c r="K657" s="34"/>
      <c r="L657" s="34"/>
      <c r="N657" s="34"/>
      <c r="O657" s="35"/>
      <c r="P657" s="35"/>
      <c r="Q657" s="35"/>
      <c r="R657" s="35"/>
      <c r="S657" s="74"/>
      <c r="AJ657" s="34"/>
      <c r="AK657" s="34"/>
      <c r="AL657" s="34"/>
      <c r="AM657" s="34"/>
      <c r="AN657" s="34"/>
      <c r="AQ657" s="67"/>
      <c r="AR657" s="67"/>
      <c r="AS657" s="67"/>
      <c r="AT657" s="67"/>
      <c r="AU657" s="67"/>
      <c r="AW657" s="68"/>
      <c r="AX657" s="68"/>
      <c r="AY657" s="68"/>
      <c r="AZ657" s="68"/>
      <c r="BA657" s="68"/>
      <c r="BB657" s="68"/>
    </row>
    <row r="658" spans="1:54" ht="13.5" thickBot="1">
      <c r="A658" s="103">
        <v>39629</v>
      </c>
      <c r="B658" s="104">
        <v>4.6789999008178711</v>
      </c>
      <c r="C658" s="105">
        <v>1280</v>
      </c>
      <c r="D658" s="104">
        <v>1.9930000305175781</v>
      </c>
      <c r="E658">
        <v>106.04454289886262</v>
      </c>
      <c r="F658">
        <v>927.24847412109375</v>
      </c>
      <c r="H658" s="34"/>
      <c r="I658" s="34"/>
      <c r="J658" s="34"/>
      <c r="K658" s="34"/>
      <c r="L658" s="34"/>
      <c r="N658" s="34"/>
      <c r="O658" s="35"/>
      <c r="P658" s="35"/>
      <c r="Q658" s="35"/>
      <c r="R658" s="35"/>
      <c r="S658" s="74"/>
      <c r="AJ658" s="34"/>
      <c r="AK658" s="34"/>
      <c r="AL658" s="34"/>
      <c r="AM658" s="34"/>
      <c r="AN658" s="34"/>
      <c r="AQ658" s="67"/>
      <c r="AR658" s="67"/>
      <c r="AS658" s="67"/>
      <c r="AT658" s="67"/>
      <c r="AU658" s="67"/>
      <c r="AW658" s="68"/>
      <c r="AX658" s="68"/>
      <c r="AY658" s="68"/>
      <c r="AZ658" s="68"/>
      <c r="BA658" s="68"/>
      <c r="BB658" s="68"/>
    </row>
    <row r="659" spans="1:54" ht="13.5" thickBot="1">
      <c r="A659" s="103">
        <v>39630</v>
      </c>
      <c r="B659" s="104">
        <v>4.7024998664855957</v>
      </c>
      <c r="C659" s="105">
        <v>1284.9100341796875</v>
      </c>
      <c r="D659" s="104">
        <v>1.9945000410079956</v>
      </c>
      <c r="E659">
        <v>106.05578176571406</v>
      </c>
      <c r="F659">
        <v>944.24755859375</v>
      </c>
      <c r="H659" s="34"/>
      <c r="I659" s="34"/>
      <c r="J659" s="34"/>
      <c r="K659" s="34"/>
      <c r="L659" s="34"/>
      <c r="N659" s="34"/>
      <c r="O659" s="35"/>
      <c r="P659" s="35"/>
      <c r="Q659" s="35"/>
      <c r="R659" s="35"/>
      <c r="S659" s="74"/>
      <c r="AJ659" s="34"/>
      <c r="AK659" s="34"/>
      <c r="AL659" s="34"/>
      <c r="AM659" s="34"/>
      <c r="AN659" s="34"/>
      <c r="AQ659" s="67"/>
      <c r="AR659" s="67"/>
      <c r="AS659" s="67"/>
      <c r="AT659" s="67"/>
      <c r="AU659" s="67"/>
      <c r="AW659" s="68"/>
      <c r="AX659" s="68"/>
      <c r="AY659" s="68"/>
      <c r="AZ659" s="68"/>
      <c r="BA659" s="68"/>
      <c r="BB659" s="68"/>
    </row>
    <row r="660" spans="1:54" ht="13.5" thickBot="1">
      <c r="A660" s="103">
        <v>39631</v>
      </c>
      <c r="B660" s="104">
        <v>4.6814999580383301</v>
      </c>
      <c r="C660" s="105">
        <v>1261.52001953125</v>
      </c>
      <c r="D660" s="104">
        <v>1.9937000274658203</v>
      </c>
      <c r="E660">
        <v>105.97710738871604</v>
      </c>
      <c r="F660">
        <v>944.1688232421875</v>
      </c>
      <c r="H660" s="34"/>
      <c r="I660" s="34"/>
      <c r="J660" s="34"/>
      <c r="K660" s="34"/>
      <c r="L660" s="34"/>
      <c r="N660" s="34"/>
      <c r="O660" s="35"/>
      <c r="P660" s="35"/>
      <c r="Q660" s="35"/>
      <c r="R660" s="35"/>
      <c r="S660" s="74"/>
      <c r="AJ660" s="34"/>
      <c r="AK660" s="34"/>
      <c r="AL660" s="34"/>
      <c r="AM660" s="34"/>
      <c r="AN660" s="34"/>
      <c r="AQ660" s="67"/>
      <c r="AR660" s="67"/>
      <c r="AS660" s="67"/>
      <c r="AT660" s="67"/>
      <c r="AU660" s="67"/>
      <c r="AW660" s="68"/>
      <c r="AX660" s="68"/>
      <c r="AY660" s="68"/>
      <c r="AZ660" s="68"/>
      <c r="BA660" s="68"/>
      <c r="BB660" s="68"/>
    </row>
    <row r="661" spans="1:54" ht="13.5" thickBot="1">
      <c r="A661" s="103">
        <v>39632</v>
      </c>
      <c r="B661" s="104">
        <v>4.7278261184692383</v>
      </c>
      <c r="C661" s="105">
        <v>1262.9000244140625</v>
      </c>
      <c r="D661" s="104">
        <v>1.9825999736785889</v>
      </c>
      <c r="E661">
        <v>106.75776307599918</v>
      </c>
      <c r="F661">
        <v>933.2703857421875</v>
      </c>
      <c r="H661" s="34"/>
      <c r="I661" s="34"/>
      <c r="J661" s="34"/>
      <c r="K661" s="34"/>
      <c r="L661" s="34"/>
      <c r="N661" s="34"/>
      <c r="O661" s="35"/>
      <c r="P661" s="35"/>
      <c r="Q661" s="35"/>
      <c r="R661" s="35"/>
      <c r="S661" s="74"/>
      <c r="AJ661" s="34"/>
      <c r="AK661" s="34"/>
      <c r="AL661" s="34"/>
      <c r="AM661" s="34"/>
      <c r="AN661" s="34"/>
      <c r="AQ661" s="67"/>
      <c r="AR661" s="67"/>
      <c r="AS661" s="67"/>
      <c r="AT661" s="67"/>
      <c r="AU661" s="67"/>
      <c r="AW661" s="68"/>
      <c r="AX661" s="68"/>
      <c r="AY661" s="68"/>
      <c r="AZ661" s="68"/>
      <c r="BA661" s="68"/>
      <c r="BB661" s="68"/>
    </row>
    <row r="662" spans="1:54" ht="13.5" thickBot="1">
      <c r="A662" s="103">
        <v>39633</v>
      </c>
      <c r="B662" s="104">
        <v>4.7278261184692383</v>
      </c>
      <c r="C662" s="105">
        <v>1262.9000244140625</v>
      </c>
      <c r="D662" s="104">
        <v>1.9821499586105347</v>
      </c>
      <c r="E662">
        <v>106.67804415506173</v>
      </c>
      <c r="F662">
        <v>932.29638671875</v>
      </c>
      <c r="H662" s="34"/>
      <c r="I662" s="34"/>
      <c r="J662" s="34"/>
      <c r="K662" s="34"/>
      <c r="L662" s="34"/>
      <c r="N662" s="34"/>
      <c r="O662" s="35"/>
      <c r="P662" s="35"/>
      <c r="Q662" s="35"/>
      <c r="R662" s="35"/>
      <c r="S662" s="74"/>
      <c r="AJ662" s="34"/>
      <c r="AK662" s="34"/>
      <c r="AL662" s="34"/>
      <c r="AM662" s="34"/>
      <c r="AN662" s="34"/>
      <c r="AQ662" s="67"/>
      <c r="AR662" s="67"/>
      <c r="AS662" s="67"/>
      <c r="AT662" s="67"/>
      <c r="AU662" s="67"/>
      <c r="AW662" s="68"/>
      <c r="AX662" s="68"/>
      <c r="AY662" s="68"/>
      <c r="AZ662" s="68"/>
      <c r="BA662" s="68"/>
      <c r="BB662" s="68"/>
    </row>
    <row r="663" spans="1:54" ht="13.5" thickBot="1">
      <c r="A663" s="103">
        <v>39636</v>
      </c>
      <c r="B663" s="104">
        <v>4.7094998359680176</v>
      </c>
      <c r="C663" s="105">
        <v>1252.31005859375</v>
      </c>
      <c r="D663" s="104">
        <v>1.9773999452590942</v>
      </c>
      <c r="E663">
        <v>107.04346092313189</v>
      </c>
      <c r="F663">
        <v>924.5986328125</v>
      </c>
      <c r="H663" s="34"/>
      <c r="I663" s="34"/>
      <c r="J663" s="34"/>
      <c r="K663" s="34"/>
      <c r="L663" s="34"/>
      <c r="N663" s="34"/>
      <c r="O663" s="35"/>
      <c r="P663" s="35"/>
      <c r="Q663" s="35"/>
      <c r="R663" s="35"/>
      <c r="S663" s="74"/>
      <c r="AJ663" s="34"/>
      <c r="AK663" s="34"/>
      <c r="AL663" s="34"/>
      <c r="AM663" s="34"/>
      <c r="AN663" s="34"/>
      <c r="AQ663" s="67"/>
      <c r="AR663" s="67"/>
      <c r="AS663" s="67"/>
      <c r="AT663" s="67"/>
      <c r="AU663" s="67"/>
      <c r="AW663" s="68"/>
      <c r="AX663" s="68"/>
      <c r="AY663" s="68"/>
      <c r="AZ663" s="68"/>
      <c r="BA663" s="68"/>
      <c r="BB663" s="68"/>
    </row>
    <row r="664" spans="1:54" ht="13.5" thickBot="1">
      <c r="A664" s="103">
        <v>39637</v>
      </c>
      <c r="B664" s="104">
        <v>4.6255002021789551</v>
      </c>
      <c r="C664" s="105">
        <v>1273.699951171875</v>
      </c>
      <c r="D664" s="104">
        <v>1.9688999652862549</v>
      </c>
      <c r="E664">
        <v>107.43446387768176</v>
      </c>
      <c r="F664">
        <v>919.59893798828125</v>
      </c>
      <c r="H664" s="34"/>
      <c r="I664" s="34"/>
      <c r="J664" s="34"/>
      <c r="K664" s="34"/>
      <c r="L664" s="34"/>
      <c r="N664" s="34"/>
      <c r="O664" s="35"/>
      <c r="P664" s="35"/>
      <c r="Q664" s="35"/>
      <c r="R664" s="35"/>
      <c r="S664" s="74"/>
      <c r="AJ664" s="34"/>
      <c r="AK664" s="34"/>
      <c r="AL664" s="34"/>
      <c r="AM664" s="34"/>
      <c r="AN664" s="34"/>
      <c r="AQ664" s="67"/>
      <c r="AR664" s="67"/>
      <c r="AS664" s="67"/>
      <c r="AT664" s="67"/>
      <c r="AU664" s="67"/>
      <c r="AW664" s="68"/>
      <c r="AX664" s="68"/>
      <c r="AY664" s="68"/>
      <c r="AZ664" s="68"/>
      <c r="BA664" s="68"/>
      <c r="BB664" s="68"/>
    </row>
    <row r="665" spans="1:54" ht="13.5" thickBot="1">
      <c r="A665" s="103">
        <v>39638</v>
      </c>
      <c r="B665" s="104">
        <v>4.5409998893737793</v>
      </c>
      <c r="C665" s="105">
        <v>1244.68994140625</v>
      </c>
      <c r="D665" s="104">
        <v>1.9817999601364136</v>
      </c>
      <c r="E665">
        <v>106.81478270151391</v>
      </c>
      <c r="F665">
        <v>924.79864501953125</v>
      </c>
      <c r="H665" s="34"/>
      <c r="I665" s="34"/>
      <c r="J665" s="34"/>
      <c r="K665" s="34"/>
      <c r="L665" s="34"/>
      <c r="N665" s="34"/>
      <c r="O665" s="35"/>
      <c r="P665" s="35"/>
      <c r="Q665" s="35"/>
      <c r="R665" s="35"/>
      <c r="S665" s="74"/>
      <c r="AJ665" s="34"/>
      <c r="AK665" s="34"/>
      <c r="AL665" s="34"/>
      <c r="AM665" s="34"/>
      <c r="AN665" s="34"/>
      <c r="AQ665" s="67"/>
      <c r="AR665" s="67"/>
      <c r="AS665" s="67"/>
      <c r="AT665" s="67"/>
      <c r="AU665" s="67"/>
      <c r="AW665" s="68"/>
      <c r="AX665" s="68"/>
      <c r="AY665" s="68"/>
      <c r="AZ665" s="68"/>
      <c r="BA665" s="68"/>
      <c r="BB665" s="68"/>
    </row>
    <row r="666" spans="1:54" ht="13.5" thickBot="1">
      <c r="A666" s="103">
        <v>39639</v>
      </c>
      <c r="B666" s="104">
        <v>4.5244998931884766</v>
      </c>
      <c r="C666" s="105">
        <v>1253.3900146484375</v>
      </c>
      <c r="D666" s="104">
        <v>1.9771000146865845</v>
      </c>
      <c r="E666">
        <v>106.98619695673639</v>
      </c>
      <c r="F666">
        <v>939.99554443359375</v>
      </c>
      <c r="H666" s="34"/>
      <c r="I666" s="34"/>
      <c r="J666" s="34"/>
      <c r="K666" s="34"/>
      <c r="L666" s="34"/>
      <c r="N666" s="34"/>
      <c r="O666" s="35"/>
      <c r="P666" s="35"/>
      <c r="Q666" s="35"/>
      <c r="R666" s="35"/>
      <c r="S666" s="74"/>
      <c r="AJ666" s="34"/>
      <c r="AK666" s="34"/>
      <c r="AL666" s="34"/>
      <c r="AM666" s="34"/>
      <c r="AN666" s="34"/>
      <c r="AQ666" s="67"/>
      <c r="AR666" s="67"/>
      <c r="AS666" s="67"/>
      <c r="AT666" s="67"/>
      <c r="AU666" s="67"/>
      <c r="AW666" s="68"/>
      <c r="AX666" s="68"/>
      <c r="AY666" s="68"/>
      <c r="AZ666" s="68"/>
      <c r="BA666" s="68"/>
      <c r="BB666" s="68"/>
    </row>
    <row r="667" spans="1:54" ht="13.5" thickBot="1">
      <c r="A667" s="103">
        <v>39640</v>
      </c>
      <c r="B667" s="104">
        <v>4.624000072479248</v>
      </c>
      <c r="C667" s="105">
        <v>1239.489990234375</v>
      </c>
      <c r="D667" s="104">
        <v>1.98580002784729</v>
      </c>
      <c r="E667">
        <v>106.65529372371405</v>
      </c>
      <c r="F667">
        <v>958.993408203125</v>
      </c>
      <c r="H667" s="34"/>
      <c r="I667" s="34"/>
      <c r="J667" s="34"/>
      <c r="K667" s="34"/>
      <c r="L667" s="34"/>
      <c r="N667" s="34"/>
      <c r="O667" s="35"/>
      <c r="P667" s="35"/>
      <c r="Q667" s="35"/>
      <c r="R667" s="35"/>
      <c r="S667" s="74"/>
      <c r="AJ667" s="34"/>
      <c r="AK667" s="34"/>
      <c r="AL667" s="34"/>
      <c r="AM667" s="34"/>
      <c r="AN667" s="34"/>
      <c r="AQ667" s="67"/>
      <c r="AR667" s="67"/>
      <c r="AS667" s="67"/>
      <c r="AT667" s="67"/>
      <c r="AU667" s="67"/>
      <c r="AW667" s="68"/>
      <c r="AX667" s="68"/>
      <c r="AY667" s="68"/>
      <c r="AZ667" s="68"/>
      <c r="BA667" s="68"/>
      <c r="BB667" s="68"/>
    </row>
    <row r="668" spans="1:54" ht="13.5" thickBot="1">
      <c r="A668" s="103">
        <v>39643</v>
      </c>
      <c r="B668" s="104">
        <v>4.5749998092651367</v>
      </c>
      <c r="C668" s="105">
        <v>1228.300048828125</v>
      </c>
      <c r="D668" s="104">
        <v>1.9945000410079956</v>
      </c>
      <c r="E668">
        <v>106.07828760727449</v>
      </c>
      <c r="F668">
        <v>973.24591064453125</v>
      </c>
      <c r="H668" s="34"/>
      <c r="I668" s="34"/>
      <c r="J668" s="34"/>
      <c r="K668" s="34"/>
      <c r="L668" s="34"/>
      <c r="N668" s="34"/>
      <c r="O668" s="35"/>
      <c r="P668" s="35"/>
      <c r="Q668" s="35"/>
      <c r="R668" s="35"/>
      <c r="S668" s="74"/>
      <c r="AJ668" s="34"/>
      <c r="AK668" s="34"/>
      <c r="AL668" s="34"/>
      <c r="AM668" s="34"/>
      <c r="AN668" s="34"/>
      <c r="AQ668" s="67"/>
      <c r="AR668" s="67"/>
      <c r="AS668" s="67"/>
      <c r="AT668" s="67"/>
      <c r="AU668" s="67"/>
      <c r="AW668" s="68"/>
      <c r="AX668" s="68"/>
      <c r="AY668" s="68"/>
      <c r="AZ668" s="68"/>
      <c r="BA668" s="68"/>
      <c r="BB668" s="68"/>
    </row>
    <row r="669" spans="1:54" ht="13.5" thickBot="1">
      <c r="A669" s="103">
        <v>39644</v>
      </c>
      <c r="B669" s="104">
        <v>4.5339999198913574</v>
      </c>
      <c r="C669" s="105">
        <v>1214.9100341796875</v>
      </c>
      <c r="D669" s="104">
        <v>2.0016000270843506</v>
      </c>
      <c r="E669">
        <v>105.09721960802624</v>
      </c>
      <c r="F669">
        <v>971.24603271484375</v>
      </c>
      <c r="H669" s="34"/>
      <c r="I669" s="34"/>
      <c r="J669" s="34"/>
      <c r="K669" s="34"/>
      <c r="L669" s="34"/>
      <c r="N669" s="34"/>
      <c r="O669" s="35"/>
      <c r="P669" s="35"/>
      <c r="Q669" s="35"/>
      <c r="R669" s="35"/>
      <c r="S669" s="74"/>
      <c r="AJ669" s="34"/>
      <c r="AK669" s="34"/>
      <c r="AL669" s="34"/>
      <c r="AM669" s="34"/>
      <c r="AN669" s="34"/>
      <c r="AQ669" s="67"/>
      <c r="AR669" s="67"/>
      <c r="AS669" s="67"/>
      <c r="AT669" s="67"/>
      <c r="AU669" s="67"/>
      <c r="AW669" s="68"/>
      <c r="AX669" s="68"/>
      <c r="AY669" s="68"/>
      <c r="AZ669" s="68"/>
      <c r="BA669" s="68"/>
      <c r="BB669" s="68"/>
    </row>
    <row r="670" spans="1:54" ht="13.5" thickBot="1">
      <c r="A670" s="103">
        <v>39645</v>
      </c>
      <c r="B670" s="104">
        <v>4.623499870300293</v>
      </c>
      <c r="C670" s="105">
        <v>1245.3599853515625</v>
      </c>
      <c r="D670" s="104">
        <v>1.9989999532699585</v>
      </c>
      <c r="E670">
        <v>104.85477383617395</v>
      </c>
      <c r="F670">
        <v>964.346435546875</v>
      </c>
      <c r="H670" s="34"/>
      <c r="I670" s="34"/>
      <c r="J670" s="34"/>
      <c r="K670" s="34"/>
      <c r="L670" s="34"/>
      <c r="N670" s="34"/>
      <c r="O670" s="35"/>
      <c r="P670" s="35"/>
      <c r="Q670" s="35"/>
      <c r="R670" s="35"/>
      <c r="S670" s="74"/>
      <c r="AJ670" s="34"/>
      <c r="AK670" s="34"/>
      <c r="AL670" s="34"/>
      <c r="AM670" s="34"/>
      <c r="AN670" s="34"/>
      <c r="AQ670" s="67"/>
      <c r="AR670" s="67"/>
      <c r="AS670" s="67"/>
      <c r="AT670" s="67"/>
      <c r="AU670" s="67"/>
      <c r="AW670" s="68"/>
      <c r="AX670" s="68"/>
      <c r="AY670" s="68"/>
      <c r="AZ670" s="68"/>
      <c r="BA670" s="68"/>
      <c r="BB670" s="68"/>
    </row>
    <row r="671" spans="1:54" ht="13.5" thickBot="1">
      <c r="A671" s="103">
        <v>39646</v>
      </c>
      <c r="B671" s="104">
        <v>4.7855000495910645</v>
      </c>
      <c r="C671" s="105">
        <v>1260.3199462890625</v>
      </c>
      <c r="D671" s="104">
        <v>1.9977999925613403</v>
      </c>
      <c r="E671">
        <v>106.74637494503577</v>
      </c>
      <c r="F671">
        <v>966.49261474609375</v>
      </c>
      <c r="H671" s="34"/>
      <c r="I671" s="34"/>
      <c r="J671" s="34"/>
      <c r="K671" s="34"/>
      <c r="L671" s="34"/>
      <c r="N671" s="34"/>
      <c r="O671" s="35"/>
      <c r="P671" s="35"/>
      <c r="Q671" s="35"/>
      <c r="R671" s="35"/>
      <c r="S671" s="74"/>
      <c r="AJ671" s="34"/>
      <c r="AK671" s="34"/>
      <c r="AL671" s="34"/>
      <c r="AM671" s="34"/>
      <c r="AN671" s="34"/>
      <c r="AQ671" s="67"/>
      <c r="AR671" s="67"/>
      <c r="AS671" s="67"/>
      <c r="AT671" s="67"/>
      <c r="AU671" s="67"/>
      <c r="AW671" s="68"/>
      <c r="AX671" s="68"/>
      <c r="AY671" s="68"/>
      <c r="AZ671" s="68"/>
      <c r="BA671" s="68"/>
      <c r="BB671" s="68"/>
    </row>
    <row r="672" spans="1:54" ht="13.5" thickBot="1">
      <c r="A672" s="103">
        <v>39647</v>
      </c>
      <c r="B672" s="104">
        <v>4.8390002250671387</v>
      </c>
      <c r="C672" s="105">
        <v>1260.6800537109375</v>
      </c>
      <c r="D672" s="104">
        <v>1.9980000257492065</v>
      </c>
      <c r="E672">
        <v>106.89470619536071</v>
      </c>
      <c r="F672">
        <v>959.493408203125</v>
      </c>
      <c r="H672" s="34"/>
      <c r="I672" s="34"/>
      <c r="J672" s="34"/>
      <c r="K672" s="34"/>
      <c r="L672" s="34"/>
      <c r="N672" s="34"/>
      <c r="O672" s="35"/>
      <c r="P672" s="35"/>
      <c r="Q672" s="35"/>
      <c r="R672" s="35"/>
      <c r="S672" s="74"/>
      <c r="AJ672" s="34"/>
      <c r="AK672" s="34"/>
      <c r="AL672" s="34"/>
      <c r="AM672" s="34"/>
      <c r="AN672" s="34"/>
      <c r="AQ672" s="67"/>
      <c r="AR672" s="67"/>
      <c r="AS672" s="67"/>
      <c r="AT672" s="67"/>
      <c r="AU672" s="67"/>
      <c r="AW672" s="68"/>
      <c r="AX672" s="68"/>
      <c r="AY672" s="68"/>
      <c r="AZ672" s="68"/>
      <c r="BA672" s="68"/>
      <c r="BB672" s="68"/>
    </row>
    <row r="673" spans="1:54" ht="13.5" thickBot="1">
      <c r="A673" s="103">
        <v>39650</v>
      </c>
      <c r="B673" s="104">
        <v>4.8105001449584961</v>
      </c>
      <c r="C673" s="105">
        <v>1260</v>
      </c>
      <c r="D673" s="104">
        <v>1.9983999729156494</v>
      </c>
      <c r="E673">
        <v>106.75776307599918</v>
      </c>
      <c r="F673">
        <v>963.646484375</v>
      </c>
      <c r="H673" s="34"/>
      <c r="I673" s="34"/>
      <c r="J673" s="34"/>
      <c r="K673" s="34"/>
      <c r="L673" s="34"/>
      <c r="N673" s="34"/>
      <c r="O673" s="35"/>
      <c r="P673" s="35"/>
      <c r="Q673" s="35"/>
      <c r="R673" s="35"/>
      <c r="S673" s="74"/>
      <c r="AJ673" s="34"/>
      <c r="AK673" s="34"/>
      <c r="AL673" s="34"/>
      <c r="AM673" s="34"/>
      <c r="AN673" s="34"/>
      <c r="AQ673" s="67"/>
      <c r="AR673" s="67"/>
      <c r="AS673" s="67"/>
      <c r="AT673" s="67"/>
      <c r="AU673" s="67"/>
      <c r="AW673" s="68"/>
      <c r="AX673" s="68"/>
      <c r="AY673" s="68"/>
      <c r="AZ673" s="68"/>
      <c r="BA673" s="68"/>
      <c r="BB673" s="68"/>
    </row>
    <row r="674" spans="1:54" ht="13.5" thickBot="1">
      <c r="A674" s="103">
        <v>39651</v>
      </c>
      <c r="B674" s="104">
        <v>4.8295001983642578</v>
      </c>
      <c r="C674" s="105">
        <v>1277</v>
      </c>
      <c r="D674" s="104">
        <v>1.9917000532150269</v>
      </c>
      <c r="E674">
        <v>107.2041137938774</v>
      </c>
      <c r="F674">
        <v>947.747314453125</v>
      </c>
      <c r="H674" s="34"/>
      <c r="I674" s="34"/>
      <c r="J674" s="34"/>
      <c r="K674" s="34"/>
      <c r="L674" s="34"/>
      <c r="N674" s="34"/>
      <c r="O674" s="35"/>
      <c r="P674" s="35"/>
      <c r="Q674" s="35"/>
      <c r="R674" s="35"/>
      <c r="S674" s="74"/>
      <c r="AJ674" s="34"/>
      <c r="AK674" s="34"/>
      <c r="AL674" s="34"/>
      <c r="AM674" s="34"/>
      <c r="AN674" s="34"/>
      <c r="AQ674" s="67"/>
      <c r="AR674" s="67"/>
      <c r="AS674" s="67"/>
      <c r="AT674" s="67"/>
      <c r="AU674" s="67"/>
      <c r="AW674" s="68"/>
      <c r="AX674" s="68"/>
      <c r="AY674" s="68"/>
      <c r="AZ674" s="68"/>
      <c r="BA674" s="68"/>
      <c r="BB674" s="68"/>
    </row>
    <row r="675" spans="1:54" ht="13.5" thickBot="1">
      <c r="A675" s="103">
        <v>39652</v>
      </c>
      <c r="B675" s="104">
        <v>4.8530001640319824</v>
      </c>
      <c r="C675" s="105">
        <v>1282.18994140625</v>
      </c>
      <c r="D675" s="104">
        <v>1.9981000423431396</v>
      </c>
      <c r="E675">
        <v>107.87486199698661</v>
      </c>
      <c r="F675">
        <v>926.948486328125</v>
      </c>
      <c r="H675" s="34"/>
      <c r="I675" s="34"/>
      <c r="J675" s="34"/>
      <c r="K675" s="34"/>
      <c r="L675" s="34"/>
      <c r="N675" s="34"/>
      <c r="O675" s="35"/>
      <c r="P675" s="35"/>
      <c r="Q675" s="35"/>
      <c r="R675" s="35"/>
      <c r="S675" s="74"/>
      <c r="AJ675" s="34"/>
      <c r="AK675" s="34"/>
      <c r="AL675" s="34"/>
      <c r="AM675" s="34"/>
      <c r="AN675" s="34"/>
      <c r="AQ675" s="67"/>
      <c r="AR675" s="67"/>
      <c r="AS675" s="67"/>
      <c r="AT675" s="67"/>
      <c r="AU675" s="67"/>
      <c r="AW675" s="68"/>
      <c r="AX675" s="68"/>
      <c r="AY675" s="68"/>
      <c r="AZ675" s="68"/>
      <c r="BA675" s="68"/>
      <c r="BB675" s="68"/>
    </row>
    <row r="676" spans="1:54" ht="13.5" thickBot="1">
      <c r="A676" s="103">
        <v>39653</v>
      </c>
      <c r="B676" s="104">
        <v>4.7034997940063477</v>
      </c>
      <c r="C676" s="105">
        <v>1252.5400390625</v>
      </c>
      <c r="D676" s="104">
        <v>1.9840999841690063</v>
      </c>
      <c r="E676">
        <v>107.36526034686517</v>
      </c>
      <c r="F676">
        <v>923.997314453125</v>
      </c>
      <c r="H676" s="34"/>
      <c r="I676" s="34"/>
      <c r="J676" s="34"/>
      <c r="K676" s="34"/>
      <c r="L676" s="34"/>
      <c r="N676" s="34"/>
      <c r="O676" s="35"/>
      <c r="P676" s="35"/>
      <c r="Q676" s="35"/>
      <c r="R676" s="35"/>
      <c r="S676" s="74"/>
      <c r="AJ676" s="34"/>
      <c r="AK676" s="34"/>
      <c r="AL676" s="34"/>
      <c r="AM676" s="34"/>
      <c r="AN676" s="34"/>
      <c r="AQ676" s="67"/>
      <c r="AR676" s="67"/>
      <c r="AS676" s="67"/>
      <c r="AT676" s="67"/>
      <c r="AU676" s="67"/>
      <c r="AW676" s="68"/>
      <c r="AX676" s="68"/>
      <c r="AY676" s="68"/>
      <c r="AZ676" s="68"/>
      <c r="BA676" s="68"/>
      <c r="BB676" s="68"/>
    </row>
    <row r="677" spans="1:54" ht="13.5" thickBot="1">
      <c r="A677" s="103">
        <v>39654</v>
      </c>
      <c r="B677" s="104">
        <v>4.8020000457763672</v>
      </c>
      <c r="C677" s="105">
        <v>1257.760009765625</v>
      </c>
      <c r="D677" s="104">
        <v>1.9903000593185425</v>
      </c>
      <c r="E677">
        <v>107.89814658965402</v>
      </c>
      <c r="F677">
        <v>928.99676513671875</v>
      </c>
      <c r="H677" s="34"/>
      <c r="I677" s="34"/>
      <c r="J677" s="34"/>
      <c r="K677" s="34"/>
      <c r="L677" s="34"/>
      <c r="N677" s="34"/>
      <c r="O677" s="35"/>
      <c r="P677" s="35"/>
      <c r="Q677" s="35"/>
      <c r="R677" s="35"/>
      <c r="S677" s="74"/>
      <c r="AJ677" s="34"/>
      <c r="AK677" s="34"/>
      <c r="AL677" s="34"/>
      <c r="AM677" s="34"/>
      <c r="AN677" s="34"/>
      <c r="AQ677" s="67"/>
      <c r="AR677" s="67"/>
      <c r="AS677" s="67"/>
      <c r="AT677" s="67"/>
      <c r="AU677" s="67"/>
      <c r="AW677" s="68"/>
      <c r="AX677" s="68"/>
      <c r="AY677" s="68"/>
      <c r="AZ677" s="68"/>
      <c r="BA677" s="68"/>
      <c r="BB677" s="68"/>
    </row>
    <row r="678" spans="1:54" ht="13.5" thickBot="1">
      <c r="A678" s="103">
        <v>39657</v>
      </c>
      <c r="B678" s="104">
        <v>4.7195000648498535</v>
      </c>
      <c r="C678" s="105">
        <v>1234.3699951171875</v>
      </c>
      <c r="D678" s="104">
        <v>1.9951000213623047</v>
      </c>
      <c r="E678">
        <v>107.50376744127371</v>
      </c>
      <c r="F678">
        <v>930.04833984375</v>
      </c>
      <c r="H678" s="34"/>
      <c r="I678" s="34"/>
      <c r="J678" s="34"/>
      <c r="K678" s="34"/>
      <c r="L678" s="34"/>
      <c r="N678" s="34"/>
      <c r="O678" s="35"/>
      <c r="P678" s="35"/>
      <c r="Q678" s="35"/>
      <c r="R678" s="35"/>
      <c r="S678" s="74"/>
      <c r="AJ678" s="34"/>
      <c r="AK678" s="34"/>
      <c r="AL678" s="34"/>
      <c r="AM678" s="34"/>
      <c r="AN678" s="34"/>
      <c r="AQ678" s="67"/>
      <c r="AR678" s="67"/>
      <c r="AS678" s="67"/>
      <c r="AT678" s="67"/>
      <c r="AU678" s="67"/>
      <c r="AW678" s="68"/>
      <c r="AX678" s="68"/>
      <c r="AY678" s="68"/>
      <c r="AZ678" s="68"/>
      <c r="BA678" s="68"/>
      <c r="BB678" s="68"/>
    </row>
    <row r="679" spans="1:54" ht="13.5" thickBot="1">
      <c r="A679" s="103">
        <v>39658</v>
      </c>
      <c r="B679" s="104">
        <v>4.7414999008178711</v>
      </c>
      <c r="C679" s="105">
        <v>1263.199951171875</v>
      </c>
      <c r="D679" s="104">
        <v>1.9788999557495117</v>
      </c>
      <c r="E679">
        <v>108.09641780592852</v>
      </c>
      <c r="F679">
        <v>916.549072265625</v>
      </c>
      <c r="H679" s="34"/>
      <c r="I679" s="34"/>
      <c r="J679" s="34"/>
      <c r="K679" s="34"/>
      <c r="L679" s="34"/>
      <c r="N679" s="34"/>
      <c r="O679" s="35"/>
      <c r="P679" s="35"/>
      <c r="Q679" s="35"/>
      <c r="R679" s="35"/>
      <c r="S679" s="74"/>
      <c r="AJ679" s="34"/>
      <c r="AK679" s="34"/>
      <c r="AL679" s="34"/>
      <c r="AM679" s="34"/>
      <c r="AN679" s="34"/>
      <c r="AQ679" s="67"/>
      <c r="AR679" s="67"/>
      <c r="AS679" s="67"/>
      <c r="AT679" s="67"/>
      <c r="AU679" s="67"/>
      <c r="AW679" s="68"/>
      <c r="AX679" s="68"/>
      <c r="AY679" s="68"/>
      <c r="AZ679" s="68"/>
      <c r="BA679" s="68"/>
      <c r="BB679" s="68"/>
    </row>
    <row r="680" spans="1:54" ht="13.5" thickBot="1">
      <c r="A680" s="103">
        <v>39659</v>
      </c>
      <c r="B680" s="104">
        <v>4.7255001068115234</v>
      </c>
      <c r="C680" s="105">
        <v>1284.260009765625</v>
      </c>
      <c r="D680" s="104">
        <v>1.9811999797821045</v>
      </c>
      <c r="E680">
        <v>108.14317772246669</v>
      </c>
      <c r="F680">
        <v>906.54962158203125</v>
      </c>
      <c r="H680" s="34"/>
      <c r="I680" s="34"/>
      <c r="J680" s="34"/>
      <c r="K680" s="34"/>
      <c r="L680" s="34"/>
      <c r="N680" s="34"/>
      <c r="O680" s="35"/>
      <c r="P680" s="35"/>
      <c r="Q680" s="35"/>
      <c r="R680" s="35"/>
      <c r="S680" s="74"/>
      <c r="AJ680" s="34"/>
      <c r="AK680" s="34"/>
      <c r="AL680" s="34"/>
      <c r="AM680" s="34"/>
      <c r="AN680" s="34"/>
      <c r="AQ680" s="67"/>
      <c r="AR680" s="67"/>
      <c r="AS680" s="67"/>
      <c r="AT680" s="67"/>
      <c r="AU680" s="67"/>
      <c r="AW680" s="68"/>
      <c r="AX680" s="68"/>
      <c r="AY680" s="68"/>
      <c r="AZ680" s="68"/>
      <c r="BA680" s="68"/>
      <c r="BB680" s="68"/>
    </row>
    <row r="681" spans="1:54" ht="13.5" thickBot="1">
      <c r="A681" s="103">
        <v>39660</v>
      </c>
      <c r="B681" s="104">
        <v>4.682499885559082</v>
      </c>
      <c r="C681" s="105">
        <v>1267.3800048828125</v>
      </c>
      <c r="D681" s="104">
        <v>1.9829000234603882</v>
      </c>
      <c r="E681">
        <v>107.89814658965402</v>
      </c>
      <c r="F681">
        <v>913.8984375</v>
      </c>
      <c r="H681" s="34"/>
      <c r="I681" s="34"/>
      <c r="J681" s="34"/>
      <c r="K681" s="34"/>
      <c r="L681" s="34"/>
      <c r="N681" s="34"/>
      <c r="O681" s="35"/>
      <c r="P681" s="35"/>
      <c r="Q681" s="35"/>
      <c r="R681" s="35"/>
      <c r="S681" s="74"/>
      <c r="AJ681" s="34"/>
      <c r="AK681" s="34"/>
      <c r="AL681" s="34"/>
      <c r="AM681" s="34"/>
      <c r="AN681" s="34"/>
      <c r="AQ681" s="67"/>
      <c r="AR681" s="67"/>
      <c r="AS681" s="67"/>
      <c r="AT681" s="67"/>
      <c r="AU681" s="67"/>
      <c r="AW681" s="68"/>
      <c r="AX681" s="68"/>
      <c r="AY681" s="68"/>
      <c r="AZ681" s="68"/>
      <c r="BA681" s="68"/>
      <c r="BB681" s="68"/>
    </row>
    <row r="682" spans="1:54" ht="13.5" thickBot="1">
      <c r="A682" s="103">
        <v>39661</v>
      </c>
      <c r="B682" s="104">
        <v>4.6725001335144043</v>
      </c>
      <c r="C682" s="105">
        <v>1260.31005859375</v>
      </c>
      <c r="D682" s="104">
        <v>1.9735000133514404</v>
      </c>
      <c r="E682">
        <v>107.67740196393042</v>
      </c>
      <c r="F682">
        <v>911.69866943359375</v>
      </c>
      <c r="H682" s="34"/>
      <c r="I682" s="34"/>
      <c r="J682" s="34"/>
      <c r="K682" s="34"/>
      <c r="L682" s="34"/>
      <c r="N682" s="34"/>
      <c r="O682" s="35"/>
      <c r="P682" s="35"/>
      <c r="Q682" s="35"/>
      <c r="R682" s="35"/>
      <c r="S682" s="74"/>
      <c r="AJ682" s="34"/>
      <c r="AK682" s="34"/>
      <c r="AL682" s="34"/>
      <c r="AM682" s="34"/>
      <c r="AN682" s="34"/>
      <c r="AQ682" s="67"/>
      <c r="AR682" s="67"/>
      <c r="AS682" s="67"/>
      <c r="AT682" s="67"/>
      <c r="AU682" s="67"/>
      <c r="AW682" s="68"/>
      <c r="AX682" s="68"/>
      <c r="AY682" s="68"/>
      <c r="AZ682" s="68"/>
      <c r="BA682" s="68"/>
      <c r="BB682" s="68"/>
    </row>
    <row r="683" spans="1:54" ht="13.5" thickBot="1">
      <c r="A683" s="103">
        <v>39664</v>
      </c>
      <c r="B683" s="104">
        <v>4.7220001220703125</v>
      </c>
      <c r="C683" s="105">
        <v>1249.010009765625</v>
      </c>
      <c r="D683" s="104">
        <v>1.9632999897003174</v>
      </c>
      <c r="E683">
        <v>108.26026015126001</v>
      </c>
      <c r="F683">
        <v>898.35009765625</v>
      </c>
      <c r="H683" s="34"/>
      <c r="I683" s="34"/>
      <c r="J683" s="34"/>
      <c r="K683" s="34"/>
      <c r="L683" s="34"/>
      <c r="N683" s="34"/>
      <c r="O683" s="35"/>
      <c r="P683" s="35"/>
      <c r="Q683" s="35"/>
      <c r="R683" s="35"/>
      <c r="S683" s="74"/>
      <c r="AJ683" s="34"/>
      <c r="AK683" s="34"/>
      <c r="AL683" s="34"/>
      <c r="AM683" s="34"/>
      <c r="AN683" s="34"/>
      <c r="AQ683" s="67"/>
      <c r="AR683" s="67"/>
      <c r="AS683" s="67"/>
      <c r="AT683" s="67"/>
      <c r="AU683" s="67"/>
      <c r="AW683" s="68"/>
      <c r="AX683" s="68"/>
      <c r="AY683" s="68"/>
      <c r="AZ683" s="68"/>
      <c r="BA683" s="68"/>
      <c r="BB683" s="68"/>
    </row>
    <row r="684" spans="1:54" ht="13.5" thickBot="1">
      <c r="A684" s="103">
        <v>39665</v>
      </c>
      <c r="B684" s="104">
        <v>4.7379999160766602</v>
      </c>
      <c r="C684" s="105">
        <v>1284.8800048828125</v>
      </c>
      <c r="D684" s="104">
        <v>1.9558000564575195</v>
      </c>
      <c r="E684">
        <v>108.15487674682159</v>
      </c>
      <c r="F684">
        <v>878.05120849609375</v>
      </c>
      <c r="H684" s="34"/>
      <c r="I684" s="34"/>
      <c r="J684" s="34"/>
      <c r="K684" s="34"/>
      <c r="L684" s="34"/>
      <c r="N684" s="34"/>
      <c r="O684" s="35"/>
      <c r="P684" s="35"/>
      <c r="Q684" s="35"/>
      <c r="R684" s="35"/>
      <c r="S684" s="74"/>
      <c r="AJ684" s="34"/>
      <c r="AK684" s="34"/>
      <c r="AL684" s="34"/>
      <c r="AM684" s="34"/>
      <c r="AN684" s="34"/>
      <c r="AQ684" s="67"/>
      <c r="AR684" s="67"/>
      <c r="AS684" s="67"/>
      <c r="AT684" s="67"/>
      <c r="AU684" s="67"/>
      <c r="AW684" s="68"/>
      <c r="AX684" s="68"/>
      <c r="AY684" s="68"/>
      <c r="AZ684" s="68"/>
      <c r="BA684" s="68"/>
      <c r="BB684" s="68"/>
    </row>
    <row r="685" spans="1:54" ht="13.5" thickBot="1">
      <c r="A685" s="103">
        <v>39666</v>
      </c>
      <c r="B685" s="104">
        <v>4.7859997749328613</v>
      </c>
      <c r="C685" s="105">
        <v>1289.18994140625</v>
      </c>
      <c r="D685" s="104">
        <v>1.9472999572753906</v>
      </c>
      <c r="E685">
        <v>109.56502268051504</v>
      </c>
      <c r="F685">
        <v>876.351318359375</v>
      </c>
      <c r="H685" s="34"/>
      <c r="I685" s="34"/>
      <c r="J685" s="34"/>
      <c r="K685" s="34"/>
      <c r="L685" s="34"/>
      <c r="N685" s="34"/>
      <c r="O685" s="35"/>
      <c r="P685" s="35"/>
      <c r="Q685" s="35"/>
      <c r="R685" s="35"/>
      <c r="S685" s="74"/>
      <c r="AJ685" s="34"/>
      <c r="AK685" s="34"/>
      <c r="AL685" s="34"/>
      <c r="AM685" s="34"/>
      <c r="AN685" s="34"/>
      <c r="AQ685" s="67"/>
      <c r="AR685" s="67"/>
      <c r="AS685" s="67"/>
      <c r="AT685" s="67"/>
      <c r="AU685" s="67"/>
      <c r="AW685" s="68"/>
      <c r="AX685" s="68"/>
      <c r="AY685" s="68"/>
      <c r="AZ685" s="68"/>
      <c r="BA685" s="68"/>
      <c r="BB685" s="68"/>
    </row>
    <row r="686" spans="1:54" ht="13.5" thickBot="1">
      <c r="A686" s="103">
        <v>39667</v>
      </c>
      <c r="B686" s="104">
        <v>4.6855001449584961</v>
      </c>
      <c r="C686" s="105">
        <v>1266.0699462890625</v>
      </c>
      <c r="D686" s="104">
        <v>1.943600058555603</v>
      </c>
      <c r="E686">
        <v>109.44511378760035</v>
      </c>
      <c r="F686">
        <v>872.5030517578125</v>
      </c>
      <c r="H686" s="34"/>
      <c r="I686" s="34"/>
      <c r="J686" s="34"/>
      <c r="K686" s="34"/>
      <c r="L686" s="34"/>
      <c r="N686" s="34"/>
      <c r="O686" s="35"/>
      <c r="P686" s="35"/>
      <c r="Q686" s="35"/>
      <c r="R686" s="35"/>
      <c r="S686" s="74"/>
      <c r="AJ686" s="34"/>
      <c r="AK686" s="34"/>
      <c r="AL686" s="34"/>
      <c r="AM686" s="34"/>
      <c r="AN686" s="34"/>
      <c r="AQ686" s="67"/>
      <c r="AR686" s="67"/>
      <c r="AS686" s="67"/>
      <c r="AT686" s="67"/>
      <c r="AU686" s="67"/>
      <c r="AW686" s="68"/>
      <c r="AX686" s="68"/>
      <c r="AY686" s="68"/>
      <c r="AZ686" s="68"/>
      <c r="BA686" s="68"/>
      <c r="BB686" s="68"/>
    </row>
    <row r="687" spans="1:54" ht="13.5" thickBot="1">
      <c r="A687" s="103">
        <v>39668</v>
      </c>
      <c r="B687" s="104">
        <v>4.689000129699707</v>
      </c>
      <c r="C687" s="105">
        <v>1296.3199462890625</v>
      </c>
      <c r="D687" s="104">
        <v>1.9194999933242798</v>
      </c>
      <c r="E687">
        <v>110.21712286723752</v>
      </c>
      <c r="F687">
        <v>855.95489501953125</v>
      </c>
      <c r="H687" s="34"/>
      <c r="I687" s="34"/>
      <c r="J687" s="34"/>
      <c r="K687" s="34"/>
      <c r="L687" s="34"/>
      <c r="N687" s="34"/>
      <c r="O687" s="35"/>
      <c r="P687" s="35"/>
      <c r="Q687" s="35"/>
      <c r="R687" s="35"/>
      <c r="S687" s="74"/>
      <c r="AJ687" s="34"/>
      <c r="AK687" s="34"/>
      <c r="AL687" s="34"/>
      <c r="AM687" s="34"/>
      <c r="AN687" s="34"/>
      <c r="AQ687" s="67"/>
      <c r="AR687" s="67"/>
      <c r="AS687" s="67"/>
      <c r="AT687" s="67"/>
      <c r="AU687" s="67"/>
      <c r="AW687" s="68"/>
      <c r="AX687" s="68"/>
      <c r="AY687" s="68"/>
      <c r="AZ687" s="68"/>
      <c r="BA687" s="68"/>
      <c r="BB687" s="68"/>
    </row>
    <row r="688" spans="1:54" ht="13.5" thickBot="1">
      <c r="A688" s="103">
        <v>39671</v>
      </c>
      <c r="B688" s="104">
        <v>4.7375001907348633</v>
      </c>
      <c r="C688" s="105">
        <v>1305.3199462890625</v>
      </c>
      <c r="D688" s="104">
        <v>1.9118000268936157</v>
      </c>
      <c r="E688">
        <v>109.99889913185493</v>
      </c>
      <c r="F688">
        <v>825.254150390625</v>
      </c>
      <c r="H688" s="34"/>
      <c r="I688" s="34"/>
      <c r="J688" s="34"/>
      <c r="K688" s="34"/>
      <c r="L688" s="34"/>
      <c r="N688" s="34"/>
      <c r="O688" s="35"/>
      <c r="P688" s="35"/>
      <c r="Q688" s="35"/>
      <c r="R688" s="35"/>
      <c r="S688" s="74"/>
      <c r="AJ688" s="34"/>
      <c r="AK688" s="34"/>
      <c r="AL688" s="34"/>
      <c r="AM688" s="34"/>
      <c r="AN688" s="34"/>
      <c r="AQ688" s="67"/>
      <c r="AR688" s="67"/>
      <c r="AS688" s="67"/>
      <c r="AT688" s="67"/>
      <c r="AU688" s="67"/>
      <c r="AW688" s="68"/>
      <c r="AX688" s="68"/>
      <c r="AY688" s="68"/>
      <c r="AZ688" s="68"/>
      <c r="BA688" s="68"/>
      <c r="BB688" s="68"/>
    </row>
    <row r="689" spans="1:54" ht="13.5" thickBot="1">
      <c r="A689" s="103">
        <v>39672</v>
      </c>
      <c r="B689" s="104">
        <v>4.6459999084472656</v>
      </c>
      <c r="C689" s="105">
        <v>1289.5899658203125</v>
      </c>
      <c r="D689" s="104">
        <v>1.8995000123977661</v>
      </c>
      <c r="E689">
        <v>109.48105777197544</v>
      </c>
      <c r="F689">
        <v>816.70458984375</v>
      </c>
      <c r="H689" s="34"/>
      <c r="I689" s="34"/>
      <c r="J689" s="34"/>
      <c r="K689" s="34"/>
      <c r="L689" s="34"/>
      <c r="N689" s="34"/>
      <c r="O689" s="35"/>
      <c r="P689" s="35"/>
      <c r="Q689" s="35"/>
      <c r="R689" s="35"/>
      <c r="S689" s="74"/>
      <c r="AJ689" s="34"/>
      <c r="AK689" s="34"/>
      <c r="AL689" s="34"/>
      <c r="AM689" s="34"/>
      <c r="AN689" s="34"/>
      <c r="AQ689" s="67"/>
      <c r="AR689" s="67"/>
      <c r="AS689" s="67"/>
      <c r="AT689" s="67"/>
      <c r="AU689" s="67"/>
      <c r="AW689" s="68"/>
      <c r="AX689" s="68"/>
      <c r="AY689" s="68"/>
      <c r="AZ689" s="68"/>
      <c r="BA689" s="68"/>
      <c r="BB689" s="68"/>
    </row>
    <row r="690" spans="1:54" ht="13.5" thickBot="1">
      <c r="A690" s="103">
        <v>39673</v>
      </c>
      <c r="B690" s="104">
        <v>4.6624999046325684</v>
      </c>
      <c r="C690" s="105">
        <v>1285.8299560546875</v>
      </c>
      <c r="D690" s="104">
        <v>1.8726999759674072</v>
      </c>
      <c r="E690">
        <v>109.51702537356682</v>
      </c>
      <c r="F690">
        <v>825.754150390625</v>
      </c>
      <c r="H690" s="34"/>
      <c r="I690" s="34"/>
      <c r="J690" s="34"/>
      <c r="K690" s="34"/>
      <c r="L690" s="34"/>
      <c r="N690" s="34"/>
      <c r="O690" s="35"/>
      <c r="P690" s="35"/>
      <c r="Q690" s="35"/>
      <c r="R690" s="35"/>
      <c r="S690" s="74"/>
      <c r="AJ690" s="34"/>
      <c r="AK690" s="34"/>
      <c r="AL690" s="34"/>
      <c r="AM690" s="34"/>
      <c r="AN690" s="34"/>
      <c r="AQ690" s="67"/>
      <c r="AR690" s="67"/>
      <c r="AS690" s="67"/>
      <c r="AT690" s="67"/>
      <c r="AU690" s="67"/>
      <c r="AW690" s="68"/>
      <c r="AX690" s="68"/>
      <c r="AY690" s="68"/>
      <c r="AZ690" s="68"/>
      <c r="BA690" s="68"/>
      <c r="BB690" s="68"/>
    </row>
    <row r="691" spans="1:54" ht="13.5" thickBot="1">
      <c r="A691" s="103">
        <v>39674</v>
      </c>
      <c r="B691" s="104">
        <v>4.6244997978210449</v>
      </c>
      <c r="C691" s="105">
        <v>1292.9300537109375</v>
      </c>
      <c r="D691" s="104">
        <v>1.8676999807357788</v>
      </c>
      <c r="E691">
        <v>109.75743335641451</v>
      </c>
      <c r="F691">
        <v>809.01007080078125</v>
      </c>
      <c r="H691" s="34"/>
      <c r="I691" s="34"/>
      <c r="J691" s="34"/>
      <c r="K691" s="34"/>
      <c r="L691" s="34"/>
      <c r="N691" s="34"/>
      <c r="O691" s="35"/>
      <c r="P691" s="35"/>
      <c r="Q691" s="35"/>
      <c r="R691" s="35"/>
      <c r="S691" s="74"/>
      <c r="AJ691" s="34"/>
      <c r="AK691" s="34"/>
      <c r="AL691" s="34"/>
      <c r="AM691" s="34"/>
      <c r="AN691" s="34"/>
      <c r="AQ691" s="67"/>
      <c r="AR691" s="67"/>
      <c r="AS691" s="67"/>
      <c r="AT691" s="67"/>
      <c r="AU691" s="67"/>
      <c r="AW691" s="68"/>
      <c r="AX691" s="68"/>
      <c r="AY691" s="68"/>
      <c r="AZ691" s="68"/>
      <c r="BA691" s="68"/>
      <c r="BB691" s="68"/>
    </row>
    <row r="692" spans="1:54" ht="13.5" thickBot="1">
      <c r="A692" s="103">
        <v>39675</v>
      </c>
      <c r="B692" s="104">
        <v>4.5945000648498535</v>
      </c>
      <c r="C692" s="105">
        <v>1298.199951171875</v>
      </c>
      <c r="D692" s="104">
        <v>1.8625999689102173</v>
      </c>
      <c r="E692">
        <v>110.52166251373104</v>
      </c>
      <c r="F692">
        <v>785.312744140625</v>
      </c>
      <c r="H692" s="34"/>
      <c r="I692" s="34"/>
      <c r="J692" s="34"/>
      <c r="K692" s="34"/>
      <c r="L692" s="34"/>
      <c r="N692" s="34"/>
      <c r="O692" s="35"/>
      <c r="P692" s="35"/>
      <c r="Q692" s="35"/>
      <c r="R692" s="35"/>
      <c r="S692" s="74"/>
      <c r="AJ692" s="34"/>
      <c r="AK692" s="34"/>
      <c r="AL692" s="34"/>
      <c r="AM692" s="34"/>
      <c r="AN692" s="34"/>
      <c r="AQ692" s="67"/>
      <c r="AR692" s="67"/>
      <c r="AS692" s="67"/>
      <c r="AT692" s="67"/>
      <c r="AU692" s="67"/>
      <c r="AW692" s="68"/>
      <c r="AX692" s="68"/>
      <c r="AY692" s="68"/>
      <c r="AZ692" s="68"/>
      <c r="BA692" s="68"/>
      <c r="BB692" s="68"/>
    </row>
    <row r="693" spans="1:54" ht="13.5" thickBot="1">
      <c r="A693" s="103">
        <v>39678</v>
      </c>
      <c r="B693" s="104">
        <v>4.5815000534057617</v>
      </c>
      <c r="C693" s="105">
        <v>1278.5999755859375</v>
      </c>
      <c r="D693" s="104">
        <v>1.8646999597549438</v>
      </c>
      <c r="E693">
        <v>110.15642526418252</v>
      </c>
      <c r="F693">
        <v>799.55560302734375</v>
      </c>
      <c r="H693" s="34"/>
      <c r="I693" s="34"/>
      <c r="J693" s="34"/>
      <c r="K693" s="34"/>
      <c r="L693" s="34"/>
      <c r="N693" s="34"/>
      <c r="O693" s="35"/>
      <c r="P693" s="35"/>
      <c r="Q693" s="35"/>
      <c r="R693" s="35"/>
      <c r="S693" s="74"/>
      <c r="AJ693" s="34"/>
      <c r="AK693" s="34"/>
      <c r="AL693" s="34"/>
      <c r="AM693" s="34"/>
      <c r="AN693" s="34"/>
      <c r="AQ693" s="67"/>
      <c r="AR693" s="67"/>
      <c r="AS693" s="67"/>
      <c r="AT693" s="67"/>
      <c r="AU693" s="67"/>
      <c r="AW693" s="68"/>
      <c r="AX693" s="68"/>
      <c r="AY693" s="68"/>
      <c r="AZ693" s="68"/>
      <c r="BA693" s="68"/>
      <c r="BB693" s="68"/>
    </row>
    <row r="694" spans="1:54" ht="13.5" thickBot="1">
      <c r="A694" s="103">
        <v>39679</v>
      </c>
      <c r="B694" s="104">
        <v>4.5894999504089355</v>
      </c>
      <c r="C694" s="105">
        <v>1266.68994140625</v>
      </c>
      <c r="D694" s="104">
        <v>1.8658000230789185</v>
      </c>
      <c r="E694">
        <v>109.80564166508242</v>
      </c>
      <c r="F694">
        <v>812.55487060546875</v>
      </c>
      <c r="H694" s="34"/>
      <c r="I694" s="34"/>
      <c r="J694" s="34"/>
      <c r="K694" s="34"/>
      <c r="L694" s="34"/>
      <c r="N694" s="34"/>
      <c r="O694" s="35"/>
      <c r="P694" s="35"/>
      <c r="Q694" s="35"/>
      <c r="R694" s="35"/>
      <c r="S694" s="74"/>
      <c r="AJ694" s="34"/>
      <c r="AK694" s="34"/>
      <c r="AL694" s="34"/>
      <c r="AM694" s="34"/>
      <c r="AN694" s="34"/>
      <c r="AQ694" s="67"/>
      <c r="AR694" s="67"/>
      <c r="AS694" s="67"/>
      <c r="AT694" s="67"/>
      <c r="AU694" s="67"/>
      <c r="AW694" s="68"/>
      <c r="AX694" s="68"/>
      <c r="AY694" s="68"/>
      <c r="AZ694" s="68"/>
      <c r="BA694" s="68"/>
      <c r="BB694" s="68"/>
    </row>
    <row r="695" spans="1:54" ht="13.5" thickBot="1">
      <c r="A695" s="103">
        <v>39680</v>
      </c>
      <c r="B695" s="104">
        <v>4.5100002288818359</v>
      </c>
      <c r="C695" s="105">
        <v>1274.5400390625</v>
      </c>
      <c r="D695" s="104">
        <v>1.8610999584197998</v>
      </c>
      <c r="E695">
        <v>109.84182288790596</v>
      </c>
      <c r="F695">
        <v>806.55517578125</v>
      </c>
      <c r="H695" s="34"/>
      <c r="I695" s="34"/>
      <c r="J695" s="34"/>
      <c r="K695" s="34"/>
      <c r="L695" s="34"/>
      <c r="N695" s="34"/>
      <c r="O695" s="35"/>
      <c r="P695" s="35"/>
      <c r="Q695" s="35"/>
      <c r="R695" s="35"/>
      <c r="S695" s="74"/>
      <c r="AJ695" s="34"/>
      <c r="AK695" s="34"/>
      <c r="AL695" s="34"/>
      <c r="AM695" s="34"/>
      <c r="AN695" s="34"/>
      <c r="AQ695" s="67"/>
      <c r="AR695" s="67"/>
      <c r="AS695" s="67"/>
      <c r="AT695" s="67"/>
      <c r="AU695" s="67"/>
      <c r="AW695" s="68"/>
      <c r="AX695" s="68"/>
      <c r="AY695" s="68"/>
      <c r="AZ695" s="68"/>
      <c r="BA695" s="68"/>
      <c r="BB695" s="68"/>
    </row>
    <row r="696" spans="1:54" ht="13.5" thickBot="1">
      <c r="A696" s="103">
        <v>39681</v>
      </c>
      <c r="B696" s="104">
        <v>4.5384998321533203</v>
      </c>
      <c r="C696" s="105">
        <v>1277.719970703125</v>
      </c>
      <c r="D696" s="104">
        <v>1.8751000165939331</v>
      </c>
      <c r="E696">
        <v>108.63661592265237</v>
      </c>
      <c r="F696">
        <v>834.60723876953125</v>
      </c>
      <c r="H696" s="34"/>
      <c r="I696" s="34"/>
      <c r="J696" s="34"/>
      <c r="K696" s="34"/>
      <c r="L696" s="34"/>
      <c r="N696" s="34"/>
      <c r="O696" s="35"/>
      <c r="P696" s="35"/>
      <c r="Q696" s="35"/>
      <c r="R696" s="35"/>
      <c r="S696" s="74"/>
      <c r="AJ696" s="34"/>
      <c r="AK696" s="34"/>
      <c r="AL696" s="34"/>
      <c r="AM696" s="34"/>
      <c r="AN696" s="34"/>
      <c r="AQ696" s="67"/>
      <c r="AR696" s="67"/>
      <c r="AS696" s="67"/>
      <c r="AT696" s="67"/>
      <c r="AU696" s="67"/>
      <c r="AW696" s="68"/>
      <c r="AX696" s="68"/>
      <c r="AY696" s="68"/>
      <c r="AZ696" s="68"/>
      <c r="BA696" s="68"/>
      <c r="BB696" s="68"/>
    </row>
    <row r="697" spans="1:54" ht="13.5" thickBot="1">
      <c r="A697" s="103">
        <v>39682</v>
      </c>
      <c r="B697" s="104">
        <v>4.5824999809265137</v>
      </c>
      <c r="C697" s="105">
        <v>1292.199951171875</v>
      </c>
      <c r="D697" s="104">
        <v>1.8509500026702881</v>
      </c>
      <c r="E697">
        <v>109.99889913185493</v>
      </c>
      <c r="F697">
        <v>827.6080322265625</v>
      </c>
      <c r="H697" s="34"/>
      <c r="I697" s="34"/>
      <c r="J697" s="34"/>
      <c r="K697" s="34"/>
      <c r="L697" s="34"/>
      <c r="N697" s="34"/>
      <c r="O697" s="35"/>
      <c r="P697" s="35"/>
      <c r="Q697" s="35"/>
      <c r="R697" s="35"/>
      <c r="S697" s="74"/>
      <c r="AJ697" s="34"/>
      <c r="AK697" s="34"/>
      <c r="AL697" s="34"/>
      <c r="AM697" s="34"/>
      <c r="AN697" s="34"/>
      <c r="AQ697" s="67"/>
      <c r="AR697" s="67"/>
      <c r="AS697" s="67"/>
      <c r="AT697" s="67"/>
      <c r="AU697" s="67"/>
      <c r="AW697" s="68"/>
      <c r="AX697" s="68"/>
      <c r="AY697" s="68"/>
      <c r="AZ697" s="68"/>
      <c r="BA697" s="68"/>
      <c r="BB697" s="68"/>
    </row>
    <row r="698" spans="1:54" ht="13.5" thickBot="1">
      <c r="A698" s="103">
        <v>39685</v>
      </c>
      <c r="B698" s="104">
        <v>4.5254430770874023</v>
      </c>
      <c r="C698" s="105">
        <v>1266.8399658203125</v>
      </c>
      <c r="D698" s="104">
        <v>1.8521000146865845</v>
      </c>
      <c r="E698">
        <v>109.32546706638772</v>
      </c>
      <c r="F698">
        <v>821.65435791015625</v>
      </c>
      <c r="H698" s="34"/>
      <c r="I698" s="34"/>
      <c r="J698" s="34"/>
      <c r="K698" s="34"/>
      <c r="L698" s="34"/>
      <c r="N698" s="34"/>
      <c r="O698" s="35"/>
      <c r="P698" s="35"/>
      <c r="Q698" s="35"/>
      <c r="R698" s="35"/>
      <c r="S698" s="74"/>
      <c r="AJ698" s="34"/>
      <c r="AK698" s="34"/>
      <c r="AL698" s="34"/>
      <c r="AM698" s="34"/>
      <c r="AN698" s="34"/>
      <c r="AQ698" s="67"/>
      <c r="AR698" s="67"/>
      <c r="AS698" s="67"/>
      <c r="AT698" s="67"/>
      <c r="AU698" s="67"/>
      <c r="AW698" s="68"/>
      <c r="AX698" s="68"/>
      <c r="AY698" s="68"/>
      <c r="AZ698" s="68"/>
      <c r="BA698" s="68"/>
      <c r="BB698" s="68"/>
    </row>
    <row r="699" spans="1:54" ht="13.5" thickBot="1">
      <c r="A699" s="103">
        <v>39686</v>
      </c>
      <c r="B699" s="104">
        <v>4.4994997978210449</v>
      </c>
      <c r="C699" s="105">
        <v>1271.510009765625</v>
      </c>
      <c r="D699" s="104">
        <v>1.8386000394821167</v>
      </c>
      <c r="E699">
        <v>109.62508130695124</v>
      </c>
      <c r="F699">
        <v>824.85418701171875</v>
      </c>
      <c r="H699" s="34"/>
      <c r="I699" s="34"/>
      <c r="J699" s="34"/>
      <c r="K699" s="34"/>
      <c r="L699" s="34"/>
      <c r="N699" s="34"/>
      <c r="O699" s="35"/>
      <c r="P699" s="35"/>
      <c r="Q699" s="35"/>
      <c r="R699" s="35"/>
      <c r="S699" s="74"/>
      <c r="AJ699" s="34"/>
      <c r="AK699" s="34"/>
      <c r="AL699" s="34"/>
      <c r="AM699" s="34"/>
      <c r="AN699" s="34"/>
      <c r="AQ699" s="67"/>
      <c r="AR699" s="67"/>
      <c r="AS699" s="67"/>
      <c r="AT699" s="67"/>
      <c r="AU699" s="67"/>
      <c r="AW699" s="68"/>
      <c r="AX699" s="68"/>
      <c r="AY699" s="68"/>
      <c r="AZ699" s="68"/>
      <c r="BA699" s="68"/>
      <c r="BB699" s="68"/>
    </row>
    <row r="700" spans="1:54" ht="13.5" thickBot="1">
      <c r="A700" s="103">
        <v>39687</v>
      </c>
      <c r="B700" s="104">
        <v>4.4790000915527344</v>
      </c>
      <c r="C700" s="105">
        <v>1281.6600341796875</v>
      </c>
      <c r="D700" s="104">
        <v>1.832800030708313</v>
      </c>
      <c r="E700">
        <v>109.66114361792306</v>
      </c>
      <c r="F700">
        <v>824.85418701171875</v>
      </c>
      <c r="H700" s="34"/>
      <c r="I700" s="34"/>
      <c r="J700" s="34"/>
      <c r="K700" s="34"/>
      <c r="L700" s="34"/>
      <c r="N700" s="34"/>
      <c r="O700" s="35"/>
      <c r="P700" s="35"/>
      <c r="Q700" s="35"/>
      <c r="R700" s="35"/>
      <c r="S700" s="74"/>
      <c r="AJ700" s="34"/>
      <c r="AK700" s="34"/>
      <c r="AL700" s="34"/>
      <c r="AM700" s="34"/>
      <c r="AN700" s="34"/>
      <c r="AQ700" s="67"/>
      <c r="AR700" s="67"/>
      <c r="AS700" s="67"/>
      <c r="AT700" s="67"/>
      <c r="AU700" s="67"/>
      <c r="AW700" s="68"/>
      <c r="AX700" s="68"/>
      <c r="AY700" s="68"/>
      <c r="AZ700" s="68"/>
      <c r="BA700" s="68"/>
      <c r="BB700" s="68"/>
    </row>
    <row r="701" spans="1:54" ht="13.5" thickBot="1">
      <c r="A701" s="103">
        <v>39688</v>
      </c>
      <c r="B701" s="104">
        <v>4.4809999465942383</v>
      </c>
      <c r="C701" s="105">
        <v>1300.6800537109375</v>
      </c>
      <c r="D701" s="104">
        <v>1.830299973487854</v>
      </c>
      <c r="E701">
        <v>109.48105777197544</v>
      </c>
      <c r="F701">
        <v>829.9346923828125</v>
      </c>
      <c r="H701" s="34"/>
      <c r="I701" s="34"/>
      <c r="J701" s="34"/>
      <c r="K701" s="34"/>
      <c r="L701" s="34"/>
      <c r="N701" s="34"/>
      <c r="O701" s="35"/>
      <c r="P701" s="35"/>
      <c r="Q701" s="35"/>
      <c r="R701" s="35"/>
      <c r="S701" s="74"/>
      <c r="AJ701" s="34"/>
      <c r="AK701" s="34"/>
      <c r="AL701" s="34"/>
      <c r="AM701" s="34"/>
      <c r="AN701" s="34"/>
      <c r="AQ701" s="67"/>
      <c r="AR701" s="67"/>
      <c r="AS701" s="67"/>
      <c r="AT701" s="67"/>
      <c r="AU701" s="67"/>
      <c r="AW701" s="68"/>
      <c r="AX701" s="68"/>
      <c r="AY701" s="68"/>
      <c r="AZ701" s="68"/>
      <c r="BA701" s="68"/>
      <c r="BB701" s="68"/>
    </row>
    <row r="702" spans="1:54" ht="13.5" thickBot="1">
      <c r="A702" s="103">
        <v>39689</v>
      </c>
      <c r="B702" s="104">
        <v>4.4829530715942383</v>
      </c>
      <c r="C702" s="105">
        <v>1282.8299560546875</v>
      </c>
      <c r="D702" s="104">
        <v>1.8174500465393066</v>
      </c>
      <c r="E702">
        <v>108.7902506982133</v>
      </c>
      <c r="F702">
        <v>829.98468017578125</v>
      </c>
      <c r="H702" s="34"/>
      <c r="I702" s="34"/>
      <c r="J702" s="34"/>
      <c r="K702" s="34"/>
      <c r="L702" s="34"/>
      <c r="N702" s="34"/>
      <c r="O702" s="35"/>
      <c r="P702" s="35"/>
      <c r="Q702" s="35"/>
      <c r="R702" s="35"/>
      <c r="S702" s="74"/>
      <c r="AJ702" s="34"/>
      <c r="AK702" s="34"/>
      <c r="AL702" s="34"/>
      <c r="AM702" s="34"/>
      <c r="AN702" s="34"/>
      <c r="AQ702" s="67"/>
      <c r="AR702" s="67"/>
      <c r="AS702" s="67"/>
      <c r="AT702" s="67"/>
      <c r="AU702" s="67"/>
      <c r="AW702" s="68"/>
      <c r="AX702" s="68"/>
      <c r="AY702" s="68"/>
      <c r="AZ702" s="68"/>
      <c r="BA702" s="68"/>
      <c r="BB702" s="68"/>
    </row>
    <row r="703" spans="1:54" ht="13.5" thickBot="1">
      <c r="A703" s="103">
        <v>39692</v>
      </c>
      <c r="B703" s="104">
        <v>4.4829530715942383</v>
      </c>
      <c r="C703" s="105">
        <v>1282.8299560546875</v>
      </c>
      <c r="D703" s="104">
        <v>1.8020000457763672</v>
      </c>
      <c r="E703">
        <v>108.11979815201593</v>
      </c>
      <c r="F703">
        <v>817.85455322265625</v>
      </c>
      <c r="H703" s="34"/>
      <c r="I703" s="34"/>
      <c r="J703" s="34"/>
      <c r="K703" s="34"/>
      <c r="L703" s="34"/>
      <c r="N703" s="34"/>
      <c r="O703" s="35"/>
      <c r="P703" s="35"/>
      <c r="Q703" s="35"/>
      <c r="R703" s="35"/>
      <c r="S703" s="74"/>
      <c r="AJ703" s="34"/>
      <c r="AK703" s="34"/>
      <c r="AL703" s="34"/>
      <c r="AM703" s="34"/>
      <c r="AN703" s="34"/>
      <c r="AQ703" s="67"/>
      <c r="AR703" s="67"/>
      <c r="AS703" s="67"/>
      <c r="AT703" s="67"/>
      <c r="AU703" s="67"/>
      <c r="AW703" s="68"/>
      <c r="AX703" s="68"/>
      <c r="AY703" s="68"/>
      <c r="AZ703" s="68"/>
      <c r="BA703" s="68"/>
      <c r="BB703" s="68"/>
    </row>
    <row r="704" spans="1:54" ht="13.5" thickBot="1">
      <c r="A704" s="103">
        <v>39693</v>
      </c>
      <c r="B704" s="104">
        <v>4.4369997978210449</v>
      </c>
      <c r="C704" s="105">
        <v>1277.5799560546875</v>
      </c>
      <c r="D704" s="104">
        <v>1.7822999954223633</v>
      </c>
      <c r="E704">
        <v>108.66021956261133</v>
      </c>
      <c r="F704">
        <v>808.25506591796875</v>
      </c>
      <c r="H704" s="34"/>
      <c r="I704" s="34"/>
      <c r="J704" s="34"/>
      <c r="K704" s="34"/>
      <c r="L704" s="34"/>
      <c r="N704" s="34"/>
      <c r="O704" s="35"/>
      <c r="P704" s="35"/>
      <c r="Q704" s="35"/>
      <c r="R704" s="35"/>
      <c r="S704" s="74"/>
      <c r="AJ704" s="34"/>
      <c r="AK704" s="34"/>
      <c r="AL704" s="34"/>
      <c r="AM704" s="34"/>
      <c r="AN704" s="34"/>
      <c r="AQ704" s="67"/>
      <c r="AR704" s="67"/>
      <c r="AS704" s="67"/>
      <c r="AT704" s="67"/>
      <c r="AU704" s="67"/>
      <c r="AW704" s="68"/>
      <c r="AX704" s="68"/>
      <c r="AY704" s="68"/>
      <c r="AZ704" s="68"/>
      <c r="BA704" s="68"/>
      <c r="BB704" s="68"/>
    </row>
    <row r="705" spans="1:54" ht="13.5" thickBot="1">
      <c r="A705" s="103">
        <v>39694</v>
      </c>
      <c r="B705" s="104">
        <v>4.3905000686645508</v>
      </c>
      <c r="C705" s="105">
        <v>1274.97998046875</v>
      </c>
      <c r="D705" s="104">
        <v>1.7755999565124512</v>
      </c>
      <c r="E705">
        <v>108.20168726385653</v>
      </c>
      <c r="F705">
        <v>800.45550537109375</v>
      </c>
      <c r="H705" s="34"/>
      <c r="I705" s="34"/>
      <c r="J705" s="34"/>
      <c r="K705" s="34"/>
      <c r="L705" s="34"/>
      <c r="N705" s="34"/>
      <c r="O705" s="35"/>
      <c r="P705" s="35"/>
      <c r="Q705" s="35"/>
      <c r="R705" s="35"/>
      <c r="S705" s="74"/>
      <c r="AJ705" s="34"/>
      <c r="AK705" s="34"/>
      <c r="AL705" s="34"/>
      <c r="AM705" s="34"/>
      <c r="AN705" s="34"/>
      <c r="AQ705" s="67"/>
      <c r="AR705" s="67"/>
      <c r="AS705" s="67"/>
      <c r="AT705" s="67"/>
      <c r="AU705" s="67"/>
      <c r="AW705" s="68"/>
      <c r="AX705" s="68"/>
      <c r="AY705" s="68"/>
      <c r="AZ705" s="68"/>
      <c r="BA705" s="68"/>
      <c r="BB705" s="68"/>
    </row>
    <row r="706" spans="1:54" ht="13.5" thickBot="1">
      <c r="A706" s="103">
        <v>39695</v>
      </c>
      <c r="B706" s="104">
        <v>4.3235001564025879</v>
      </c>
      <c r="C706" s="105">
        <v>1236.8299560546875</v>
      </c>
      <c r="D706" s="104">
        <v>1.7689000368118286</v>
      </c>
      <c r="E706">
        <v>107.020543715347</v>
      </c>
      <c r="F706">
        <v>801.61090087890625</v>
      </c>
      <c r="H706" s="34"/>
      <c r="I706" s="34"/>
      <c r="J706" s="34"/>
      <c r="K706" s="34"/>
      <c r="L706" s="34"/>
      <c r="N706" s="34"/>
      <c r="O706" s="35"/>
      <c r="P706" s="35"/>
      <c r="Q706" s="35"/>
      <c r="R706" s="35"/>
      <c r="S706" s="74"/>
      <c r="AJ706" s="34"/>
      <c r="AK706" s="34"/>
      <c r="AL706" s="34"/>
      <c r="AM706" s="34"/>
      <c r="AN706" s="34"/>
      <c r="AQ706" s="67"/>
      <c r="AR706" s="67"/>
      <c r="AS706" s="67"/>
      <c r="AT706" s="67"/>
      <c r="AU706" s="67"/>
      <c r="AW706" s="68"/>
      <c r="AX706" s="68"/>
      <c r="AY706" s="68"/>
      <c r="AZ706" s="68"/>
      <c r="BA706" s="68"/>
      <c r="BB706" s="68"/>
    </row>
    <row r="707" spans="1:54" ht="13.5" thickBot="1">
      <c r="A707" s="103">
        <v>39696</v>
      </c>
      <c r="B707" s="104">
        <v>4.3404998779296875</v>
      </c>
      <c r="C707" s="105">
        <v>1242.31005859375</v>
      </c>
      <c r="D707" s="104">
        <v>1.7627999782562256</v>
      </c>
      <c r="E707">
        <v>107.13520660813988</v>
      </c>
      <c r="F707">
        <v>795.7615966796875</v>
      </c>
      <c r="H707" s="34"/>
      <c r="I707" s="34"/>
      <c r="J707" s="34"/>
      <c r="K707" s="34"/>
      <c r="L707" s="34"/>
      <c r="N707" s="34"/>
      <c r="O707" s="35"/>
      <c r="P707" s="35"/>
      <c r="Q707" s="35"/>
      <c r="R707" s="35"/>
      <c r="S707" s="74"/>
      <c r="AJ707" s="34"/>
      <c r="AK707" s="34"/>
      <c r="AL707" s="34"/>
      <c r="AM707" s="34"/>
      <c r="AN707" s="34"/>
      <c r="AQ707" s="67"/>
      <c r="AR707" s="67"/>
      <c r="AS707" s="67"/>
      <c r="AT707" s="67"/>
      <c r="AU707" s="67"/>
      <c r="AW707" s="68"/>
      <c r="AX707" s="68"/>
      <c r="AY707" s="68"/>
      <c r="AZ707" s="68"/>
      <c r="BA707" s="68"/>
      <c r="BB707" s="68"/>
    </row>
    <row r="708" spans="1:54" ht="13.5" thickBot="1">
      <c r="A708" s="103">
        <v>39699</v>
      </c>
      <c r="B708" s="104">
        <v>4.2705001831054687</v>
      </c>
      <c r="C708" s="105">
        <v>1267.7900390625</v>
      </c>
      <c r="D708" s="104">
        <v>1.7545000314712524</v>
      </c>
      <c r="E708">
        <v>108.00301917886704</v>
      </c>
      <c r="F708">
        <v>799.8055419921875</v>
      </c>
      <c r="H708" s="34"/>
      <c r="I708" s="34"/>
      <c r="J708" s="34"/>
      <c r="K708" s="34"/>
      <c r="L708" s="34"/>
      <c r="N708" s="34"/>
      <c r="O708" s="35"/>
      <c r="P708" s="35"/>
      <c r="Q708" s="35"/>
      <c r="R708" s="35"/>
      <c r="S708" s="74"/>
      <c r="AJ708" s="34"/>
      <c r="AK708" s="34"/>
      <c r="AL708" s="34"/>
      <c r="AM708" s="34"/>
      <c r="AN708" s="34"/>
      <c r="AQ708" s="67"/>
      <c r="AR708" s="67"/>
      <c r="AS708" s="67"/>
      <c r="AT708" s="67"/>
      <c r="AU708" s="67"/>
      <c r="AW708" s="68"/>
      <c r="AX708" s="68"/>
      <c r="AY708" s="68"/>
      <c r="AZ708" s="68"/>
      <c r="BA708" s="68"/>
      <c r="BB708" s="68"/>
    </row>
    <row r="709" spans="1:54" ht="13.5" thickBot="1">
      <c r="A709" s="103">
        <v>39700</v>
      </c>
      <c r="B709" s="104">
        <v>4.2179999351501465</v>
      </c>
      <c r="C709" s="105">
        <v>1224.510009765625</v>
      </c>
      <c r="D709" s="104">
        <v>1.7633999586105347</v>
      </c>
      <c r="E709">
        <v>107.05492320800907</v>
      </c>
      <c r="F709">
        <v>784.95635986328125</v>
      </c>
      <c r="H709" s="34"/>
      <c r="I709" s="34"/>
      <c r="J709" s="34"/>
      <c r="K709" s="34"/>
      <c r="L709" s="34"/>
      <c r="N709" s="34"/>
      <c r="O709" s="35"/>
      <c r="P709" s="35"/>
      <c r="Q709" s="35"/>
      <c r="R709" s="35"/>
      <c r="S709" s="74"/>
      <c r="AJ709" s="34"/>
      <c r="AK709" s="34"/>
      <c r="AL709" s="34"/>
      <c r="AM709" s="34"/>
      <c r="AN709" s="34"/>
      <c r="AQ709" s="67"/>
      <c r="AR709" s="67"/>
      <c r="AS709" s="67"/>
      <c r="AT709" s="67"/>
      <c r="AU709" s="67"/>
      <c r="AW709" s="68"/>
      <c r="AX709" s="68"/>
      <c r="AY709" s="68"/>
      <c r="AZ709" s="68"/>
      <c r="BA709" s="68"/>
      <c r="BB709" s="68"/>
    </row>
    <row r="710" spans="1:54" ht="13.5" thickBot="1">
      <c r="A710" s="103">
        <v>39701</v>
      </c>
      <c r="B710" s="104">
        <v>4.245999813079834</v>
      </c>
      <c r="C710" s="105">
        <v>1232.0400390625</v>
      </c>
      <c r="D710" s="104">
        <v>1.756100058555603</v>
      </c>
      <c r="E710">
        <v>107.72379999287688</v>
      </c>
      <c r="F710">
        <v>764.257568359375</v>
      </c>
      <c r="H710" s="34"/>
      <c r="I710" s="34"/>
      <c r="J710" s="34"/>
      <c r="K710" s="34"/>
      <c r="L710" s="34"/>
      <c r="N710" s="34"/>
      <c r="O710" s="35"/>
      <c r="P710" s="35"/>
      <c r="Q710" s="35"/>
      <c r="R710" s="35"/>
      <c r="S710" s="74"/>
      <c r="AJ710" s="34"/>
      <c r="AK710" s="34"/>
      <c r="AL710" s="34"/>
      <c r="AM710" s="34"/>
      <c r="AN710" s="34"/>
      <c r="AQ710" s="67"/>
      <c r="AR710" s="67"/>
      <c r="AS710" s="67"/>
      <c r="AT710" s="67"/>
      <c r="AU710" s="67"/>
      <c r="AW710" s="68"/>
      <c r="AX710" s="68"/>
      <c r="AY710" s="68"/>
      <c r="AZ710" s="68"/>
      <c r="BA710" s="68"/>
      <c r="BB710" s="68"/>
    </row>
    <row r="711" spans="1:54" ht="13.5" thickBot="1">
      <c r="A711" s="103">
        <v>39702</v>
      </c>
      <c r="B711" s="104">
        <v>4.2195000648498535</v>
      </c>
      <c r="C711" s="105">
        <v>1249.050048828125</v>
      </c>
      <c r="D711" s="104">
        <v>1.7510000467300415</v>
      </c>
      <c r="E711">
        <v>106.70081489734584</v>
      </c>
      <c r="F711">
        <v>742.41748046875</v>
      </c>
      <c r="H711" s="34"/>
      <c r="I711" s="34"/>
      <c r="J711" s="34"/>
      <c r="K711" s="34"/>
      <c r="L711" s="34"/>
      <c r="N711" s="34"/>
      <c r="O711" s="35"/>
      <c r="P711" s="35"/>
      <c r="Q711" s="35"/>
      <c r="R711" s="35"/>
      <c r="S711" s="74"/>
      <c r="AJ711" s="34"/>
      <c r="AK711" s="34"/>
      <c r="AL711" s="34"/>
      <c r="AM711" s="34"/>
      <c r="AN711" s="34"/>
      <c r="AQ711" s="67"/>
      <c r="AR711" s="67"/>
      <c r="AS711" s="67"/>
      <c r="AT711" s="67"/>
      <c r="AU711" s="67"/>
      <c r="AW711" s="68"/>
      <c r="AX711" s="68"/>
      <c r="AY711" s="68"/>
      <c r="AZ711" s="68"/>
      <c r="BA711" s="68"/>
      <c r="BB711" s="68"/>
    </row>
    <row r="712" spans="1:54" ht="13.5" thickBot="1">
      <c r="A712" s="103">
        <v>39703</v>
      </c>
      <c r="B712" s="104">
        <v>4.3429999351501465</v>
      </c>
      <c r="C712" s="105">
        <v>1251.699951171875</v>
      </c>
      <c r="D712" s="104">
        <v>1.7936999797821045</v>
      </c>
      <c r="E712">
        <v>107.75862206006147</v>
      </c>
      <c r="F712">
        <v>754.41619873046875</v>
      </c>
      <c r="H712" s="34"/>
      <c r="I712" s="34"/>
      <c r="J712" s="34"/>
      <c r="K712" s="34"/>
      <c r="L712" s="34"/>
      <c r="N712" s="34"/>
      <c r="O712" s="35"/>
      <c r="P712" s="35"/>
      <c r="Q712" s="35"/>
      <c r="R712" s="35"/>
      <c r="S712" s="74"/>
      <c r="AJ712" s="34"/>
      <c r="AK712" s="34"/>
      <c r="AL712" s="34"/>
      <c r="AM712" s="34"/>
      <c r="AN712" s="34"/>
      <c r="AQ712" s="67"/>
      <c r="AR712" s="67"/>
      <c r="AS712" s="67"/>
      <c r="AT712" s="67"/>
      <c r="AU712" s="67"/>
      <c r="AW712" s="68"/>
      <c r="AX712" s="68"/>
      <c r="AY712" s="68"/>
      <c r="AZ712" s="68"/>
      <c r="BA712" s="68"/>
      <c r="BB712" s="68"/>
    </row>
    <row r="713" spans="1:54" ht="13.5" thickBot="1">
      <c r="A713" s="103">
        <v>39706</v>
      </c>
      <c r="B713" s="104">
        <v>4.1050000190734863</v>
      </c>
      <c r="C713" s="105">
        <v>1192.699951171875</v>
      </c>
      <c r="D713" s="104">
        <v>1.7898999452590942</v>
      </c>
      <c r="E713">
        <v>105.82010828965808</v>
      </c>
      <c r="F713">
        <v>782.45654296875</v>
      </c>
      <c r="H713" s="34"/>
      <c r="I713" s="34"/>
      <c r="J713" s="34"/>
      <c r="K713" s="34"/>
      <c r="L713" s="34"/>
      <c r="N713" s="34"/>
      <c r="O713" s="35"/>
      <c r="P713" s="35"/>
      <c r="Q713" s="35"/>
      <c r="R713" s="35"/>
      <c r="S713" s="74"/>
      <c r="AJ713" s="34"/>
      <c r="AK713" s="34"/>
      <c r="AL713" s="34"/>
      <c r="AM713" s="34"/>
      <c r="AN713" s="34"/>
      <c r="AQ713" s="67"/>
      <c r="AR713" s="67"/>
      <c r="AS713" s="67"/>
      <c r="AT713" s="67"/>
      <c r="AU713" s="67"/>
      <c r="AW713" s="68"/>
      <c r="AX713" s="68"/>
      <c r="AY713" s="68"/>
      <c r="AZ713" s="68"/>
      <c r="BA713" s="68"/>
      <c r="BB713" s="68"/>
    </row>
    <row r="714" spans="1:54" ht="13.5" thickBot="1">
      <c r="A714" s="103">
        <v>39707</v>
      </c>
      <c r="B714" s="104">
        <v>4.1104998588562012</v>
      </c>
      <c r="C714" s="105">
        <v>1213.5899658203125</v>
      </c>
      <c r="D714" s="104">
        <v>1.7865999937057495</v>
      </c>
      <c r="E714">
        <v>105.86491917971441</v>
      </c>
      <c r="F714">
        <v>779.4566650390625</v>
      </c>
      <c r="H714" s="34"/>
      <c r="I714" s="34"/>
      <c r="J714" s="34"/>
      <c r="K714" s="34"/>
      <c r="L714" s="34"/>
      <c r="N714" s="34"/>
      <c r="O714" s="35"/>
      <c r="P714" s="35"/>
      <c r="Q714" s="35"/>
      <c r="R714" s="35"/>
      <c r="S714" s="74"/>
      <c r="AJ714" s="34"/>
      <c r="AK714" s="34"/>
      <c r="AL714" s="34"/>
      <c r="AM714" s="34"/>
      <c r="AN714" s="34"/>
      <c r="AQ714" s="67"/>
      <c r="AR714" s="67"/>
      <c r="AS714" s="67"/>
      <c r="AT714" s="67"/>
      <c r="AU714" s="67"/>
      <c r="AW714" s="68"/>
      <c r="AX714" s="68"/>
      <c r="AY714" s="68"/>
      <c r="AZ714" s="68"/>
      <c r="BA714" s="68"/>
      <c r="BB714" s="68"/>
    </row>
    <row r="715" spans="1:54" ht="13.5" thickBot="1">
      <c r="A715" s="103">
        <v>39708</v>
      </c>
      <c r="B715" s="104">
        <v>4.0904998779296875</v>
      </c>
      <c r="C715" s="105">
        <v>1156.3900146484375</v>
      </c>
      <c r="D715" s="104">
        <v>1.8240000009536743</v>
      </c>
      <c r="E715">
        <v>105.21885826355764</v>
      </c>
      <c r="F715">
        <v>862.70208740234375</v>
      </c>
      <c r="H715" s="34"/>
      <c r="I715" s="34"/>
      <c r="J715" s="34"/>
      <c r="K715" s="34"/>
      <c r="L715" s="34"/>
      <c r="N715" s="34"/>
      <c r="O715" s="35"/>
      <c r="P715" s="35"/>
      <c r="Q715" s="35"/>
      <c r="R715" s="35"/>
      <c r="S715" s="74"/>
      <c r="AJ715" s="34"/>
      <c r="AK715" s="34"/>
      <c r="AL715" s="34"/>
      <c r="AM715" s="34"/>
      <c r="AN715" s="34"/>
      <c r="AQ715" s="67"/>
      <c r="AR715" s="67"/>
      <c r="AS715" s="67"/>
      <c r="AT715" s="67"/>
      <c r="AU715" s="67"/>
      <c r="AW715" s="68"/>
      <c r="AX715" s="68"/>
      <c r="AY715" s="68"/>
      <c r="AZ715" s="68"/>
      <c r="BA715" s="68"/>
      <c r="BB715" s="68"/>
    </row>
    <row r="716" spans="1:54" ht="13.5" thickBot="1">
      <c r="A716" s="103">
        <v>39709</v>
      </c>
      <c r="B716" s="104">
        <v>4.125999927520752</v>
      </c>
      <c r="C716" s="105">
        <v>1206.510009765625</v>
      </c>
      <c r="D716" s="104">
        <v>1.8178000450134277</v>
      </c>
      <c r="E716">
        <v>104.84377782225977</v>
      </c>
      <c r="F716">
        <v>885.90155029296875</v>
      </c>
      <c r="H716" s="34"/>
      <c r="I716" s="34"/>
      <c r="J716" s="34"/>
      <c r="K716" s="34"/>
      <c r="L716" s="34"/>
      <c r="N716" s="34"/>
      <c r="O716" s="35"/>
      <c r="P716" s="35"/>
      <c r="Q716" s="35"/>
      <c r="R716" s="35"/>
      <c r="S716" s="74"/>
      <c r="AJ716" s="34"/>
      <c r="AK716" s="34"/>
      <c r="AL716" s="34"/>
      <c r="AM716" s="34"/>
      <c r="AN716" s="34"/>
      <c r="AQ716" s="67"/>
      <c r="AR716" s="67"/>
      <c r="AS716" s="67"/>
      <c r="AT716" s="67"/>
      <c r="AU716" s="67"/>
      <c r="AW716" s="68"/>
      <c r="AX716" s="68"/>
      <c r="AY716" s="68"/>
      <c r="AZ716" s="68"/>
      <c r="BA716" s="68"/>
      <c r="BB716" s="68"/>
    </row>
    <row r="717" spans="1:54" ht="13.5" thickBot="1">
      <c r="A717" s="103">
        <v>39710</v>
      </c>
      <c r="B717" s="104">
        <v>4.433499813079834</v>
      </c>
      <c r="C717" s="105">
        <v>1255.0799560546875</v>
      </c>
      <c r="D717" s="104">
        <v>1.8358999490737915</v>
      </c>
      <c r="E717">
        <v>107.04346092313189</v>
      </c>
      <c r="F717">
        <v>859.10455322265625</v>
      </c>
      <c r="H717" s="34"/>
      <c r="I717" s="34"/>
      <c r="J717" s="34"/>
      <c r="K717" s="34"/>
      <c r="L717" s="34"/>
      <c r="N717" s="34"/>
      <c r="O717" s="35"/>
      <c r="P717" s="35"/>
      <c r="Q717" s="35"/>
      <c r="R717" s="35"/>
      <c r="S717" s="74"/>
      <c r="AJ717" s="34"/>
      <c r="AK717" s="34"/>
      <c r="AL717" s="34"/>
      <c r="AM717" s="34"/>
      <c r="AN717" s="34"/>
      <c r="AQ717" s="67"/>
      <c r="AR717" s="67"/>
      <c r="AS717" s="67"/>
      <c r="AT717" s="67"/>
      <c r="AU717" s="67"/>
      <c r="AW717" s="68"/>
      <c r="AX717" s="68"/>
      <c r="AY717" s="68"/>
      <c r="AZ717" s="68"/>
      <c r="BA717" s="68"/>
      <c r="BB717" s="68"/>
    </row>
    <row r="718" spans="1:54" ht="13.5" thickBot="1">
      <c r="A718" s="103">
        <v>39713</v>
      </c>
      <c r="B718" s="104">
        <v>4.501500129699707</v>
      </c>
      <c r="C718" s="105">
        <v>1207.0899658203125</v>
      </c>
      <c r="D718" s="104">
        <v>1.8587000370025635</v>
      </c>
      <c r="E718">
        <v>105.44074705350401</v>
      </c>
      <c r="F718">
        <v>895.1502685546875</v>
      </c>
      <c r="H718" s="34"/>
      <c r="I718" s="34"/>
      <c r="J718" s="34"/>
      <c r="K718" s="34"/>
      <c r="L718" s="34"/>
      <c r="N718" s="34"/>
      <c r="O718" s="35"/>
      <c r="P718" s="35"/>
      <c r="Q718" s="35"/>
      <c r="R718" s="35"/>
      <c r="S718" s="74"/>
      <c r="AJ718" s="34"/>
      <c r="AK718" s="34"/>
      <c r="AL718" s="34"/>
      <c r="AM718" s="34"/>
      <c r="AN718" s="34"/>
      <c r="AQ718" s="67"/>
      <c r="AR718" s="67"/>
      <c r="AS718" s="67"/>
      <c r="AT718" s="67"/>
      <c r="AU718" s="67"/>
      <c r="AW718" s="68"/>
      <c r="AX718" s="68"/>
      <c r="AY718" s="68"/>
      <c r="AZ718" s="68"/>
      <c r="BA718" s="68"/>
      <c r="BB718" s="68"/>
    </row>
    <row r="719" spans="1:54" ht="13.5" thickBot="1">
      <c r="A719" s="103">
        <v>39714</v>
      </c>
      <c r="B719" s="104">
        <v>4.5440001487731934</v>
      </c>
      <c r="C719" s="105">
        <v>1188.219970703125</v>
      </c>
      <c r="D719" s="104">
        <v>1.8600000143051147</v>
      </c>
      <c r="E719">
        <v>105.41851089512902</v>
      </c>
      <c r="F719">
        <v>887.05072021484375</v>
      </c>
      <c r="H719" s="34"/>
      <c r="I719" s="34"/>
      <c r="J719" s="34"/>
      <c r="K719" s="34"/>
      <c r="L719" s="34"/>
      <c r="N719" s="34"/>
      <c r="O719" s="35"/>
      <c r="P719" s="35"/>
      <c r="Q719" s="35"/>
      <c r="R719" s="35"/>
      <c r="S719" s="74"/>
      <c r="AJ719" s="34"/>
      <c r="AK719" s="34"/>
      <c r="AL719" s="34"/>
      <c r="AM719" s="34"/>
      <c r="AN719" s="34"/>
      <c r="AQ719" s="67"/>
      <c r="AR719" s="67"/>
      <c r="AS719" s="67"/>
      <c r="AT719" s="67"/>
      <c r="AU719" s="67"/>
      <c r="AW719" s="68"/>
      <c r="AX719" s="68"/>
      <c r="AY719" s="68"/>
      <c r="AZ719" s="68"/>
      <c r="BA719" s="68"/>
      <c r="BB719" s="68"/>
    </row>
    <row r="720" spans="1:54" ht="13.5" thickBot="1">
      <c r="A720" s="103">
        <v>39715</v>
      </c>
      <c r="B720" s="104">
        <v>4.5314998626708984</v>
      </c>
      <c r="C720" s="105">
        <v>1185.8699951171875</v>
      </c>
      <c r="D720" s="104">
        <v>1.8517999649047852</v>
      </c>
      <c r="E720">
        <v>105.92097835328642</v>
      </c>
      <c r="F720">
        <v>887.75067138671875</v>
      </c>
      <c r="H720" s="34"/>
      <c r="I720" s="34"/>
      <c r="J720" s="34"/>
      <c r="K720" s="34"/>
      <c r="L720" s="34"/>
      <c r="N720" s="34"/>
      <c r="O720" s="35"/>
      <c r="P720" s="35"/>
      <c r="Q720" s="35"/>
      <c r="R720" s="35"/>
      <c r="S720" s="74"/>
      <c r="AJ720" s="34"/>
      <c r="AK720" s="34"/>
      <c r="AL720" s="34"/>
      <c r="AM720" s="34"/>
      <c r="AN720" s="34"/>
      <c r="AQ720" s="67"/>
      <c r="AR720" s="67"/>
      <c r="AS720" s="67"/>
      <c r="AT720" s="67"/>
      <c r="AU720" s="67"/>
      <c r="AW720" s="68"/>
      <c r="AX720" s="68"/>
      <c r="AY720" s="68"/>
      <c r="AZ720" s="68"/>
      <c r="BA720" s="68"/>
      <c r="BB720" s="68"/>
    </row>
    <row r="721" spans="1:54" ht="13.5" thickBot="1">
      <c r="A721" s="103">
        <v>39716</v>
      </c>
      <c r="B721" s="104">
        <v>4.5749998092651367</v>
      </c>
      <c r="C721" s="105">
        <v>1209.1800537109375</v>
      </c>
      <c r="D721" s="104">
        <v>1.8381999731063843</v>
      </c>
      <c r="E721">
        <v>106.43960013497487</v>
      </c>
      <c r="F721">
        <v>872.90301513671875</v>
      </c>
      <c r="H721" s="34"/>
      <c r="I721" s="34"/>
      <c r="J721" s="34"/>
      <c r="K721" s="34"/>
      <c r="L721" s="34"/>
      <c r="N721" s="34"/>
      <c r="O721" s="35"/>
      <c r="P721" s="35"/>
      <c r="Q721" s="35"/>
      <c r="R721" s="35"/>
      <c r="S721" s="74"/>
      <c r="AJ721" s="34"/>
      <c r="AK721" s="34"/>
      <c r="AL721" s="34"/>
      <c r="AM721" s="34"/>
      <c r="AN721" s="34"/>
      <c r="AQ721" s="67"/>
      <c r="AR721" s="67"/>
      <c r="AS721" s="67"/>
      <c r="AT721" s="67"/>
      <c r="AU721" s="67"/>
      <c r="AW721" s="68"/>
      <c r="AX721" s="68"/>
      <c r="AY721" s="68"/>
      <c r="AZ721" s="68"/>
      <c r="BA721" s="68"/>
      <c r="BB721" s="68"/>
    </row>
    <row r="722" spans="1:54" ht="13.5" thickBot="1">
      <c r="A722" s="103">
        <v>39717</v>
      </c>
      <c r="B722" s="104">
        <v>4.5</v>
      </c>
      <c r="C722" s="105">
        <v>1213.010009765625</v>
      </c>
      <c r="D722" s="104">
        <v>1.8422000408172607</v>
      </c>
      <c r="E722">
        <v>106.05578176571406</v>
      </c>
      <c r="F722">
        <v>888.15130615234375</v>
      </c>
      <c r="H722" s="34"/>
      <c r="I722" s="34"/>
      <c r="J722" s="34"/>
      <c r="K722" s="34"/>
      <c r="L722" s="34"/>
      <c r="N722" s="34"/>
      <c r="O722" s="35"/>
      <c r="P722" s="35"/>
      <c r="Q722" s="35"/>
      <c r="R722" s="35"/>
      <c r="S722" s="74"/>
      <c r="AJ722" s="34"/>
      <c r="AK722" s="34"/>
      <c r="AL722" s="34"/>
      <c r="AM722" s="34"/>
      <c r="AN722" s="34"/>
      <c r="AQ722" s="67"/>
      <c r="AR722" s="67"/>
      <c r="AS722" s="67"/>
      <c r="AT722" s="67"/>
      <c r="AU722" s="67"/>
      <c r="AW722" s="68"/>
      <c r="AX722" s="68"/>
      <c r="AY722" s="68"/>
      <c r="AZ722" s="68"/>
      <c r="BA722" s="68"/>
      <c r="BB722" s="68"/>
    </row>
    <row r="723" spans="1:54" ht="13.5" thickBot="1">
      <c r="A723" s="103">
        <v>39720</v>
      </c>
      <c r="B723" s="104">
        <v>4.2639999389648437</v>
      </c>
      <c r="C723" s="105">
        <v>1106.3900146484375</v>
      </c>
      <c r="D723" s="104">
        <v>1.8145999908447266</v>
      </c>
      <c r="E723">
        <v>104.3405639748815</v>
      </c>
      <c r="F723">
        <v>891.30047607421875</v>
      </c>
      <c r="H723" s="34"/>
      <c r="I723" s="34"/>
      <c r="J723" s="34"/>
      <c r="K723" s="34"/>
      <c r="L723" s="34"/>
      <c r="N723" s="34"/>
      <c r="O723" s="35"/>
      <c r="P723" s="35"/>
      <c r="Q723" s="35"/>
      <c r="R723" s="35"/>
      <c r="S723" s="74"/>
      <c r="AJ723" s="34"/>
      <c r="AK723" s="34"/>
      <c r="AL723" s="34"/>
      <c r="AM723" s="34"/>
      <c r="AN723" s="34"/>
      <c r="AQ723" s="67"/>
      <c r="AR723" s="67"/>
      <c r="AS723" s="67"/>
      <c r="AT723" s="67"/>
      <c r="AU723" s="67"/>
      <c r="AW723" s="68"/>
      <c r="AX723" s="68"/>
      <c r="AY723" s="68"/>
      <c r="AZ723" s="68"/>
      <c r="BA723" s="68"/>
      <c r="BB723" s="68"/>
    </row>
    <row r="724" spans="1:54" ht="13.5" thickBot="1">
      <c r="A724" s="103">
        <v>39721</v>
      </c>
      <c r="B724" s="104">
        <v>4.4965000152587891</v>
      </c>
      <c r="C724" s="105">
        <v>1166.3599853515625</v>
      </c>
      <c r="D724" s="104">
        <v>1.778749942779541</v>
      </c>
      <c r="E724">
        <v>106.34904144984833</v>
      </c>
      <c r="F724">
        <v>876.101318359375</v>
      </c>
      <c r="H724" s="34"/>
      <c r="I724" s="34"/>
      <c r="J724" s="34"/>
      <c r="K724" s="34"/>
      <c r="L724" s="34"/>
      <c r="N724" s="34"/>
      <c r="O724" s="35"/>
      <c r="P724" s="35"/>
      <c r="Q724" s="35"/>
      <c r="R724" s="35"/>
      <c r="S724" s="74"/>
      <c r="AJ724" s="34"/>
      <c r="AK724" s="34"/>
      <c r="AL724" s="34"/>
      <c r="AM724" s="34"/>
      <c r="AN724" s="34"/>
      <c r="AQ724" s="67"/>
      <c r="AR724" s="67"/>
      <c r="AS724" s="67"/>
      <c r="AT724" s="67"/>
      <c r="AU724" s="67"/>
      <c r="AW724" s="68"/>
      <c r="AX724" s="68"/>
      <c r="AY724" s="68"/>
      <c r="AZ724" s="68"/>
      <c r="BA724" s="68"/>
      <c r="BB724" s="68"/>
    </row>
    <row r="725" spans="1:54" ht="13.5" thickBot="1">
      <c r="A725" s="103">
        <v>39722</v>
      </c>
      <c r="B725" s="104">
        <v>4.4295001029968262</v>
      </c>
      <c r="C725" s="105">
        <v>1161.06005859375</v>
      </c>
      <c r="D725" s="104">
        <v>1.7747000455856323</v>
      </c>
      <c r="E725">
        <v>105.82010828965808</v>
      </c>
      <c r="F725">
        <v>885.40081787109375</v>
      </c>
      <c r="H725" s="34"/>
      <c r="I725" s="34"/>
      <c r="J725" s="34"/>
      <c r="K725" s="34"/>
      <c r="L725" s="34"/>
      <c r="N725" s="34"/>
      <c r="O725" s="35"/>
      <c r="P725" s="35"/>
      <c r="Q725" s="35"/>
      <c r="R725" s="35"/>
      <c r="S725" s="74"/>
      <c r="AJ725" s="34"/>
      <c r="AK725" s="34"/>
      <c r="AL725" s="34"/>
      <c r="AM725" s="34"/>
      <c r="AN725" s="34"/>
      <c r="AQ725" s="67"/>
      <c r="AR725" s="67"/>
      <c r="AS725" s="67"/>
      <c r="AT725" s="67"/>
      <c r="AU725" s="67"/>
      <c r="AW725" s="68"/>
      <c r="AX725" s="68"/>
      <c r="AY725" s="68"/>
      <c r="AZ725" s="68"/>
      <c r="BA725" s="68"/>
      <c r="BB725" s="68"/>
    </row>
    <row r="726" spans="1:54" ht="13.5" thickBot="1">
      <c r="A726" s="103">
        <v>39723</v>
      </c>
      <c r="B726" s="104">
        <v>4.3520002365112305</v>
      </c>
      <c r="C726" s="105">
        <v>1114.280029296875</v>
      </c>
      <c r="D726" s="104">
        <v>1.7654999494552612</v>
      </c>
      <c r="E726">
        <v>105.2409999514834</v>
      </c>
      <c r="F726">
        <v>840.4066162109375</v>
      </c>
      <c r="H726" s="34"/>
      <c r="I726" s="34"/>
      <c r="J726" s="34"/>
      <c r="K726" s="34"/>
      <c r="L726" s="34"/>
      <c r="N726" s="34"/>
      <c r="O726" s="35"/>
      <c r="P726" s="35"/>
      <c r="Q726" s="35"/>
      <c r="R726" s="35"/>
      <c r="S726" s="74"/>
      <c r="AJ726" s="34"/>
      <c r="AK726" s="34"/>
      <c r="AL726" s="34"/>
      <c r="AM726" s="34"/>
      <c r="AN726" s="34"/>
      <c r="AQ726" s="67"/>
      <c r="AR726" s="67"/>
      <c r="AS726" s="67"/>
      <c r="AT726" s="67"/>
      <c r="AU726" s="67"/>
      <c r="AW726" s="68"/>
      <c r="AX726" s="68"/>
      <c r="AY726" s="68"/>
      <c r="AZ726" s="68"/>
      <c r="BA726" s="68"/>
      <c r="BB726" s="68"/>
    </row>
    <row r="727" spans="1:54" ht="13.5" thickBot="1">
      <c r="A727" s="103">
        <v>39724</v>
      </c>
      <c r="B727" s="104">
        <v>4.2925000190734863</v>
      </c>
      <c r="C727" s="105">
        <v>1099.22998046875</v>
      </c>
      <c r="D727" s="104">
        <v>1.7777999639511108</v>
      </c>
      <c r="E727">
        <v>105.36297184817333</v>
      </c>
      <c r="F727">
        <v>824.808349609375</v>
      </c>
      <c r="H727" s="34"/>
      <c r="I727" s="34"/>
      <c r="J727" s="34"/>
      <c r="K727" s="34"/>
      <c r="L727" s="34"/>
      <c r="N727" s="34"/>
      <c r="O727" s="35"/>
      <c r="P727" s="35"/>
      <c r="Q727" s="35"/>
      <c r="R727" s="35"/>
      <c r="S727" s="74"/>
      <c r="AJ727" s="34"/>
      <c r="AK727" s="34"/>
      <c r="AL727" s="34"/>
      <c r="AM727" s="34"/>
      <c r="AN727" s="34"/>
      <c r="AQ727" s="67"/>
      <c r="AR727" s="67"/>
      <c r="AS727" s="67"/>
      <c r="AT727" s="67"/>
      <c r="AU727" s="67"/>
      <c r="AW727" s="68"/>
      <c r="AX727" s="68"/>
      <c r="AY727" s="68"/>
      <c r="AZ727" s="68"/>
      <c r="BA727" s="68"/>
      <c r="BB727" s="68"/>
    </row>
    <row r="728" spans="1:54" ht="13.5" thickBot="1">
      <c r="A728" s="103">
        <v>39727</v>
      </c>
      <c r="B728" s="104">
        <v>4.061500072479248</v>
      </c>
      <c r="C728" s="105">
        <v>1056.8900146484375</v>
      </c>
      <c r="D728" s="104">
        <v>1.7388999462127686</v>
      </c>
      <c r="E728">
        <v>100.66438757945282</v>
      </c>
      <c r="F728">
        <v>866.1278076171875</v>
      </c>
      <c r="H728" s="34"/>
      <c r="I728" s="34"/>
      <c r="J728" s="34"/>
      <c r="K728" s="34"/>
      <c r="L728" s="34"/>
      <c r="N728" s="34"/>
      <c r="O728" s="35"/>
      <c r="P728" s="35"/>
      <c r="Q728" s="35"/>
      <c r="R728" s="35"/>
      <c r="S728" s="74"/>
      <c r="AJ728" s="34"/>
      <c r="AK728" s="34"/>
      <c r="AL728" s="34"/>
      <c r="AM728" s="34"/>
      <c r="AN728" s="34"/>
      <c r="AQ728" s="67"/>
      <c r="AR728" s="67"/>
      <c r="AS728" s="67"/>
      <c r="AT728" s="67"/>
      <c r="AU728" s="67"/>
      <c r="AW728" s="68"/>
      <c r="AX728" s="68"/>
      <c r="AY728" s="68"/>
      <c r="AZ728" s="68"/>
      <c r="BA728" s="68"/>
      <c r="BB728" s="68"/>
    </row>
    <row r="729" spans="1:54" ht="13.5" thickBot="1">
      <c r="A729" s="103">
        <v>39728</v>
      </c>
      <c r="B729" s="104">
        <v>4.1160001754760742</v>
      </c>
      <c r="C729" s="105">
        <v>996.22998046875</v>
      </c>
      <c r="D729" s="104">
        <v>1.7510000467300415</v>
      </c>
      <c r="E729">
        <v>101.80189290861813</v>
      </c>
      <c r="F729">
        <v>871.72735595703125</v>
      </c>
      <c r="H729" s="34"/>
      <c r="I729" s="34"/>
      <c r="J729" s="34"/>
      <c r="K729" s="34"/>
      <c r="L729" s="34"/>
      <c r="N729" s="34"/>
      <c r="O729" s="35"/>
      <c r="P729" s="35"/>
      <c r="Q729" s="35"/>
      <c r="R729" s="35"/>
      <c r="S729" s="74"/>
      <c r="AJ729" s="34"/>
      <c r="AK729" s="34"/>
      <c r="AL729" s="34"/>
      <c r="AM729" s="34"/>
      <c r="AN729" s="34"/>
      <c r="AQ729" s="67"/>
      <c r="AR729" s="67"/>
      <c r="AS729" s="67"/>
      <c r="AT729" s="67"/>
      <c r="AU729" s="67"/>
      <c r="AW729" s="68"/>
      <c r="AX729" s="68"/>
      <c r="AY729" s="68"/>
      <c r="AZ729" s="68"/>
      <c r="BA729" s="68"/>
      <c r="BB729" s="68"/>
    </row>
    <row r="730" spans="1:54" ht="13.5" thickBot="1">
      <c r="A730" s="103">
        <v>39729</v>
      </c>
      <c r="B730" s="104">
        <v>4.2420001029968262</v>
      </c>
      <c r="C730" s="105">
        <v>984.94000244140625</v>
      </c>
      <c r="D730" s="104">
        <v>1.7288999557495117</v>
      </c>
      <c r="E730">
        <v>100.38144998380797</v>
      </c>
      <c r="F730">
        <v>912.9232177734375</v>
      </c>
      <c r="H730" s="34"/>
      <c r="I730" s="34"/>
      <c r="J730" s="34"/>
      <c r="K730" s="34"/>
      <c r="L730" s="34"/>
      <c r="N730" s="34"/>
      <c r="O730" s="35"/>
      <c r="P730" s="35"/>
      <c r="Q730" s="35"/>
      <c r="R730" s="35"/>
      <c r="S730" s="74"/>
      <c r="AJ730" s="34"/>
      <c r="AK730" s="34"/>
      <c r="AL730" s="34"/>
      <c r="AM730" s="34"/>
      <c r="AN730" s="34"/>
      <c r="AQ730" s="67"/>
      <c r="AR730" s="67"/>
      <c r="AS730" s="67"/>
      <c r="AT730" s="67"/>
      <c r="AU730" s="67"/>
      <c r="AW730" s="68"/>
      <c r="AX730" s="68"/>
      <c r="AY730" s="68"/>
      <c r="AZ730" s="68"/>
      <c r="BA730" s="68"/>
      <c r="BB730" s="68"/>
    </row>
    <row r="731" spans="1:54" ht="13.5" thickBot="1">
      <c r="A731" s="103">
        <v>39730</v>
      </c>
      <c r="B731" s="104">
        <v>4.4134998321533203</v>
      </c>
      <c r="C731" s="105">
        <v>909.91998291015625</v>
      </c>
      <c r="D731" s="104">
        <v>1.7201000452041626</v>
      </c>
      <c r="E731">
        <v>100.44194079535094</v>
      </c>
      <c r="F731">
        <v>884.3017578125</v>
      </c>
      <c r="H731" s="34"/>
      <c r="I731" s="34"/>
      <c r="J731" s="34"/>
      <c r="K731" s="34"/>
      <c r="L731" s="34"/>
      <c r="N731" s="34"/>
      <c r="O731" s="35"/>
      <c r="P731" s="35"/>
      <c r="Q731" s="35"/>
      <c r="R731" s="35"/>
      <c r="S731" s="74"/>
      <c r="AJ731" s="34"/>
      <c r="AK731" s="34"/>
      <c r="AL731" s="34"/>
      <c r="AM731" s="34"/>
      <c r="AN731" s="34"/>
      <c r="AQ731" s="67"/>
      <c r="AR731" s="67"/>
      <c r="AS731" s="67"/>
      <c r="AT731" s="67"/>
      <c r="AU731" s="67"/>
      <c r="AW731" s="68"/>
      <c r="AX731" s="68"/>
      <c r="AY731" s="68"/>
      <c r="AZ731" s="68"/>
      <c r="BA731" s="68"/>
      <c r="BB731" s="68"/>
    </row>
    <row r="732" spans="1:54" ht="13.5" thickBot="1">
      <c r="A732" s="103">
        <v>39731</v>
      </c>
      <c r="B732" s="104">
        <v>4.4649271965026855</v>
      </c>
      <c r="C732" s="105">
        <v>899.219970703125</v>
      </c>
      <c r="D732" s="104">
        <v>1.6901999711990356</v>
      </c>
      <c r="E732">
        <v>100.08006690013113</v>
      </c>
      <c r="F732">
        <v>855.05499267578125</v>
      </c>
      <c r="H732" s="34"/>
      <c r="I732" s="34"/>
      <c r="J732" s="34"/>
      <c r="K732" s="34"/>
      <c r="L732" s="34"/>
      <c r="N732" s="34"/>
      <c r="O732" s="35"/>
      <c r="P732" s="35"/>
      <c r="Q732" s="35"/>
      <c r="R732" s="35"/>
      <c r="S732" s="74"/>
      <c r="AJ732" s="34"/>
      <c r="AK732" s="34"/>
      <c r="AL732" s="34"/>
      <c r="AM732" s="34"/>
      <c r="AN732" s="34"/>
      <c r="AQ732" s="67"/>
      <c r="AR732" s="67"/>
      <c r="AS732" s="67"/>
      <c r="AT732" s="67"/>
      <c r="AU732" s="67"/>
      <c r="AW732" s="68"/>
      <c r="AX732" s="68"/>
      <c r="AY732" s="68"/>
      <c r="AZ732" s="68"/>
      <c r="BA732" s="68"/>
      <c r="BB732" s="68"/>
    </row>
    <row r="733" spans="1:54" ht="13.5" thickBot="1">
      <c r="A733" s="103">
        <v>39734</v>
      </c>
      <c r="B733" s="104">
        <v>4.4649271965026855</v>
      </c>
      <c r="C733" s="105">
        <v>1003.3499755859375</v>
      </c>
      <c r="D733" s="104">
        <v>1.7278000116348267</v>
      </c>
      <c r="E733">
        <v>101.28633674409514</v>
      </c>
      <c r="F733">
        <v>833.80364990234375</v>
      </c>
      <c r="H733" s="34"/>
      <c r="I733" s="34"/>
      <c r="J733" s="34"/>
      <c r="K733" s="34"/>
      <c r="L733" s="34"/>
      <c r="N733" s="34"/>
      <c r="O733" s="35"/>
      <c r="P733" s="35"/>
      <c r="Q733" s="35"/>
      <c r="R733" s="35"/>
      <c r="S733" s="74"/>
      <c r="AJ733" s="34"/>
      <c r="AK733" s="34"/>
      <c r="AL733" s="34"/>
      <c r="AM733" s="34"/>
      <c r="AN733" s="34"/>
      <c r="AQ733" s="67"/>
      <c r="AR733" s="67"/>
      <c r="AS733" s="67"/>
      <c r="AT733" s="67"/>
      <c r="AU733" s="67"/>
      <c r="AW733" s="68"/>
      <c r="AX733" s="68"/>
      <c r="AY733" s="68"/>
      <c r="AZ733" s="68"/>
      <c r="BA733" s="68"/>
      <c r="BB733" s="68"/>
    </row>
    <row r="734" spans="1:54" ht="13.5" thickBot="1">
      <c r="A734" s="103">
        <v>39735</v>
      </c>
      <c r="B734" s="104">
        <v>4.6255002021789551</v>
      </c>
      <c r="C734" s="105">
        <v>998.010009765625</v>
      </c>
      <c r="D734" s="104">
        <v>1.7434999942779541</v>
      </c>
      <c r="E734">
        <v>101.71905074253814</v>
      </c>
      <c r="F734">
        <v>836.7034912109375</v>
      </c>
      <c r="H734" s="34"/>
      <c r="I734" s="34"/>
      <c r="J734" s="34"/>
      <c r="K734" s="34"/>
      <c r="L734" s="34"/>
      <c r="N734" s="34"/>
      <c r="O734" s="35"/>
      <c r="P734" s="35"/>
      <c r="Q734" s="35"/>
      <c r="R734" s="35"/>
      <c r="S734" s="74"/>
      <c r="AJ734" s="34"/>
      <c r="AK734" s="34"/>
      <c r="AL734" s="34"/>
      <c r="AM734" s="34"/>
      <c r="AN734" s="34"/>
      <c r="AQ734" s="67"/>
      <c r="AR734" s="67"/>
      <c r="AS734" s="67"/>
      <c r="AT734" s="67"/>
      <c r="AU734" s="67"/>
      <c r="AW734" s="68"/>
      <c r="AX734" s="68"/>
      <c r="AY734" s="68"/>
      <c r="AZ734" s="68"/>
      <c r="BA734" s="68"/>
      <c r="BB734" s="68"/>
    </row>
    <row r="735" spans="1:54" ht="13.5" thickBot="1">
      <c r="A735" s="103">
        <v>39736</v>
      </c>
      <c r="B735" s="104">
        <v>4.5949997901916504</v>
      </c>
      <c r="C735" s="105">
        <v>907.84002685546875</v>
      </c>
      <c r="D735" s="104">
        <v>1.7328000068664551</v>
      </c>
      <c r="E735">
        <v>100.77597613831966</v>
      </c>
      <c r="F735">
        <v>847.30291748046875</v>
      </c>
      <c r="H735" s="34"/>
      <c r="I735" s="34"/>
      <c r="J735" s="34"/>
      <c r="K735" s="34"/>
      <c r="L735" s="34"/>
      <c r="N735" s="34"/>
      <c r="O735" s="35"/>
      <c r="P735" s="35"/>
      <c r="Q735" s="35"/>
      <c r="R735" s="35"/>
      <c r="S735" s="74"/>
      <c r="AJ735" s="34"/>
      <c r="AK735" s="34"/>
      <c r="AL735" s="34"/>
      <c r="AM735" s="34"/>
      <c r="AN735" s="34"/>
      <c r="AQ735" s="67"/>
      <c r="AR735" s="67"/>
      <c r="AS735" s="67"/>
      <c r="AT735" s="67"/>
      <c r="AU735" s="67"/>
      <c r="AW735" s="68"/>
      <c r="AX735" s="68"/>
      <c r="AY735" s="68"/>
      <c r="AZ735" s="68"/>
      <c r="BA735" s="68"/>
      <c r="BB735" s="68"/>
    </row>
    <row r="736" spans="1:54" ht="13.5" thickBot="1">
      <c r="A736" s="103">
        <v>39737</v>
      </c>
      <c r="B736" s="104">
        <v>4.5355000495910645</v>
      </c>
      <c r="C736" s="105">
        <v>946.42999267578125</v>
      </c>
      <c r="D736" s="104">
        <v>1.7288999557495117</v>
      </c>
      <c r="E736">
        <v>101.06114530562111</v>
      </c>
      <c r="F736">
        <v>800.06109619140625</v>
      </c>
      <c r="H736" s="34"/>
      <c r="I736" s="34"/>
      <c r="J736" s="34"/>
      <c r="K736" s="34"/>
      <c r="L736" s="34"/>
      <c r="N736" s="34"/>
      <c r="O736" s="35"/>
      <c r="P736" s="35"/>
      <c r="Q736" s="35"/>
      <c r="R736" s="35"/>
      <c r="S736" s="74"/>
      <c r="AJ736" s="34"/>
      <c r="AK736" s="34"/>
      <c r="AL736" s="34"/>
      <c r="AM736" s="34"/>
      <c r="AN736" s="34"/>
      <c r="AQ736" s="67"/>
      <c r="AR736" s="67"/>
      <c r="AS736" s="67"/>
      <c r="AT736" s="67"/>
      <c r="AU736" s="67"/>
      <c r="AW736" s="68"/>
      <c r="AX736" s="68"/>
      <c r="AY736" s="68"/>
      <c r="AZ736" s="68"/>
      <c r="BA736" s="68"/>
      <c r="BB736" s="68"/>
    </row>
    <row r="737" spans="1:54" ht="13.5" thickBot="1">
      <c r="A737" s="103">
        <v>39738</v>
      </c>
      <c r="B737" s="104">
        <v>4.4805002212524414</v>
      </c>
      <c r="C737" s="105">
        <v>940.54998779296875</v>
      </c>
      <c r="D737" s="104">
        <v>1.7332999706268311</v>
      </c>
      <c r="E737">
        <v>101.59503998593601</v>
      </c>
      <c r="F737">
        <v>779.46337890625</v>
      </c>
      <c r="H737" s="34"/>
      <c r="I737" s="34"/>
      <c r="J737" s="34"/>
      <c r="K737" s="34"/>
      <c r="L737" s="34"/>
      <c r="N737" s="34"/>
      <c r="O737" s="35"/>
      <c r="P737" s="35"/>
      <c r="Q737" s="35"/>
      <c r="R737" s="35"/>
      <c r="S737" s="74"/>
      <c r="AJ737" s="34"/>
      <c r="AK737" s="34"/>
      <c r="AL737" s="34"/>
      <c r="AM737" s="34"/>
      <c r="AN737" s="34"/>
      <c r="AQ737" s="67"/>
      <c r="AR737" s="67"/>
      <c r="AS737" s="67"/>
      <c r="AT737" s="67"/>
      <c r="AU737" s="67"/>
      <c r="AW737" s="68"/>
      <c r="AX737" s="68"/>
      <c r="AY737" s="68"/>
      <c r="AZ737" s="68"/>
      <c r="BA737" s="68"/>
      <c r="BB737" s="68"/>
    </row>
    <row r="738" spans="1:54" ht="13.5" thickBot="1">
      <c r="A738" s="103">
        <v>39741</v>
      </c>
      <c r="B738" s="104">
        <v>4.3540000915527344</v>
      </c>
      <c r="C738" s="105">
        <v>985.4000244140625</v>
      </c>
      <c r="D738" s="104">
        <v>1.7120000123977661</v>
      </c>
      <c r="E738">
        <v>101.82262936622078</v>
      </c>
      <c r="F738">
        <v>790.6060791015625</v>
      </c>
      <c r="H738" s="34"/>
      <c r="I738" s="34"/>
      <c r="J738" s="34"/>
      <c r="K738" s="34"/>
      <c r="L738" s="34"/>
      <c r="N738" s="34"/>
      <c r="O738" s="35"/>
      <c r="P738" s="35"/>
      <c r="Q738" s="35"/>
      <c r="R738" s="35"/>
      <c r="S738" s="74"/>
      <c r="AJ738" s="34"/>
      <c r="AK738" s="34"/>
      <c r="AL738" s="34"/>
      <c r="AM738" s="34"/>
      <c r="AN738" s="34"/>
      <c r="AQ738" s="67"/>
      <c r="AR738" s="67"/>
      <c r="AS738" s="67"/>
      <c r="AT738" s="67"/>
      <c r="AU738" s="67"/>
      <c r="AW738" s="68"/>
      <c r="AX738" s="68"/>
      <c r="AY738" s="68"/>
      <c r="AZ738" s="68"/>
      <c r="BA738" s="68"/>
      <c r="BB738" s="68"/>
    </row>
    <row r="739" spans="1:54" ht="13.5" thickBot="1">
      <c r="A739" s="103">
        <v>39742</v>
      </c>
      <c r="B739" s="104">
        <v>4.0925002098083496</v>
      </c>
      <c r="C739" s="105">
        <v>955.04998779296875</v>
      </c>
      <c r="D739" s="104">
        <v>1.6949000358581543</v>
      </c>
      <c r="E739">
        <v>100.66438757945282</v>
      </c>
      <c r="F739">
        <v>775.0069580078125</v>
      </c>
      <c r="H739" s="34"/>
      <c r="I739" s="34"/>
      <c r="J739" s="34"/>
      <c r="K739" s="34"/>
      <c r="L739" s="34"/>
      <c r="N739" s="34"/>
      <c r="O739" s="35"/>
      <c r="P739" s="35"/>
      <c r="Q739" s="35"/>
      <c r="R739" s="35"/>
      <c r="S739" s="74"/>
      <c r="AJ739" s="34"/>
      <c r="AK739" s="34"/>
      <c r="AL739" s="34"/>
      <c r="AM739" s="34"/>
      <c r="AN739" s="34"/>
      <c r="AQ739" s="67"/>
      <c r="AR739" s="67"/>
      <c r="AS739" s="67"/>
      <c r="AT739" s="67"/>
      <c r="AU739" s="67"/>
      <c r="AW739" s="68"/>
      <c r="AX739" s="68"/>
      <c r="AY739" s="68"/>
      <c r="AZ739" s="68"/>
      <c r="BA739" s="68"/>
      <c r="BB739" s="68"/>
    </row>
    <row r="740" spans="1:54" ht="13.5" thickBot="1">
      <c r="A740" s="103">
        <v>39743</v>
      </c>
      <c r="B740" s="104">
        <v>4.0279998779296875</v>
      </c>
      <c r="C740" s="105">
        <v>896.780029296875</v>
      </c>
      <c r="D740" s="104">
        <v>1.6338000297546387</v>
      </c>
      <c r="E740">
        <v>97.981579961471382</v>
      </c>
      <c r="F740">
        <v>744.2586669921875</v>
      </c>
      <c r="H740" s="34"/>
      <c r="I740" s="34"/>
      <c r="J740" s="34"/>
      <c r="K740" s="34"/>
      <c r="L740" s="34"/>
      <c r="N740" s="34"/>
      <c r="O740" s="35"/>
      <c r="P740" s="35"/>
      <c r="Q740" s="35"/>
      <c r="R740" s="35"/>
      <c r="S740" s="74"/>
      <c r="AJ740" s="34"/>
      <c r="AK740" s="34"/>
      <c r="AL740" s="34"/>
      <c r="AM740" s="34"/>
      <c r="AN740" s="34"/>
      <c r="AQ740" s="67"/>
      <c r="AR740" s="67"/>
      <c r="AS740" s="67"/>
      <c r="AT740" s="67"/>
      <c r="AU740" s="67"/>
      <c r="AW740" s="68"/>
      <c r="AX740" s="68"/>
      <c r="AY740" s="68"/>
      <c r="AZ740" s="68"/>
      <c r="BA740" s="68"/>
      <c r="BB740" s="68"/>
    </row>
    <row r="741" spans="1:54" ht="13.5" thickBot="1">
      <c r="A741" s="103">
        <v>39744</v>
      </c>
      <c r="B741" s="104">
        <v>3.9340000152587891</v>
      </c>
      <c r="C741" s="105">
        <v>908.1099853515625</v>
      </c>
      <c r="D741" s="104">
        <v>1.6125999689102173</v>
      </c>
      <c r="E741">
        <v>96.116877580852929</v>
      </c>
      <c r="F741">
        <v>713.77069091796875</v>
      </c>
      <c r="H741" s="34"/>
      <c r="I741" s="34"/>
      <c r="J741" s="34"/>
      <c r="K741" s="34"/>
      <c r="L741" s="34"/>
      <c r="N741" s="34"/>
      <c r="O741" s="35"/>
      <c r="P741" s="35"/>
      <c r="Q741" s="35"/>
      <c r="R741" s="35"/>
      <c r="S741" s="74"/>
      <c r="AJ741" s="34"/>
      <c r="AK741" s="34"/>
      <c r="AL741" s="34"/>
      <c r="AM741" s="34"/>
      <c r="AN741" s="34"/>
      <c r="AQ741" s="67"/>
      <c r="AR741" s="67"/>
      <c r="AS741" s="67"/>
      <c r="AT741" s="67"/>
      <c r="AU741" s="67"/>
      <c r="AW741" s="68"/>
      <c r="AX741" s="68"/>
      <c r="AY741" s="68"/>
      <c r="AZ741" s="68"/>
      <c r="BA741" s="68"/>
      <c r="BB741" s="68"/>
    </row>
    <row r="742" spans="1:54" ht="13.5" thickBot="1">
      <c r="A742" s="103">
        <v>39745</v>
      </c>
      <c r="B742" s="104">
        <v>4.1754999160766602</v>
      </c>
      <c r="C742" s="105">
        <v>876.77001953125</v>
      </c>
      <c r="D742" s="104">
        <v>1.5872999429702759</v>
      </c>
      <c r="E742">
        <v>94.401964736344624</v>
      </c>
      <c r="F742">
        <v>732.9185791015625</v>
      </c>
      <c r="H742" s="34"/>
      <c r="I742" s="34"/>
      <c r="J742" s="34"/>
      <c r="K742" s="34"/>
      <c r="L742" s="34"/>
      <c r="N742" s="34"/>
      <c r="O742" s="35"/>
      <c r="P742" s="35"/>
      <c r="Q742" s="35"/>
      <c r="R742" s="35"/>
      <c r="S742" s="74"/>
      <c r="AJ742" s="34"/>
      <c r="AK742" s="34"/>
      <c r="AL742" s="34"/>
      <c r="AM742" s="34"/>
      <c r="AN742" s="34"/>
      <c r="AQ742" s="67"/>
      <c r="AR742" s="67"/>
      <c r="AS742" s="67"/>
      <c r="AT742" s="67"/>
      <c r="AU742" s="67"/>
      <c r="AW742" s="68"/>
      <c r="AX742" s="68"/>
      <c r="AY742" s="68"/>
      <c r="AZ742" s="68"/>
      <c r="BA742" s="68"/>
      <c r="BB742" s="68"/>
    </row>
    <row r="743" spans="1:54" ht="13.5" thickBot="1">
      <c r="A743" s="103">
        <v>39748</v>
      </c>
      <c r="B743" s="104">
        <v>4.2080001831054687</v>
      </c>
      <c r="C743" s="105">
        <v>848.91998291015625</v>
      </c>
      <c r="D743" s="104">
        <v>1.5623999834060669</v>
      </c>
      <c r="E743">
        <v>93.861463708008415</v>
      </c>
      <c r="F743">
        <v>738.95892333984375</v>
      </c>
      <c r="H743" s="34"/>
      <c r="I743" s="34"/>
      <c r="J743" s="34"/>
      <c r="K743" s="34"/>
      <c r="L743" s="34"/>
      <c r="N743" s="34"/>
      <c r="O743" s="35"/>
      <c r="P743" s="35"/>
      <c r="Q743" s="35"/>
      <c r="R743" s="35"/>
      <c r="S743" s="74"/>
      <c r="AJ743" s="34"/>
      <c r="AK743" s="34"/>
      <c r="AL743" s="34"/>
      <c r="AM743" s="34"/>
      <c r="AN743" s="34"/>
      <c r="AQ743" s="67"/>
      <c r="AR743" s="67"/>
      <c r="AS743" s="67"/>
      <c r="AT743" s="67"/>
      <c r="AU743" s="67"/>
      <c r="AW743" s="68"/>
      <c r="AX743" s="68"/>
      <c r="AY743" s="68"/>
      <c r="AZ743" s="68"/>
      <c r="BA743" s="68"/>
      <c r="BB743" s="68"/>
    </row>
    <row r="744" spans="1:54" ht="13.5" thickBot="1">
      <c r="A744" s="103">
        <v>39749</v>
      </c>
      <c r="B744" s="104">
        <v>4.3575000762939453</v>
      </c>
      <c r="C744" s="105">
        <v>940.510009765625</v>
      </c>
      <c r="D744" s="104">
        <v>1.5773999691009521</v>
      </c>
      <c r="E744">
        <v>97.656252467004435</v>
      </c>
      <c r="F744">
        <v>739.9588623046875</v>
      </c>
      <c r="H744" s="34"/>
      <c r="I744" s="34"/>
      <c r="J744" s="34"/>
      <c r="K744" s="34"/>
      <c r="L744" s="34"/>
      <c r="N744" s="34"/>
      <c r="O744" s="35"/>
      <c r="P744" s="35"/>
      <c r="Q744" s="35"/>
      <c r="R744" s="35"/>
      <c r="S744" s="74"/>
      <c r="AJ744" s="34"/>
      <c r="AK744" s="34"/>
      <c r="AL744" s="34"/>
      <c r="AM744" s="34"/>
      <c r="AN744" s="34"/>
      <c r="AQ744" s="67"/>
      <c r="AR744" s="67"/>
      <c r="AS744" s="67"/>
      <c r="AT744" s="67"/>
      <c r="AU744" s="67"/>
      <c r="AW744" s="68"/>
      <c r="AX744" s="68"/>
      <c r="AY744" s="68"/>
      <c r="AZ744" s="68"/>
      <c r="BA744" s="68"/>
      <c r="BB744" s="68"/>
    </row>
    <row r="745" spans="1:54" ht="13.5" thickBot="1">
      <c r="A745" s="103">
        <v>39750</v>
      </c>
      <c r="B745" s="104">
        <v>4.3639998435974121</v>
      </c>
      <c r="C745" s="105">
        <v>930.09002685546875</v>
      </c>
      <c r="D745" s="104">
        <v>1.6306999921798706</v>
      </c>
      <c r="E745">
        <v>97.162843632190572</v>
      </c>
      <c r="F745">
        <v>754.8580322265625</v>
      </c>
      <c r="H745" s="34"/>
      <c r="I745" s="34"/>
      <c r="J745" s="34"/>
      <c r="K745" s="34"/>
      <c r="L745" s="34"/>
      <c r="N745" s="34"/>
      <c r="O745" s="35"/>
      <c r="P745" s="35"/>
      <c r="Q745" s="35"/>
      <c r="R745" s="35"/>
      <c r="S745" s="74"/>
      <c r="AJ745" s="34"/>
      <c r="AK745" s="34"/>
      <c r="AL745" s="34"/>
      <c r="AM745" s="34"/>
      <c r="AN745" s="34"/>
      <c r="AQ745" s="67"/>
      <c r="AR745" s="67"/>
      <c r="AS745" s="67"/>
      <c r="AT745" s="67"/>
      <c r="AU745" s="67"/>
      <c r="AW745" s="68"/>
      <c r="AX745" s="68"/>
      <c r="AY745" s="68"/>
      <c r="AZ745" s="68"/>
      <c r="BA745" s="68"/>
      <c r="BB745" s="68"/>
    </row>
    <row r="746" spans="1:54" ht="13.5" thickBot="1">
      <c r="A746" s="103">
        <v>39751</v>
      </c>
      <c r="B746" s="104">
        <v>4.4254999160766602</v>
      </c>
      <c r="C746" s="105">
        <v>954.09002685546875</v>
      </c>
      <c r="D746" s="104">
        <v>1.6448999643325806</v>
      </c>
      <c r="E746">
        <v>98.463961869695169</v>
      </c>
      <c r="F746">
        <v>739.7177734375</v>
      </c>
      <c r="H746" s="34"/>
      <c r="I746" s="34"/>
      <c r="J746" s="34"/>
      <c r="K746" s="34"/>
      <c r="L746" s="34"/>
      <c r="N746" s="34"/>
      <c r="O746" s="35"/>
      <c r="P746" s="35"/>
      <c r="Q746" s="35"/>
      <c r="R746" s="35"/>
      <c r="S746" s="74"/>
      <c r="AJ746" s="34"/>
      <c r="AK746" s="34"/>
      <c r="AL746" s="34"/>
      <c r="AM746" s="34"/>
      <c r="AN746" s="34"/>
      <c r="AQ746" s="67"/>
      <c r="AR746" s="67"/>
      <c r="AS746" s="67"/>
      <c r="AT746" s="67"/>
      <c r="AU746" s="67"/>
      <c r="AW746" s="68"/>
      <c r="AX746" s="68"/>
      <c r="AY746" s="68"/>
      <c r="AZ746" s="68"/>
      <c r="BA746" s="68"/>
      <c r="BB746" s="68"/>
    </row>
    <row r="747" spans="1:54" ht="13.5" thickBot="1">
      <c r="A747" s="103">
        <v>39752</v>
      </c>
      <c r="B747" s="104">
        <v>4.4699997901916504</v>
      </c>
      <c r="C747" s="105">
        <v>968.75</v>
      </c>
      <c r="D747" s="104">
        <v>1.6140999794006348</v>
      </c>
      <c r="E747">
        <v>98.726428477709177</v>
      </c>
      <c r="F747">
        <v>718.12017822265625</v>
      </c>
      <c r="H747" s="34"/>
      <c r="I747" s="34"/>
      <c r="J747" s="34"/>
      <c r="K747" s="34"/>
      <c r="L747" s="34"/>
      <c r="N747" s="34"/>
      <c r="O747" s="35"/>
      <c r="P747" s="35"/>
      <c r="Q747" s="35"/>
      <c r="R747" s="35"/>
      <c r="S747" s="74"/>
      <c r="AJ747" s="34"/>
      <c r="AK747" s="34"/>
      <c r="AL747" s="34"/>
      <c r="AM747" s="34"/>
      <c r="AN747" s="34"/>
      <c r="AQ747" s="67"/>
      <c r="AR747" s="67"/>
      <c r="AS747" s="67"/>
      <c r="AT747" s="67"/>
      <c r="AU747" s="67"/>
      <c r="AW747" s="68"/>
      <c r="AX747" s="68"/>
      <c r="AY747" s="68"/>
      <c r="AZ747" s="68"/>
      <c r="BA747" s="68"/>
      <c r="BB747" s="68"/>
    </row>
    <row r="748" spans="1:54" ht="13.5" thickBot="1">
      <c r="A748" s="103">
        <v>39755</v>
      </c>
      <c r="B748" s="104">
        <v>4.4289999008178711</v>
      </c>
      <c r="C748" s="105">
        <v>966.29998779296875</v>
      </c>
      <c r="D748" s="104">
        <v>1.5821000337600708</v>
      </c>
      <c r="E748">
        <v>99.000100499121046</v>
      </c>
      <c r="F748">
        <v>730.95941162109375</v>
      </c>
      <c r="H748" s="34"/>
      <c r="I748" s="34"/>
      <c r="J748" s="34"/>
      <c r="K748" s="34"/>
      <c r="L748" s="34"/>
      <c r="N748" s="34"/>
      <c r="O748" s="35"/>
      <c r="P748" s="35"/>
      <c r="Q748" s="35"/>
      <c r="R748" s="35"/>
      <c r="S748" s="74"/>
      <c r="AJ748" s="34"/>
      <c r="AK748" s="34"/>
      <c r="AL748" s="34"/>
      <c r="AM748" s="34"/>
      <c r="AN748" s="34"/>
      <c r="AQ748" s="67"/>
      <c r="AR748" s="67"/>
      <c r="AS748" s="67"/>
      <c r="AT748" s="67"/>
      <c r="AU748" s="67"/>
      <c r="AW748" s="68"/>
      <c r="AX748" s="68"/>
      <c r="AY748" s="68"/>
      <c r="AZ748" s="68"/>
      <c r="BA748" s="68"/>
      <c r="BB748" s="68"/>
    </row>
    <row r="749" spans="1:54" ht="13.5" thickBot="1">
      <c r="A749" s="103">
        <v>39756</v>
      </c>
      <c r="B749" s="104">
        <v>4.2655000686645508</v>
      </c>
      <c r="C749" s="105">
        <v>1005.75</v>
      </c>
      <c r="D749" s="104">
        <v>1.5928000211715698</v>
      </c>
      <c r="E749">
        <v>99.720781913470404</v>
      </c>
      <c r="F749">
        <v>760.1077880859375</v>
      </c>
      <c r="H749" s="34"/>
      <c r="I749" s="34"/>
      <c r="J749" s="34"/>
      <c r="K749" s="34"/>
      <c r="L749" s="34"/>
      <c r="N749" s="34"/>
      <c r="O749" s="35"/>
      <c r="P749" s="35"/>
      <c r="Q749" s="35"/>
      <c r="R749" s="35"/>
      <c r="S749" s="74"/>
      <c r="AJ749" s="34"/>
      <c r="AK749" s="34"/>
      <c r="AL749" s="34"/>
      <c r="AM749" s="34"/>
      <c r="AN749" s="34"/>
      <c r="AQ749" s="67"/>
      <c r="AR749" s="67"/>
      <c r="AS749" s="67"/>
      <c r="AT749" s="67"/>
      <c r="AU749" s="67"/>
      <c r="AW749" s="68"/>
      <c r="AX749" s="68"/>
      <c r="AY749" s="68"/>
      <c r="AZ749" s="68"/>
      <c r="BA749" s="68"/>
      <c r="BB749" s="68"/>
    </row>
    <row r="750" spans="1:54" ht="13.5" thickBot="1">
      <c r="A750" s="103">
        <v>39757</v>
      </c>
      <c r="B750" s="104">
        <v>4.1009998321533203</v>
      </c>
      <c r="C750" s="105">
        <v>952.77001953125</v>
      </c>
      <c r="D750" s="104">
        <v>1.5957000255584717</v>
      </c>
      <c r="E750">
        <v>98.92175379401786</v>
      </c>
      <c r="F750">
        <v>743.208740234375</v>
      </c>
      <c r="H750" s="34"/>
      <c r="I750" s="34"/>
      <c r="J750" s="34"/>
      <c r="K750" s="34"/>
      <c r="L750" s="34"/>
      <c r="N750" s="34"/>
      <c r="O750" s="35"/>
      <c r="P750" s="35"/>
      <c r="Q750" s="35"/>
      <c r="R750" s="35"/>
      <c r="S750" s="74"/>
      <c r="AJ750" s="34"/>
      <c r="AK750" s="34"/>
      <c r="AL750" s="34"/>
      <c r="AM750" s="34"/>
      <c r="AN750" s="34"/>
      <c r="AQ750" s="67"/>
      <c r="AR750" s="67"/>
      <c r="AS750" s="67"/>
      <c r="AT750" s="67"/>
      <c r="AU750" s="67"/>
      <c r="AW750" s="68"/>
      <c r="AX750" s="68"/>
      <c r="AY750" s="68"/>
      <c r="AZ750" s="68"/>
      <c r="BA750" s="68"/>
      <c r="BB750" s="68"/>
    </row>
    <row r="751" spans="1:54" ht="13.5" thickBot="1">
      <c r="A751" s="103">
        <v>39758</v>
      </c>
      <c r="B751" s="104">
        <v>4.1294999122619629</v>
      </c>
      <c r="C751" s="105">
        <v>904.8800048828125</v>
      </c>
      <c r="D751" s="104">
        <v>1.5751999616622925</v>
      </c>
      <c r="E751">
        <v>97.761268033620112</v>
      </c>
      <c r="F751">
        <v>733.16851806640625</v>
      </c>
      <c r="H751" s="34"/>
      <c r="I751" s="34"/>
      <c r="J751" s="34"/>
      <c r="K751" s="34"/>
      <c r="L751" s="34"/>
      <c r="N751" s="34"/>
      <c r="O751" s="35"/>
      <c r="P751" s="35"/>
      <c r="Q751" s="35"/>
      <c r="R751" s="35"/>
      <c r="S751" s="74"/>
      <c r="AJ751" s="34"/>
      <c r="AK751" s="34"/>
      <c r="AL751" s="34"/>
      <c r="AM751" s="34"/>
      <c r="AN751" s="34"/>
      <c r="AQ751" s="67"/>
      <c r="AR751" s="67"/>
      <c r="AS751" s="67"/>
      <c r="AT751" s="67"/>
      <c r="AU751" s="67"/>
      <c r="AW751" s="68"/>
      <c r="AX751" s="68"/>
      <c r="AY751" s="68"/>
      <c r="AZ751" s="68"/>
      <c r="BA751" s="68"/>
      <c r="BB751" s="68"/>
    </row>
    <row r="752" spans="1:54" ht="13.5" thickBot="1">
      <c r="A752" s="103">
        <v>39759</v>
      </c>
      <c r="B752" s="104">
        <v>4.188499927520752</v>
      </c>
      <c r="C752" s="105">
        <v>930.989990234375</v>
      </c>
      <c r="D752" s="104">
        <v>1.5699000358581543</v>
      </c>
      <c r="E752">
        <v>98.039212148609494</v>
      </c>
      <c r="F752">
        <v>735.31829833984375</v>
      </c>
      <c r="H752" s="34"/>
      <c r="I752" s="34"/>
      <c r="J752" s="34"/>
      <c r="K752" s="34"/>
      <c r="L752" s="34"/>
      <c r="N752" s="34"/>
      <c r="O752" s="35"/>
      <c r="P752" s="35"/>
      <c r="Q752" s="35"/>
      <c r="R752" s="35"/>
      <c r="S752" s="74"/>
      <c r="AJ752" s="34"/>
      <c r="AK752" s="34"/>
      <c r="AL752" s="34"/>
      <c r="AM752" s="34"/>
      <c r="AN752" s="34"/>
      <c r="AQ752" s="67"/>
      <c r="AR752" s="67"/>
      <c r="AS752" s="67"/>
      <c r="AT752" s="67"/>
      <c r="AU752" s="67"/>
      <c r="AW752" s="68"/>
      <c r="AX752" s="68"/>
      <c r="AY752" s="68"/>
      <c r="AZ752" s="68"/>
      <c r="BA752" s="68"/>
      <c r="BB752" s="68"/>
    </row>
    <row r="753" spans="1:54" ht="13.5" thickBot="1">
      <c r="A753" s="103">
        <v>39762</v>
      </c>
      <c r="B753" s="104">
        <v>4.1779217720031738</v>
      </c>
      <c r="C753" s="105">
        <v>919.21002197265625</v>
      </c>
      <c r="D753" s="104">
        <v>1.5621999502182007</v>
      </c>
      <c r="E753">
        <v>97.971978204114109</v>
      </c>
      <c r="F753">
        <v>743.5086669921875</v>
      </c>
      <c r="H753" s="34"/>
      <c r="I753" s="34"/>
      <c r="J753" s="34"/>
      <c r="K753" s="34"/>
      <c r="L753" s="34"/>
      <c r="N753" s="34"/>
      <c r="O753" s="35"/>
      <c r="P753" s="35"/>
      <c r="Q753" s="35"/>
      <c r="R753" s="35"/>
      <c r="S753" s="74"/>
      <c r="AJ753" s="34"/>
      <c r="AK753" s="34"/>
      <c r="AL753" s="34"/>
      <c r="AM753" s="34"/>
      <c r="AN753" s="34"/>
      <c r="AQ753" s="67"/>
      <c r="AR753" s="67"/>
      <c r="AS753" s="67"/>
      <c r="AT753" s="67"/>
      <c r="AU753" s="67"/>
      <c r="AW753" s="68"/>
      <c r="AX753" s="68"/>
      <c r="AY753" s="68"/>
      <c r="AZ753" s="68"/>
      <c r="BA753" s="68"/>
      <c r="BB753" s="68"/>
    </row>
    <row r="754" spans="1:54" ht="13.5" thickBot="1">
      <c r="A754" s="103">
        <v>39763</v>
      </c>
      <c r="B754" s="104">
        <v>4.1779217720031738</v>
      </c>
      <c r="C754" s="105">
        <v>898.95001220703125</v>
      </c>
      <c r="D754" s="104">
        <v>1.5407999753952026</v>
      </c>
      <c r="E754">
        <v>97.637178119939648</v>
      </c>
      <c r="F754">
        <v>731.7093505859375</v>
      </c>
      <c r="H754" s="34"/>
      <c r="I754" s="34"/>
      <c r="J754" s="34"/>
      <c r="K754" s="34"/>
      <c r="L754" s="34"/>
      <c r="N754" s="34"/>
      <c r="O754" s="35"/>
      <c r="P754" s="35"/>
      <c r="Q754" s="35"/>
      <c r="R754" s="35"/>
      <c r="S754" s="74"/>
      <c r="AJ754" s="34"/>
      <c r="AK754" s="34"/>
      <c r="AL754" s="34"/>
      <c r="AM754" s="34"/>
      <c r="AN754" s="34"/>
      <c r="AQ754" s="67"/>
      <c r="AR754" s="67"/>
      <c r="AS754" s="67"/>
      <c r="AT754" s="67"/>
      <c r="AU754" s="67"/>
      <c r="AW754" s="68"/>
      <c r="AX754" s="68"/>
      <c r="AY754" s="68"/>
      <c r="AZ754" s="68"/>
      <c r="BA754" s="68"/>
      <c r="BB754" s="68"/>
    </row>
    <row r="755" spans="1:54" ht="13.5" thickBot="1">
      <c r="A755" s="103">
        <v>39764</v>
      </c>
      <c r="B755" s="104">
        <v>4.0295000076293945</v>
      </c>
      <c r="C755" s="105">
        <v>852.29998779296875</v>
      </c>
      <c r="D755" s="104">
        <v>1.4967000484466553</v>
      </c>
      <c r="E755">
        <v>95.556618895854555</v>
      </c>
      <c r="F755">
        <v>718.9600830078125</v>
      </c>
      <c r="H755" s="34"/>
      <c r="I755" s="34"/>
      <c r="J755" s="34"/>
      <c r="K755" s="34"/>
      <c r="L755" s="34"/>
      <c r="N755" s="34"/>
      <c r="O755" s="35"/>
      <c r="P755" s="35"/>
      <c r="Q755" s="35"/>
      <c r="R755" s="35"/>
      <c r="S755" s="74"/>
      <c r="AJ755" s="34"/>
      <c r="AK755" s="34"/>
      <c r="AL755" s="34"/>
      <c r="AM755" s="34"/>
      <c r="AN755" s="34"/>
      <c r="AQ755" s="67"/>
      <c r="AR755" s="67"/>
      <c r="AS755" s="67"/>
      <c r="AT755" s="67"/>
      <c r="AU755" s="67"/>
      <c r="AW755" s="68"/>
      <c r="AX755" s="68"/>
      <c r="AY755" s="68"/>
      <c r="AZ755" s="68"/>
      <c r="BA755" s="68"/>
      <c r="BB755" s="68"/>
    </row>
    <row r="756" spans="1:54" ht="13.5" thickBot="1">
      <c r="A756" s="103">
        <v>39765</v>
      </c>
      <c r="B756" s="104">
        <v>4.1374998092651367</v>
      </c>
      <c r="C756" s="105">
        <v>911.28997802734375</v>
      </c>
      <c r="D756" s="104">
        <v>1.4673000574111938</v>
      </c>
      <c r="E756">
        <v>96.459925143833061</v>
      </c>
      <c r="F756">
        <v>706.12152099609375</v>
      </c>
      <c r="H756" s="34"/>
      <c r="I756" s="34"/>
      <c r="J756" s="34"/>
      <c r="K756" s="34"/>
      <c r="L756" s="34"/>
      <c r="N756" s="34"/>
      <c r="O756" s="35"/>
      <c r="P756" s="35"/>
      <c r="Q756" s="35"/>
      <c r="R756" s="35"/>
      <c r="S756" s="74"/>
      <c r="AJ756" s="34"/>
      <c r="AK756" s="34"/>
      <c r="AL756" s="34"/>
      <c r="AM756" s="34"/>
      <c r="AN756" s="34"/>
      <c r="AQ756" s="67"/>
      <c r="AR756" s="67"/>
      <c r="AS756" s="67"/>
      <c r="AT756" s="67"/>
      <c r="AU756" s="67"/>
      <c r="AW756" s="68"/>
      <c r="AX756" s="68"/>
      <c r="AY756" s="68"/>
      <c r="AZ756" s="68"/>
      <c r="BA756" s="68"/>
      <c r="BB756" s="68"/>
    </row>
    <row r="757" spans="1:54" ht="13.5" thickBot="1">
      <c r="A757" s="103">
        <v>39766</v>
      </c>
      <c r="B757" s="104">
        <v>4.0764999389648437</v>
      </c>
      <c r="C757" s="105">
        <v>873.28997802734375</v>
      </c>
      <c r="D757" s="104">
        <v>1.4948999881744385</v>
      </c>
      <c r="E757">
        <v>97.59906064222352</v>
      </c>
      <c r="F757">
        <v>747.11700439453125</v>
      </c>
      <c r="H757" s="34"/>
      <c r="I757" s="34"/>
      <c r="J757" s="34"/>
      <c r="K757" s="34"/>
      <c r="L757" s="34"/>
      <c r="N757" s="34"/>
      <c r="O757" s="35"/>
      <c r="P757" s="35"/>
      <c r="Q757" s="35"/>
      <c r="R757" s="35"/>
      <c r="S757" s="74"/>
      <c r="AJ757" s="34"/>
      <c r="AK757" s="34"/>
      <c r="AL757" s="34"/>
      <c r="AM757" s="34"/>
      <c r="AN757" s="34"/>
      <c r="AQ757" s="67"/>
      <c r="AR757" s="67"/>
      <c r="AS757" s="67"/>
      <c r="AT757" s="67"/>
      <c r="AU757" s="67"/>
      <c r="AW757" s="68"/>
      <c r="AX757" s="68"/>
      <c r="AY757" s="68"/>
      <c r="AZ757" s="68"/>
      <c r="BA757" s="68"/>
      <c r="BB757" s="68"/>
    </row>
    <row r="758" spans="1:54" ht="13.5" thickBot="1">
      <c r="A758" s="103">
        <v>39769</v>
      </c>
      <c r="B758" s="104">
        <v>4.0089998245239258</v>
      </c>
      <c r="C758" s="105">
        <v>850.75</v>
      </c>
      <c r="D758" s="104">
        <v>1.5024000406265259</v>
      </c>
      <c r="E758">
        <v>96.918008590769375</v>
      </c>
      <c r="F758">
        <v>745.05859375</v>
      </c>
      <c r="H758" s="34"/>
      <c r="I758" s="34"/>
      <c r="J758" s="34"/>
      <c r="K758" s="34"/>
      <c r="L758" s="34"/>
      <c r="N758" s="34"/>
      <c r="O758" s="35"/>
      <c r="P758" s="35"/>
      <c r="Q758" s="35"/>
      <c r="R758" s="35"/>
      <c r="S758" s="74"/>
      <c r="AJ758" s="34"/>
      <c r="AK758" s="34"/>
      <c r="AL758" s="34"/>
      <c r="AM758" s="34"/>
      <c r="AN758" s="34"/>
      <c r="AQ758" s="67"/>
      <c r="AR758" s="67"/>
      <c r="AS758" s="67"/>
      <c r="AT758" s="67"/>
      <c r="AU758" s="67"/>
      <c r="AW758" s="68"/>
      <c r="AX758" s="68"/>
      <c r="AY758" s="68"/>
      <c r="AZ758" s="68"/>
      <c r="BA758" s="68"/>
      <c r="BB758" s="68"/>
    </row>
    <row r="759" spans="1:54" ht="13.5" thickBot="1">
      <c r="A759" s="103">
        <v>39770</v>
      </c>
      <c r="B759" s="104">
        <v>3.8529999256134033</v>
      </c>
      <c r="C759" s="105">
        <v>859.1199951171875</v>
      </c>
      <c r="D759" s="104">
        <v>1.4917000532150269</v>
      </c>
      <c r="E759">
        <v>96.422721146689739</v>
      </c>
      <c r="F759">
        <v>742.97613525390625</v>
      </c>
      <c r="H759" s="34"/>
      <c r="I759" s="34"/>
      <c r="J759" s="34"/>
      <c r="K759" s="34"/>
      <c r="L759" s="34"/>
      <c r="N759" s="34"/>
      <c r="O759" s="35"/>
      <c r="P759" s="35"/>
      <c r="Q759" s="35"/>
      <c r="R759" s="35"/>
      <c r="S759" s="74"/>
      <c r="AJ759" s="34"/>
      <c r="AK759" s="34"/>
      <c r="AL759" s="34"/>
      <c r="AM759" s="34"/>
      <c r="AN759" s="34"/>
      <c r="AQ759" s="67"/>
      <c r="AR759" s="67"/>
      <c r="AS759" s="67"/>
      <c r="AT759" s="67"/>
      <c r="AU759" s="67"/>
      <c r="AW759" s="68"/>
      <c r="AX759" s="68"/>
      <c r="AY759" s="68"/>
      <c r="AZ759" s="68"/>
      <c r="BA759" s="68"/>
      <c r="BB759" s="68"/>
    </row>
    <row r="760" spans="1:54" ht="13.5" thickBot="1">
      <c r="A760" s="103">
        <v>39771</v>
      </c>
      <c r="B760" s="104">
        <v>3.6519999504089355</v>
      </c>
      <c r="C760" s="105">
        <v>806.58001708984375</v>
      </c>
      <c r="D760" s="104">
        <v>1.5027999877929688</v>
      </c>
      <c r="E760">
        <v>96.404125580314613</v>
      </c>
      <c r="F760">
        <v>736.3272705078125</v>
      </c>
      <c r="H760" s="34"/>
      <c r="I760" s="34"/>
      <c r="J760" s="34"/>
      <c r="K760" s="34"/>
      <c r="L760" s="34"/>
      <c r="N760" s="34"/>
      <c r="O760" s="35"/>
      <c r="P760" s="35"/>
      <c r="Q760" s="35"/>
      <c r="R760" s="35"/>
      <c r="S760" s="74"/>
      <c r="AJ760" s="34"/>
      <c r="AK760" s="34"/>
      <c r="AL760" s="34"/>
      <c r="AM760" s="34"/>
      <c r="AN760" s="34"/>
      <c r="AQ760" s="67"/>
      <c r="AR760" s="67"/>
      <c r="AS760" s="67"/>
      <c r="AT760" s="67"/>
      <c r="AU760" s="67"/>
      <c r="AW760" s="68"/>
      <c r="AX760" s="68"/>
      <c r="AY760" s="68"/>
      <c r="AZ760" s="68"/>
      <c r="BA760" s="68"/>
      <c r="BB760" s="68"/>
    </row>
    <row r="761" spans="1:54" ht="13.5" thickBot="1">
      <c r="A761" s="103">
        <v>39772</v>
      </c>
      <c r="B761" s="104">
        <v>3.2909998893737793</v>
      </c>
      <c r="C761" s="105">
        <v>752.44000244140625</v>
      </c>
      <c r="D761" s="104">
        <v>1.4816999435424805</v>
      </c>
      <c r="E761">
        <v>94.858663181907573</v>
      </c>
      <c r="F761">
        <v>746.3255615234375</v>
      </c>
      <c r="H761" s="34"/>
      <c r="I761" s="34"/>
      <c r="J761" s="34"/>
      <c r="K761" s="34"/>
      <c r="L761" s="34"/>
      <c r="N761" s="34"/>
      <c r="O761" s="35"/>
      <c r="P761" s="35"/>
      <c r="Q761" s="35"/>
      <c r="R761" s="35"/>
      <c r="S761" s="74"/>
      <c r="AJ761" s="34"/>
      <c r="AK761" s="34"/>
      <c r="AL761" s="34"/>
      <c r="AM761" s="34"/>
      <c r="AN761" s="34"/>
      <c r="AQ761" s="67"/>
      <c r="AR761" s="67"/>
      <c r="AS761" s="67"/>
      <c r="AT761" s="67"/>
      <c r="AU761" s="67"/>
      <c r="AW761" s="68"/>
      <c r="AX761" s="68"/>
      <c r="AY761" s="68"/>
      <c r="AZ761" s="68"/>
      <c r="BA761" s="68"/>
      <c r="BB761" s="68"/>
    </row>
    <row r="762" spans="1:54" ht="13.5" thickBot="1">
      <c r="A762" s="103">
        <v>39773</v>
      </c>
      <c r="B762" s="104">
        <v>3.4175000190734863</v>
      </c>
      <c r="C762" s="105">
        <v>800.030029296875</v>
      </c>
      <c r="D762" s="104">
        <v>1.4768999814987183</v>
      </c>
      <c r="E762">
        <v>95.337973046429042</v>
      </c>
      <c r="F762">
        <v>789.990234375</v>
      </c>
      <c r="H762" s="34"/>
      <c r="I762" s="34"/>
      <c r="J762" s="34"/>
      <c r="K762" s="34"/>
      <c r="L762" s="34"/>
      <c r="N762" s="34"/>
      <c r="O762" s="35"/>
      <c r="P762" s="35"/>
      <c r="Q762" s="35"/>
      <c r="R762" s="35"/>
      <c r="S762" s="74"/>
      <c r="AJ762" s="34"/>
      <c r="AK762" s="34"/>
      <c r="AL762" s="34"/>
      <c r="AM762" s="34"/>
      <c r="AN762" s="34"/>
      <c r="AQ762" s="67"/>
      <c r="AR762" s="67"/>
      <c r="AS762" s="67"/>
      <c r="AT762" s="67"/>
      <c r="AU762" s="67"/>
      <c r="AW762" s="68"/>
      <c r="AX762" s="68"/>
      <c r="AY762" s="68"/>
      <c r="AZ762" s="68"/>
      <c r="BA762" s="68"/>
      <c r="BB762" s="68"/>
    </row>
    <row r="763" spans="1:54" ht="13.5" thickBot="1">
      <c r="A763" s="103">
        <v>39776</v>
      </c>
      <c r="B763" s="104">
        <v>3.5694999694824219</v>
      </c>
      <c r="C763" s="105">
        <v>851.80999755859375</v>
      </c>
      <c r="D763" s="104">
        <v>1.5111000537872314</v>
      </c>
      <c r="E763">
        <v>96.833541536427006</v>
      </c>
      <c r="F763">
        <v>821.954345703125</v>
      </c>
      <c r="H763" s="34"/>
      <c r="I763" s="34"/>
      <c r="J763" s="34"/>
      <c r="K763" s="34"/>
      <c r="L763" s="34"/>
      <c r="N763" s="34"/>
      <c r="O763" s="35"/>
      <c r="P763" s="35"/>
      <c r="Q763" s="35"/>
      <c r="R763" s="35"/>
      <c r="S763" s="74"/>
      <c r="AJ763" s="34"/>
      <c r="AK763" s="34"/>
      <c r="AL763" s="34"/>
      <c r="AM763" s="34"/>
      <c r="AN763" s="34"/>
      <c r="AQ763" s="67"/>
      <c r="AR763" s="67"/>
      <c r="AS763" s="67"/>
      <c r="AT763" s="67"/>
      <c r="AU763" s="67"/>
      <c r="AW763" s="68"/>
      <c r="AX763" s="68"/>
      <c r="AY763" s="68"/>
      <c r="AZ763" s="68"/>
      <c r="BA763" s="68"/>
      <c r="BB763" s="68"/>
    </row>
    <row r="764" spans="1:54" ht="13.5" thickBot="1">
      <c r="A764" s="103">
        <v>39777</v>
      </c>
      <c r="B764" s="104">
        <v>3.249000072479248</v>
      </c>
      <c r="C764" s="105">
        <v>857.3900146484375</v>
      </c>
      <c r="D764" s="104">
        <v>1.5450999736785889</v>
      </c>
      <c r="E764">
        <v>95.620577509049625</v>
      </c>
      <c r="F764">
        <v>818.154541015625</v>
      </c>
      <c r="H764" s="34"/>
      <c r="I764" s="34"/>
      <c r="J764" s="34"/>
      <c r="K764" s="34"/>
      <c r="L764" s="34"/>
      <c r="N764" s="34"/>
      <c r="O764" s="35"/>
      <c r="P764" s="35"/>
      <c r="Q764" s="35"/>
      <c r="R764" s="35"/>
      <c r="S764" s="74"/>
      <c r="AJ764" s="34"/>
      <c r="AK764" s="34"/>
      <c r="AL764" s="34"/>
      <c r="AM764" s="34"/>
      <c r="AN764" s="34"/>
      <c r="AQ764" s="67"/>
      <c r="AR764" s="67"/>
      <c r="AS764" s="67"/>
      <c r="AT764" s="67"/>
      <c r="AU764" s="67"/>
      <c r="AW764" s="68"/>
      <c r="AX764" s="68"/>
      <c r="AY764" s="68"/>
      <c r="AZ764" s="68"/>
      <c r="BA764" s="68"/>
      <c r="BB764" s="68"/>
    </row>
    <row r="765" spans="1:54" ht="13.5" thickBot="1">
      <c r="A765" s="103">
        <v>39778</v>
      </c>
      <c r="B765" s="104">
        <v>3.1926069259643555</v>
      </c>
      <c r="C765" s="105">
        <v>887.67999267578125</v>
      </c>
      <c r="D765" s="104">
        <v>1.5349999666213989</v>
      </c>
      <c r="E765">
        <v>95.739591321910126</v>
      </c>
      <c r="F765">
        <v>811.25494384765625</v>
      </c>
      <c r="H765" s="34"/>
      <c r="I765" s="34"/>
      <c r="J765" s="34"/>
      <c r="K765" s="34"/>
      <c r="L765" s="34"/>
      <c r="N765" s="34"/>
      <c r="O765" s="35"/>
      <c r="P765" s="35"/>
      <c r="Q765" s="35"/>
      <c r="R765" s="35"/>
      <c r="S765" s="74"/>
      <c r="AJ765" s="34"/>
      <c r="AK765" s="34"/>
      <c r="AL765" s="34"/>
      <c r="AM765" s="34"/>
      <c r="AN765" s="34"/>
      <c r="AQ765" s="67"/>
      <c r="AR765" s="67"/>
      <c r="AS765" s="67"/>
      <c r="AT765" s="67"/>
      <c r="AU765" s="67"/>
      <c r="AW765" s="68"/>
      <c r="AX765" s="68"/>
      <c r="AY765" s="68"/>
      <c r="AZ765" s="68"/>
      <c r="BA765" s="68"/>
      <c r="BB765" s="68"/>
    </row>
    <row r="766" spans="1:54" ht="13.5" thickBot="1">
      <c r="A766" s="103">
        <v>39779</v>
      </c>
      <c r="B766" s="104">
        <v>3.1926069259643555</v>
      </c>
      <c r="C766" s="105">
        <v>887.67999267578125</v>
      </c>
      <c r="D766" s="104">
        <v>1.541700005531311</v>
      </c>
      <c r="E766">
        <v>95.310714763460311</v>
      </c>
      <c r="F766">
        <v>815.55938720703125</v>
      </c>
      <c r="H766" s="34"/>
      <c r="I766" s="34"/>
      <c r="J766" s="34"/>
      <c r="K766" s="34"/>
      <c r="L766" s="34"/>
      <c r="N766" s="34"/>
      <c r="O766" s="35"/>
      <c r="P766" s="35"/>
      <c r="Q766" s="35"/>
      <c r="R766" s="35"/>
      <c r="S766" s="74"/>
      <c r="AJ766" s="34"/>
      <c r="AK766" s="34"/>
      <c r="AL766" s="34"/>
      <c r="AM766" s="34"/>
      <c r="AN766" s="34"/>
      <c r="AQ766" s="67"/>
      <c r="AR766" s="67"/>
      <c r="AS766" s="67"/>
      <c r="AT766" s="67"/>
      <c r="AU766" s="67"/>
      <c r="AW766" s="68"/>
      <c r="AX766" s="68"/>
      <c r="AY766" s="68"/>
      <c r="AZ766" s="68"/>
      <c r="BA766" s="68"/>
      <c r="BB766" s="68"/>
    </row>
    <row r="767" spans="1:54" ht="13.5" thickBot="1">
      <c r="A767" s="103">
        <v>39780</v>
      </c>
      <c r="B767" s="104">
        <v>3.1500000953674316</v>
      </c>
      <c r="C767" s="105">
        <v>896.239990234375</v>
      </c>
      <c r="D767" s="104">
        <v>1.5371500253677368</v>
      </c>
      <c r="E767">
        <v>95.565753031827128</v>
      </c>
      <c r="F767">
        <v>816.75921630859375</v>
      </c>
      <c r="H767" s="34"/>
      <c r="I767" s="34"/>
      <c r="J767" s="34"/>
      <c r="K767" s="34"/>
      <c r="L767" s="34"/>
      <c r="N767" s="34"/>
      <c r="O767" s="35"/>
      <c r="P767" s="35"/>
      <c r="Q767" s="35"/>
      <c r="R767" s="35"/>
      <c r="S767" s="74"/>
      <c r="AJ767" s="34"/>
      <c r="AK767" s="34"/>
      <c r="AL767" s="34"/>
      <c r="AM767" s="34"/>
      <c r="AN767" s="34"/>
      <c r="AQ767" s="67"/>
      <c r="AR767" s="67"/>
      <c r="AS767" s="67"/>
      <c r="AT767" s="67"/>
      <c r="AU767" s="67"/>
      <c r="AW767" s="68"/>
      <c r="AX767" s="68"/>
      <c r="AY767" s="68"/>
      <c r="AZ767" s="68"/>
      <c r="BA767" s="68"/>
      <c r="BB767" s="68"/>
    </row>
    <row r="768" spans="1:54" ht="13.5" thickBot="1">
      <c r="A768" s="103">
        <v>39783</v>
      </c>
      <c r="B768" s="104">
        <v>2.9314999580383301</v>
      </c>
      <c r="C768" s="105">
        <v>816.21002197265625</v>
      </c>
      <c r="D768" s="104">
        <v>1.4910999536514282</v>
      </c>
      <c r="E768">
        <v>93.361961712565744</v>
      </c>
      <c r="F768">
        <v>776.45684814453125</v>
      </c>
      <c r="H768" s="34"/>
      <c r="I768" s="34"/>
      <c r="J768" s="34"/>
      <c r="K768" s="34"/>
      <c r="L768" s="34"/>
      <c r="N768" s="34"/>
      <c r="O768" s="35"/>
      <c r="P768" s="35"/>
      <c r="Q768" s="35"/>
      <c r="R768" s="35"/>
      <c r="S768" s="74"/>
      <c r="AJ768" s="34"/>
      <c r="AK768" s="34"/>
      <c r="AL768" s="34"/>
      <c r="AM768" s="34"/>
      <c r="AN768" s="34"/>
      <c r="AQ768" s="67"/>
      <c r="AR768" s="67"/>
      <c r="AS768" s="67"/>
      <c r="AT768" s="67"/>
      <c r="AU768" s="67"/>
      <c r="AW768" s="68"/>
      <c r="AX768" s="68"/>
      <c r="AY768" s="68"/>
      <c r="AZ768" s="68"/>
      <c r="BA768" s="68"/>
      <c r="BB768" s="68"/>
    </row>
    <row r="769" spans="1:54" ht="13.5" thickBot="1">
      <c r="A769" s="103">
        <v>39784</v>
      </c>
      <c r="B769" s="104">
        <v>2.9254999160766602</v>
      </c>
      <c r="C769" s="105">
        <v>848.80999755859375</v>
      </c>
      <c r="D769" s="104">
        <v>1.4873000383377075</v>
      </c>
      <c r="E769">
        <v>93.222705377803791</v>
      </c>
      <c r="F769">
        <v>779.4566650390625</v>
      </c>
      <c r="H769" s="34"/>
      <c r="I769" s="34"/>
      <c r="J769" s="34"/>
      <c r="K769" s="34"/>
      <c r="L769" s="34"/>
      <c r="N769" s="34"/>
      <c r="O769" s="35"/>
      <c r="P769" s="35"/>
      <c r="Q769" s="35"/>
      <c r="R769" s="35"/>
      <c r="S769" s="74"/>
      <c r="AJ769" s="34"/>
      <c r="AK769" s="34"/>
      <c r="AL769" s="34"/>
      <c r="AM769" s="34"/>
      <c r="AN769" s="34"/>
      <c r="AQ769" s="67"/>
      <c r="AR769" s="67"/>
      <c r="AS769" s="67"/>
      <c r="AT769" s="67"/>
      <c r="AU769" s="67"/>
      <c r="AW769" s="68"/>
      <c r="AX769" s="68"/>
      <c r="AY769" s="68"/>
      <c r="AZ769" s="68"/>
      <c r="BA769" s="68"/>
      <c r="BB769" s="68"/>
    </row>
    <row r="770" spans="1:54" ht="13.5" thickBot="1">
      <c r="A770" s="103">
        <v>39785</v>
      </c>
      <c r="B770" s="104">
        <v>2.9465000629425049</v>
      </c>
      <c r="C770" s="105">
        <v>870.739990234375</v>
      </c>
      <c r="D770" s="104">
        <v>1.4722000360488892</v>
      </c>
      <c r="E770">
        <v>93.057879104869556</v>
      </c>
      <c r="F770">
        <v>779.55670166015625</v>
      </c>
      <c r="H770" s="34"/>
      <c r="I770" s="34"/>
      <c r="J770" s="34"/>
      <c r="K770" s="34"/>
      <c r="L770" s="34"/>
      <c r="N770" s="34"/>
      <c r="O770" s="35"/>
      <c r="P770" s="35"/>
      <c r="Q770" s="35"/>
      <c r="R770" s="35"/>
      <c r="S770" s="74"/>
      <c r="AJ770" s="34"/>
      <c r="AK770" s="34"/>
      <c r="AL770" s="34"/>
      <c r="AM770" s="34"/>
      <c r="AN770" s="34"/>
      <c r="AQ770" s="67"/>
      <c r="AR770" s="67"/>
      <c r="AS770" s="67"/>
      <c r="AT770" s="67"/>
      <c r="AU770" s="67"/>
      <c r="AW770" s="68"/>
      <c r="AX770" s="68"/>
      <c r="AY770" s="68"/>
      <c r="AZ770" s="68"/>
      <c r="BA770" s="68"/>
      <c r="BB770" s="68"/>
    </row>
    <row r="771" spans="1:54" ht="13.5" thickBot="1">
      <c r="A771" s="103">
        <v>39786</v>
      </c>
      <c r="B771" s="104">
        <v>2.8829998970031738</v>
      </c>
      <c r="C771" s="105">
        <v>845.219970703125</v>
      </c>
      <c r="D771" s="104">
        <v>1.4750000238418579</v>
      </c>
      <c r="E771">
        <v>92.395821809762026</v>
      </c>
      <c r="F771">
        <v>767.493408203125</v>
      </c>
      <c r="H771" s="34"/>
      <c r="I771" s="34"/>
      <c r="J771" s="34"/>
      <c r="K771" s="34"/>
      <c r="L771" s="34"/>
      <c r="N771" s="34"/>
      <c r="O771" s="35"/>
      <c r="P771" s="35"/>
      <c r="Q771" s="35"/>
      <c r="R771" s="35"/>
      <c r="S771" s="74"/>
      <c r="AJ771" s="34"/>
      <c r="AK771" s="34"/>
      <c r="AL771" s="34"/>
      <c r="AM771" s="34"/>
      <c r="AN771" s="34"/>
      <c r="AQ771" s="67"/>
      <c r="AR771" s="67"/>
      <c r="AS771" s="67"/>
      <c r="AT771" s="67"/>
      <c r="AU771" s="67"/>
      <c r="AW771" s="68"/>
      <c r="AX771" s="68"/>
      <c r="AY771" s="68"/>
      <c r="AZ771" s="68"/>
      <c r="BA771" s="68"/>
      <c r="BB771" s="68"/>
    </row>
    <row r="772" spans="1:54" ht="13.5" thickBot="1">
      <c r="A772" s="103">
        <v>39787</v>
      </c>
      <c r="B772" s="104">
        <v>2.9360001087188721</v>
      </c>
      <c r="C772" s="105">
        <v>876.07000732421875</v>
      </c>
      <c r="D772" s="104">
        <v>1.4703999757766724</v>
      </c>
      <c r="E772">
        <v>93.101200453201457</v>
      </c>
      <c r="F772">
        <v>744.5965576171875</v>
      </c>
      <c r="H772" s="34"/>
      <c r="I772" s="34"/>
      <c r="J772" s="34"/>
      <c r="K772" s="34"/>
      <c r="L772" s="34"/>
      <c r="N772" s="34"/>
      <c r="O772" s="35"/>
      <c r="P772" s="35"/>
      <c r="Q772" s="35"/>
      <c r="R772" s="35"/>
      <c r="S772" s="74"/>
      <c r="AJ772" s="34"/>
      <c r="AK772" s="34"/>
      <c r="AL772" s="34"/>
      <c r="AM772" s="34"/>
      <c r="AN772" s="34"/>
      <c r="AQ772" s="67"/>
      <c r="AR772" s="67"/>
      <c r="AS772" s="67"/>
      <c r="AT772" s="67"/>
      <c r="AU772" s="67"/>
      <c r="AW772" s="68"/>
      <c r="AX772" s="68"/>
      <c r="AY772" s="68"/>
      <c r="AZ772" s="68"/>
      <c r="BA772" s="68"/>
      <c r="BB772" s="68"/>
    </row>
    <row r="773" spans="1:54" ht="13.5" thickBot="1">
      <c r="A773" s="103">
        <v>39790</v>
      </c>
      <c r="B773" s="104">
        <v>2.9939999580383301</v>
      </c>
      <c r="C773" s="105">
        <v>909.70001220703125</v>
      </c>
      <c r="D773" s="104">
        <v>1.4946000576019287</v>
      </c>
      <c r="E773">
        <v>92.980011851307395</v>
      </c>
      <c r="F773">
        <v>770.83575439453125</v>
      </c>
      <c r="H773" s="34"/>
      <c r="I773" s="34"/>
      <c r="J773" s="34"/>
      <c r="K773" s="34"/>
      <c r="L773" s="34"/>
      <c r="N773" s="34"/>
      <c r="O773" s="35"/>
      <c r="P773" s="35"/>
      <c r="Q773" s="35"/>
      <c r="R773" s="35"/>
      <c r="S773" s="74"/>
      <c r="AJ773" s="34"/>
      <c r="AK773" s="34"/>
      <c r="AL773" s="34"/>
      <c r="AM773" s="34"/>
      <c r="AN773" s="34"/>
      <c r="AQ773" s="67"/>
      <c r="AR773" s="67"/>
      <c r="AS773" s="67"/>
      <c r="AT773" s="67"/>
      <c r="AU773" s="67"/>
      <c r="AW773" s="68"/>
      <c r="AX773" s="68"/>
      <c r="AY773" s="68"/>
      <c r="AZ773" s="68"/>
      <c r="BA773" s="68"/>
      <c r="BB773" s="68"/>
    </row>
    <row r="774" spans="1:54" ht="13.5" thickBot="1">
      <c r="A774" s="103">
        <v>39791</v>
      </c>
      <c r="B774" s="104">
        <v>2.9719998836517334</v>
      </c>
      <c r="C774" s="105">
        <v>888.66998291015625</v>
      </c>
      <c r="D774" s="104">
        <v>1.4759000539779663</v>
      </c>
      <c r="E774">
        <v>92.123449365006138</v>
      </c>
      <c r="F774">
        <v>773.95697021484375</v>
      </c>
      <c r="H774" s="34"/>
      <c r="I774" s="34"/>
      <c r="J774" s="34"/>
      <c r="K774" s="34"/>
      <c r="L774" s="34"/>
      <c r="N774" s="34"/>
      <c r="O774" s="35"/>
      <c r="P774" s="35"/>
      <c r="Q774" s="35"/>
      <c r="R774" s="35"/>
      <c r="S774" s="74"/>
      <c r="AJ774" s="34"/>
      <c r="AK774" s="34"/>
      <c r="AL774" s="34"/>
      <c r="AM774" s="34"/>
      <c r="AN774" s="34"/>
      <c r="AQ774" s="67"/>
      <c r="AR774" s="67"/>
      <c r="AS774" s="67"/>
      <c r="AT774" s="67"/>
      <c r="AU774" s="67"/>
      <c r="AW774" s="68"/>
      <c r="AX774" s="68"/>
      <c r="AY774" s="68"/>
      <c r="AZ774" s="68"/>
      <c r="BA774" s="68"/>
      <c r="BB774" s="68"/>
    </row>
    <row r="775" spans="1:54" ht="13.5" thickBot="1">
      <c r="A775" s="103">
        <v>39792</v>
      </c>
      <c r="B775" s="104">
        <v>2.934499979019165</v>
      </c>
      <c r="C775" s="105">
        <v>899.239990234375</v>
      </c>
      <c r="D775" s="104">
        <v>1.4775999784469604</v>
      </c>
      <c r="E775">
        <v>92.661228658845474</v>
      </c>
      <c r="F775">
        <v>811.95489501953125</v>
      </c>
      <c r="H775" s="34"/>
      <c r="I775" s="34"/>
      <c r="J775" s="34"/>
      <c r="K775" s="34"/>
      <c r="L775" s="34"/>
      <c r="N775" s="34"/>
      <c r="O775" s="35"/>
      <c r="P775" s="35"/>
      <c r="Q775" s="35"/>
      <c r="R775" s="35"/>
      <c r="S775" s="74"/>
      <c r="AJ775" s="34"/>
      <c r="AK775" s="34"/>
      <c r="AL775" s="34"/>
      <c r="AM775" s="34"/>
      <c r="AN775" s="34"/>
      <c r="AQ775" s="67"/>
      <c r="AR775" s="67"/>
      <c r="AS775" s="67"/>
      <c r="AT775" s="67"/>
      <c r="AU775" s="67"/>
      <c r="AW775" s="68"/>
      <c r="AX775" s="68"/>
      <c r="AY775" s="68"/>
      <c r="AZ775" s="68"/>
      <c r="BA775" s="68"/>
      <c r="BB775" s="68"/>
    </row>
    <row r="776" spans="1:54" ht="13.5" thickBot="1">
      <c r="A776" s="103">
        <v>39793</v>
      </c>
      <c r="B776" s="104">
        <v>2.8429999351501465</v>
      </c>
      <c r="C776" s="105">
        <v>873.59002685546875</v>
      </c>
      <c r="D776" s="104">
        <v>1.4979000091552734</v>
      </c>
      <c r="E776">
        <v>91.759959075814862</v>
      </c>
      <c r="F776">
        <v>824.9083251953125</v>
      </c>
      <c r="H776" s="34"/>
      <c r="I776" s="34"/>
      <c r="J776" s="34"/>
      <c r="K776" s="34"/>
      <c r="L776" s="34"/>
      <c r="N776" s="34"/>
      <c r="O776" s="35"/>
      <c r="P776" s="35"/>
      <c r="Q776" s="35"/>
      <c r="R776" s="35"/>
      <c r="S776" s="74"/>
      <c r="AJ776" s="34"/>
      <c r="AK776" s="34"/>
      <c r="AL776" s="34"/>
      <c r="AM776" s="34"/>
      <c r="AN776" s="34"/>
      <c r="AQ776" s="67"/>
      <c r="AR776" s="67"/>
      <c r="AS776" s="67"/>
      <c r="AT776" s="67"/>
      <c r="AU776" s="67"/>
      <c r="AW776" s="68"/>
      <c r="AX776" s="68"/>
      <c r="AY776" s="68"/>
      <c r="AZ776" s="68"/>
      <c r="BA776" s="68"/>
      <c r="BB776" s="68"/>
    </row>
    <row r="777" spans="1:54" ht="13.5" thickBot="1">
      <c r="A777" s="103">
        <v>39794</v>
      </c>
      <c r="B777" s="104">
        <v>2.7739999294281006</v>
      </c>
      <c r="C777" s="105">
        <v>879.72998046875</v>
      </c>
      <c r="D777" s="104">
        <v>1.4972000122070312</v>
      </c>
      <c r="E777">
        <v>91.066387159639177</v>
      </c>
      <c r="F777">
        <v>823.908447265625</v>
      </c>
      <c r="H777" s="34"/>
      <c r="I777" s="34"/>
      <c r="J777" s="34"/>
      <c r="K777" s="34"/>
      <c r="L777" s="34"/>
      <c r="N777" s="34"/>
      <c r="O777" s="35"/>
      <c r="P777" s="35"/>
      <c r="Q777" s="35"/>
      <c r="R777" s="35"/>
      <c r="S777" s="74"/>
      <c r="AJ777" s="34"/>
      <c r="AK777" s="34"/>
      <c r="AL777" s="34"/>
      <c r="AM777" s="34"/>
      <c r="AN777" s="34"/>
      <c r="AQ777" s="67"/>
      <c r="AR777" s="67"/>
      <c r="AS777" s="67"/>
      <c r="AT777" s="67"/>
      <c r="AU777" s="67"/>
      <c r="AW777" s="68"/>
      <c r="AX777" s="68"/>
      <c r="AY777" s="68"/>
      <c r="AZ777" s="68"/>
      <c r="BA777" s="68"/>
      <c r="BB777" s="68"/>
    </row>
    <row r="778" spans="1:54" ht="13.5" thickBot="1">
      <c r="A778" s="103">
        <v>39797</v>
      </c>
      <c r="B778" s="104">
        <v>2.7609999179840088</v>
      </c>
      <c r="C778" s="105">
        <v>868.57000732421875</v>
      </c>
      <c r="D778" s="104">
        <v>1.5255000591278076</v>
      </c>
      <c r="E778">
        <v>90.596124422268645</v>
      </c>
      <c r="F778">
        <v>832.75372314453125</v>
      </c>
      <c r="H778" s="34"/>
      <c r="I778" s="34"/>
      <c r="J778" s="34"/>
      <c r="K778" s="34"/>
      <c r="L778" s="34"/>
      <c r="N778" s="34"/>
      <c r="O778" s="35"/>
      <c r="P778" s="35"/>
      <c r="Q778" s="35"/>
      <c r="R778" s="35"/>
      <c r="S778" s="74"/>
      <c r="AJ778" s="34"/>
      <c r="AK778" s="34"/>
      <c r="AL778" s="34"/>
      <c r="AM778" s="34"/>
      <c r="AN778" s="34"/>
      <c r="AQ778" s="67"/>
      <c r="AR778" s="67"/>
      <c r="AS778" s="67"/>
      <c r="AT778" s="67"/>
      <c r="AU778" s="67"/>
      <c r="AW778" s="68"/>
      <c r="AX778" s="68"/>
      <c r="AY778" s="68"/>
      <c r="AZ778" s="68"/>
      <c r="BA778" s="68"/>
      <c r="BB778" s="68"/>
    </row>
    <row r="779" spans="1:54" ht="13.5" thickBot="1">
      <c r="A779" s="103">
        <v>39798</v>
      </c>
      <c r="B779" s="104">
        <v>2.5255000591278076</v>
      </c>
      <c r="C779" s="105">
        <v>913.17999267578125</v>
      </c>
      <c r="D779" s="104">
        <v>1.5467000007629395</v>
      </c>
      <c r="E779">
        <v>89.341554510786466</v>
      </c>
      <c r="F779">
        <v>837.553466796875</v>
      </c>
      <c r="H779" s="34"/>
      <c r="I779" s="34"/>
      <c r="J779" s="34"/>
      <c r="K779" s="34"/>
      <c r="L779" s="34"/>
      <c r="N779" s="34"/>
      <c r="O779" s="35"/>
      <c r="P779" s="35"/>
      <c r="Q779" s="35"/>
      <c r="R779" s="35"/>
      <c r="S779" s="74"/>
      <c r="AJ779" s="34"/>
      <c r="AK779" s="34"/>
      <c r="AL779" s="34"/>
      <c r="AM779" s="34"/>
      <c r="AN779" s="34"/>
      <c r="AQ779" s="67"/>
      <c r="AR779" s="67"/>
      <c r="AS779" s="67"/>
      <c r="AT779" s="67"/>
      <c r="AU779" s="67"/>
      <c r="AW779" s="68"/>
      <c r="AX779" s="68"/>
      <c r="AY779" s="68"/>
      <c r="AZ779" s="68"/>
      <c r="BA779" s="68"/>
      <c r="BB779" s="68"/>
    </row>
    <row r="780" spans="1:54" ht="13.5" thickBot="1">
      <c r="A780" s="103">
        <v>39799</v>
      </c>
      <c r="B780" s="104">
        <v>2.375999927520752</v>
      </c>
      <c r="C780" s="105">
        <v>904.41998291015625</v>
      </c>
      <c r="D780" s="104">
        <v>1.5473999977111816</v>
      </c>
      <c r="E780">
        <v>87.958482133458546</v>
      </c>
      <c r="F780">
        <v>867.351806640625</v>
      </c>
      <c r="H780" s="34"/>
      <c r="I780" s="34"/>
      <c r="J780" s="34"/>
      <c r="K780" s="34"/>
      <c r="L780" s="34"/>
      <c r="N780" s="34"/>
      <c r="O780" s="35"/>
      <c r="P780" s="35"/>
      <c r="Q780" s="35"/>
      <c r="R780" s="35"/>
      <c r="S780" s="74"/>
      <c r="AJ780" s="34"/>
      <c r="AK780" s="34"/>
      <c r="AL780" s="34"/>
      <c r="AM780" s="34"/>
      <c r="AN780" s="34"/>
      <c r="AQ780" s="67"/>
      <c r="AR780" s="67"/>
      <c r="AS780" s="67"/>
      <c r="AT780" s="67"/>
      <c r="AU780" s="67"/>
      <c r="AW780" s="68"/>
      <c r="AX780" s="68"/>
      <c r="AY780" s="68"/>
      <c r="AZ780" s="68"/>
      <c r="BA780" s="68"/>
      <c r="BB780" s="68"/>
    </row>
    <row r="781" spans="1:54" ht="13.5" thickBot="1">
      <c r="A781" s="103">
        <v>39800</v>
      </c>
      <c r="B781" s="104">
        <v>2.3034999370574951</v>
      </c>
      <c r="C781" s="105">
        <v>885.280029296875</v>
      </c>
      <c r="D781" s="104">
        <v>1.5065000057220459</v>
      </c>
      <c r="E781">
        <v>89.397461434120203</v>
      </c>
      <c r="F781">
        <v>857.30474853515625</v>
      </c>
      <c r="H781" s="34"/>
      <c r="I781" s="34"/>
      <c r="J781" s="34"/>
      <c r="K781" s="34"/>
      <c r="L781" s="34"/>
      <c r="N781" s="34"/>
      <c r="O781" s="35"/>
      <c r="P781" s="35"/>
      <c r="Q781" s="35"/>
      <c r="R781" s="35"/>
      <c r="S781" s="74"/>
      <c r="AJ781" s="34"/>
      <c r="AK781" s="34"/>
      <c r="AL781" s="34"/>
      <c r="AM781" s="34"/>
      <c r="AN781" s="34"/>
      <c r="AQ781" s="67"/>
      <c r="AR781" s="67"/>
      <c r="AS781" s="67"/>
      <c r="AT781" s="67"/>
      <c r="AU781" s="67"/>
      <c r="AW781" s="68"/>
      <c r="AX781" s="68"/>
      <c r="AY781" s="68"/>
      <c r="AZ781" s="68"/>
      <c r="BA781" s="68"/>
      <c r="BB781" s="68"/>
    </row>
    <row r="782" spans="1:54" ht="13.5" thickBot="1">
      <c r="A782" s="103">
        <v>39801</v>
      </c>
      <c r="B782" s="104">
        <v>2.4254999160766602</v>
      </c>
      <c r="C782" s="105">
        <v>887.8800048828125</v>
      </c>
      <c r="D782" s="104">
        <v>1.4859000444412231</v>
      </c>
      <c r="E782">
        <v>89.461442928455469</v>
      </c>
      <c r="F782">
        <v>837.35693359375</v>
      </c>
      <c r="H782" s="34"/>
      <c r="I782" s="34"/>
      <c r="J782" s="34"/>
      <c r="K782" s="34"/>
      <c r="L782" s="34"/>
      <c r="N782" s="34"/>
      <c r="O782" s="35"/>
      <c r="P782" s="35"/>
      <c r="Q782" s="35"/>
      <c r="R782" s="35"/>
      <c r="S782" s="74"/>
      <c r="AJ782" s="34"/>
      <c r="AK782" s="34"/>
      <c r="AL782" s="34"/>
      <c r="AM782" s="34"/>
      <c r="AN782" s="34"/>
      <c r="AQ782" s="67"/>
      <c r="AR782" s="67"/>
      <c r="AS782" s="67"/>
      <c r="AT782" s="67"/>
      <c r="AU782" s="67"/>
      <c r="AW782" s="68"/>
      <c r="AX782" s="68"/>
      <c r="AY782" s="68"/>
      <c r="AZ782" s="68"/>
      <c r="BA782" s="68"/>
      <c r="BB782" s="68"/>
    </row>
    <row r="783" spans="1:54" ht="13.5" thickBot="1">
      <c r="A783" s="103">
        <v>39804</v>
      </c>
      <c r="B783" s="104">
        <v>2.4765000343322754</v>
      </c>
      <c r="C783" s="105">
        <v>871.6300048828125</v>
      </c>
      <c r="D783" s="104">
        <v>1.486299991607666</v>
      </c>
      <c r="E783">
        <v>90.0819745078865</v>
      </c>
      <c r="F783">
        <v>848.3028564453125</v>
      </c>
      <c r="H783" s="34"/>
      <c r="I783" s="34"/>
      <c r="J783" s="34"/>
      <c r="K783" s="34"/>
      <c r="L783" s="34"/>
      <c r="N783" s="34"/>
      <c r="O783" s="35"/>
      <c r="P783" s="35"/>
      <c r="Q783" s="35"/>
      <c r="R783" s="35"/>
      <c r="S783" s="74"/>
      <c r="AJ783" s="34"/>
      <c r="AK783" s="34"/>
      <c r="AL783" s="34"/>
      <c r="AM783" s="34"/>
      <c r="AN783" s="34"/>
      <c r="AQ783" s="67"/>
      <c r="AR783" s="67"/>
      <c r="AS783" s="67"/>
      <c r="AT783" s="67"/>
      <c r="AU783" s="67"/>
      <c r="AW783" s="68"/>
      <c r="AX783" s="68"/>
      <c r="AY783" s="68"/>
      <c r="AZ783" s="68"/>
      <c r="BA783" s="68"/>
      <c r="BB783" s="68"/>
    </row>
    <row r="784" spans="1:54" ht="13.5" thickBot="1">
      <c r="A784" s="103">
        <v>39805</v>
      </c>
      <c r="B784" s="104">
        <v>2.5055000782012939</v>
      </c>
      <c r="C784" s="105">
        <v>863.15997314453125</v>
      </c>
      <c r="D784" s="104">
        <v>1.4733999967575073</v>
      </c>
      <c r="E784">
        <v>90.678272222679666</v>
      </c>
      <c r="F784">
        <v>831.28070068359375</v>
      </c>
      <c r="H784" s="34"/>
      <c r="I784" s="34"/>
      <c r="J784" s="34"/>
      <c r="K784" s="34"/>
      <c r="L784" s="34"/>
      <c r="N784" s="34"/>
      <c r="O784" s="35"/>
      <c r="P784" s="35"/>
      <c r="Q784" s="35"/>
      <c r="R784" s="35"/>
      <c r="S784" s="74"/>
      <c r="AJ784" s="34"/>
      <c r="AK784" s="34"/>
      <c r="AL784" s="34"/>
      <c r="AM784" s="34"/>
      <c r="AN784" s="34"/>
      <c r="AQ784" s="67"/>
      <c r="AR784" s="67"/>
      <c r="AS784" s="67"/>
      <c r="AT784" s="67"/>
      <c r="AU784" s="67"/>
      <c r="AW784" s="68"/>
      <c r="AX784" s="68"/>
      <c r="AY784" s="68"/>
      <c r="AZ784" s="68"/>
      <c r="BA784" s="68"/>
      <c r="BB784" s="68"/>
    </row>
    <row r="785" spans="1:54" ht="13.5" thickBot="1">
      <c r="A785" s="103">
        <v>39806</v>
      </c>
      <c r="B785" s="104">
        <v>2.5520000457763672</v>
      </c>
      <c r="C785" s="105">
        <v>868.1500244140625</v>
      </c>
      <c r="D785" s="104">
        <v>1.4697999954223633</v>
      </c>
      <c r="E785">
        <v>90.702944854554872</v>
      </c>
      <c r="F785">
        <v>840.2332763671875</v>
      </c>
      <c r="H785" s="34"/>
      <c r="I785" s="34"/>
      <c r="J785" s="34"/>
      <c r="K785" s="34"/>
      <c r="L785" s="34"/>
      <c r="N785" s="34"/>
      <c r="O785" s="35"/>
      <c r="P785" s="35"/>
      <c r="Q785" s="35"/>
      <c r="R785" s="35"/>
      <c r="S785" s="74"/>
      <c r="AJ785" s="34"/>
      <c r="AK785" s="34"/>
      <c r="AL785" s="34"/>
      <c r="AM785" s="34"/>
      <c r="AN785" s="34"/>
      <c r="AQ785" s="67"/>
      <c r="AR785" s="67"/>
      <c r="AS785" s="67"/>
      <c r="AT785" s="67"/>
      <c r="AU785" s="67"/>
      <c r="AW785" s="68"/>
      <c r="AX785" s="68"/>
      <c r="AY785" s="68"/>
      <c r="AZ785" s="68"/>
      <c r="BA785" s="68"/>
      <c r="BB785" s="68"/>
    </row>
    <row r="786" spans="1:54" ht="13.5" thickBot="1">
      <c r="A786" s="103">
        <v>39807</v>
      </c>
      <c r="B786" s="104">
        <v>2.5520000457763672</v>
      </c>
      <c r="C786" s="105">
        <v>868.1500244140625</v>
      </c>
      <c r="D786" s="104">
        <v>1.4697999954223633</v>
      </c>
      <c r="E786">
        <v>90.702944854554872</v>
      </c>
      <c r="F786">
        <v>840.2332763671875</v>
      </c>
      <c r="H786" s="34"/>
      <c r="I786" s="34"/>
      <c r="J786" s="34"/>
      <c r="K786" s="34"/>
      <c r="L786" s="34"/>
      <c r="N786" s="34"/>
      <c r="O786" s="35"/>
      <c r="P786" s="35"/>
      <c r="Q786" s="35"/>
      <c r="R786" s="35"/>
      <c r="S786" s="74"/>
      <c r="AJ786" s="34"/>
      <c r="AK786" s="34"/>
      <c r="AL786" s="34"/>
      <c r="AM786" s="34"/>
      <c r="AN786" s="34"/>
      <c r="AQ786" s="67"/>
      <c r="AR786" s="67"/>
      <c r="AS786" s="67"/>
      <c r="AT786" s="67"/>
      <c r="AU786" s="67"/>
      <c r="AW786" s="68"/>
      <c r="AX786" s="68"/>
      <c r="AY786" s="68"/>
      <c r="AZ786" s="68"/>
      <c r="BA786" s="68"/>
      <c r="BB786" s="68"/>
    </row>
    <row r="787" spans="1:54" ht="13.5" thickBot="1">
      <c r="A787" s="103">
        <v>39808</v>
      </c>
      <c r="B787" s="104">
        <v>2.5267190933227539</v>
      </c>
      <c r="C787" s="105">
        <v>872.79998779296875</v>
      </c>
      <c r="D787" s="104">
        <v>1.4678000211715698</v>
      </c>
      <c r="E787">
        <v>90.678272222679666</v>
      </c>
      <c r="F787">
        <v>848.2557373046875</v>
      </c>
      <c r="H787" s="34"/>
      <c r="I787" s="34"/>
      <c r="J787" s="34"/>
      <c r="K787" s="34"/>
      <c r="L787" s="34"/>
      <c r="N787" s="34"/>
      <c r="O787" s="35"/>
      <c r="P787" s="35"/>
      <c r="Q787" s="35"/>
      <c r="R787" s="35"/>
      <c r="S787" s="74"/>
      <c r="AJ787" s="34"/>
      <c r="AK787" s="34"/>
      <c r="AL787" s="34"/>
      <c r="AM787" s="34"/>
      <c r="AN787" s="34"/>
      <c r="AQ787" s="67"/>
      <c r="AR787" s="67"/>
      <c r="AS787" s="67"/>
      <c r="AT787" s="67"/>
      <c r="AU787" s="67"/>
      <c r="AW787" s="68"/>
      <c r="AX787" s="68"/>
      <c r="AY787" s="68"/>
      <c r="AZ787" s="68"/>
      <c r="BA787" s="68"/>
      <c r="BB787" s="68"/>
    </row>
    <row r="788" spans="1:54" ht="13.5" thickBot="1">
      <c r="A788" s="103">
        <v>39811</v>
      </c>
      <c r="B788" s="104">
        <v>2.4695000648498535</v>
      </c>
      <c r="C788" s="105">
        <v>869.41998291015625</v>
      </c>
      <c r="D788" s="104">
        <v>1.4553999900817871</v>
      </c>
      <c r="E788">
        <v>90.301607057060195</v>
      </c>
      <c r="F788">
        <v>879.15118408203125</v>
      </c>
      <c r="H788" s="34"/>
      <c r="I788" s="34"/>
      <c r="J788" s="34"/>
      <c r="K788" s="34"/>
      <c r="L788" s="34"/>
      <c r="N788" s="34"/>
      <c r="O788" s="35"/>
      <c r="P788" s="35"/>
      <c r="Q788" s="35"/>
      <c r="R788" s="35"/>
      <c r="S788" s="74"/>
      <c r="AJ788" s="34"/>
      <c r="AK788" s="34"/>
      <c r="AL788" s="34"/>
      <c r="AM788" s="34"/>
      <c r="AN788" s="34"/>
      <c r="AQ788" s="67"/>
      <c r="AR788" s="67"/>
      <c r="AS788" s="67"/>
      <c r="AT788" s="67"/>
      <c r="AU788" s="67"/>
      <c r="AW788" s="68"/>
      <c r="AX788" s="68"/>
      <c r="AY788" s="68"/>
      <c r="AZ788" s="68"/>
      <c r="BA788" s="68"/>
      <c r="BB788" s="68"/>
    </row>
    <row r="789" spans="1:54" ht="13.5" thickBot="1">
      <c r="A789" s="103">
        <v>39812</v>
      </c>
      <c r="B789" s="104">
        <v>2.4769999980926514</v>
      </c>
      <c r="C789" s="105">
        <v>890.6400146484375</v>
      </c>
      <c r="D789" s="104">
        <v>1.4407000541687012</v>
      </c>
      <c r="E789">
        <v>90.236418611761266</v>
      </c>
      <c r="F789">
        <v>870.15496826171875</v>
      </c>
      <c r="H789" s="34"/>
      <c r="I789" s="34"/>
      <c r="J789" s="34"/>
      <c r="K789" s="34"/>
      <c r="L789" s="34"/>
      <c r="N789" s="34"/>
      <c r="O789" s="35"/>
      <c r="P789" s="35"/>
      <c r="Q789" s="35"/>
      <c r="R789" s="35"/>
      <c r="S789" s="74"/>
      <c r="AJ789" s="34"/>
      <c r="AK789" s="34"/>
      <c r="AL789" s="34"/>
      <c r="AM789" s="34"/>
      <c r="AN789" s="34"/>
      <c r="AQ789" s="67"/>
      <c r="AR789" s="67"/>
      <c r="AS789" s="67"/>
      <c r="AT789" s="67"/>
      <c r="AU789" s="67"/>
      <c r="AW789" s="68"/>
      <c r="AX789" s="68"/>
      <c r="AY789" s="68"/>
      <c r="AZ789" s="68"/>
      <c r="BA789" s="68"/>
      <c r="BB789" s="68"/>
    </row>
    <row r="790" spans="1:54" ht="13.5" thickBot="1">
      <c r="A790" s="103">
        <v>39813</v>
      </c>
      <c r="B790" s="104">
        <v>2.5845000743865967</v>
      </c>
      <c r="C790" s="105">
        <v>903.25</v>
      </c>
      <c r="D790" s="104">
        <v>1.4581999778747559</v>
      </c>
      <c r="E790">
        <v>90.801777470484652</v>
      </c>
      <c r="F790">
        <v>883.552734375</v>
      </c>
      <c r="H790" s="34"/>
      <c r="I790" s="34"/>
      <c r="J790" s="34"/>
      <c r="K790" s="34"/>
      <c r="L790" s="34"/>
      <c r="N790" s="34"/>
      <c r="O790" s="35"/>
      <c r="P790" s="35"/>
      <c r="Q790" s="35"/>
      <c r="R790" s="35"/>
      <c r="S790" s="74"/>
      <c r="AJ790" s="34"/>
      <c r="AK790" s="34"/>
      <c r="AL790" s="34"/>
      <c r="AM790" s="34"/>
      <c r="AN790" s="34"/>
      <c r="AQ790" s="67"/>
      <c r="AR790" s="67"/>
      <c r="AS790" s="67"/>
      <c r="AT790" s="67"/>
      <c r="AU790" s="67"/>
      <c r="AW790" s="68"/>
      <c r="AX790" s="68"/>
      <c r="AY790" s="68"/>
      <c r="AZ790" s="68"/>
      <c r="BA790" s="68"/>
      <c r="BB790" s="68"/>
    </row>
    <row r="791" spans="1:54" ht="13.5" thickBot="1">
      <c r="A791" s="103">
        <v>39814</v>
      </c>
      <c r="B791" s="104">
        <v>2.5845000743865967</v>
      </c>
      <c r="C791" s="105">
        <v>903.25</v>
      </c>
      <c r="D791" s="104">
        <v>1.4581999778747559</v>
      </c>
      <c r="E791">
        <v>90.801777470484652</v>
      </c>
      <c r="F791">
        <v>883.552734375</v>
      </c>
      <c r="H791" s="34"/>
      <c r="I791" s="34"/>
      <c r="J791" s="34"/>
      <c r="K791" s="34"/>
      <c r="L791" s="34"/>
      <c r="N791" s="34"/>
      <c r="O791" s="35"/>
      <c r="P791" s="35"/>
      <c r="Q791" s="35"/>
      <c r="R791" s="35"/>
      <c r="S791" s="74"/>
      <c r="AJ791" s="34"/>
      <c r="AK791" s="34"/>
      <c r="AL791" s="34"/>
      <c r="AM791" s="34"/>
      <c r="AN791" s="34"/>
      <c r="AQ791" s="67"/>
      <c r="AR791" s="67"/>
      <c r="AS791" s="67"/>
      <c r="AT791" s="67"/>
      <c r="AU791" s="67"/>
      <c r="AW791" s="68"/>
      <c r="AX791" s="68"/>
      <c r="AY791" s="68"/>
      <c r="AZ791" s="68"/>
      <c r="BA791" s="68"/>
      <c r="BB791" s="68"/>
    </row>
    <row r="792" spans="1:54" ht="13.5" thickBot="1">
      <c r="A792" s="103">
        <v>39815</v>
      </c>
      <c r="B792" s="104">
        <v>2.8039999008178711</v>
      </c>
      <c r="C792" s="105">
        <v>931.79998779296875</v>
      </c>
      <c r="D792" s="104">
        <v>1.4472999572753906</v>
      </c>
      <c r="E792">
        <v>92.216896823471942</v>
      </c>
      <c r="F792">
        <v>875.2784423828125</v>
      </c>
      <c r="G792" s="14"/>
      <c r="H792" s="34"/>
      <c r="I792" s="34"/>
      <c r="J792" s="34"/>
      <c r="K792" s="34"/>
      <c r="L792" s="34"/>
      <c r="N792" s="34"/>
      <c r="O792" s="35"/>
      <c r="P792" s="35"/>
      <c r="Q792" s="35"/>
      <c r="R792" s="35"/>
      <c r="S792" s="74"/>
      <c r="AJ792" s="34"/>
      <c r="AK792" s="34"/>
      <c r="AL792" s="34"/>
      <c r="AM792" s="34"/>
      <c r="AN792" s="34"/>
      <c r="AQ792" s="67"/>
      <c r="AR792" s="67"/>
      <c r="AS792" s="67"/>
      <c r="AT792" s="67"/>
      <c r="AU792" s="67"/>
      <c r="AW792" s="68"/>
      <c r="AX792" s="68"/>
      <c r="AY792" s="68"/>
      <c r="AZ792" s="68"/>
      <c r="BA792" s="68"/>
      <c r="BB792" s="68"/>
    </row>
    <row r="793" spans="1:54" ht="13.5" thickBot="1">
      <c r="A793" s="103">
        <v>39818</v>
      </c>
      <c r="B793" s="104">
        <v>2.8554999828338623</v>
      </c>
      <c r="C793" s="105">
        <v>927.45001220703125</v>
      </c>
      <c r="D793" s="104">
        <v>1.4706000089645386</v>
      </c>
      <c r="E793">
        <v>93.240093745324387</v>
      </c>
      <c r="F793">
        <v>849.65277099609375</v>
      </c>
      <c r="G793" s="14"/>
      <c r="H793" s="34"/>
      <c r="I793" s="34"/>
      <c r="J793" s="34"/>
      <c r="K793" s="34"/>
      <c r="L793" s="34"/>
      <c r="N793" s="34"/>
      <c r="O793" s="35"/>
      <c r="P793" s="35"/>
      <c r="Q793" s="35"/>
      <c r="R793" s="35"/>
      <c r="S793" s="74"/>
      <c r="AJ793" s="34"/>
      <c r="AK793" s="34"/>
      <c r="AL793" s="34"/>
      <c r="AM793" s="34"/>
      <c r="AN793" s="34"/>
      <c r="AQ793" s="67"/>
      <c r="AR793" s="67"/>
      <c r="AS793" s="67"/>
      <c r="AT793" s="67"/>
      <c r="AU793" s="67"/>
      <c r="AW793" s="68"/>
      <c r="AX793" s="68"/>
      <c r="AY793" s="68"/>
      <c r="AZ793" s="68"/>
      <c r="BA793" s="68"/>
      <c r="BB793" s="68"/>
    </row>
    <row r="794" spans="1:54" ht="13.5" thickBot="1">
      <c r="A794" s="103">
        <v>39819</v>
      </c>
      <c r="B794" s="104">
        <v>2.7780001163482666</v>
      </c>
      <c r="C794" s="105">
        <v>934.70001220703125</v>
      </c>
      <c r="D794" s="104">
        <v>1.4938000440597534</v>
      </c>
      <c r="E794">
        <v>94.037987695227201</v>
      </c>
      <c r="F794">
        <v>850.75274658203125</v>
      </c>
      <c r="G794" s="14"/>
      <c r="H794" s="34"/>
      <c r="I794" s="34"/>
      <c r="J794" s="34"/>
      <c r="K794" s="34"/>
      <c r="L794" s="34"/>
      <c r="N794" s="34"/>
      <c r="O794" s="35"/>
      <c r="P794" s="35"/>
      <c r="Q794" s="35"/>
      <c r="R794" s="35"/>
      <c r="S794" s="74"/>
      <c r="AJ794" s="34"/>
      <c r="AK794" s="34"/>
      <c r="AL794" s="34"/>
      <c r="AM794" s="34"/>
      <c r="AN794" s="34"/>
      <c r="AQ794" s="67"/>
      <c r="AR794" s="67"/>
      <c r="AS794" s="67"/>
      <c r="AT794" s="67"/>
      <c r="AU794" s="67"/>
      <c r="AW794" s="68"/>
      <c r="AX794" s="68"/>
      <c r="AY794" s="68"/>
      <c r="AZ794" s="68"/>
      <c r="BA794" s="68"/>
      <c r="BB794" s="68"/>
    </row>
    <row r="795" spans="1:54" ht="13.5" thickBot="1">
      <c r="A795" s="103">
        <v>39820</v>
      </c>
      <c r="B795" s="104">
        <v>2.6935000419616699</v>
      </c>
      <c r="C795" s="105">
        <v>906.6500244140625</v>
      </c>
      <c r="D795" s="104">
        <v>1.5133999586105347</v>
      </c>
      <c r="E795">
        <v>92.721368848111609</v>
      </c>
      <c r="F795">
        <v>848.65283203125</v>
      </c>
      <c r="G795" s="14"/>
      <c r="H795" s="34"/>
      <c r="I795" s="34"/>
      <c r="J795" s="34"/>
      <c r="K795" s="34"/>
      <c r="L795" s="34"/>
      <c r="N795" s="34"/>
      <c r="O795" s="35"/>
      <c r="P795" s="35"/>
      <c r="Q795" s="35"/>
      <c r="R795" s="35"/>
      <c r="S795" s="74"/>
      <c r="AJ795" s="34"/>
      <c r="AK795" s="34"/>
      <c r="AL795" s="34"/>
      <c r="AM795" s="34"/>
      <c r="AN795" s="34"/>
      <c r="AQ795" s="67"/>
      <c r="AR795" s="67"/>
      <c r="AS795" s="67"/>
      <c r="AT795" s="67"/>
      <c r="AU795" s="67"/>
      <c r="AW795" s="68"/>
      <c r="AX795" s="68"/>
      <c r="AY795" s="68"/>
      <c r="AZ795" s="68"/>
      <c r="BA795" s="68"/>
      <c r="BB795" s="68"/>
    </row>
    <row r="796" spans="1:54" ht="13.5" thickBot="1">
      <c r="A796" s="103">
        <v>39821</v>
      </c>
      <c r="B796" s="104">
        <v>2.5905001163482666</v>
      </c>
      <c r="C796" s="105">
        <v>909.72998046875</v>
      </c>
      <c r="D796" s="104">
        <v>1.5227999687194824</v>
      </c>
      <c r="E796">
        <v>91.299188976432859</v>
      </c>
      <c r="F796">
        <v>854.70501708984375</v>
      </c>
      <c r="G796" s="14"/>
      <c r="H796" s="34"/>
      <c r="I796" s="34"/>
      <c r="J796" s="34"/>
      <c r="K796" s="34"/>
      <c r="L796" s="34"/>
      <c r="N796" s="34"/>
      <c r="O796" s="35"/>
      <c r="P796" s="35"/>
      <c r="Q796" s="35"/>
      <c r="R796" s="35"/>
      <c r="S796" s="74"/>
      <c r="AJ796" s="34"/>
      <c r="AK796" s="34"/>
      <c r="AL796" s="34"/>
      <c r="AM796" s="34"/>
      <c r="AN796" s="34"/>
      <c r="AQ796" s="67"/>
      <c r="AR796" s="67"/>
      <c r="AS796" s="67"/>
      <c r="AT796" s="67"/>
      <c r="AU796" s="67"/>
      <c r="AW796" s="68"/>
      <c r="AX796" s="68"/>
      <c r="AY796" s="68"/>
      <c r="AZ796" s="68"/>
      <c r="BA796" s="68"/>
      <c r="BB796" s="68"/>
    </row>
    <row r="797" spans="1:54" ht="13.5" thickBot="1">
      <c r="A797" s="103">
        <v>39822</v>
      </c>
      <c r="B797" s="104">
        <v>2.5515000820159912</v>
      </c>
      <c r="C797" s="105">
        <v>890.3499755859375</v>
      </c>
      <c r="D797" s="104">
        <v>1.5139000415802002</v>
      </c>
      <c r="E797">
        <v>90.497738740331002</v>
      </c>
      <c r="F797">
        <v>857.7047119140625</v>
      </c>
      <c r="G797" s="14"/>
      <c r="H797" s="34"/>
      <c r="I797" s="34"/>
      <c r="J797" s="34"/>
      <c r="K797" s="34"/>
      <c r="L797" s="34"/>
      <c r="N797" s="34"/>
      <c r="O797" s="35"/>
      <c r="P797" s="35"/>
      <c r="Q797" s="35"/>
      <c r="R797" s="35"/>
      <c r="S797" s="74"/>
      <c r="AJ797" s="34"/>
      <c r="AK797" s="34"/>
      <c r="AL797" s="34"/>
      <c r="AM797" s="34"/>
      <c r="AN797" s="34"/>
      <c r="AQ797" s="67"/>
      <c r="AR797" s="67"/>
      <c r="AS797" s="67"/>
      <c r="AT797" s="67"/>
      <c r="AU797" s="67"/>
      <c r="AW797" s="68"/>
      <c r="AX797" s="68"/>
      <c r="AY797" s="68"/>
      <c r="AZ797" s="68"/>
      <c r="BA797" s="68"/>
      <c r="BB797" s="68"/>
    </row>
    <row r="798" spans="1:54" ht="13.5" thickBot="1">
      <c r="A798" s="103">
        <v>39825</v>
      </c>
      <c r="B798" s="104">
        <v>2.4554998874664307</v>
      </c>
      <c r="C798" s="105">
        <v>870.260009765625</v>
      </c>
      <c r="D798" s="104">
        <v>1.4839999675750732</v>
      </c>
      <c r="E798">
        <v>89.063058120651064</v>
      </c>
      <c r="F798">
        <v>824.85418701171875</v>
      </c>
      <c r="G798" s="14"/>
      <c r="H798" s="34"/>
      <c r="I798" s="34"/>
      <c r="J798" s="34"/>
      <c r="K798" s="34"/>
      <c r="L798" s="34"/>
      <c r="N798" s="34"/>
      <c r="O798" s="35"/>
      <c r="P798" s="35"/>
      <c r="Q798" s="35"/>
      <c r="R798" s="35"/>
      <c r="S798" s="74"/>
      <c r="AJ798" s="34"/>
      <c r="AK798" s="34"/>
      <c r="AL798" s="34"/>
      <c r="AM798" s="34"/>
      <c r="AN798" s="34"/>
      <c r="AQ798" s="67"/>
      <c r="AR798" s="67"/>
      <c r="AS798" s="67"/>
      <c r="AT798" s="67"/>
      <c r="AU798" s="67"/>
      <c r="AW798" s="68"/>
      <c r="AX798" s="68"/>
      <c r="AY798" s="68"/>
      <c r="AZ798" s="68"/>
      <c r="BA798" s="68"/>
      <c r="BB798" s="68"/>
    </row>
    <row r="799" spans="1:54" ht="13.5" thickBot="1">
      <c r="A799" s="103">
        <v>39826</v>
      </c>
      <c r="B799" s="104">
        <v>2.4440000057220459</v>
      </c>
      <c r="C799" s="105">
        <v>871.78997802734375</v>
      </c>
      <c r="D799" s="104">
        <v>1.4496999979019165</v>
      </c>
      <c r="E799">
        <v>89.070992963109859</v>
      </c>
      <c r="F799">
        <v>823.854248046875</v>
      </c>
      <c r="G799" s="14"/>
      <c r="H799" s="34"/>
      <c r="I799" s="34"/>
      <c r="J799" s="34"/>
      <c r="K799" s="34"/>
      <c r="L799" s="34"/>
      <c r="N799" s="34"/>
      <c r="O799" s="35"/>
      <c r="P799" s="35"/>
      <c r="Q799" s="35"/>
      <c r="R799" s="35"/>
      <c r="S799" s="74"/>
      <c r="AJ799" s="34"/>
      <c r="AK799" s="34"/>
      <c r="AL799" s="34"/>
      <c r="AM799" s="34"/>
      <c r="AN799" s="34"/>
      <c r="AQ799" s="67"/>
      <c r="AR799" s="67"/>
      <c r="AS799" s="67"/>
      <c r="AT799" s="67"/>
      <c r="AU799" s="67"/>
      <c r="AW799" s="68"/>
      <c r="AX799" s="68"/>
      <c r="AY799" s="68"/>
      <c r="AZ799" s="68"/>
      <c r="BA799" s="68"/>
      <c r="BB799" s="68"/>
    </row>
    <row r="800" spans="1:54" ht="13.5" thickBot="1">
      <c r="A800" s="103">
        <v>39827</v>
      </c>
      <c r="B800" s="104">
        <v>2.3510000705718994</v>
      </c>
      <c r="C800" s="105">
        <v>842.6199951171875</v>
      </c>
      <c r="D800" s="104">
        <v>1.4587999582290649</v>
      </c>
      <c r="E800">
        <v>89.142448018453109</v>
      </c>
      <c r="F800">
        <v>813.0548095703125</v>
      </c>
      <c r="G800" s="14"/>
      <c r="H800" s="34"/>
      <c r="I800" s="34"/>
      <c r="J800" s="34"/>
      <c r="K800" s="34"/>
      <c r="L800" s="34"/>
      <c r="N800" s="34"/>
      <c r="O800" s="35"/>
      <c r="P800" s="35"/>
      <c r="Q800" s="35"/>
      <c r="R800" s="35"/>
      <c r="S800" s="74"/>
      <c r="AJ800" s="34"/>
      <c r="AK800" s="34"/>
      <c r="AL800" s="34"/>
      <c r="AM800" s="34"/>
      <c r="AN800" s="34"/>
      <c r="AQ800" s="67"/>
      <c r="AR800" s="67"/>
      <c r="AS800" s="67"/>
      <c r="AT800" s="67"/>
      <c r="AU800" s="67"/>
      <c r="AW800" s="68"/>
      <c r="AX800" s="68"/>
      <c r="AY800" s="68"/>
      <c r="AZ800" s="68"/>
      <c r="BA800" s="68"/>
      <c r="BB800" s="68"/>
    </row>
    <row r="801" spans="1:54" ht="13.5" thickBot="1">
      <c r="A801" s="103">
        <v>39828</v>
      </c>
      <c r="B801" s="104">
        <v>2.3710000514984131</v>
      </c>
      <c r="C801" s="105">
        <v>843.739990234375</v>
      </c>
      <c r="D801" s="104">
        <v>1.4658000469207764</v>
      </c>
      <c r="E801">
        <v>89.661971085328531</v>
      </c>
      <c r="F801">
        <v>806.01043701171875</v>
      </c>
      <c r="G801" s="14"/>
      <c r="H801" s="34"/>
      <c r="I801" s="34"/>
      <c r="J801" s="34"/>
      <c r="K801" s="34"/>
      <c r="L801" s="34"/>
      <c r="N801" s="34"/>
      <c r="O801" s="35"/>
      <c r="P801" s="35"/>
      <c r="Q801" s="35"/>
      <c r="R801" s="35"/>
      <c r="S801" s="74"/>
      <c r="AJ801" s="34"/>
      <c r="AK801" s="34"/>
      <c r="AL801" s="34"/>
      <c r="AM801" s="34"/>
      <c r="AN801" s="34"/>
      <c r="AQ801" s="67"/>
      <c r="AR801" s="67"/>
      <c r="AS801" s="67"/>
      <c r="AT801" s="67"/>
      <c r="AU801" s="67"/>
      <c r="AW801" s="68"/>
      <c r="AX801" s="68"/>
      <c r="AY801" s="68"/>
      <c r="AZ801" s="68"/>
      <c r="BA801" s="68"/>
      <c r="BB801" s="68"/>
    </row>
    <row r="802" spans="1:54" ht="13.5" thickBot="1">
      <c r="A802" s="103">
        <v>39829</v>
      </c>
      <c r="B802" s="104">
        <v>2.421457052230835</v>
      </c>
      <c r="C802" s="105">
        <v>850.1199951171875</v>
      </c>
      <c r="D802" s="104">
        <v>1.4747999906539917</v>
      </c>
      <c r="E802">
        <v>90.620752365166894</v>
      </c>
      <c r="F802">
        <v>836.10711669921875</v>
      </c>
      <c r="G802" s="14"/>
      <c r="H802" s="34"/>
      <c r="I802" s="34"/>
      <c r="J802" s="34"/>
      <c r="K802" s="34"/>
      <c r="L802" s="34"/>
      <c r="N802" s="34"/>
      <c r="O802" s="35"/>
      <c r="P802" s="35"/>
      <c r="Q802" s="35"/>
      <c r="R802" s="35"/>
      <c r="S802" s="74"/>
      <c r="AJ802" s="34"/>
      <c r="AK802" s="34"/>
      <c r="AL802" s="34"/>
      <c r="AM802" s="34"/>
      <c r="AN802" s="34"/>
      <c r="AQ802" s="67"/>
      <c r="AR802" s="67"/>
      <c r="AS802" s="67"/>
      <c r="AT802" s="67"/>
      <c r="AU802" s="67"/>
      <c r="AW802" s="68"/>
      <c r="AX802" s="68"/>
      <c r="AY802" s="68"/>
      <c r="AZ802" s="68"/>
      <c r="BA802" s="68"/>
      <c r="BB802" s="68"/>
    </row>
    <row r="803" spans="1:54" ht="13.5" thickBot="1">
      <c r="A803" s="103">
        <v>39832</v>
      </c>
      <c r="B803" s="104">
        <v>2.421457052230835</v>
      </c>
      <c r="C803" s="105">
        <v>850.1199951171875</v>
      </c>
      <c r="D803" s="104">
        <v>1.4508999586105347</v>
      </c>
      <c r="E803">
        <v>90.383221379340526</v>
      </c>
      <c r="F803">
        <v>838.1534423828125</v>
      </c>
      <c r="G803" s="14"/>
      <c r="H803" s="34"/>
      <c r="I803" s="34"/>
      <c r="J803" s="34"/>
      <c r="K803" s="34"/>
      <c r="L803" s="34"/>
      <c r="N803" s="34"/>
      <c r="O803" s="35"/>
      <c r="P803" s="35"/>
      <c r="Q803" s="35"/>
      <c r="R803" s="35"/>
      <c r="S803" s="74"/>
      <c r="AJ803" s="34"/>
      <c r="AK803" s="34"/>
      <c r="AL803" s="34"/>
      <c r="AM803" s="34"/>
      <c r="AN803" s="34"/>
      <c r="AQ803" s="67"/>
      <c r="AR803" s="67"/>
      <c r="AS803" s="67"/>
      <c r="AT803" s="67"/>
      <c r="AU803" s="67"/>
      <c r="AW803" s="68"/>
      <c r="AX803" s="68"/>
      <c r="AY803" s="68"/>
      <c r="AZ803" s="68"/>
      <c r="BA803" s="68"/>
      <c r="BB803" s="68"/>
    </row>
    <row r="804" spans="1:54" ht="13.5" thickBot="1">
      <c r="A804" s="103">
        <v>39833</v>
      </c>
      <c r="B804" s="104">
        <v>2.4570000171661377</v>
      </c>
      <c r="C804" s="105">
        <v>805.219970703125</v>
      </c>
      <c r="D804" s="104">
        <v>1.3913999795913696</v>
      </c>
      <c r="E804">
        <v>89.839189679898126</v>
      </c>
      <c r="F804">
        <v>854.15252685546875</v>
      </c>
      <c r="G804" s="14"/>
      <c r="H804" s="34"/>
      <c r="I804" s="34"/>
      <c r="J804" s="34"/>
      <c r="K804" s="34"/>
      <c r="L804" s="34"/>
      <c r="N804" s="34"/>
      <c r="O804" s="35"/>
      <c r="P804" s="35"/>
      <c r="Q804" s="35"/>
      <c r="R804" s="35"/>
      <c r="S804" s="74"/>
      <c r="AJ804" s="34"/>
      <c r="AK804" s="34"/>
      <c r="AL804" s="34"/>
      <c r="AM804" s="34"/>
      <c r="AN804" s="34"/>
      <c r="AQ804" s="67"/>
      <c r="AR804" s="67"/>
      <c r="AS804" s="67"/>
      <c r="AT804" s="67"/>
      <c r="AU804" s="67"/>
      <c r="AW804" s="68"/>
      <c r="AX804" s="68"/>
      <c r="AY804" s="68"/>
      <c r="AZ804" s="68"/>
      <c r="BA804" s="68"/>
      <c r="BB804" s="68"/>
    </row>
    <row r="805" spans="1:54" ht="13.5" thickBot="1">
      <c r="A805" s="103">
        <v>39834</v>
      </c>
      <c r="B805" s="104">
        <v>2.6419999599456787</v>
      </c>
      <c r="C805" s="105">
        <v>840.239990234375</v>
      </c>
      <c r="D805" s="104">
        <v>1.3920999765396118</v>
      </c>
      <c r="E805">
        <v>89.1503970139226</v>
      </c>
      <c r="F805">
        <v>850.25274658203125</v>
      </c>
      <c r="G805" s="14"/>
      <c r="H805" s="34"/>
      <c r="I805" s="34"/>
      <c r="J805" s="34"/>
      <c r="K805" s="34"/>
      <c r="L805" s="34"/>
      <c r="N805" s="34"/>
      <c r="O805" s="35"/>
      <c r="P805" s="35"/>
      <c r="Q805" s="35"/>
      <c r="R805" s="35"/>
      <c r="S805" s="74"/>
      <c r="AJ805" s="34"/>
      <c r="AK805" s="34"/>
      <c r="AL805" s="34"/>
      <c r="AM805" s="34"/>
      <c r="AN805" s="34"/>
      <c r="AQ805" s="67"/>
      <c r="AR805" s="67"/>
      <c r="AS805" s="67"/>
      <c r="AT805" s="67"/>
      <c r="AU805" s="67"/>
      <c r="AW805" s="68"/>
      <c r="AX805" s="68"/>
      <c r="AY805" s="68"/>
      <c r="AZ805" s="68"/>
      <c r="BA805" s="68"/>
      <c r="BB805" s="68"/>
    </row>
    <row r="806" spans="1:54" ht="13.5" thickBot="1">
      <c r="A806" s="103">
        <v>39835</v>
      </c>
      <c r="B806" s="104">
        <v>2.7244999408721924</v>
      </c>
      <c r="C806" s="105">
        <v>827.5</v>
      </c>
      <c r="D806" s="104">
        <v>1.3875999450683594</v>
      </c>
      <c r="E806">
        <v>89.078921829467262</v>
      </c>
      <c r="F806">
        <v>857.2047119140625</v>
      </c>
      <c r="G806" s="14"/>
      <c r="H806" s="34"/>
      <c r="I806" s="34"/>
      <c r="J806" s="34"/>
      <c r="K806" s="34"/>
      <c r="L806" s="34"/>
      <c r="N806" s="34"/>
      <c r="O806" s="35"/>
      <c r="P806" s="35"/>
      <c r="Q806" s="35"/>
      <c r="R806" s="35"/>
      <c r="S806" s="74"/>
      <c r="AJ806" s="34"/>
      <c r="AK806" s="34"/>
      <c r="AL806" s="34"/>
      <c r="AM806" s="34"/>
      <c r="AN806" s="34"/>
      <c r="AQ806" s="67"/>
      <c r="AR806" s="67"/>
      <c r="AS806" s="67"/>
      <c r="AT806" s="67"/>
      <c r="AU806" s="67"/>
      <c r="AW806" s="68"/>
      <c r="AX806" s="68"/>
      <c r="AY806" s="68"/>
      <c r="AZ806" s="68"/>
      <c r="BA806" s="68"/>
      <c r="BB806" s="68"/>
    </row>
    <row r="807" spans="1:54" ht="13.5" thickBot="1">
      <c r="A807" s="103">
        <v>39836</v>
      </c>
      <c r="B807" s="104">
        <v>2.7825000286102295</v>
      </c>
      <c r="C807" s="105">
        <v>831.95001220703125</v>
      </c>
      <c r="D807" s="104">
        <v>1.3761999607086182</v>
      </c>
      <c r="E807">
        <v>88.841506538370965</v>
      </c>
      <c r="F807">
        <v>895.20050048828125</v>
      </c>
      <c r="G807" s="14"/>
      <c r="H807" s="34"/>
      <c r="I807" s="34"/>
      <c r="J807" s="34"/>
      <c r="K807" s="34"/>
      <c r="L807" s="34"/>
      <c r="N807" s="34"/>
      <c r="O807" s="35"/>
      <c r="P807" s="35"/>
      <c r="Q807" s="35"/>
      <c r="R807" s="35"/>
      <c r="S807" s="74"/>
      <c r="AJ807" s="34"/>
      <c r="AK807" s="34"/>
      <c r="AL807" s="34"/>
      <c r="AM807" s="34"/>
      <c r="AN807" s="34"/>
      <c r="AQ807" s="67"/>
      <c r="AR807" s="67"/>
      <c r="AS807" s="67"/>
      <c r="AT807" s="67"/>
      <c r="AU807" s="67"/>
      <c r="AW807" s="68"/>
      <c r="AX807" s="68"/>
      <c r="AY807" s="68"/>
      <c r="AZ807" s="68"/>
      <c r="BA807" s="68"/>
      <c r="BB807" s="68"/>
    </row>
    <row r="808" spans="1:54" ht="13.5" thickBot="1">
      <c r="A808" s="103">
        <v>39839</v>
      </c>
      <c r="B808" s="104">
        <v>2.8280000686645508</v>
      </c>
      <c r="C808" s="105">
        <v>836.57000732421875</v>
      </c>
      <c r="D808" s="104">
        <v>1.3939000368118286</v>
      </c>
      <c r="E808">
        <v>88.960055781590157</v>
      </c>
      <c r="F808">
        <v>909.3494873046875</v>
      </c>
      <c r="G808" s="14"/>
      <c r="H808" s="34"/>
      <c r="I808" s="34"/>
      <c r="J808" s="34"/>
      <c r="K808" s="34"/>
      <c r="L808" s="34"/>
      <c r="N808" s="34"/>
      <c r="O808" s="35"/>
      <c r="P808" s="35"/>
      <c r="Q808" s="35"/>
      <c r="R808" s="35"/>
      <c r="S808" s="74"/>
      <c r="AJ808" s="34"/>
      <c r="AK808" s="34"/>
      <c r="AL808" s="34"/>
      <c r="AM808" s="34"/>
      <c r="AN808" s="34"/>
      <c r="AQ808" s="67"/>
      <c r="AR808" s="67"/>
      <c r="AS808" s="67"/>
      <c r="AT808" s="67"/>
      <c r="AU808" s="67"/>
      <c r="AW808" s="68"/>
      <c r="AX808" s="68"/>
      <c r="AY808" s="68"/>
      <c r="AZ808" s="68"/>
      <c r="BA808" s="68"/>
      <c r="BB808" s="68"/>
    </row>
    <row r="809" spans="1:54" ht="13.5" thickBot="1">
      <c r="A809" s="103">
        <v>39840</v>
      </c>
      <c r="B809" s="104">
        <v>2.7290000915527344</v>
      </c>
      <c r="C809" s="105">
        <v>845.71002197265625</v>
      </c>
      <c r="D809" s="104">
        <v>1.4153000116348267</v>
      </c>
      <c r="E809">
        <v>88.880990282905685</v>
      </c>
      <c r="F809">
        <v>900.3499755859375</v>
      </c>
      <c r="G809" s="14"/>
      <c r="H809" s="34"/>
      <c r="I809" s="34"/>
      <c r="J809" s="34"/>
      <c r="K809" s="34"/>
      <c r="L809" s="34"/>
      <c r="N809" s="34"/>
      <c r="O809" s="35"/>
      <c r="P809" s="35"/>
      <c r="Q809" s="35"/>
      <c r="R809" s="35"/>
      <c r="S809" s="74"/>
      <c r="AJ809" s="34"/>
      <c r="AK809" s="34"/>
      <c r="AL809" s="34"/>
      <c r="AM809" s="34"/>
      <c r="AN809" s="34"/>
      <c r="AQ809" s="67"/>
      <c r="AR809" s="67"/>
      <c r="AS809" s="67"/>
      <c r="AT809" s="67"/>
      <c r="AU809" s="67"/>
      <c r="AW809" s="68"/>
      <c r="AX809" s="68"/>
      <c r="AY809" s="68"/>
      <c r="AZ809" s="68"/>
      <c r="BA809" s="68"/>
      <c r="BB809" s="68"/>
    </row>
    <row r="810" spans="1:54" ht="13.5" thickBot="1">
      <c r="A810" s="103">
        <v>39841</v>
      </c>
      <c r="B810" s="104">
        <v>2.8710000514984131</v>
      </c>
      <c r="C810" s="105">
        <v>874.09002685546875</v>
      </c>
      <c r="D810" s="104">
        <v>1.4230999946594238</v>
      </c>
      <c r="E810">
        <v>90.456805840769874</v>
      </c>
      <c r="F810">
        <v>887.45068359375</v>
      </c>
      <c r="G810" s="14"/>
      <c r="H810" s="34"/>
      <c r="I810" s="34"/>
      <c r="J810" s="34"/>
      <c r="K810" s="34"/>
      <c r="L810" s="34"/>
      <c r="N810" s="34"/>
      <c r="O810" s="35"/>
      <c r="P810" s="35"/>
      <c r="Q810" s="35"/>
      <c r="R810" s="35"/>
      <c r="S810" s="74"/>
      <c r="AJ810" s="34"/>
      <c r="AK810" s="34"/>
      <c r="AL810" s="34"/>
      <c r="AM810" s="34"/>
      <c r="AN810" s="34"/>
      <c r="AQ810" s="67"/>
      <c r="AR810" s="67"/>
      <c r="AS810" s="67"/>
      <c r="AT810" s="67"/>
      <c r="AU810" s="67"/>
      <c r="AW810" s="68"/>
      <c r="AX810" s="68"/>
      <c r="AY810" s="68"/>
      <c r="AZ810" s="68"/>
      <c r="BA810" s="68"/>
      <c r="BB810" s="68"/>
    </row>
    <row r="811" spans="1:54" ht="13.5" thickBot="1">
      <c r="A811" s="103">
        <v>39842</v>
      </c>
      <c r="B811" s="104">
        <v>3.0255000591278076</v>
      </c>
      <c r="C811" s="105">
        <v>845.1400146484375</v>
      </c>
      <c r="D811" s="104">
        <v>1.4320000410079956</v>
      </c>
      <c r="E811">
        <v>89.823046539860243</v>
      </c>
      <c r="F811">
        <v>898.400146484375</v>
      </c>
      <c r="G811" s="14"/>
      <c r="H811" s="34"/>
      <c r="I811" s="34"/>
      <c r="J811" s="34"/>
      <c r="K811" s="34"/>
      <c r="L811" s="34"/>
      <c r="N811" s="34"/>
      <c r="O811" s="35"/>
      <c r="P811" s="35"/>
      <c r="Q811" s="35"/>
      <c r="R811" s="35"/>
      <c r="S811" s="74"/>
      <c r="AJ811" s="34"/>
      <c r="AK811" s="34"/>
      <c r="AL811" s="34"/>
      <c r="AM811" s="34"/>
      <c r="AN811" s="34"/>
      <c r="AQ811" s="67"/>
      <c r="AR811" s="67"/>
      <c r="AS811" s="67"/>
      <c r="AT811" s="67"/>
      <c r="AU811" s="67"/>
      <c r="AW811" s="68"/>
      <c r="AX811" s="68"/>
      <c r="AY811" s="68"/>
      <c r="AZ811" s="68"/>
      <c r="BA811" s="68"/>
      <c r="BB811" s="68"/>
    </row>
    <row r="812" spans="1:54" ht="13.5" thickBot="1">
      <c r="A812" s="103">
        <v>39843</v>
      </c>
      <c r="B812" s="104">
        <v>3.0569999217987061</v>
      </c>
      <c r="C812" s="105">
        <v>825.8800048828125</v>
      </c>
      <c r="D812" s="104">
        <v>1.4457000494003296</v>
      </c>
      <c r="E812">
        <v>89.84725590793613</v>
      </c>
      <c r="F812">
        <v>925.39715576171875</v>
      </c>
      <c r="G812" s="14"/>
      <c r="H812" s="34"/>
      <c r="I812" s="34"/>
      <c r="J812" s="34"/>
      <c r="K812" s="34"/>
      <c r="L812" s="34"/>
      <c r="N812" s="34"/>
      <c r="O812" s="35"/>
      <c r="P812" s="35"/>
      <c r="Q812" s="35"/>
      <c r="R812" s="35"/>
      <c r="S812" s="74"/>
      <c r="AJ812" s="34"/>
      <c r="AK812" s="34"/>
      <c r="AL812" s="34"/>
      <c r="AM812" s="34"/>
      <c r="AN812" s="34"/>
      <c r="AQ812" s="67"/>
      <c r="AR812" s="67"/>
      <c r="AS812" s="67"/>
      <c r="AT812" s="67"/>
      <c r="AU812" s="67"/>
      <c r="AW812" s="68"/>
      <c r="AX812" s="68"/>
      <c r="AY812" s="68"/>
      <c r="AZ812" s="68"/>
      <c r="BA812" s="68"/>
      <c r="BB812" s="68"/>
    </row>
    <row r="813" spans="1:54" ht="13.5" thickBot="1">
      <c r="A813" s="103">
        <v>39846</v>
      </c>
      <c r="B813" s="104">
        <v>2.9465000629425049</v>
      </c>
      <c r="C813" s="105">
        <v>825.44000244140625</v>
      </c>
      <c r="D813" s="104">
        <v>1.4271999597549438</v>
      </c>
      <c r="E813">
        <v>89.678056374623694</v>
      </c>
      <c r="F813">
        <v>916.14910888671875</v>
      </c>
      <c r="G813" s="14"/>
      <c r="H813" s="34"/>
      <c r="I813" s="34"/>
      <c r="J813" s="34"/>
      <c r="K813" s="34"/>
      <c r="L813" s="34"/>
      <c r="N813" s="34"/>
      <c r="O813" s="35"/>
      <c r="P813" s="35"/>
      <c r="Q813" s="35"/>
      <c r="R813" s="35"/>
      <c r="S813" s="74"/>
      <c r="AJ813" s="34"/>
      <c r="AK813" s="34"/>
      <c r="AL813" s="34"/>
      <c r="AM813" s="34"/>
      <c r="AN813" s="34"/>
      <c r="AQ813" s="67"/>
      <c r="AR813" s="67"/>
      <c r="AS813" s="67"/>
      <c r="AT813" s="67"/>
      <c r="AU813" s="67"/>
      <c r="AW813" s="68"/>
      <c r="AX813" s="68"/>
      <c r="AY813" s="68"/>
      <c r="AZ813" s="68"/>
      <c r="BA813" s="68"/>
      <c r="BB813" s="68"/>
    </row>
    <row r="814" spans="1:54" ht="13.5" thickBot="1">
      <c r="A814" s="103">
        <v>39847</v>
      </c>
      <c r="B814" s="104">
        <v>3.057499885559082</v>
      </c>
      <c r="C814" s="105">
        <v>838.510009765625</v>
      </c>
      <c r="D814" s="104">
        <v>1.4434000253677368</v>
      </c>
      <c r="E814">
        <v>89.221986991065179</v>
      </c>
      <c r="F814">
        <v>895.80023193359375</v>
      </c>
      <c r="G814" s="14"/>
      <c r="H814" s="34"/>
      <c r="I814" s="34"/>
      <c r="J814" s="34"/>
      <c r="K814" s="34"/>
      <c r="L814" s="34"/>
      <c r="N814" s="34"/>
      <c r="O814" s="35"/>
      <c r="P814" s="35"/>
      <c r="Q814" s="35"/>
      <c r="R814" s="35"/>
      <c r="S814" s="74"/>
      <c r="AJ814" s="34"/>
      <c r="AK814" s="34"/>
      <c r="AL814" s="34"/>
      <c r="AM814" s="34"/>
      <c r="AN814" s="34"/>
      <c r="AQ814" s="67"/>
      <c r="AR814" s="67"/>
      <c r="AS814" s="67"/>
      <c r="AT814" s="67"/>
      <c r="AU814" s="67"/>
      <c r="AW814" s="68"/>
      <c r="AX814" s="68"/>
      <c r="AY814" s="68"/>
      <c r="AZ814" s="68"/>
      <c r="BA814" s="68"/>
      <c r="BB814" s="68"/>
    </row>
    <row r="815" spans="1:54" ht="13.5" thickBot="1">
      <c r="A815" s="103">
        <v>39848</v>
      </c>
      <c r="B815" s="104">
        <v>3.130000114440918</v>
      </c>
      <c r="C815" s="105">
        <v>832.22998046875</v>
      </c>
      <c r="D815" s="104">
        <v>1.4462000131607056</v>
      </c>
      <c r="E815">
        <v>89.637861450993199</v>
      </c>
      <c r="F815">
        <v>905.74969482421875</v>
      </c>
      <c r="G815" s="14"/>
      <c r="H815" s="34"/>
      <c r="I815" s="34"/>
      <c r="J815" s="34"/>
      <c r="K815" s="34"/>
      <c r="L815" s="34"/>
      <c r="N815" s="34"/>
      <c r="O815" s="35"/>
      <c r="P815" s="35"/>
      <c r="Q815" s="35"/>
      <c r="R815" s="35"/>
      <c r="S815" s="74"/>
      <c r="AJ815" s="34"/>
      <c r="AK815" s="34"/>
      <c r="AL815" s="34"/>
      <c r="AM815" s="34"/>
      <c r="AN815" s="34"/>
      <c r="AQ815" s="67"/>
      <c r="AR815" s="67"/>
      <c r="AS815" s="67"/>
      <c r="AT815" s="67"/>
      <c r="AU815" s="67"/>
      <c r="AW815" s="68"/>
      <c r="AX815" s="68"/>
      <c r="AY815" s="68"/>
      <c r="AZ815" s="68"/>
      <c r="BA815" s="68"/>
      <c r="BB815" s="68"/>
    </row>
    <row r="816" spans="1:54" ht="13.5" thickBot="1">
      <c r="A816" s="103">
        <v>39849</v>
      </c>
      <c r="B816" s="104">
        <v>3.1354999542236328</v>
      </c>
      <c r="C816" s="105">
        <v>845.8499755859375</v>
      </c>
      <c r="D816" s="104">
        <v>1.4643000364303589</v>
      </c>
      <c r="E816">
        <v>91.399325950907098</v>
      </c>
      <c r="F816">
        <v>910.79876708984375</v>
      </c>
      <c r="G816" s="14"/>
      <c r="H816" s="34"/>
      <c r="I816" s="34"/>
      <c r="J816" s="34"/>
      <c r="K816" s="34"/>
      <c r="L816" s="34"/>
      <c r="N816" s="34"/>
      <c r="O816" s="35"/>
      <c r="P816" s="35"/>
      <c r="Q816" s="35"/>
      <c r="R816" s="35"/>
      <c r="S816" s="74"/>
      <c r="AJ816" s="34"/>
      <c r="AK816" s="34"/>
      <c r="AL816" s="34"/>
      <c r="AM816" s="34"/>
      <c r="AN816" s="34"/>
      <c r="AQ816" s="67"/>
      <c r="AR816" s="67"/>
      <c r="AS816" s="67"/>
      <c r="AT816" s="67"/>
      <c r="AU816" s="67"/>
      <c r="AW816" s="68"/>
      <c r="AX816" s="68"/>
      <c r="AY816" s="68"/>
      <c r="AZ816" s="68"/>
      <c r="BA816" s="68"/>
      <c r="BB816" s="68"/>
    </row>
    <row r="817" spans="1:54" ht="13.5" thickBot="1">
      <c r="A817" s="103">
        <v>39850</v>
      </c>
      <c r="B817" s="104">
        <v>3.2090001106262207</v>
      </c>
      <c r="C817" s="105">
        <v>868.5999755859375</v>
      </c>
      <c r="D817" s="104">
        <v>1.4795000553131104</v>
      </c>
      <c r="E817">
        <v>92.030183215812357</v>
      </c>
      <c r="F817">
        <v>911.7987060546875</v>
      </c>
      <c r="G817" s="14"/>
      <c r="H817" s="34"/>
      <c r="I817" s="34"/>
      <c r="J817" s="34"/>
      <c r="K817" s="34"/>
      <c r="L817" s="34"/>
      <c r="N817" s="34"/>
      <c r="O817" s="35"/>
      <c r="P817" s="35"/>
      <c r="Q817" s="35"/>
      <c r="R817" s="35"/>
      <c r="S817" s="74"/>
      <c r="AJ817" s="34"/>
      <c r="AK817" s="34"/>
      <c r="AL817" s="34"/>
      <c r="AM817" s="34"/>
      <c r="AN817" s="34"/>
      <c r="AQ817" s="67"/>
      <c r="AR817" s="67"/>
      <c r="AS817" s="67"/>
      <c r="AT817" s="67"/>
      <c r="AU817" s="67"/>
      <c r="AW817" s="68"/>
      <c r="AX817" s="68"/>
      <c r="AY817" s="68"/>
      <c r="AZ817" s="68"/>
      <c r="BA817" s="68"/>
      <c r="BB817" s="68"/>
    </row>
    <row r="818" spans="1:54" ht="13.5" thickBot="1">
      <c r="A818" s="103">
        <v>39853</v>
      </c>
      <c r="B818" s="104">
        <v>3.2620000839233398</v>
      </c>
      <c r="C818" s="105">
        <v>869.8900146484375</v>
      </c>
      <c r="D818" s="104">
        <v>1.4905999898910522</v>
      </c>
      <c r="E818">
        <v>91.407674778764076</v>
      </c>
      <c r="F818">
        <v>894.85028076171875</v>
      </c>
      <c r="G818" s="14"/>
      <c r="H818" s="34"/>
      <c r="I818" s="34"/>
      <c r="J818" s="34"/>
      <c r="K818" s="34"/>
      <c r="L818" s="34"/>
      <c r="N818" s="34"/>
      <c r="O818" s="35"/>
      <c r="P818" s="35"/>
      <c r="Q818" s="35"/>
      <c r="R818" s="35"/>
      <c r="S818" s="74"/>
      <c r="AJ818" s="34"/>
      <c r="AK818" s="34"/>
      <c r="AL818" s="34"/>
      <c r="AM818" s="34"/>
      <c r="AN818" s="34"/>
      <c r="AQ818" s="67"/>
      <c r="AR818" s="67"/>
      <c r="AS818" s="67"/>
      <c r="AT818" s="67"/>
      <c r="AU818" s="67"/>
      <c r="AW818" s="68"/>
      <c r="AX818" s="68"/>
      <c r="AY818" s="68"/>
      <c r="AZ818" s="68"/>
      <c r="BA818" s="68"/>
      <c r="BB818" s="68"/>
    </row>
    <row r="819" spans="1:54" ht="13.5" thickBot="1">
      <c r="A819" s="103">
        <v>39854</v>
      </c>
      <c r="B819" s="104">
        <v>3.1140000820159912</v>
      </c>
      <c r="C819" s="105">
        <v>827.15997314453125</v>
      </c>
      <c r="D819" s="104">
        <v>1.4500000476837158</v>
      </c>
      <c r="E819">
        <v>90.236418611761266</v>
      </c>
      <c r="F819">
        <v>913.8492431640625</v>
      </c>
      <c r="G819" s="14"/>
      <c r="H819" s="34"/>
      <c r="I819" s="34"/>
      <c r="J819" s="34"/>
      <c r="K819" s="34"/>
      <c r="L819" s="34"/>
      <c r="N819" s="34"/>
      <c r="O819" s="35"/>
      <c r="P819" s="35"/>
      <c r="Q819" s="35"/>
      <c r="R819" s="35"/>
      <c r="S819" s="74"/>
      <c r="AJ819" s="34"/>
      <c r="AK819" s="34"/>
      <c r="AL819" s="34"/>
      <c r="AM819" s="34"/>
      <c r="AN819" s="34"/>
      <c r="AQ819" s="67"/>
      <c r="AR819" s="67"/>
      <c r="AS819" s="67"/>
      <c r="AT819" s="67"/>
      <c r="AU819" s="67"/>
      <c r="AW819" s="68"/>
      <c r="AX819" s="68"/>
      <c r="AY819" s="68"/>
      <c r="AZ819" s="68"/>
      <c r="BA819" s="68"/>
      <c r="BB819" s="68"/>
    </row>
    <row r="820" spans="1:54" ht="13.5" thickBot="1">
      <c r="A820" s="103">
        <v>39855</v>
      </c>
      <c r="B820" s="104">
        <v>3.0069999694824219</v>
      </c>
      <c r="C820" s="105">
        <v>833.739990234375</v>
      </c>
      <c r="D820" s="104">
        <v>1.4383000135421753</v>
      </c>
      <c r="E820">
        <v>90.497738740331002</v>
      </c>
      <c r="F820">
        <v>939.8477783203125</v>
      </c>
      <c r="G820" s="14"/>
      <c r="H820" s="34"/>
      <c r="I820" s="34"/>
      <c r="J820" s="34"/>
      <c r="K820" s="34"/>
      <c r="L820" s="34"/>
      <c r="N820" s="34"/>
      <c r="O820" s="35"/>
      <c r="P820" s="35"/>
      <c r="Q820" s="35"/>
      <c r="R820" s="35"/>
      <c r="S820" s="74"/>
      <c r="AJ820" s="34"/>
      <c r="AK820" s="34"/>
      <c r="AL820" s="34"/>
      <c r="AM820" s="34"/>
      <c r="AN820" s="34"/>
      <c r="AQ820" s="67"/>
      <c r="AR820" s="67"/>
      <c r="AS820" s="67"/>
      <c r="AT820" s="67"/>
      <c r="AU820" s="67"/>
      <c r="AW820" s="68"/>
      <c r="AX820" s="68"/>
      <c r="AY820" s="68"/>
      <c r="AZ820" s="68"/>
      <c r="BA820" s="68"/>
      <c r="BB820" s="68"/>
    </row>
    <row r="821" spans="1:54" ht="13.5" thickBot="1">
      <c r="A821" s="103">
        <v>39856</v>
      </c>
      <c r="B821" s="104">
        <v>2.9495000839233398</v>
      </c>
      <c r="C821" s="105">
        <v>835.19000244140625</v>
      </c>
      <c r="D821" s="104">
        <v>1.4190000295639038</v>
      </c>
      <c r="E821">
        <v>90.456805840769874</v>
      </c>
      <c r="F821">
        <v>947.794677734375</v>
      </c>
      <c r="G821" s="14"/>
      <c r="H821" s="34"/>
      <c r="I821" s="34"/>
      <c r="J821" s="34"/>
      <c r="K821" s="34"/>
      <c r="L821" s="34"/>
      <c r="N821" s="34"/>
      <c r="O821" s="35"/>
      <c r="P821" s="35"/>
      <c r="Q821" s="35"/>
      <c r="R821" s="35"/>
      <c r="S821" s="74"/>
      <c r="AJ821" s="34"/>
      <c r="AK821" s="34"/>
      <c r="AL821" s="34"/>
      <c r="AM821" s="34"/>
      <c r="AN821" s="34"/>
      <c r="AQ821" s="67"/>
      <c r="AR821" s="67"/>
      <c r="AS821" s="67"/>
      <c r="AT821" s="67"/>
      <c r="AU821" s="67"/>
      <c r="AW821" s="68"/>
      <c r="AX821" s="68"/>
      <c r="AY821" s="68"/>
      <c r="AZ821" s="68"/>
      <c r="BA821" s="68"/>
      <c r="BB821" s="68"/>
    </row>
    <row r="822" spans="1:54" ht="13.5" thickBot="1">
      <c r="A822" s="103">
        <v>39857</v>
      </c>
      <c r="B822" s="104">
        <v>3.1255049705505371</v>
      </c>
      <c r="C822" s="105">
        <v>826.84002685546875</v>
      </c>
      <c r="D822" s="104">
        <v>1.4392999410629272</v>
      </c>
      <c r="E822">
        <v>91.937113593610462</v>
      </c>
      <c r="F822">
        <v>936.8958740234375</v>
      </c>
      <c r="G822" s="14"/>
      <c r="H822" s="34"/>
      <c r="I822" s="34"/>
      <c r="J822" s="34"/>
      <c r="K822" s="34"/>
      <c r="L822" s="34"/>
      <c r="N822" s="34"/>
      <c r="O822" s="35"/>
      <c r="P822" s="35"/>
      <c r="Q822" s="35"/>
      <c r="R822" s="35"/>
      <c r="S822" s="74"/>
      <c r="AJ822" s="34"/>
      <c r="AK822" s="34"/>
      <c r="AL822" s="34"/>
      <c r="AM822" s="34"/>
      <c r="AN822" s="34"/>
      <c r="AQ822" s="67"/>
      <c r="AR822" s="67"/>
      <c r="AS822" s="67"/>
      <c r="AT822" s="67"/>
      <c r="AU822" s="67"/>
      <c r="AW822" s="68"/>
      <c r="AX822" s="68"/>
      <c r="AY822" s="68"/>
      <c r="AZ822" s="68"/>
      <c r="BA822" s="68"/>
      <c r="BB822" s="68"/>
    </row>
    <row r="823" spans="1:54" ht="13.5" thickBot="1">
      <c r="A823" s="103">
        <v>39860</v>
      </c>
      <c r="B823" s="104">
        <v>3.1255049705505371</v>
      </c>
      <c r="C823" s="105">
        <v>826.84002685546875</v>
      </c>
      <c r="D823" s="104">
        <v>1.4256999492645264</v>
      </c>
      <c r="E823">
        <v>91.818934675044432</v>
      </c>
      <c r="F823">
        <v>941.94769287109375</v>
      </c>
      <c r="G823" s="14"/>
      <c r="H823" s="34"/>
      <c r="I823" s="34"/>
      <c r="J823" s="34"/>
      <c r="K823" s="34"/>
      <c r="L823" s="34"/>
      <c r="N823" s="34"/>
      <c r="O823" s="35"/>
      <c r="P823" s="35"/>
      <c r="Q823" s="35"/>
      <c r="R823" s="35"/>
      <c r="S823" s="74"/>
      <c r="AJ823" s="34"/>
      <c r="AK823" s="34"/>
      <c r="AL823" s="34"/>
      <c r="AM823" s="34"/>
      <c r="AN823" s="34"/>
      <c r="AQ823" s="67"/>
      <c r="AR823" s="67"/>
      <c r="AS823" s="67"/>
      <c r="AT823" s="67"/>
      <c r="AU823" s="67"/>
      <c r="AW823" s="68"/>
      <c r="AX823" s="68"/>
      <c r="AY823" s="68"/>
      <c r="AZ823" s="68"/>
      <c r="BA823" s="68"/>
      <c r="BB823" s="68"/>
    </row>
    <row r="824" spans="1:54" ht="13.5" thickBot="1">
      <c r="A824" s="103">
        <v>39861</v>
      </c>
      <c r="B824" s="104">
        <v>2.9519999027252197</v>
      </c>
      <c r="C824" s="105">
        <v>789.16998291015625</v>
      </c>
      <c r="D824" s="104">
        <v>1.4269000291824341</v>
      </c>
      <c r="E824">
        <v>92.438528792701007</v>
      </c>
      <c r="F824">
        <v>972.0460205078125</v>
      </c>
      <c r="G824" s="14"/>
      <c r="H824" s="34"/>
      <c r="I824" s="34"/>
      <c r="J824" s="34"/>
      <c r="K824" s="34"/>
      <c r="L824" s="34"/>
      <c r="N824" s="34"/>
      <c r="O824" s="35"/>
      <c r="P824" s="35"/>
      <c r="Q824" s="35"/>
      <c r="R824" s="35"/>
      <c r="S824" s="74"/>
      <c r="AJ824" s="34"/>
      <c r="AK824" s="34"/>
      <c r="AL824" s="34"/>
      <c r="AM824" s="34"/>
      <c r="AN824" s="34"/>
      <c r="AQ824" s="67"/>
      <c r="AR824" s="67"/>
      <c r="AS824" s="67"/>
      <c r="AT824" s="67"/>
      <c r="AU824" s="67"/>
      <c r="AW824" s="68"/>
      <c r="AX824" s="68"/>
      <c r="AY824" s="68"/>
      <c r="AZ824" s="68"/>
      <c r="BA824" s="68"/>
      <c r="BB824" s="68"/>
    </row>
    <row r="825" spans="1:54" ht="13.5" thickBot="1">
      <c r="A825" s="103">
        <v>39862</v>
      </c>
      <c r="B825" s="104">
        <v>3.0150001049041748</v>
      </c>
      <c r="C825" s="105">
        <v>788.41998291015625</v>
      </c>
      <c r="D825" s="104">
        <v>1.4232000112533569</v>
      </c>
      <c r="E825">
        <v>93.791036260174607</v>
      </c>
      <c r="F825">
        <v>971.0460205078125</v>
      </c>
      <c r="G825" s="14"/>
      <c r="H825" s="34"/>
      <c r="I825" s="34"/>
      <c r="J825" s="34"/>
      <c r="K825" s="34"/>
      <c r="L825" s="34"/>
      <c r="N825" s="34"/>
      <c r="O825" s="35"/>
      <c r="P825" s="35"/>
      <c r="Q825" s="35"/>
      <c r="R825" s="35"/>
      <c r="S825" s="74"/>
      <c r="AJ825" s="34"/>
      <c r="AK825" s="34"/>
      <c r="AL825" s="34"/>
      <c r="AM825" s="34"/>
      <c r="AN825" s="34"/>
      <c r="AQ825" s="67"/>
      <c r="AR825" s="67"/>
      <c r="AS825" s="67"/>
      <c r="AT825" s="67"/>
      <c r="AU825" s="67"/>
      <c r="AW825" s="68"/>
      <c r="AX825" s="68"/>
      <c r="AY825" s="68"/>
      <c r="AZ825" s="68"/>
      <c r="BA825" s="68"/>
      <c r="BB825" s="68"/>
    </row>
    <row r="826" spans="1:54" ht="13.5" thickBot="1">
      <c r="A826" s="103">
        <v>39863</v>
      </c>
      <c r="B826" s="104">
        <v>3.1029999256134033</v>
      </c>
      <c r="C826" s="105">
        <v>778.94000244140625</v>
      </c>
      <c r="D826" s="104">
        <v>1.4305000305175781</v>
      </c>
      <c r="E826">
        <v>94.410879451842078</v>
      </c>
      <c r="F826">
        <v>979.191162109375</v>
      </c>
      <c r="G826" s="14"/>
      <c r="H826" s="34"/>
      <c r="I826" s="34"/>
      <c r="J826" s="34"/>
      <c r="K826" s="34"/>
      <c r="L826" s="34"/>
      <c r="N826" s="34"/>
      <c r="O826" s="35"/>
      <c r="P826" s="35"/>
      <c r="Q826" s="35"/>
      <c r="R826" s="35"/>
      <c r="S826" s="74"/>
      <c r="AJ826" s="34"/>
      <c r="AK826" s="34"/>
      <c r="AL826" s="34"/>
      <c r="AM826" s="34"/>
      <c r="AN826" s="34"/>
      <c r="AQ826" s="67"/>
      <c r="AR826" s="67"/>
      <c r="AS826" s="67"/>
      <c r="AT826" s="67"/>
      <c r="AU826" s="67"/>
      <c r="AW826" s="68"/>
      <c r="AX826" s="68"/>
      <c r="AY826" s="68"/>
      <c r="AZ826" s="68"/>
      <c r="BA826" s="68"/>
      <c r="BB826" s="68"/>
    </row>
    <row r="827" spans="1:54" ht="13.5" thickBot="1">
      <c r="A827" s="103">
        <v>39864</v>
      </c>
      <c r="B827" s="104">
        <v>3.0274999141693115</v>
      </c>
      <c r="C827" s="105">
        <v>770.04998779296875</v>
      </c>
      <c r="D827" s="104">
        <v>1.4442000389099121</v>
      </c>
      <c r="E827">
        <v>93.222705377803791</v>
      </c>
      <c r="F827">
        <v>991.18988037109375</v>
      </c>
      <c r="G827" s="14"/>
      <c r="H827" s="34"/>
      <c r="I827" s="34"/>
      <c r="J827" s="34"/>
      <c r="K827" s="34"/>
      <c r="L827" s="34"/>
      <c r="N827" s="34"/>
      <c r="O827" s="35"/>
      <c r="P827" s="35"/>
      <c r="Q827" s="35"/>
      <c r="R827" s="35"/>
      <c r="S827" s="74"/>
      <c r="AJ827" s="34"/>
      <c r="AK827" s="34"/>
      <c r="AL827" s="34"/>
      <c r="AM827" s="34"/>
      <c r="AN827" s="34"/>
      <c r="AQ827" s="67"/>
      <c r="AR827" s="67"/>
      <c r="AS827" s="67"/>
      <c r="AT827" s="67"/>
      <c r="AU827" s="67"/>
      <c r="AW827" s="68"/>
      <c r="AX827" s="68"/>
      <c r="AY827" s="68"/>
      <c r="AZ827" s="68"/>
      <c r="BA827" s="68"/>
      <c r="BB827" s="68"/>
    </row>
    <row r="828" spans="1:54" ht="13.5" thickBot="1">
      <c r="A828" s="103">
        <v>39867</v>
      </c>
      <c r="B828" s="104">
        <v>3.0169999599456787</v>
      </c>
      <c r="C828" s="105">
        <v>743.33001708984375</v>
      </c>
      <c r="D828" s="104">
        <v>1.448199987411499</v>
      </c>
      <c r="E828">
        <v>94.535829198010461</v>
      </c>
      <c r="F828">
        <v>993.24481201171875</v>
      </c>
      <c r="G828" s="14"/>
      <c r="H828" s="34"/>
      <c r="I828" s="34"/>
      <c r="J828" s="34"/>
      <c r="K828" s="34"/>
      <c r="L828" s="34"/>
      <c r="N828" s="34"/>
      <c r="O828" s="35"/>
      <c r="P828" s="35"/>
      <c r="Q828" s="35"/>
      <c r="R828" s="35"/>
      <c r="S828" s="74"/>
      <c r="AJ828" s="34"/>
      <c r="AK828" s="34"/>
      <c r="AL828" s="34"/>
      <c r="AM828" s="34"/>
      <c r="AN828" s="34"/>
      <c r="AQ828" s="67"/>
      <c r="AR828" s="67"/>
      <c r="AS828" s="67"/>
      <c r="AT828" s="67"/>
      <c r="AU828" s="67"/>
      <c r="AW828" s="68"/>
      <c r="AX828" s="68"/>
      <c r="AY828" s="68"/>
      <c r="AZ828" s="68"/>
      <c r="BA828" s="68"/>
      <c r="BB828" s="68"/>
    </row>
    <row r="829" spans="1:54" ht="13.5" thickBot="1">
      <c r="A829" s="103">
        <v>39868</v>
      </c>
      <c r="B829" s="104">
        <v>3.0559999942779541</v>
      </c>
      <c r="C829" s="105">
        <v>773.1400146484375</v>
      </c>
      <c r="D829" s="104">
        <v>1.4491000175476074</v>
      </c>
      <c r="E829">
        <v>96.880450463464271</v>
      </c>
      <c r="F829">
        <v>965.24639892578125</v>
      </c>
      <c r="G829" s="14"/>
      <c r="H829" s="34"/>
      <c r="I829" s="34"/>
      <c r="J829" s="34"/>
      <c r="K829" s="34"/>
      <c r="L829" s="34"/>
      <c r="N829" s="34"/>
      <c r="O829" s="35"/>
      <c r="P829" s="35"/>
      <c r="Q829" s="35"/>
      <c r="R829" s="35"/>
      <c r="S829" s="74"/>
      <c r="AJ829" s="34"/>
      <c r="AK829" s="34"/>
      <c r="AL829" s="34"/>
      <c r="AM829" s="34"/>
      <c r="AN829" s="34"/>
      <c r="AQ829" s="67"/>
      <c r="AR829" s="67"/>
      <c r="AS829" s="67"/>
      <c r="AT829" s="67"/>
      <c r="AU829" s="67"/>
      <c r="AW829" s="68"/>
      <c r="AX829" s="68"/>
      <c r="AY829" s="68"/>
      <c r="AZ829" s="68"/>
      <c r="BA829" s="68"/>
      <c r="BB829" s="68"/>
    </row>
    <row r="830" spans="1:54" ht="13.5" thickBot="1">
      <c r="A830" s="103">
        <v>39869</v>
      </c>
      <c r="B830" s="104">
        <v>3.2444999217987061</v>
      </c>
      <c r="C830" s="105">
        <v>764.9000244140625</v>
      </c>
      <c r="D830" s="104">
        <v>1.4199999570846558</v>
      </c>
      <c r="E830">
        <v>97.637178119939648</v>
      </c>
      <c r="F830">
        <v>970.24609375</v>
      </c>
      <c r="G830" s="14"/>
      <c r="H830" s="34"/>
      <c r="I830" s="34"/>
      <c r="J830" s="34"/>
      <c r="K830" s="34"/>
      <c r="L830" s="34"/>
      <c r="N830" s="34"/>
      <c r="O830" s="35"/>
      <c r="P830" s="35"/>
      <c r="Q830" s="35"/>
      <c r="R830" s="35"/>
      <c r="S830" s="74"/>
      <c r="AJ830" s="34"/>
      <c r="AK830" s="34"/>
      <c r="AL830" s="34"/>
      <c r="AM830" s="34"/>
      <c r="AN830" s="34"/>
      <c r="AQ830" s="67"/>
      <c r="AR830" s="67"/>
      <c r="AS830" s="67"/>
      <c r="AT830" s="67"/>
      <c r="AU830" s="67"/>
      <c r="AW830" s="68"/>
      <c r="AX830" s="68"/>
      <c r="AY830" s="68"/>
      <c r="AZ830" s="68"/>
      <c r="BA830" s="68"/>
      <c r="BB830" s="68"/>
    </row>
    <row r="831" spans="1:54" ht="13.5" thickBot="1">
      <c r="A831" s="103">
        <v>39870</v>
      </c>
      <c r="B831" s="104">
        <v>3.2834999561309814</v>
      </c>
      <c r="C831" s="105">
        <v>752.83001708984375</v>
      </c>
      <c r="D831" s="104">
        <v>1.4307999610900879</v>
      </c>
      <c r="E831">
        <v>98.318750212892041</v>
      </c>
      <c r="F831">
        <v>939.19561767578125</v>
      </c>
      <c r="G831" s="14"/>
      <c r="H831" s="34"/>
      <c r="I831" s="34"/>
      <c r="J831" s="34"/>
      <c r="K831" s="34"/>
      <c r="L831" s="34"/>
      <c r="N831" s="34"/>
      <c r="O831" s="35"/>
      <c r="P831" s="35"/>
      <c r="Q831" s="35"/>
      <c r="R831" s="35"/>
      <c r="S831" s="74"/>
      <c r="AJ831" s="34"/>
      <c r="AK831" s="34"/>
      <c r="AL831" s="34"/>
      <c r="AM831" s="34"/>
      <c r="AN831" s="34"/>
      <c r="AQ831" s="67"/>
      <c r="AR831" s="67"/>
      <c r="AS831" s="67"/>
      <c r="AT831" s="67"/>
      <c r="AU831" s="67"/>
      <c r="AW831" s="68"/>
      <c r="AX831" s="68"/>
      <c r="AY831" s="68"/>
      <c r="AZ831" s="68"/>
      <c r="BA831" s="68"/>
      <c r="BB831" s="68"/>
    </row>
    <row r="832" spans="1:54" ht="13.5" thickBot="1">
      <c r="A832" s="103">
        <v>39871</v>
      </c>
      <c r="B832" s="104">
        <v>3.3450000286102295</v>
      </c>
      <c r="C832" s="105">
        <v>735.09002685546875</v>
      </c>
      <c r="D832" s="104">
        <v>1.4321999549865723</v>
      </c>
      <c r="E832">
        <v>97.856930483365431</v>
      </c>
      <c r="F832">
        <v>941.1954345703125</v>
      </c>
      <c r="G832" s="14"/>
      <c r="H832" s="34"/>
      <c r="I832" s="34"/>
      <c r="J832" s="34"/>
      <c r="K832" s="34"/>
      <c r="L832" s="34"/>
      <c r="N832" s="34"/>
      <c r="O832" s="35"/>
      <c r="P832" s="35"/>
      <c r="Q832" s="35"/>
      <c r="R832" s="35"/>
      <c r="S832" s="74"/>
      <c r="AJ832" s="34"/>
      <c r="AK832" s="34"/>
      <c r="AL832" s="34"/>
      <c r="AM832" s="34"/>
      <c r="AN832" s="34"/>
      <c r="AQ832" s="67"/>
      <c r="AR832" s="67"/>
      <c r="AS832" s="67"/>
      <c r="AT832" s="67"/>
      <c r="AU832" s="67"/>
      <c r="AW832" s="68"/>
      <c r="AX832" s="68"/>
      <c r="AY832" s="68"/>
      <c r="AZ832" s="68"/>
      <c r="BA832" s="68"/>
      <c r="BB832" s="68"/>
    </row>
    <row r="833" spans="1:54" ht="13.5" thickBot="1">
      <c r="A833" s="103">
        <v>39874</v>
      </c>
      <c r="B833" s="104">
        <v>3.2344999313354492</v>
      </c>
      <c r="C833" s="105">
        <v>700.82000732421875</v>
      </c>
      <c r="D833" s="104">
        <v>1.4035999774932861</v>
      </c>
      <c r="E833">
        <v>97.703953175268438</v>
      </c>
      <c r="F833">
        <v>942.24761962890625</v>
      </c>
      <c r="G833" s="14"/>
      <c r="H833" s="34"/>
      <c r="I833" s="34"/>
      <c r="J833" s="34"/>
      <c r="K833" s="34"/>
      <c r="L833" s="34"/>
      <c r="N833" s="34"/>
      <c r="O833" s="35"/>
      <c r="P833" s="35"/>
      <c r="Q833" s="35"/>
      <c r="R833" s="35"/>
      <c r="S833" s="74"/>
      <c r="AJ833" s="34"/>
      <c r="AK833" s="34"/>
      <c r="AL833" s="34"/>
      <c r="AM833" s="34"/>
      <c r="AN833" s="34"/>
      <c r="AQ833" s="67"/>
      <c r="AR833" s="67"/>
      <c r="AS833" s="67"/>
      <c r="AT833" s="67"/>
      <c r="AU833" s="67"/>
      <c r="AW833" s="68"/>
      <c r="AX833" s="68"/>
      <c r="AY833" s="68"/>
      <c r="AZ833" s="68"/>
      <c r="BA833" s="68"/>
      <c r="BB833" s="68"/>
    </row>
    <row r="834" spans="1:54" ht="13.5" thickBot="1">
      <c r="A834" s="103">
        <v>39875</v>
      </c>
      <c r="B834" s="104">
        <v>3.2460000514984131</v>
      </c>
      <c r="C834" s="105">
        <v>696.33001708984375</v>
      </c>
      <c r="D834" s="104">
        <v>1.4076000452041626</v>
      </c>
      <c r="E834">
        <v>98.357432026596229</v>
      </c>
      <c r="F834">
        <v>914.24920654296875</v>
      </c>
      <c r="G834" s="14"/>
      <c r="H834" s="34"/>
      <c r="I834" s="34"/>
      <c r="J834" s="34"/>
      <c r="K834" s="34"/>
      <c r="L834" s="34"/>
      <c r="N834" s="34"/>
      <c r="O834" s="35"/>
      <c r="P834" s="35"/>
      <c r="Q834" s="35"/>
      <c r="R834" s="35"/>
      <c r="S834" s="74"/>
      <c r="AJ834" s="34"/>
      <c r="AK834" s="34"/>
      <c r="AL834" s="34"/>
      <c r="AM834" s="34"/>
      <c r="AN834" s="34"/>
      <c r="AQ834" s="67"/>
      <c r="AR834" s="67"/>
      <c r="AS834" s="67"/>
      <c r="AT834" s="67"/>
      <c r="AU834" s="67"/>
      <c r="AW834" s="68"/>
      <c r="AX834" s="68"/>
      <c r="AY834" s="68"/>
      <c r="AZ834" s="68"/>
      <c r="BA834" s="68"/>
      <c r="BB834" s="68"/>
    </row>
    <row r="835" spans="1:54" ht="13.5" thickBot="1">
      <c r="A835" s="103">
        <v>39876</v>
      </c>
      <c r="B835" s="104">
        <v>3.3034999370574951</v>
      </c>
      <c r="C835" s="105">
        <v>712.8699951171875</v>
      </c>
      <c r="D835" s="104">
        <v>1.4153000116348267</v>
      </c>
      <c r="E835">
        <v>99.196511286408636</v>
      </c>
      <c r="F835">
        <v>907.349609375</v>
      </c>
      <c r="G835" s="14"/>
      <c r="H835" s="34"/>
      <c r="I835" s="34"/>
      <c r="J835" s="34"/>
      <c r="K835" s="34"/>
      <c r="L835" s="34"/>
      <c r="N835" s="34"/>
      <c r="O835" s="35"/>
      <c r="P835" s="35"/>
      <c r="Q835" s="35"/>
      <c r="R835" s="35"/>
      <c r="S835" s="74"/>
      <c r="AJ835" s="34"/>
      <c r="AK835" s="34"/>
      <c r="AL835" s="34"/>
      <c r="AM835" s="34"/>
      <c r="AN835" s="34"/>
      <c r="AQ835" s="67"/>
      <c r="AR835" s="67"/>
      <c r="AS835" s="67"/>
      <c r="AT835" s="67"/>
      <c r="AU835" s="67"/>
      <c r="AW835" s="68"/>
      <c r="AX835" s="68"/>
      <c r="AY835" s="68"/>
      <c r="AZ835" s="68"/>
      <c r="BA835" s="68"/>
      <c r="BB835" s="68"/>
    </row>
    <row r="836" spans="1:54" ht="13.5" thickBot="1">
      <c r="A836" s="103">
        <v>39877</v>
      </c>
      <c r="B836" s="104">
        <v>3.0915000438690186</v>
      </c>
      <c r="C836" s="105">
        <v>682.54998779296875</v>
      </c>
      <c r="D836" s="104">
        <v>1.4114999771118164</v>
      </c>
      <c r="E836">
        <v>98.241477789983151</v>
      </c>
      <c r="F836">
        <v>926.39703369140625</v>
      </c>
      <c r="G836" s="14"/>
      <c r="H836" s="34"/>
      <c r="I836" s="34"/>
      <c r="J836" s="34"/>
      <c r="K836" s="34"/>
      <c r="L836" s="34"/>
      <c r="N836" s="34"/>
      <c r="O836" s="35"/>
      <c r="P836" s="35"/>
      <c r="Q836" s="35"/>
      <c r="R836" s="35"/>
      <c r="S836" s="74"/>
      <c r="AJ836" s="34"/>
      <c r="AK836" s="34"/>
      <c r="AL836" s="34"/>
      <c r="AM836" s="34"/>
      <c r="AN836" s="34"/>
      <c r="AQ836" s="67"/>
      <c r="AR836" s="67"/>
      <c r="AS836" s="67"/>
      <c r="AT836" s="67"/>
      <c r="AU836" s="67"/>
      <c r="AW836" s="68"/>
      <c r="AX836" s="68"/>
      <c r="AY836" s="68"/>
      <c r="AZ836" s="68"/>
      <c r="BA836" s="68"/>
      <c r="BB836" s="68"/>
    </row>
    <row r="837" spans="1:54" ht="13.5" thickBot="1">
      <c r="A837" s="103">
        <v>39878</v>
      </c>
      <c r="B837" s="104">
        <v>3.0829999446868896</v>
      </c>
      <c r="C837" s="105">
        <v>683.3800048828125</v>
      </c>
      <c r="D837" s="104">
        <v>1.4097000360488892</v>
      </c>
      <c r="E837">
        <v>97.962378328431143</v>
      </c>
      <c r="F837">
        <v>939.3956298828125</v>
      </c>
      <c r="G837" s="14"/>
      <c r="H837" s="34"/>
      <c r="I837" s="34"/>
      <c r="J837" s="34"/>
      <c r="K837" s="34"/>
      <c r="L837" s="34"/>
      <c r="N837" s="34"/>
      <c r="O837" s="35"/>
      <c r="P837" s="35"/>
      <c r="Q837" s="35"/>
      <c r="R837" s="35"/>
      <c r="S837" s="74"/>
      <c r="AJ837" s="34"/>
      <c r="AK837" s="34"/>
      <c r="AL837" s="34"/>
      <c r="AM837" s="34"/>
      <c r="AN837" s="34"/>
      <c r="AQ837" s="67"/>
      <c r="AR837" s="67"/>
      <c r="AS837" s="67"/>
      <c r="AT837" s="67"/>
      <c r="AU837" s="67"/>
      <c r="AW837" s="68"/>
      <c r="AX837" s="68"/>
      <c r="AY837" s="68"/>
      <c r="AZ837" s="68"/>
      <c r="BA837" s="68"/>
      <c r="BB837" s="68"/>
    </row>
    <row r="838" spans="1:54" ht="13.5" thickBot="1">
      <c r="A838" s="103">
        <v>39881</v>
      </c>
      <c r="B838" s="104">
        <v>3.1329998970031738</v>
      </c>
      <c r="C838" s="105">
        <v>676.530029296875</v>
      </c>
      <c r="D838" s="104">
        <v>1.3805999755859375</v>
      </c>
      <c r="E838">
        <v>98.863070543239559</v>
      </c>
      <c r="F838">
        <v>917.54901123046875</v>
      </c>
      <c r="G838" s="14"/>
      <c r="H838" s="34"/>
      <c r="I838" s="34"/>
      <c r="J838" s="34"/>
      <c r="K838" s="34"/>
      <c r="L838" s="34"/>
      <c r="N838" s="34"/>
      <c r="O838" s="35"/>
      <c r="P838" s="35"/>
      <c r="Q838" s="35"/>
      <c r="R838" s="35"/>
      <c r="S838" s="74"/>
      <c r="AJ838" s="34"/>
      <c r="AK838" s="34"/>
      <c r="AL838" s="34"/>
      <c r="AM838" s="34"/>
      <c r="AN838" s="34"/>
      <c r="AQ838" s="67"/>
      <c r="AR838" s="67"/>
      <c r="AS838" s="67"/>
      <c r="AT838" s="67"/>
      <c r="AU838" s="67"/>
      <c r="AW838" s="68"/>
      <c r="AX838" s="68"/>
      <c r="AY838" s="68"/>
      <c r="AZ838" s="68"/>
      <c r="BA838" s="68"/>
      <c r="BB838" s="68"/>
    </row>
    <row r="839" spans="1:54" ht="13.5" thickBot="1">
      <c r="A839" s="103">
        <v>39882</v>
      </c>
      <c r="B839" s="104">
        <v>3.2105000019073486</v>
      </c>
      <c r="C839" s="105">
        <v>719.5999755859375</v>
      </c>
      <c r="D839" s="104">
        <v>1.3726999759674072</v>
      </c>
      <c r="E839">
        <v>98.823990073255942</v>
      </c>
      <c r="F839">
        <v>895.55023193359375</v>
      </c>
      <c r="G839" s="14"/>
      <c r="H839" s="34"/>
      <c r="I839" s="34"/>
      <c r="J839" s="34"/>
      <c r="K839" s="34"/>
      <c r="L839" s="34"/>
      <c r="N839" s="34"/>
      <c r="O839" s="35"/>
      <c r="P839" s="35"/>
      <c r="Q839" s="35"/>
      <c r="R839" s="35"/>
      <c r="S839" s="74"/>
      <c r="AJ839" s="34"/>
      <c r="AK839" s="34"/>
      <c r="AL839" s="34"/>
      <c r="AM839" s="34"/>
      <c r="AN839" s="34"/>
      <c r="AQ839" s="67"/>
      <c r="AR839" s="67"/>
      <c r="AS839" s="67"/>
      <c r="AT839" s="67"/>
      <c r="AU839" s="67"/>
      <c r="AW839" s="68"/>
      <c r="AX839" s="68"/>
      <c r="AY839" s="68"/>
      <c r="AZ839" s="68"/>
      <c r="BA839" s="68"/>
      <c r="BB839" s="68"/>
    </row>
    <row r="840" spans="1:54" ht="13.5" thickBot="1">
      <c r="A840" s="103">
        <v>39883</v>
      </c>
      <c r="B840" s="104">
        <v>3.1170001029968262</v>
      </c>
      <c r="C840" s="105">
        <v>721.3599853515625</v>
      </c>
      <c r="D840" s="104">
        <v>1.3847999572753906</v>
      </c>
      <c r="E840">
        <v>97.247886410343284</v>
      </c>
      <c r="F840">
        <v>910.5494384765625</v>
      </c>
      <c r="G840" s="14"/>
      <c r="H840" s="34"/>
      <c r="I840" s="34"/>
      <c r="J840" s="34"/>
      <c r="K840" s="34"/>
      <c r="L840" s="34"/>
      <c r="N840" s="34"/>
      <c r="O840" s="35"/>
      <c r="P840" s="35"/>
      <c r="Q840" s="35"/>
      <c r="R840" s="35"/>
      <c r="S840" s="74"/>
      <c r="AJ840" s="34"/>
      <c r="AK840" s="34"/>
      <c r="AL840" s="34"/>
      <c r="AM840" s="34"/>
      <c r="AN840" s="34"/>
      <c r="AQ840" s="67"/>
      <c r="AR840" s="67"/>
      <c r="AS840" s="67"/>
      <c r="AT840" s="67"/>
      <c r="AU840" s="67"/>
      <c r="AW840" s="68"/>
      <c r="AX840" s="68"/>
      <c r="AY840" s="68"/>
      <c r="AZ840" s="68"/>
      <c r="BA840" s="68"/>
      <c r="BB840" s="68"/>
    </row>
    <row r="841" spans="1:54" ht="13.5" thickBot="1">
      <c r="A841" s="103">
        <v>39884</v>
      </c>
      <c r="B841" s="104">
        <v>3.0699999332427979</v>
      </c>
      <c r="C841" s="105">
        <v>750.739990234375</v>
      </c>
      <c r="D841" s="104">
        <v>1.3913999795913696</v>
      </c>
      <c r="E841">
        <v>98.029608042916976</v>
      </c>
      <c r="F841">
        <v>923.6973876953125</v>
      </c>
      <c r="G841" s="14"/>
      <c r="H841" s="34"/>
      <c r="I841" s="34"/>
      <c r="J841" s="34"/>
      <c r="K841" s="34"/>
      <c r="L841" s="34"/>
      <c r="N841" s="34"/>
      <c r="O841" s="35"/>
      <c r="P841" s="35"/>
      <c r="Q841" s="35"/>
      <c r="R841" s="35"/>
      <c r="S841" s="74"/>
      <c r="AJ841" s="34"/>
      <c r="AK841" s="34"/>
      <c r="AL841" s="34"/>
      <c r="AM841" s="34"/>
      <c r="AN841" s="34"/>
      <c r="AQ841" s="67"/>
      <c r="AR841" s="67"/>
      <c r="AS841" s="67"/>
      <c r="AT841" s="67"/>
      <c r="AU841" s="67"/>
      <c r="AW841" s="68"/>
      <c r="AX841" s="68"/>
      <c r="AY841" s="68"/>
      <c r="AZ841" s="68"/>
      <c r="BA841" s="68"/>
      <c r="BB841" s="68"/>
    </row>
    <row r="842" spans="1:54" ht="13.5" thickBot="1">
      <c r="A842" s="103">
        <v>39885</v>
      </c>
      <c r="B842" s="104">
        <v>3.1170001029968262</v>
      </c>
      <c r="C842" s="105">
        <v>756.54998779296875</v>
      </c>
      <c r="D842" s="104">
        <v>1.3991999626159668</v>
      </c>
      <c r="E842">
        <v>98.000780178857013</v>
      </c>
      <c r="F842">
        <v>928.69677734375</v>
      </c>
      <c r="G842" s="14"/>
      <c r="H842" s="34"/>
      <c r="I842" s="34"/>
      <c r="J842" s="34"/>
      <c r="K842" s="34"/>
      <c r="L842" s="34"/>
      <c r="N842" s="34"/>
      <c r="O842" s="35"/>
      <c r="P842" s="35"/>
      <c r="Q842" s="35"/>
      <c r="R842" s="35"/>
      <c r="S842" s="74"/>
      <c r="AJ842" s="34"/>
      <c r="AK842" s="34"/>
      <c r="AL842" s="34"/>
      <c r="AM842" s="34"/>
      <c r="AN842" s="34"/>
      <c r="AQ842" s="67"/>
      <c r="AR842" s="67"/>
      <c r="AS842" s="67"/>
      <c r="AT842" s="67"/>
      <c r="AU842" s="67"/>
      <c r="AW842" s="68"/>
      <c r="AX842" s="68"/>
      <c r="AY842" s="68"/>
      <c r="AZ842" s="68"/>
      <c r="BA842" s="68"/>
      <c r="BB842" s="68"/>
    </row>
    <row r="843" spans="1:54" ht="13.5" thickBot="1">
      <c r="A843" s="103">
        <v>39888</v>
      </c>
      <c r="B843" s="104">
        <v>3.1659998893737793</v>
      </c>
      <c r="C843" s="105">
        <v>753.8900146484375</v>
      </c>
      <c r="D843" s="104">
        <v>1.4093999862670898</v>
      </c>
      <c r="E843">
        <v>98.299416213745886</v>
      </c>
      <c r="F843">
        <v>921.748779296875</v>
      </c>
      <c r="G843" s="14"/>
      <c r="H843" s="34"/>
      <c r="I843" s="34"/>
      <c r="J843" s="34"/>
      <c r="K843" s="34"/>
      <c r="L843" s="34"/>
      <c r="N843" s="34"/>
      <c r="O843" s="35"/>
      <c r="P843" s="35"/>
      <c r="Q843" s="35"/>
      <c r="R843" s="35"/>
      <c r="S843" s="74"/>
      <c r="AJ843" s="34"/>
      <c r="AK843" s="34"/>
      <c r="AL843" s="34"/>
      <c r="AM843" s="34"/>
      <c r="AN843" s="34"/>
      <c r="AQ843" s="67"/>
      <c r="AR843" s="67"/>
      <c r="AS843" s="67"/>
      <c r="AT843" s="67"/>
      <c r="AU843" s="67"/>
      <c r="AW843" s="68"/>
      <c r="AX843" s="68"/>
      <c r="AY843" s="68"/>
      <c r="AZ843" s="68"/>
      <c r="BA843" s="68"/>
      <c r="BB843" s="68"/>
    </row>
    <row r="844" spans="1:54" ht="13.5" thickBot="1">
      <c r="A844" s="103">
        <v>39889</v>
      </c>
      <c r="B844" s="104">
        <v>3.2209999561309814</v>
      </c>
      <c r="C844" s="105">
        <v>778.1199951171875</v>
      </c>
      <c r="D844" s="104">
        <v>1.4032000303268433</v>
      </c>
      <c r="E844">
        <v>98.522163090632816</v>
      </c>
      <c r="F844">
        <v>917.7490234375</v>
      </c>
      <c r="G844" s="14"/>
      <c r="H844" s="34"/>
      <c r="I844" s="34"/>
      <c r="J844" s="34"/>
      <c r="K844" s="34"/>
      <c r="L844" s="34"/>
      <c r="N844" s="34"/>
      <c r="O844" s="35"/>
      <c r="P844" s="35"/>
      <c r="Q844" s="35"/>
      <c r="R844" s="35"/>
      <c r="S844" s="74"/>
      <c r="AJ844" s="34"/>
      <c r="AK844" s="34"/>
      <c r="AL844" s="34"/>
      <c r="AM844" s="34"/>
      <c r="AN844" s="34"/>
      <c r="AQ844" s="67"/>
      <c r="AR844" s="67"/>
      <c r="AS844" s="67"/>
      <c r="AT844" s="67"/>
      <c r="AU844" s="67"/>
      <c r="AW844" s="68"/>
      <c r="AX844" s="68"/>
      <c r="AY844" s="68"/>
      <c r="AZ844" s="68"/>
      <c r="BA844" s="68"/>
      <c r="BB844" s="68"/>
    </row>
    <row r="845" spans="1:54" ht="13.5" thickBot="1">
      <c r="A845" s="103">
        <v>39890</v>
      </c>
      <c r="B845" s="104">
        <v>2.8810000419616699</v>
      </c>
      <c r="C845" s="105">
        <v>794.3499755859375</v>
      </c>
      <c r="D845" s="104">
        <v>1.4212000370025635</v>
      </c>
      <c r="E845">
        <v>96.061482679904515</v>
      </c>
      <c r="F845">
        <v>932.7481689453125</v>
      </c>
      <c r="G845" s="14"/>
      <c r="H845" s="34"/>
      <c r="I845" s="34"/>
      <c r="J845" s="34"/>
      <c r="K845" s="34"/>
      <c r="L845" s="34"/>
      <c r="N845" s="34"/>
      <c r="O845" s="35"/>
      <c r="P845" s="35"/>
      <c r="Q845" s="35"/>
      <c r="R845" s="35"/>
      <c r="S845" s="74"/>
      <c r="AJ845" s="34"/>
      <c r="AK845" s="34"/>
      <c r="AL845" s="34"/>
      <c r="AM845" s="34"/>
      <c r="AN845" s="34"/>
      <c r="AQ845" s="67"/>
      <c r="AR845" s="67"/>
      <c r="AS845" s="67"/>
      <c r="AT845" s="67"/>
      <c r="AU845" s="67"/>
      <c r="AW845" s="68"/>
      <c r="AX845" s="68"/>
      <c r="AY845" s="68"/>
      <c r="AZ845" s="68"/>
      <c r="BA845" s="68"/>
      <c r="BB845" s="68"/>
    </row>
    <row r="846" spans="1:54" ht="13.5" thickBot="1">
      <c r="A846" s="103">
        <v>39891</v>
      </c>
      <c r="B846" s="104">
        <v>2.8994998931884766</v>
      </c>
      <c r="C846" s="105">
        <v>784.03997802734375</v>
      </c>
      <c r="D846" s="104">
        <v>1.4493999481201172</v>
      </c>
      <c r="E846">
        <v>94.562645995268966</v>
      </c>
      <c r="F846">
        <v>953.69403076171875</v>
      </c>
      <c r="G846" s="14"/>
      <c r="H846" s="34"/>
      <c r="I846" s="34"/>
      <c r="J846" s="34"/>
      <c r="K846" s="34"/>
      <c r="L846" s="34"/>
      <c r="N846" s="34"/>
      <c r="O846" s="35"/>
      <c r="P846" s="35"/>
      <c r="Q846" s="35"/>
      <c r="R846" s="35"/>
      <c r="S846" s="74"/>
      <c r="AJ846" s="34"/>
      <c r="AK846" s="34"/>
      <c r="AL846" s="34"/>
      <c r="AM846" s="34"/>
      <c r="AN846" s="34"/>
      <c r="AQ846" s="67"/>
      <c r="AR846" s="67"/>
      <c r="AS846" s="67"/>
      <c r="AT846" s="67"/>
      <c r="AU846" s="67"/>
      <c r="AW846" s="68"/>
      <c r="AX846" s="68"/>
      <c r="AY846" s="68"/>
      <c r="AZ846" s="68"/>
      <c r="BA846" s="68"/>
      <c r="BB846" s="68"/>
    </row>
    <row r="847" spans="1:54" ht="13.5" thickBot="1">
      <c r="A847" s="103">
        <v>39892</v>
      </c>
      <c r="B847" s="104">
        <v>2.9495000839233398</v>
      </c>
      <c r="C847" s="105">
        <v>768.53997802734375</v>
      </c>
      <c r="D847" s="104">
        <v>1.4431999921798706</v>
      </c>
      <c r="E847">
        <v>95.960076729323234</v>
      </c>
      <c r="F847">
        <v>954.69390869140625</v>
      </c>
      <c r="G847" s="14"/>
      <c r="H847" s="34"/>
      <c r="I847" s="34"/>
      <c r="J847" s="34"/>
      <c r="K847" s="34"/>
      <c r="L847" s="34"/>
      <c r="N847" s="34"/>
      <c r="O847" s="35"/>
      <c r="P847" s="35"/>
      <c r="Q847" s="35"/>
      <c r="R847" s="35"/>
      <c r="S847" s="74"/>
      <c r="AJ847" s="34"/>
      <c r="AK847" s="34"/>
      <c r="AL847" s="34"/>
      <c r="AM847" s="34"/>
      <c r="AN847" s="34"/>
      <c r="AQ847" s="67"/>
      <c r="AR847" s="67"/>
      <c r="AS847" s="67"/>
      <c r="AT847" s="67"/>
      <c r="AU847" s="67"/>
      <c r="AW847" s="68"/>
      <c r="AX847" s="68"/>
      <c r="AY847" s="68"/>
      <c r="AZ847" s="68"/>
      <c r="BA847" s="68"/>
      <c r="BB847" s="68"/>
    </row>
    <row r="848" spans="1:54" ht="13.5" thickBot="1">
      <c r="A848" s="103">
        <v>39895</v>
      </c>
      <c r="B848" s="104">
        <v>2.9360001087188721</v>
      </c>
      <c r="C848" s="105">
        <v>822.91998291015625</v>
      </c>
      <c r="D848" s="104">
        <v>1.4553999900817871</v>
      </c>
      <c r="E848">
        <v>96.899221515427826</v>
      </c>
      <c r="F848">
        <v>950.7471923828125</v>
      </c>
      <c r="G848" s="14"/>
      <c r="H848" s="34"/>
      <c r="I848" s="34"/>
      <c r="J848" s="34"/>
      <c r="K848" s="34"/>
      <c r="L848" s="34"/>
      <c r="N848" s="34"/>
      <c r="O848" s="35"/>
      <c r="P848" s="35"/>
      <c r="Q848" s="35"/>
      <c r="R848" s="35"/>
      <c r="S848" s="74"/>
      <c r="AJ848" s="34"/>
      <c r="AK848" s="34"/>
      <c r="AL848" s="34"/>
      <c r="AM848" s="34"/>
      <c r="AN848" s="34"/>
      <c r="AQ848" s="67"/>
      <c r="AR848" s="67"/>
      <c r="AS848" s="67"/>
      <c r="AT848" s="67"/>
      <c r="AU848" s="67"/>
      <c r="AW848" s="68"/>
      <c r="AX848" s="68"/>
      <c r="AY848" s="68"/>
      <c r="AZ848" s="68"/>
      <c r="BA848" s="68"/>
      <c r="BB848" s="68"/>
    </row>
    <row r="849" spans="1:54" ht="13.5" thickBot="1">
      <c r="A849" s="103">
        <v>39896</v>
      </c>
      <c r="B849" s="104">
        <v>2.9070000648498535</v>
      </c>
      <c r="C849" s="105">
        <v>806.1220703125</v>
      </c>
      <c r="D849" s="104">
        <v>1.4718999862670898</v>
      </c>
      <c r="E849">
        <v>97.866509702324947</v>
      </c>
      <c r="F849">
        <v>922.74871826171875</v>
      </c>
      <c r="G849" s="14"/>
      <c r="H849" s="34"/>
      <c r="I849" s="34"/>
      <c r="J849" s="34"/>
      <c r="K849" s="34"/>
      <c r="L849" s="34"/>
      <c r="N849" s="34"/>
      <c r="O849" s="35"/>
      <c r="P849" s="35"/>
      <c r="Q849" s="35"/>
      <c r="R849" s="35"/>
      <c r="S849" s="74"/>
      <c r="AJ849" s="34"/>
      <c r="AK849" s="34"/>
      <c r="AL849" s="34"/>
      <c r="AM849" s="34"/>
      <c r="AN849" s="34"/>
      <c r="AQ849" s="67"/>
      <c r="AR849" s="67"/>
      <c r="AS849" s="67"/>
      <c r="AT849" s="67"/>
      <c r="AU849" s="67"/>
      <c r="AW849" s="68"/>
      <c r="AX849" s="68"/>
      <c r="AY849" s="68"/>
      <c r="AZ849" s="68"/>
      <c r="BA849" s="68"/>
      <c r="BB849" s="68"/>
    </row>
    <row r="850" spans="1:54" ht="13.5" thickBot="1">
      <c r="A850" s="103">
        <v>39897</v>
      </c>
      <c r="B850" s="104">
        <v>3.002000093460083</v>
      </c>
      <c r="C850" s="105">
        <v>813.8800048828125</v>
      </c>
      <c r="D850" s="104">
        <v>1.4532999992370605</v>
      </c>
      <c r="E850">
        <v>97.276264157144922</v>
      </c>
      <c r="F850">
        <v>931.74822998046875</v>
      </c>
      <c r="G850" s="14"/>
      <c r="H850" s="34"/>
      <c r="I850" s="34"/>
      <c r="J850" s="34"/>
      <c r="K850" s="34"/>
      <c r="L850" s="34"/>
      <c r="N850" s="34"/>
      <c r="O850" s="35"/>
      <c r="P850" s="35"/>
      <c r="Q850" s="35"/>
      <c r="R850" s="35"/>
      <c r="S850" s="74"/>
      <c r="AJ850" s="34"/>
      <c r="AK850" s="34"/>
      <c r="AL850" s="34"/>
      <c r="AM850" s="34"/>
      <c r="AN850" s="34"/>
      <c r="AQ850" s="67"/>
      <c r="AR850" s="67"/>
      <c r="AS850" s="67"/>
      <c r="AT850" s="67"/>
      <c r="AU850" s="67"/>
      <c r="AW850" s="68"/>
      <c r="AX850" s="68"/>
      <c r="AY850" s="68"/>
      <c r="AZ850" s="68"/>
      <c r="BA850" s="68"/>
      <c r="BB850" s="68"/>
    </row>
    <row r="851" spans="1:54" ht="13.5" thickBot="1">
      <c r="A851" s="103">
        <v>39898</v>
      </c>
      <c r="B851" s="104">
        <v>2.9375</v>
      </c>
      <c r="C851" s="105">
        <v>832.8599853515625</v>
      </c>
      <c r="D851" s="104">
        <v>1.4438999891281128</v>
      </c>
      <c r="E851">
        <v>98.541584819552128</v>
      </c>
      <c r="F851">
        <v>939.695556640625</v>
      </c>
      <c r="G851" s="14"/>
      <c r="H851" s="34"/>
      <c r="I851" s="34"/>
      <c r="J851" s="34"/>
      <c r="K851" s="34"/>
      <c r="L851" s="34"/>
      <c r="N851" s="34"/>
      <c r="O851" s="35"/>
      <c r="P851" s="35"/>
      <c r="Q851" s="35"/>
      <c r="R851" s="35"/>
      <c r="S851" s="74"/>
      <c r="AJ851" s="34"/>
      <c r="AK851" s="34"/>
      <c r="AL851" s="34"/>
      <c r="AM851" s="34"/>
      <c r="AN851" s="34"/>
      <c r="AQ851" s="67"/>
      <c r="AR851" s="67"/>
      <c r="AS851" s="67"/>
      <c r="AT851" s="67"/>
      <c r="AU851" s="67"/>
      <c r="AW851" s="68"/>
      <c r="AX851" s="68"/>
      <c r="AY851" s="68"/>
      <c r="AZ851" s="68"/>
      <c r="BA851" s="68"/>
      <c r="BB851" s="68"/>
    </row>
    <row r="852" spans="1:54" ht="13.5" thickBot="1">
      <c r="A852" s="103">
        <v>39899</v>
      </c>
      <c r="B852" s="104">
        <v>2.9440000057220459</v>
      </c>
      <c r="C852" s="105">
        <v>815.94000244140625</v>
      </c>
      <c r="D852" s="104">
        <v>1.430400013923645</v>
      </c>
      <c r="E852">
        <v>98.048827089679548</v>
      </c>
      <c r="F852">
        <v>924.697265625</v>
      </c>
      <c r="G852" s="14"/>
      <c r="H852" s="34"/>
      <c r="I852" s="34"/>
      <c r="J852" s="34"/>
      <c r="K852" s="34"/>
      <c r="L852" s="34"/>
      <c r="N852" s="34"/>
      <c r="O852" s="35"/>
      <c r="P852" s="35"/>
      <c r="Q852" s="35"/>
      <c r="R852" s="35"/>
      <c r="S852" s="74"/>
      <c r="AJ852" s="34"/>
      <c r="AK852" s="34"/>
      <c r="AL852" s="34"/>
      <c r="AM852" s="34"/>
      <c r="AN852" s="34"/>
      <c r="AQ852" s="67"/>
      <c r="AR852" s="67"/>
      <c r="AS852" s="67"/>
      <c r="AT852" s="67"/>
      <c r="AU852" s="67"/>
      <c r="AW852" s="68"/>
      <c r="AX852" s="68"/>
      <c r="AY852" s="68"/>
      <c r="AZ852" s="68"/>
      <c r="BA852" s="68"/>
      <c r="BB852" s="68"/>
    </row>
    <row r="853" spans="1:54" ht="13.5" thickBot="1">
      <c r="A853" s="103">
        <v>39902</v>
      </c>
      <c r="B853" s="104">
        <v>2.8940000534057617</v>
      </c>
      <c r="C853" s="105">
        <v>787.530029296875</v>
      </c>
      <c r="D853" s="104">
        <v>1.4206999540328979</v>
      </c>
      <c r="E853">
        <v>97.077949463027153</v>
      </c>
      <c r="F853">
        <v>917.89898681640625</v>
      </c>
      <c r="G853" s="14"/>
      <c r="H853" s="34"/>
      <c r="I853" s="34"/>
      <c r="J853" s="34"/>
      <c r="K853" s="34"/>
      <c r="L853" s="34"/>
      <c r="N853" s="34"/>
      <c r="O853" s="35"/>
      <c r="P853" s="35"/>
      <c r="Q853" s="35"/>
      <c r="R853" s="35"/>
      <c r="S853" s="74"/>
      <c r="AJ853" s="34"/>
      <c r="AK853" s="34"/>
      <c r="AL853" s="34"/>
      <c r="AM853" s="34"/>
      <c r="AN853" s="34"/>
      <c r="AQ853" s="67"/>
      <c r="AR853" s="67"/>
      <c r="AS853" s="67"/>
      <c r="AT853" s="67"/>
      <c r="AU853" s="67"/>
      <c r="AW853" s="68"/>
      <c r="AX853" s="68"/>
      <c r="AY853" s="68"/>
      <c r="AZ853" s="68"/>
      <c r="BA853" s="68"/>
      <c r="BB853" s="68"/>
    </row>
    <row r="854" spans="1:54" ht="13.5" thickBot="1">
      <c r="A854" s="103">
        <v>39903</v>
      </c>
      <c r="B854" s="104">
        <v>2.878000020980835</v>
      </c>
      <c r="C854" s="105">
        <v>797.8699951171875</v>
      </c>
      <c r="D854" s="104">
        <v>1.4352999925613403</v>
      </c>
      <c r="E854">
        <v>99.049132525934922</v>
      </c>
      <c r="F854">
        <v>922.69873046875</v>
      </c>
      <c r="G854" s="14"/>
      <c r="H854" s="34"/>
      <c r="I854" s="34"/>
      <c r="J854" s="34"/>
      <c r="K854" s="34"/>
      <c r="L854" s="34"/>
      <c r="N854" s="34"/>
      <c r="O854" s="35"/>
      <c r="P854" s="35"/>
      <c r="Q854" s="35"/>
      <c r="R854" s="35"/>
      <c r="S854" s="74"/>
      <c r="AJ854" s="34"/>
      <c r="AK854" s="34"/>
      <c r="AL854" s="34"/>
      <c r="AM854" s="34"/>
      <c r="AN854" s="34"/>
      <c r="AQ854" s="67"/>
      <c r="AR854" s="67"/>
      <c r="AS854" s="67"/>
      <c r="AT854" s="67"/>
      <c r="AU854" s="67"/>
      <c r="AW854" s="68"/>
      <c r="AX854" s="68"/>
      <c r="AY854" s="68"/>
      <c r="AZ854" s="68"/>
      <c r="BA854" s="68"/>
      <c r="BB854" s="68"/>
    </row>
    <row r="855" spans="1:54" ht="13.5" thickBot="1">
      <c r="A855" s="103">
        <v>39904</v>
      </c>
      <c r="B855" s="104">
        <v>2.8545000553131104</v>
      </c>
      <c r="C855" s="105">
        <v>811.08001708984375</v>
      </c>
      <c r="D855" s="104">
        <v>1.4435000419616699</v>
      </c>
      <c r="E855">
        <v>98.755675815872948</v>
      </c>
      <c r="F855">
        <v>922.89874267578125</v>
      </c>
      <c r="G855" s="14"/>
      <c r="H855" s="34"/>
      <c r="I855" s="34"/>
      <c r="J855" s="34"/>
      <c r="K855" s="34"/>
      <c r="L855" s="34"/>
      <c r="N855" s="34"/>
      <c r="O855" s="35"/>
      <c r="P855" s="35"/>
      <c r="Q855" s="35"/>
      <c r="R855" s="35"/>
      <c r="S855" s="74"/>
      <c r="AJ855" s="34"/>
      <c r="AK855" s="34"/>
      <c r="AL855" s="34"/>
      <c r="AM855" s="34"/>
      <c r="AN855" s="34"/>
      <c r="AQ855" s="67"/>
      <c r="AR855" s="67"/>
      <c r="AS855" s="67"/>
      <c r="AT855" s="67"/>
      <c r="AU855" s="67"/>
      <c r="AW855" s="68"/>
      <c r="AX855" s="68"/>
      <c r="AY855" s="68"/>
      <c r="AZ855" s="68"/>
      <c r="BA855" s="68"/>
      <c r="BB855" s="68"/>
    </row>
    <row r="856" spans="1:54" ht="13.5" thickBot="1">
      <c r="A856" s="103">
        <v>39905</v>
      </c>
      <c r="B856" s="104">
        <v>2.9419999122619629</v>
      </c>
      <c r="C856" s="105">
        <v>834.3800048828125</v>
      </c>
      <c r="D856" s="104">
        <v>1.4709000587463379</v>
      </c>
      <c r="E856">
        <v>99.641290848716409</v>
      </c>
      <c r="F856">
        <v>904.84942626953125</v>
      </c>
      <c r="G856" s="14"/>
      <c r="H856" s="34"/>
      <c r="I856" s="34"/>
      <c r="J856" s="34"/>
      <c r="K856" s="34"/>
      <c r="L856" s="34"/>
      <c r="N856" s="34"/>
      <c r="O856" s="35"/>
      <c r="P856" s="35"/>
      <c r="Q856" s="35"/>
      <c r="R856" s="35"/>
      <c r="S856" s="74"/>
      <c r="AJ856" s="34"/>
      <c r="AK856" s="34"/>
      <c r="AL856" s="34"/>
      <c r="AM856" s="34"/>
      <c r="AN856" s="34"/>
      <c r="AQ856" s="67"/>
      <c r="AR856" s="67"/>
      <c r="AS856" s="67"/>
      <c r="AT856" s="67"/>
      <c r="AU856" s="67"/>
      <c r="AW856" s="68"/>
      <c r="AX856" s="68"/>
      <c r="AY856" s="68"/>
      <c r="AZ856" s="68"/>
      <c r="BA856" s="68"/>
      <c r="BB856" s="68"/>
    </row>
    <row r="857" spans="1:54" ht="13.5" thickBot="1">
      <c r="A857" s="103">
        <v>39906</v>
      </c>
      <c r="B857" s="104">
        <v>3.0989999771118164</v>
      </c>
      <c r="C857" s="105">
        <v>842.5</v>
      </c>
      <c r="D857" s="104">
        <v>1.4821000099182129</v>
      </c>
      <c r="E857">
        <v>100.30090257020743</v>
      </c>
      <c r="F857">
        <v>899.85003662109375</v>
      </c>
      <c r="G857" s="14"/>
      <c r="H857" s="34"/>
      <c r="I857" s="34"/>
      <c r="J857" s="34"/>
      <c r="K857" s="34"/>
      <c r="L857" s="34"/>
      <c r="N857" s="34"/>
      <c r="O857" s="35"/>
      <c r="P857" s="35"/>
      <c r="Q857" s="35"/>
      <c r="R857" s="35"/>
      <c r="S857" s="74"/>
      <c r="AJ857" s="34"/>
      <c r="AK857" s="34"/>
      <c r="AL857" s="34"/>
      <c r="AM857" s="34"/>
      <c r="AN857" s="34"/>
      <c r="AQ857" s="67"/>
      <c r="AR857" s="67"/>
      <c r="AS857" s="67"/>
      <c r="AT857" s="67"/>
      <c r="AU857" s="67"/>
      <c r="AW857" s="68"/>
      <c r="AX857" s="68"/>
      <c r="AY857" s="68"/>
      <c r="AZ857" s="68"/>
      <c r="BA857" s="68"/>
      <c r="BB857" s="68"/>
    </row>
    <row r="858" spans="1:54" ht="13.5" thickBot="1">
      <c r="A858" s="103">
        <v>39909</v>
      </c>
      <c r="B858" s="104">
        <v>3.1510000228881836</v>
      </c>
      <c r="C858" s="105">
        <v>835.47998046875</v>
      </c>
      <c r="D858" s="104">
        <v>1.4729000329971313</v>
      </c>
      <c r="E858">
        <v>100.93873256649081</v>
      </c>
      <c r="F858">
        <v>870.25164794921875</v>
      </c>
      <c r="G858" s="14"/>
      <c r="H858" s="34"/>
      <c r="I858" s="34"/>
      <c r="J858" s="34"/>
      <c r="K858" s="34"/>
      <c r="L858" s="34"/>
      <c r="N858" s="34"/>
      <c r="O858" s="35"/>
      <c r="P858" s="35"/>
      <c r="Q858" s="35"/>
      <c r="R858" s="35"/>
      <c r="S858" s="74"/>
      <c r="AJ858" s="34"/>
      <c r="AK858" s="34"/>
      <c r="AL858" s="34"/>
      <c r="AM858" s="34"/>
      <c r="AN858" s="34"/>
      <c r="AQ858" s="67"/>
      <c r="AR858" s="67"/>
      <c r="AS858" s="67"/>
      <c r="AT858" s="67"/>
      <c r="AU858" s="67"/>
      <c r="AW858" s="68"/>
      <c r="AX858" s="68"/>
      <c r="AY858" s="68"/>
      <c r="AZ858" s="68"/>
      <c r="BA858" s="68"/>
      <c r="BB858" s="68"/>
    </row>
    <row r="859" spans="1:54" ht="13.5" thickBot="1">
      <c r="A859" s="103">
        <v>39910</v>
      </c>
      <c r="B859" s="104">
        <v>3.128000020980835</v>
      </c>
      <c r="C859" s="105">
        <v>815.54998779296875</v>
      </c>
      <c r="D859" s="104">
        <v>1.4728000164031982</v>
      </c>
      <c r="E859">
        <v>100.52271498309614</v>
      </c>
      <c r="F859">
        <v>882.1529541015625</v>
      </c>
      <c r="G859" s="14"/>
      <c r="H859" s="34"/>
      <c r="I859" s="34"/>
      <c r="J859" s="34"/>
      <c r="K859" s="34"/>
      <c r="L859" s="34"/>
      <c r="N859" s="34"/>
      <c r="O859" s="35"/>
      <c r="P859" s="35"/>
      <c r="Q859" s="35"/>
      <c r="R859" s="35"/>
      <c r="S859" s="74"/>
      <c r="AJ859" s="34"/>
      <c r="AK859" s="34"/>
      <c r="AL859" s="34"/>
      <c r="AM859" s="34"/>
      <c r="AN859" s="34"/>
      <c r="AQ859" s="67"/>
      <c r="AR859" s="67"/>
      <c r="AS859" s="67"/>
      <c r="AT859" s="67"/>
      <c r="AU859" s="67"/>
      <c r="AW859" s="68"/>
      <c r="AX859" s="68"/>
      <c r="AY859" s="68"/>
      <c r="AZ859" s="68"/>
      <c r="BA859" s="68"/>
      <c r="BB859" s="68"/>
    </row>
    <row r="860" spans="1:54" ht="13.5" thickBot="1">
      <c r="A860" s="103">
        <v>39911</v>
      </c>
      <c r="B860" s="104">
        <v>3.0569999217987061</v>
      </c>
      <c r="C860" s="105">
        <v>825.15997314453125</v>
      </c>
      <c r="D860" s="104">
        <v>1.4697999954223633</v>
      </c>
      <c r="E860">
        <v>99.700901887994291</v>
      </c>
      <c r="F860">
        <v>885.1524658203125</v>
      </c>
      <c r="G860" s="14"/>
      <c r="H860" s="34"/>
      <c r="I860" s="34"/>
      <c r="J860" s="34"/>
      <c r="K860" s="34"/>
      <c r="L860" s="34"/>
      <c r="N860" s="34"/>
      <c r="O860" s="35"/>
      <c r="P860" s="35"/>
      <c r="Q860" s="35"/>
      <c r="R860" s="35"/>
      <c r="S860" s="74"/>
      <c r="AJ860" s="34"/>
      <c r="AK860" s="34"/>
      <c r="AL860" s="34"/>
      <c r="AM860" s="34"/>
      <c r="AN860" s="34"/>
      <c r="AQ860" s="67"/>
      <c r="AR860" s="67"/>
      <c r="AS860" s="67"/>
      <c r="AT860" s="67"/>
      <c r="AU860" s="67"/>
      <c r="AW860" s="68"/>
      <c r="AX860" s="68"/>
      <c r="AY860" s="68"/>
      <c r="AZ860" s="68"/>
      <c r="BA860" s="68"/>
      <c r="BB860" s="68"/>
    </row>
    <row r="861" spans="1:54" ht="13.5" thickBot="1">
      <c r="A861" s="103">
        <v>39912</v>
      </c>
      <c r="B861" s="104">
        <v>3.1215000152587891</v>
      </c>
      <c r="C861" s="105">
        <v>856.55999755859375</v>
      </c>
      <c r="D861" s="104">
        <v>1.4671000242233276</v>
      </c>
      <c r="E861">
        <v>100.52271498309614</v>
      </c>
      <c r="F861">
        <v>882.1529541015625</v>
      </c>
      <c r="G861" s="14"/>
      <c r="H861" s="34"/>
      <c r="I861" s="34"/>
      <c r="J861" s="34"/>
      <c r="K861" s="34"/>
      <c r="L861" s="34"/>
      <c r="N861" s="34"/>
      <c r="O861" s="35"/>
      <c r="P861" s="35"/>
      <c r="Q861" s="35"/>
      <c r="R861" s="35"/>
      <c r="S861" s="74"/>
      <c r="AJ861" s="34"/>
      <c r="AK861" s="34"/>
      <c r="AL861" s="34"/>
      <c r="AM861" s="34"/>
      <c r="AN861" s="34"/>
      <c r="AQ861" s="67"/>
      <c r="AR861" s="67"/>
      <c r="AS861" s="67"/>
      <c r="AT861" s="67"/>
      <c r="AU861" s="67"/>
      <c r="AW861" s="68"/>
      <c r="AX861" s="68"/>
      <c r="AY861" s="68"/>
      <c r="AZ861" s="68"/>
      <c r="BA861" s="68"/>
      <c r="BB861" s="68"/>
    </row>
    <row r="862" spans="1:54" ht="13.5" thickBot="1">
      <c r="A862" s="103">
        <v>39913</v>
      </c>
      <c r="B862" s="104">
        <v>3.1215000152587891</v>
      </c>
      <c r="C862" s="105">
        <v>856.55999755859375</v>
      </c>
      <c r="D862" s="104">
        <v>1.4671000242233276</v>
      </c>
      <c r="E862">
        <v>100.52271498309614</v>
      </c>
      <c r="F862">
        <v>882.1529541015625</v>
      </c>
      <c r="G862" s="14"/>
      <c r="H862" s="34"/>
      <c r="I862" s="34"/>
      <c r="J862" s="34"/>
      <c r="K862" s="34"/>
      <c r="L862" s="34"/>
      <c r="N862" s="34"/>
      <c r="O862" s="35"/>
      <c r="P862" s="35"/>
      <c r="Q862" s="35"/>
      <c r="R862" s="35"/>
      <c r="S862" s="74"/>
      <c r="AJ862" s="34"/>
      <c r="AK862" s="34"/>
      <c r="AL862" s="34"/>
      <c r="AM862" s="34"/>
      <c r="AN862" s="34"/>
      <c r="AQ862" s="67"/>
      <c r="AR862" s="67"/>
      <c r="AS862" s="67"/>
      <c r="AT862" s="67"/>
      <c r="AU862" s="67"/>
      <c r="AW862" s="68"/>
      <c r="AX862" s="68"/>
      <c r="AY862" s="68"/>
      <c r="AZ862" s="68"/>
      <c r="BA862" s="68"/>
      <c r="BB862" s="68"/>
    </row>
    <row r="863" spans="1:54" ht="13.5" thickBot="1">
      <c r="A863" s="103">
        <v>39916</v>
      </c>
      <c r="B863" s="104">
        <v>3.0446350574493408</v>
      </c>
      <c r="C863" s="105">
        <v>858.72998046875</v>
      </c>
      <c r="D863" s="104">
        <v>1.4842000007629395</v>
      </c>
      <c r="E863">
        <v>100.1000984367858</v>
      </c>
      <c r="F863">
        <v>890.25054931640625</v>
      </c>
      <c r="G863" s="14"/>
      <c r="H863" s="34"/>
      <c r="I863" s="34"/>
      <c r="J863" s="34"/>
      <c r="K863" s="34"/>
      <c r="L863" s="34"/>
      <c r="N863" s="34"/>
      <c r="O863" s="35"/>
      <c r="P863" s="35"/>
      <c r="Q863" s="35"/>
      <c r="R863" s="35"/>
      <c r="S863" s="74"/>
      <c r="AJ863" s="34"/>
      <c r="AK863" s="34"/>
      <c r="AL863" s="34"/>
      <c r="AM863" s="34"/>
      <c r="AN863" s="34"/>
      <c r="AQ863" s="67"/>
      <c r="AR863" s="67"/>
      <c r="AS863" s="67"/>
      <c r="AT863" s="67"/>
      <c r="AU863" s="67"/>
      <c r="AW863" s="68"/>
      <c r="AX863" s="68"/>
      <c r="AY863" s="68"/>
      <c r="AZ863" s="68"/>
      <c r="BA863" s="68"/>
      <c r="BB863" s="68"/>
    </row>
    <row r="864" spans="1:54" ht="13.5" thickBot="1">
      <c r="A864" s="103">
        <v>39917</v>
      </c>
      <c r="B864" s="104">
        <v>2.9679999351501465</v>
      </c>
      <c r="C864" s="105">
        <v>841.5</v>
      </c>
      <c r="D864" s="104">
        <v>1.4918999671936035</v>
      </c>
      <c r="E864">
        <v>98.863070543239559</v>
      </c>
      <c r="F864">
        <v>889.75054931640625</v>
      </c>
      <c r="G864" s="14"/>
      <c r="H864" s="34"/>
      <c r="I864" s="34"/>
      <c r="J864" s="34"/>
      <c r="K864" s="34"/>
      <c r="L864" s="34"/>
      <c r="N864" s="34"/>
      <c r="O864" s="35"/>
      <c r="P864" s="35"/>
      <c r="Q864" s="35"/>
      <c r="R864" s="35"/>
      <c r="S864" s="74"/>
      <c r="AJ864" s="34"/>
      <c r="AK864" s="34"/>
      <c r="AL864" s="34"/>
      <c r="AM864" s="34"/>
      <c r="AN864" s="34"/>
      <c r="AQ864" s="67"/>
      <c r="AR864" s="67"/>
      <c r="AS864" s="67"/>
      <c r="AT864" s="67"/>
      <c r="AU864" s="67"/>
      <c r="AW864" s="68"/>
      <c r="AX864" s="68"/>
      <c r="AY864" s="68"/>
      <c r="AZ864" s="68"/>
      <c r="BA864" s="68"/>
      <c r="BB864" s="68"/>
    </row>
    <row r="865" spans="1:54" ht="13.5" thickBot="1">
      <c r="A865" s="103">
        <v>39918</v>
      </c>
      <c r="B865" s="104">
        <v>2.9254999160766602</v>
      </c>
      <c r="C865" s="105">
        <v>852.05999755859375</v>
      </c>
      <c r="D865" s="104">
        <v>1.4953000545501709</v>
      </c>
      <c r="E865">
        <v>99.216190653250848</v>
      </c>
      <c r="F865">
        <v>891.8504638671875</v>
      </c>
      <c r="G865" s="14"/>
      <c r="H865" s="34"/>
      <c r="I865" s="34"/>
      <c r="J865" s="34"/>
      <c r="K865" s="34"/>
      <c r="L865" s="34"/>
      <c r="N865" s="34"/>
      <c r="O865" s="35"/>
      <c r="P865" s="35"/>
      <c r="Q865" s="35"/>
      <c r="R865" s="35"/>
      <c r="S865" s="74"/>
      <c r="AJ865" s="34"/>
      <c r="AK865" s="34"/>
      <c r="AL865" s="34"/>
      <c r="AM865" s="34"/>
      <c r="AN865" s="34"/>
      <c r="AQ865" s="67"/>
      <c r="AR865" s="67"/>
      <c r="AS865" s="67"/>
      <c r="AT865" s="67"/>
      <c r="AU865" s="67"/>
      <c r="AW865" s="68"/>
      <c r="AX865" s="68"/>
      <c r="AY865" s="68"/>
      <c r="AZ865" s="68"/>
      <c r="BA865" s="68"/>
      <c r="BB865" s="68"/>
    </row>
    <row r="866" spans="1:54" ht="13.5" thickBot="1">
      <c r="A866" s="103">
        <v>39919</v>
      </c>
      <c r="B866" s="104">
        <v>2.9730000495910645</v>
      </c>
      <c r="C866" s="105">
        <v>865.29998779296875</v>
      </c>
      <c r="D866" s="104">
        <v>1.4926999807357788</v>
      </c>
      <c r="E866">
        <v>99.344329280732325</v>
      </c>
      <c r="F866">
        <v>878.8023681640625</v>
      </c>
      <c r="G866" s="14"/>
      <c r="H866" s="34"/>
      <c r="I866" s="34"/>
      <c r="J866" s="34"/>
      <c r="K866" s="34"/>
      <c r="L866" s="34"/>
      <c r="N866" s="34"/>
      <c r="O866" s="35"/>
      <c r="P866" s="35"/>
      <c r="Q866" s="35"/>
      <c r="R866" s="35"/>
      <c r="S866" s="74"/>
      <c r="AJ866" s="34"/>
      <c r="AK866" s="34"/>
      <c r="AL866" s="34"/>
      <c r="AM866" s="34"/>
      <c r="AN866" s="34"/>
      <c r="AQ866" s="67"/>
      <c r="AR866" s="67"/>
      <c r="AS866" s="67"/>
      <c r="AT866" s="67"/>
      <c r="AU866" s="67"/>
      <c r="AW866" s="68"/>
      <c r="AX866" s="68"/>
      <c r="AY866" s="68"/>
      <c r="AZ866" s="68"/>
      <c r="BA866" s="68"/>
      <c r="BB866" s="68"/>
    </row>
    <row r="867" spans="1:54" ht="13.5" thickBot="1">
      <c r="A867" s="103">
        <v>39920</v>
      </c>
      <c r="B867" s="104">
        <v>3.1070001125335693</v>
      </c>
      <c r="C867" s="105">
        <v>869.5999755859375</v>
      </c>
      <c r="D867" s="104">
        <v>1.4797999858856201</v>
      </c>
      <c r="E867">
        <v>99.216190653250848</v>
      </c>
      <c r="F867">
        <v>867.003662109375</v>
      </c>
      <c r="G867" s="14"/>
      <c r="H867" s="34"/>
      <c r="I867" s="34"/>
      <c r="J867" s="34"/>
      <c r="K867" s="34"/>
      <c r="L867" s="34"/>
      <c r="N867" s="34"/>
      <c r="O867" s="35"/>
      <c r="P867" s="35"/>
      <c r="Q867" s="35"/>
      <c r="R867" s="35"/>
      <c r="S867" s="74"/>
      <c r="AJ867" s="34"/>
      <c r="AK867" s="34"/>
      <c r="AL867" s="34"/>
      <c r="AM867" s="34"/>
      <c r="AN867" s="34"/>
      <c r="AQ867" s="67"/>
      <c r="AR867" s="67"/>
      <c r="AS867" s="67"/>
      <c r="AT867" s="67"/>
      <c r="AU867" s="67"/>
      <c r="AW867" s="68"/>
      <c r="AX867" s="68"/>
      <c r="AY867" s="68"/>
      <c r="AZ867" s="68"/>
      <c r="BA867" s="68"/>
      <c r="BB867" s="68"/>
    </row>
    <row r="868" spans="1:54" ht="13.5" thickBot="1">
      <c r="A868" s="103">
        <v>39923</v>
      </c>
      <c r="B868" s="104">
        <v>3.0280001163482666</v>
      </c>
      <c r="C868" s="105">
        <v>832.3900146484375</v>
      </c>
      <c r="D868" s="104">
        <v>1.4541000127792358</v>
      </c>
      <c r="E868">
        <v>97.799512342187498</v>
      </c>
      <c r="F868">
        <v>882.1510009765625</v>
      </c>
      <c r="G868" s="14"/>
      <c r="H868" s="34"/>
      <c r="I868" s="34"/>
      <c r="J868" s="34"/>
      <c r="K868" s="34"/>
      <c r="L868" s="34"/>
      <c r="N868" s="34"/>
      <c r="O868" s="35"/>
      <c r="P868" s="35"/>
      <c r="Q868" s="35"/>
      <c r="R868" s="35"/>
      <c r="S868" s="74"/>
      <c r="AJ868" s="34"/>
      <c r="AK868" s="34"/>
      <c r="AL868" s="34"/>
      <c r="AM868" s="34"/>
      <c r="AN868" s="34"/>
      <c r="AQ868" s="67"/>
      <c r="AR868" s="67"/>
      <c r="AS868" s="67"/>
      <c r="AT868" s="67"/>
      <c r="AU868" s="67"/>
      <c r="AW868" s="68"/>
      <c r="AX868" s="68"/>
      <c r="AY868" s="68"/>
      <c r="AZ868" s="68"/>
      <c r="BA868" s="68"/>
      <c r="BB868" s="68"/>
    </row>
    <row r="869" spans="1:54" ht="13.5" thickBot="1">
      <c r="A869" s="103">
        <v>39924</v>
      </c>
      <c r="B869" s="104">
        <v>3.0659999847412109</v>
      </c>
      <c r="C869" s="105">
        <v>850.08001708984375</v>
      </c>
      <c r="D869" s="104">
        <v>1.4666999578475952</v>
      </c>
      <c r="E869">
        <v>98.736178691820953</v>
      </c>
      <c r="F869">
        <v>883.15093994140625</v>
      </c>
      <c r="G869" s="14"/>
      <c r="H869" s="34"/>
      <c r="I869" s="34"/>
      <c r="J869" s="34"/>
      <c r="K869" s="34"/>
      <c r="L869" s="34"/>
      <c r="N869" s="34"/>
      <c r="O869" s="35"/>
      <c r="P869" s="35"/>
      <c r="Q869" s="35"/>
      <c r="R869" s="35"/>
      <c r="S869" s="74"/>
      <c r="AJ869" s="34"/>
      <c r="AK869" s="34"/>
      <c r="AL869" s="34"/>
      <c r="AM869" s="34"/>
      <c r="AN869" s="34"/>
      <c r="AQ869" s="67"/>
      <c r="AR869" s="67"/>
      <c r="AS869" s="67"/>
      <c r="AT869" s="67"/>
      <c r="AU869" s="67"/>
      <c r="AW869" s="68"/>
      <c r="AX869" s="68"/>
      <c r="AY869" s="68"/>
      <c r="AZ869" s="68"/>
      <c r="BA869" s="68"/>
      <c r="BB869" s="68"/>
    </row>
    <row r="870" spans="1:54" ht="13.5" thickBot="1">
      <c r="A870" s="103">
        <v>39925</v>
      </c>
      <c r="B870" s="104">
        <v>3.1110000610351563</v>
      </c>
      <c r="C870" s="105">
        <v>843.54998779296875</v>
      </c>
      <c r="D870" s="104">
        <v>1.4503999948501587</v>
      </c>
      <c r="E870">
        <v>98.164326734324305</v>
      </c>
      <c r="F870">
        <v>886.1507568359375</v>
      </c>
      <c r="G870" s="14"/>
      <c r="H870" s="34"/>
      <c r="I870" s="34"/>
      <c r="J870" s="34"/>
      <c r="K870" s="34"/>
      <c r="L870" s="34"/>
      <c r="N870" s="34"/>
      <c r="O870" s="35"/>
      <c r="P870" s="35"/>
      <c r="Q870" s="35"/>
      <c r="R870" s="35"/>
      <c r="S870" s="74"/>
      <c r="AJ870" s="34"/>
      <c r="AK870" s="34"/>
      <c r="AL870" s="34"/>
      <c r="AM870" s="34"/>
      <c r="AN870" s="34"/>
      <c r="AQ870" s="67"/>
      <c r="AR870" s="67"/>
      <c r="AS870" s="67"/>
      <c r="AT870" s="67"/>
      <c r="AU870" s="67"/>
      <c r="AW870" s="68"/>
      <c r="AX870" s="68"/>
      <c r="AY870" s="68"/>
      <c r="AZ870" s="68"/>
      <c r="BA870" s="68"/>
      <c r="BB870" s="68"/>
    </row>
    <row r="871" spans="1:54" ht="13.5" thickBot="1">
      <c r="A871" s="103">
        <v>39926</v>
      </c>
      <c r="B871" s="104">
        <v>3.0690000057220459</v>
      </c>
      <c r="C871" s="105">
        <v>851.91998291015625</v>
      </c>
      <c r="D871" s="104">
        <v>1.4695999622344971</v>
      </c>
      <c r="E871">
        <v>97.94319315393075</v>
      </c>
      <c r="F871">
        <v>906.09930419921875</v>
      </c>
      <c r="G871" s="14"/>
      <c r="H871" s="34"/>
      <c r="I871" s="34"/>
      <c r="J871" s="34"/>
      <c r="K871" s="34"/>
      <c r="L871" s="34"/>
      <c r="N871" s="34"/>
      <c r="O871" s="35"/>
      <c r="P871" s="35"/>
      <c r="Q871" s="35"/>
      <c r="R871" s="35"/>
      <c r="S871" s="74"/>
      <c r="AJ871" s="34"/>
      <c r="AK871" s="34"/>
      <c r="AL871" s="34"/>
      <c r="AM871" s="34"/>
      <c r="AN871" s="34"/>
      <c r="AQ871" s="67"/>
      <c r="AR871" s="67"/>
      <c r="AS871" s="67"/>
      <c r="AT871" s="67"/>
      <c r="AU871" s="67"/>
      <c r="AW871" s="68"/>
      <c r="AX871" s="68"/>
      <c r="AY871" s="68"/>
      <c r="AZ871" s="68"/>
      <c r="BA871" s="68"/>
      <c r="BB871" s="68"/>
    </row>
    <row r="872" spans="1:54" ht="13.5" thickBot="1">
      <c r="A872" s="103">
        <v>39927</v>
      </c>
      <c r="B872" s="104">
        <v>3.1484999656677246</v>
      </c>
      <c r="C872" s="105">
        <v>866.22998046875</v>
      </c>
      <c r="D872" s="104">
        <v>1.4673000574111938</v>
      </c>
      <c r="E872">
        <v>97.096805913514046</v>
      </c>
      <c r="F872">
        <v>909.0989990234375</v>
      </c>
      <c r="G872" s="14"/>
      <c r="H872" s="34"/>
      <c r="I872" s="34"/>
      <c r="J872" s="34"/>
      <c r="K872" s="34"/>
      <c r="L872" s="34"/>
      <c r="N872" s="34"/>
      <c r="O872" s="35"/>
      <c r="P872" s="35"/>
      <c r="Q872" s="35"/>
      <c r="R872" s="35"/>
      <c r="S872" s="74"/>
      <c r="AJ872" s="34"/>
      <c r="AK872" s="34"/>
      <c r="AL872" s="34"/>
      <c r="AM872" s="34"/>
      <c r="AN872" s="34"/>
      <c r="AQ872" s="67"/>
      <c r="AR872" s="67"/>
      <c r="AS872" s="67"/>
      <c r="AT872" s="67"/>
      <c r="AU872" s="67"/>
      <c r="AW872" s="68"/>
      <c r="AX872" s="68"/>
      <c r="AY872" s="68"/>
      <c r="AZ872" s="68"/>
      <c r="BA872" s="68"/>
      <c r="BB872" s="68"/>
    </row>
    <row r="873" spans="1:54" ht="13.5" thickBot="1">
      <c r="A873" s="103">
        <v>39930</v>
      </c>
      <c r="B873" s="104">
        <v>3.0580000877380371</v>
      </c>
      <c r="C873" s="105">
        <v>857.510009765625</v>
      </c>
      <c r="D873" s="104">
        <v>1.4632999897003174</v>
      </c>
      <c r="E873">
        <v>96.739868544496034</v>
      </c>
      <c r="F873">
        <v>898.15008544921875</v>
      </c>
      <c r="G873" s="14"/>
      <c r="H873" s="34"/>
      <c r="I873" s="34"/>
      <c r="J873" s="34"/>
      <c r="K873" s="34"/>
      <c r="L873" s="34"/>
      <c r="N873" s="34"/>
      <c r="O873" s="35"/>
      <c r="P873" s="35"/>
      <c r="Q873" s="35"/>
      <c r="R873" s="35"/>
      <c r="S873" s="74"/>
      <c r="AJ873" s="34"/>
      <c r="AK873" s="34"/>
      <c r="AL873" s="34"/>
      <c r="AM873" s="34"/>
      <c r="AN873" s="34"/>
      <c r="AQ873" s="67"/>
      <c r="AR873" s="67"/>
      <c r="AS873" s="67"/>
      <c r="AT873" s="67"/>
      <c r="AU873" s="67"/>
      <c r="AW873" s="68"/>
      <c r="AX873" s="68"/>
      <c r="AY873" s="68"/>
      <c r="AZ873" s="68"/>
      <c r="BA873" s="68"/>
      <c r="BB873" s="68"/>
    </row>
    <row r="874" spans="1:54" ht="13.5" thickBot="1">
      <c r="A874" s="103">
        <v>39931</v>
      </c>
      <c r="B874" s="104">
        <v>3.1089999675750732</v>
      </c>
      <c r="C874" s="105">
        <v>855.15997314453125</v>
      </c>
      <c r="D874" s="104">
        <v>1.461899995803833</v>
      </c>
      <c r="E874">
        <v>96.441315226149527</v>
      </c>
      <c r="F874">
        <v>890.25054931640625</v>
      </c>
      <c r="G874" s="14"/>
      <c r="H874" s="34"/>
      <c r="I874" s="34"/>
      <c r="J874" s="34"/>
      <c r="K874" s="34"/>
      <c r="L874" s="34"/>
      <c r="N874" s="34"/>
      <c r="O874" s="35"/>
      <c r="P874" s="35"/>
      <c r="Q874" s="35"/>
      <c r="R874" s="35"/>
      <c r="S874" s="74"/>
      <c r="AJ874" s="34"/>
      <c r="AK874" s="34"/>
      <c r="AL874" s="34"/>
      <c r="AM874" s="34"/>
      <c r="AN874" s="34"/>
      <c r="AQ874" s="67"/>
      <c r="AR874" s="67"/>
      <c r="AS874" s="67"/>
      <c r="AT874" s="67"/>
      <c r="AU874" s="67"/>
      <c r="AW874" s="68"/>
      <c r="AX874" s="68"/>
      <c r="AY874" s="68"/>
      <c r="AZ874" s="68"/>
      <c r="BA874" s="68"/>
      <c r="BB874" s="68"/>
    </row>
    <row r="875" spans="1:54" ht="13.5" thickBot="1">
      <c r="A875" s="103">
        <v>39932</v>
      </c>
      <c r="B875" s="104">
        <v>3.2054998874664307</v>
      </c>
      <c r="C875" s="105">
        <v>873.6400146484375</v>
      </c>
      <c r="D875" s="104">
        <v>1.4764000177383423</v>
      </c>
      <c r="E875">
        <v>97.560972914959621</v>
      </c>
      <c r="F875">
        <v>897.17535400390625</v>
      </c>
      <c r="G875" s="14"/>
      <c r="H875" s="34"/>
      <c r="I875" s="34"/>
      <c r="J875" s="34"/>
      <c r="K875" s="34"/>
      <c r="L875" s="34"/>
      <c r="N875" s="34"/>
      <c r="O875" s="35"/>
      <c r="P875" s="35"/>
      <c r="Q875" s="35"/>
      <c r="R875" s="35"/>
      <c r="S875" s="74"/>
      <c r="AJ875" s="34"/>
      <c r="AK875" s="34"/>
      <c r="AL875" s="34"/>
      <c r="AM875" s="34"/>
      <c r="AN875" s="34"/>
      <c r="AQ875" s="67"/>
      <c r="AR875" s="67"/>
      <c r="AS875" s="67"/>
      <c r="AT875" s="67"/>
      <c r="AU875" s="67"/>
      <c r="AW875" s="68"/>
      <c r="AX875" s="68"/>
      <c r="AY875" s="68"/>
      <c r="AZ875" s="68"/>
      <c r="BA875" s="68"/>
      <c r="BB875" s="68"/>
    </row>
    <row r="876" spans="1:54" ht="13.5" thickBot="1">
      <c r="A876" s="103">
        <v>39933</v>
      </c>
      <c r="B876" s="104">
        <v>3.2365000247955322</v>
      </c>
      <c r="C876" s="105">
        <v>872.80999755859375</v>
      </c>
      <c r="D876" s="104">
        <v>1.4816000461578369</v>
      </c>
      <c r="E876">
        <v>98.667985741712769</v>
      </c>
      <c r="F876">
        <v>890.52630615234375</v>
      </c>
      <c r="G876" s="14"/>
      <c r="H876" s="34"/>
      <c r="I876" s="34"/>
      <c r="J876" s="34"/>
      <c r="K876" s="34"/>
      <c r="L876" s="34"/>
      <c r="N876" s="34"/>
      <c r="O876" s="35"/>
      <c r="P876" s="35"/>
      <c r="Q876" s="35"/>
      <c r="R876" s="35"/>
      <c r="S876" s="74"/>
      <c r="AJ876" s="34"/>
      <c r="AK876" s="34"/>
      <c r="AL876" s="34"/>
      <c r="AM876" s="34"/>
      <c r="AN876" s="34"/>
      <c r="AQ876" s="67"/>
      <c r="AR876" s="67"/>
      <c r="AS876" s="67"/>
      <c r="AT876" s="67"/>
      <c r="AU876" s="67"/>
      <c r="AW876" s="68"/>
      <c r="AX876" s="68"/>
      <c r="AY876" s="68"/>
      <c r="AZ876" s="68"/>
      <c r="BA876" s="68"/>
      <c r="BB876" s="68"/>
    </row>
    <row r="877" spans="1:54" ht="13.5" thickBot="1">
      <c r="A877" s="103">
        <v>39934</v>
      </c>
      <c r="B877" s="104">
        <v>3.3220000267028809</v>
      </c>
      <c r="C877" s="105">
        <v>877.52001953125</v>
      </c>
      <c r="D877" s="104">
        <v>1.4904999732971191</v>
      </c>
      <c r="E877">
        <v>99.344329280732325</v>
      </c>
      <c r="F877">
        <v>887.32672119140625</v>
      </c>
      <c r="G877" s="14"/>
      <c r="H877" s="34"/>
      <c r="I877" s="34"/>
      <c r="J877" s="34"/>
      <c r="K877" s="34"/>
      <c r="L877" s="34"/>
      <c r="N877" s="34"/>
      <c r="O877" s="35"/>
      <c r="P877" s="35"/>
      <c r="Q877" s="35"/>
      <c r="R877" s="35"/>
      <c r="S877" s="74"/>
      <c r="AJ877" s="34"/>
      <c r="AK877" s="34"/>
      <c r="AL877" s="34"/>
      <c r="AM877" s="34"/>
      <c r="AN877" s="34"/>
      <c r="AQ877" s="67"/>
      <c r="AR877" s="67"/>
      <c r="AS877" s="67"/>
      <c r="AT877" s="67"/>
      <c r="AU877" s="67"/>
      <c r="AW877" s="68"/>
      <c r="AX877" s="68"/>
      <c r="AY877" s="68"/>
      <c r="AZ877" s="68"/>
      <c r="BA877" s="68"/>
      <c r="BB877" s="68"/>
    </row>
    <row r="878" spans="1:54" ht="13.5" thickBot="1">
      <c r="A878" s="103">
        <v>39937</v>
      </c>
      <c r="B878" s="104">
        <v>3.314223051071167</v>
      </c>
      <c r="C878" s="105">
        <v>907.239990234375</v>
      </c>
      <c r="D878" s="104">
        <v>1.4967000484466553</v>
      </c>
      <c r="E878">
        <v>98.902181934608649</v>
      </c>
      <c r="F878">
        <v>903.3997802734375</v>
      </c>
      <c r="G878" s="14"/>
      <c r="H878" s="34"/>
      <c r="I878" s="34"/>
      <c r="J878" s="34"/>
      <c r="K878" s="34"/>
      <c r="L878" s="34"/>
      <c r="N878" s="34"/>
      <c r="O878" s="35"/>
      <c r="P878" s="35"/>
      <c r="Q878" s="35"/>
      <c r="R878" s="35"/>
      <c r="S878" s="74"/>
      <c r="AJ878" s="34"/>
      <c r="AK878" s="34"/>
      <c r="AL878" s="34"/>
      <c r="AM878" s="34"/>
      <c r="AN878" s="34"/>
      <c r="AQ878" s="67"/>
      <c r="AR878" s="67"/>
      <c r="AS878" s="67"/>
      <c r="AT878" s="67"/>
      <c r="AU878" s="67"/>
      <c r="AW878" s="68"/>
      <c r="AX878" s="68"/>
      <c r="AY878" s="68"/>
      <c r="AZ878" s="68"/>
      <c r="BA878" s="68"/>
      <c r="BB878" s="68"/>
    </row>
    <row r="879" spans="1:54" ht="13.5" thickBot="1">
      <c r="A879" s="103">
        <v>39938</v>
      </c>
      <c r="B879" s="104">
        <v>3.2925000190734863</v>
      </c>
      <c r="C879" s="105">
        <v>903.79998779296875</v>
      </c>
      <c r="D879" s="104">
        <v>1.5069999694824219</v>
      </c>
      <c r="E879">
        <v>99.019702004450693</v>
      </c>
      <c r="F879">
        <v>904.3997802734375</v>
      </c>
      <c r="G879" s="14"/>
      <c r="H879" s="34"/>
      <c r="I879" s="34"/>
      <c r="J879" s="34"/>
      <c r="K879" s="34"/>
      <c r="L879" s="34"/>
      <c r="N879" s="34"/>
      <c r="O879" s="35"/>
      <c r="P879" s="35"/>
      <c r="Q879" s="35"/>
      <c r="R879" s="35"/>
      <c r="S879" s="74"/>
      <c r="AJ879" s="34"/>
      <c r="AK879" s="34"/>
      <c r="AL879" s="34"/>
      <c r="AM879" s="34"/>
      <c r="AN879" s="34"/>
      <c r="AQ879" s="67"/>
      <c r="AR879" s="67"/>
      <c r="AS879" s="67"/>
      <c r="AT879" s="67"/>
      <c r="AU879" s="67"/>
      <c r="AW879" s="68"/>
      <c r="AX879" s="68"/>
      <c r="AY879" s="68"/>
      <c r="AZ879" s="68"/>
      <c r="BA879" s="68"/>
      <c r="BB879" s="68"/>
    </row>
    <row r="880" spans="1:54" ht="13.5" thickBot="1">
      <c r="A880" s="103">
        <v>39939</v>
      </c>
      <c r="B880" s="104">
        <v>3.2699999809265137</v>
      </c>
      <c r="C880" s="105">
        <v>919.530029296875</v>
      </c>
      <c r="D880" s="104">
        <v>1.5134999752044678</v>
      </c>
      <c r="E880">
        <v>98.280098812639224</v>
      </c>
      <c r="F880">
        <v>907.39959716796875</v>
      </c>
      <c r="G880" s="14"/>
      <c r="H880" s="34"/>
      <c r="I880" s="34"/>
      <c r="J880" s="34"/>
      <c r="K880" s="34"/>
      <c r="L880" s="34"/>
      <c r="N880" s="34"/>
      <c r="O880" s="35"/>
      <c r="P880" s="35"/>
      <c r="Q880" s="35"/>
      <c r="R880" s="35"/>
      <c r="S880" s="74"/>
      <c r="AJ880" s="34"/>
      <c r="AK880" s="34"/>
      <c r="AL880" s="34"/>
      <c r="AM880" s="34"/>
      <c r="AN880" s="34"/>
      <c r="AQ880" s="67"/>
      <c r="AR880" s="67"/>
      <c r="AS880" s="67"/>
      <c r="AT880" s="67"/>
      <c r="AU880" s="67"/>
      <c r="AW880" s="68"/>
      <c r="AX880" s="68"/>
      <c r="AY880" s="68"/>
      <c r="AZ880" s="68"/>
      <c r="BA880" s="68"/>
      <c r="BB880" s="68"/>
    </row>
    <row r="881" spans="1:54" ht="13.5" thickBot="1">
      <c r="A881" s="103">
        <v>39940</v>
      </c>
      <c r="B881" s="104">
        <v>3.4170000553131104</v>
      </c>
      <c r="C881" s="105">
        <v>907.3900146484375</v>
      </c>
      <c r="D881" s="104">
        <v>1.5001000165939331</v>
      </c>
      <c r="E881">
        <v>99.000100499121046</v>
      </c>
      <c r="F881">
        <v>913.3485107421875</v>
      </c>
      <c r="G881" s="14"/>
      <c r="H881" s="34"/>
      <c r="I881" s="34"/>
      <c r="J881" s="34"/>
      <c r="K881" s="34"/>
      <c r="L881" s="34"/>
      <c r="N881" s="34"/>
      <c r="O881" s="35"/>
      <c r="P881" s="35"/>
      <c r="Q881" s="35"/>
      <c r="R881" s="35"/>
      <c r="S881" s="74"/>
      <c r="AJ881" s="34"/>
      <c r="AK881" s="34"/>
      <c r="AL881" s="34"/>
      <c r="AM881" s="34"/>
      <c r="AN881" s="34"/>
      <c r="AQ881" s="67"/>
      <c r="AR881" s="67"/>
      <c r="AS881" s="67"/>
      <c r="AT881" s="67"/>
      <c r="AU881" s="67"/>
      <c r="AW881" s="68"/>
      <c r="AX881" s="68"/>
      <c r="AY881" s="68"/>
      <c r="AZ881" s="68"/>
      <c r="BA881" s="68"/>
      <c r="BB881" s="68"/>
    </row>
    <row r="882" spans="1:54" ht="13.5" thickBot="1">
      <c r="A882" s="103">
        <v>39941</v>
      </c>
      <c r="B882" s="104">
        <v>3.4195001125335693</v>
      </c>
      <c r="C882" s="105">
        <v>929.22998046875</v>
      </c>
      <c r="D882" s="104">
        <v>1.5214999914169312</v>
      </c>
      <c r="E882">
        <v>98.396144289662857</v>
      </c>
      <c r="F882">
        <v>909.34893798828125</v>
      </c>
      <c r="G882" s="14"/>
      <c r="H882" s="34"/>
      <c r="I882" s="34"/>
      <c r="J882" s="34"/>
      <c r="K882" s="34"/>
      <c r="L882" s="34"/>
      <c r="N882" s="34"/>
      <c r="O882" s="35"/>
      <c r="P882" s="35"/>
      <c r="Q882" s="35"/>
      <c r="R882" s="35"/>
      <c r="S882" s="74"/>
      <c r="AJ882" s="34"/>
      <c r="AK882" s="34"/>
      <c r="AL882" s="34"/>
      <c r="AM882" s="34"/>
      <c r="AN882" s="34"/>
      <c r="AQ882" s="67"/>
      <c r="AR882" s="67"/>
      <c r="AS882" s="67"/>
      <c r="AT882" s="67"/>
      <c r="AU882" s="67"/>
      <c r="AW882" s="68"/>
      <c r="AX882" s="68"/>
      <c r="AY882" s="68"/>
      <c r="AZ882" s="68"/>
      <c r="BA882" s="68"/>
      <c r="BB882" s="68"/>
    </row>
    <row r="883" spans="1:54" ht="13.5" thickBot="1">
      <c r="A883" s="103">
        <v>39944</v>
      </c>
      <c r="B883" s="104">
        <v>3.2999999523162842</v>
      </c>
      <c r="C883" s="105">
        <v>909.239990234375</v>
      </c>
      <c r="D883" s="104">
        <v>1.5134999752044678</v>
      </c>
      <c r="E883">
        <v>97.456386993069771</v>
      </c>
      <c r="F883">
        <v>911.599365234375</v>
      </c>
      <c r="G883" s="14"/>
      <c r="H883" s="34"/>
      <c r="I883" s="34"/>
      <c r="J883" s="34"/>
      <c r="K883" s="34"/>
      <c r="L883" s="34"/>
      <c r="N883" s="34"/>
      <c r="O883" s="35"/>
      <c r="P883" s="35"/>
      <c r="Q883" s="35"/>
      <c r="R883" s="35"/>
      <c r="S883" s="74"/>
      <c r="AJ883" s="34"/>
      <c r="AK883" s="34"/>
      <c r="AL883" s="34"/>
      <c r="AM883" s="34"/>
      <c r="AN883" s="34"/>
      <c r="AQ883" s="67"/>
      <c r="AR883" s="67"/>
      <c r="AS883" s="67"/>
      <c r="AT883" s="67"/>
      <c r="AU883" s="67"/>
      <c r="AW883" s="68"/>
      <c r="AX883" s="68"/>
      <c r="AY883" s="68"/>
      <c r="AZ883" s="68"/>
      <c r="BA883" s="68"/>
      <c r="BB883" s="68"/>
    </row>
    <row r="884" spans="1:54" ht="13.5" thickBot="1">
      <c r="A884" s="103">
        <v>39945</v>
      </c>
      <c r="B884" s="104">
        <v>3.2730000019073486</v>
      </c>
      <c r="C884" s="105">
        <v>908.3499755859375</v>
      </c>
      <c r="D884" s="104">
        <v>1.5276000499725342</v>
      </c>
      <c r="E884">
        <v>96.357676676005923</v>
      </c>
      <c r="F884">
        <v>918.59893798828125</v>
      </c>
      <c r="G884" s="14"/>
      <c r="H884" s="34"/>
      <c r="I884" s="34"/>
      <c r="J884" s="34"/>
      <c r="K884" s="34"/>
      <c r="L884" s="34"/>
      <c r="N884" s="34"/>
      <c r="O884" s="35"/>
      <c r="P884" s="35"/>
      <c r="Q884" s="35"/>
      <c r="R884" s="35"/>
      <c r="S884" s="74"/>
      <c r="AJ884" s="34"/>
      <c r="AK884" s="34"/>
      <c r="AL884" s="34"/>
      <c r="AM884" s="34"/>
      <c r="AN884" s="34"/>
      <c r="AQ884" s="67"/>
      <c r="AR884" s="67"/>
      <c r="AS884" s="67"/>
      <c r="AT884" s="67"/>
      <c r="AU884" s="67"/>
      <c r="AW884" s="68"/>
      <c r="AX884" s="68"/>
      <c r="AY884" s="68"/>
      <c r="AZ884" s="68"/>
      <c r="BA884" s="68"/>
      <c r="BB884" s="68"/>
    </row>
    <row r="885" spans="1:54" ht="13.5" thickBot="1">
      <c r="A885" s="103">
        <v>39946</v>
      </c>
      <c r="B885" s="104">
        <v>3.1930000782012939</v>
      </c>
      <c r="C885" s="105">
        <v>883.91998291015625</v>
      </c>
      <c r="D885" s="104">
        <v>1.5148999691009521</v>
      </c>
      <c r="E885">
        <v>95.438059272396913</v>
      </c>
      <c r="F885">
        <v>928.598388671875</v>
      </c>
      <c r="G885" s="14"/>
      <c r="H885" s="34"/>
      <c r="I885" s="34"/>
      <c r="J885" s="34"/>
      <c r="K885" s="34"/>
      <c r="L885" s="34"/>
      <c r="N885" s="34"/>
      <c r="O885" s="35"/>
      <c r="P885" s="35"/>
      <c r="Q885" s="35"/>
      <c r="R885" s="35"/>
      <c r="S885" s="74"/>
      <c r="AJ885" s="34"/>
      <c r="AK885" s="34"/>
      <c r="AL885" s="34"/>
      <c r="AM885" s="34"/>
      <c r="AN885" s="34"/>
      <c r="AQ885" s="67"/>
      <c r="AR885" s="67"/>
      <c r="AS885" s="67"/>
      <c r="AT885" s="67"/>
      <c r="AU885" s="67"/>
      <c r="AW885" s="68"/>
      <c r="AX885" s="68"/>
      <c r="AY885" s="68"/>
      <c r="AZ885" s="68"/>
      <c r="BA885" s="68"/>
      <c r="BB885" s="68"/>
    </row>
    <row r="886" spans="1:54" ht="13.5" thickBot="1">
      <c r="A886" s="103">
        <v>39947</v>
      </c>
      <c r="B886" s="104">
        <v>3.2105000019073486</v>
      </c>
      <c r="C886" s="105">
        <v>893.07000732421875</v>
      </c>
      <c r="D886" s="104">
        <v>1.5233000516891479</v>
      </c>
      <c r="E886">
        <v>95.739591321910126</v>
      </c>
      <c r="F886">
        <v>926.64703369140625</v>
      </c>
      <c r="G886" s="14"/>
      <c r="H886" s="34"/>
      <c r="I886" s="34"/>
      <c r="J886" s="34"/>
      <c r="K886" s="34"/>
      <c r="L886" s="34"/>
      <c r="N886" s="34"/>
      <c r="O886" s="35"/>
      <c r="P886" s="35"/>
      <c r="Q886" s="35"/>
      <c r="R886" s="35"/>
      <c r="S886" s="74"/>
      <c r="AJ886" s="34"/>
      <c r="AK886" s="34"/>
      <c r="AL886" s="34"/>
      <c r="AM886" s="34"/>
      <c r="AN886" s="34"/>
      <c r="AQ886" s="67"/>
      <c r="AR886" s="67"/>
      <c r="AS886" s="67"/>
      <c r="AT886" s="67"/>
      <c r="AU886" s="67"/>
      <c r="AW886" s="68"/>
      <c r="AX886" s="68"/>
      <c r="AY886" s="68"/>
      <c r="AZ886" s="68"/>
      <c r="BA886" s="68"/>
      <c r="BB886" s="68"/>
    </row>
    <row r="887" spans="1:54" ht="13.5" thickBot="1">
      <c r="A887" s="103">
        <v>39948</v>
      </c>
      <c r="B887" s="104">
        <v>3.2200000286102295</v>
      </c>
      <c r="C887" s="105">
        <v>882.8800048828125</v>
      </c>
      <c r="D887" s="104">
        <v>1.5156999826431274</v>
      </c>
      <c r="E887">
        <v>95.120325492494501</v>
      </c>
      <c r="F887">
        <v>931.646484375</v>
      </c>
      <c r="G887" s="14"/>
      <c r="H887" s="34"/>
      <c r="I887" s="34"/>
      <c r="J887" s="34"/>
      <c r="K887" s="34"/>
      <c r="L887" s="34"/>
      <c r="N887" s="34"/>
      <c r="O887" s="35"/>
      <c r="P887" s="35"/>
      <c r="Q887" s="35"/>
      <c r="R887" s="35"/>
      <c r="S887" s="74"/>
      <c r="AJ887" s="34"/>
      <c r="AK887" s="34"/>
      <c r="AL887" s="34"/>
      <c r="AM887" s="34"/>
      <c r="AN887" s="34"/>
      <c r="AQ887" s="67"/>
      <c r="AR887" s="67"/>
      <c r="AS887" s="67"/>
      <c r="AT887" s="67"/>
      <c r="AU887" s="67"/>
      <c r="AW887" s="68"/>
      <c r="AX887" s="68"/>
      <c r="AY887" s="68"/>
      <c r="AZ887" s="68"/>
      <c r="BA887" s="68"/>
      <c r="BB887" s="68"/>
    </row>
    <row r="888" spans="1:54" ht="13.5" thickBot="1">
      <c r="A888" s="103">
        <v>39951</v>
      </c>
      <c r="B888" s="104">
        <v>3.2960000038146973</v>
      </c>
      <c r="C888" s="105">
        <v>909.71002197265625</v>
      </c>
      <c r="D888" s="104">
        <v>1.5325000286102295</v>
      </c>
      <c r="E888">
        <v>96.422721146689739</v>
      </c>
      <c r="F888">
        <v>923.24871826171875</v>
      </c>
      <c r="G888" s="14"/>
      <c r="H888" s="34"/>
      <c r="I888" s="34"/>
      <c r="J888" s="34"/>
      <c r="K888" s="34"/>
      <c r="L888" s="34"/>
      <c r="N888" s="34"/>
      <c r="O888" s="35"/>
      <c r="P888" s="35"/>
      <c r="Q888" s="35"/>
      <c r="R888" s="35"/>
      <c r="S888" s="74"/>
      <c r="AJ888" s="34"/>
      <c r="AK888" s="34"/>
      <c r="AL888" s="34"/>
      <c r="AM888" s="34"/>
      <c r="AN888" s="34"/>
      <c r="AQ888" s="67"/>
      <c r="AR888" s="67"/>
      <c r="AS888" s="67"/>
      <c r="AT888" s="67"/>
      <c r="AU888" s="67"/>
      <c r="AW888" s="68"/>
      <c r="AX888" s="68"/>
      <c r="AY888" s="68"/>
      <c r="AZ888" s="68"/>
      <c r="BA888" s="68"/>
      <c r="BB888" s="68"/>
    </row>
    <row r="889" spans="1:54" ht="13.5" thickBot="1">
      <c r="A889" s="103">
        <v>39952</v>
      </c>
      <c r="B889" s="104">
        <v>3.3164999485015869</v>
      </c>
      <c r="C889" s="105">
        <v>908.1300048828125</v>
      </c>
      <c r="D889" s="104">
        <v>1.5506999492645264</v>
      </c>
      <c r="E889">
        <v>96.163094566723629</v>
      </c>
      <c r="F889">
        <v>925.74859619140625</v>
      </c>
      <c r="G889" s="14"/>
      <c r="H889" s="34"/>
      <c r="I889" s="34"/>
      <c r="J889" s="34"/>
      <c r="K889" s="34"/>
      <c r="L889" s="34"/>
      <c r="N889" s="34"/>
      <c r="O889" s="35"/>
      <c r="P889" s="35"/>
      <c r="Q889" s="35"/>
      <c r="R889" s="35"/>
      <c r="S889" s="74"/>
      <c r="AJ889" s="34"/>
      <c r="AK889" s="34"/>
      <c r="AL889" s="34"/>
      <c r="AM889" s="34"/>
      <c r="AN889" s="34"/>
      <c r="AQ889" s="67"/>
      <c r="AR889" s="67"/>
      <c r="AS889" s="67"/>
      <c r="AT889" s="67"/>
      <c r="AU889" s="67"/>
      <c r="AW889" s="68"/>
      <c r="AX889" s="68"/>
      <c r="AY889" s="68"/>
      <c r="AZ889" s="68"/>
      <c r="BA889" s="68"/>
      <c r="BB889" s="68"/>
    </row>
    <row r="890" spans="1:54" ht="13.5" thickBot="1">
      <c r="A890" s="103">
        <v>39953</v>
      </c>
      <c r="B890" s="104">
        <v>3.2925000190734863</v>
      </c>
      <c r="C890" s="105">
        <v>903.469970703125</v>
      </c>
      <c r="D890" s="104">
        <v>1.5785000324249268</v>
      </c>
      <c r="E890">
        <v>94.876658874129987</v>
      </c>
      <c r="F890">
        <v>935.8480224609375</v>
      </c>
      <c r="G890" s="14"/>
      <c r="H890" s="34"/>
      <c r="I890" s="34"/>
      <c r="J890" s="34"/>
      <c r="K890" s="34"/>
      <c r="L890" s="34"/>
      <c r="N890" s="34"/>
      <c r="O890" s="35"/>
      <c r="P890" s="35"/>
      <c r="Q890" s="35"/>
      <c r="R890" s="35"/>
      <c r="S890" s="74"/>
      <c r="AJ890" s="34"/>
      <c r="AK890" s="34"/>
      <c r="AL890" s="34"/>
      <c r="AM890" s="34"/>
      <c r="AN890" s="34"/>
      <c r="AQ890" s="67"/>
      <c r="AR890" s="67"/>
      <c r="AS890" s="67"/>
      <c r="AT890" s="67"/>
      <c r="AU890" s="67"/>
      <c r="AW890" s="68"/>
      <c r="AX890" s="68"/>
      <c r="AY890" s="68"/>
      <c r="AZ890" s="68"/>
      <c r="BA890" s="68"/>
      <c r="BB890" s="68"/>
    </row>
    <row r="891" spans="1:54" ht="13.5" thickBot="1">
      <c r="A891" s="103">
        <v>39954</v>
      </c>
      <c r="B891" s="104">
        <v>3.4605000019073486</v>
      </c>
      <c r="C891" s="105">
        <v>888.33001708984375</v>
      </c>
      <c r="D891" s="104">
        <v>1.5836999416351318</v>
      </c>
      <c r="E891">
        <v>94.241828611712279</v>
      </c>
      <c r="F891">
        <v>944.79498291015625</v>
      </c>
      <c r="G891" s="14"/>
      <c r="H891" s="34"/>
      <c r="I891" s="34"/>
      <c r="J891" s="34"/>
      <c r="K891" s="34"/>
      <c r="L891" s="34"/>
      <c r="N891" s="34"/>
      <c r="O891" s="35"/>
      <c r="P891" s="35"/>
      <c r="Q891" s="35"/>
      <c r="R891" s="35"/>
      <c r="S891" s="74"/>
      <c r="AJ891" s="34"/>
      <c r="AK891" s="34"/>
      <c r="AL891" s="34"/>
      <c r="AM891" s="34"/>
      <c r="AN891" s="34"/>
      <c r="AQ891" s="67"/>
      <c r="AR891" s="67"/>
      <c r="AS891" s="67"/>
      <c r="AT891" s="67"/>
      <c r="AU891" s="67"/>
      <c r="AW891" s="68"/>
      <c r="AX891" s="68"/>
      <c r="AY891" s="68"/>
      <c r="AZ891" s="68"/>
      <c r="BA891" s="68"/>
      <c r="BB891" s="68"/>
    </row>
    <row r="892" spans="1:54" ht="13.5" thickBot="1">
      <c r="A892" s="103">
        <v>39955</v>
      </c>
      <c r="B892" s="104">
        <v>3.5959999561309814</v>
      </c>
      <c r="C892" s="105">
        <v>887</v>
      </c>
      <c r="D892" s="104">
        <v>1.5923000574111938</v>
      </c>
      <c r="E892">
        <v>94.437625397410628</v>
      </c>
      <c r="F892">
        <v>956.8936767578125</v>
      </c>
      <c r="G892" s="14"/>
      <c r="H892" s="34"/>
      <c r="I892" s="34"/>
      <c r="J892" s="34"/>
      <c r="K892" s="34"/>
      <c r="L892" s="34"/>
      <c r="N892" s="34"/>
      <c r="O892" s="35"/>
      <c r="P892" s="35"/>
      <c r="Q892" s="35"/>
      <c r="R892" s="35"/>
      <c r="S892" s="74"/>
      <c r="AJ892" s="34"/>
      <c r="AK892" s="34"/>
      <c r="AL892" s="34"/>
      <c r="AM892" s="34"/>
      <c r="AN892" s="34"/>
      <c r="AQ892" s="67"/>
      <c r="AR892" s="67"/>
      <c r="AS892" s="67"/>
      <c r="AT892" s="67"/>
      <c r="AU892" s="67"/>
      <c r="AW892" s="68"/>
      <c r="AX892" s="68"/>
      <c r="AY892" s="68"/>
      <c r="AZ892" s="68"/>
      <c r="BA892" s="68"/>
      <c r="BB892" s="68"/>
    </row>
    <row r="893" spans="1:54" ht="13.5" thickBot="1">
      <c r="A893" s="103">
        <v>39958</v>
      </c>
      <c r="B893" s="104">
        <v>3.5959999561309814</v>
      </c>
      <c r="C893" s="105">
        <v>887</v>
      </c>
      <c r="D893" s="104">
        <v>1.5871000289916992</v>
      </c>
      <c r="E893">
        <v>94.975778360624645</v>
      </c>
      <c r="F893">
        <v>956.8936767578125</v>
      </c>
      <c r="G893" s="14"/>
      <c r="H893" s="34"/>
      <c r="I893" s="34"/>
      <c r="J893" s="34"/>
      <c r="K893" s="34"/>
      <c r="L893" s="34"/>
      <c r="N893" s="34"/>
      <c r="O893" s="35"/>
      <c r="P893" s="35"/>
      <c r="Q893" s="35"/>
      <c r="R893" s="35"/>
      <c r="S893" s="74"/>
      <c r="AJ893" s="34"/>
      <c r="AK893" s="34"/>
      <c r="AL893" s="34"/>
      <c r="AM893" s="34"/>
      <c r="AN893" s="34"/>
      <c r="AQ893" s="67"/>
      <c r="AR893" s="67"/>
      <c r="AS893" s="67"/>
      <c r="AT893" s="67"/>
      <c r="AU893" s="67"/>
      <c r="AW893" s="68"/>
      <c r="AX893" s="68"/>
      <c r="AY893" s="68"/>
      <c r="AZ893" s="68"/>
      <c r="BA893" s="68"/>
      <c r="BB893" s="68"/>
    </row>
    <row r="894" spans="1:54" ht="13.5" thickBot="1">
      <c r="A894" s="103">
        <v>39959</v>
      </c>
      <c r="B894" s="104">
        <v>3.6614999771118164</v>
      </c>
      <c r="C894" s="105">
        <v>910.33001708984375</v>
      </c>
      <c r="D894" s="104">
        <v>1.5917999744415283</v>
      </c>
      <c r="E894">
        <v>94.975778360624645</v>
      </c>
      <c r="F894">
        <v>951.94708251953125</v>
      </c>
      <c r="G894" s="14"/>
      <c r="H894" s="34"/>
      <c r="I894" s="34"/>
      <c r="J894" s="34"/>
      <c r="K894" s="34"/>
      <c r="L894" s="34"/>
      <c r="N894" s="34"/>
      <c r="O894" s="35"/>
      <c r="P894" s="35"/>
      <c r="Q894" s="35"/>
      <c r="R894" s="35"/>
      <c r="S894" s="74"/>
      <c r="AJ894" s="34"/>
      <c r="AK894" s="34"/>
      <c r="AL894" s="34"/>
      <c r="AM894" s="34"/>
      <c r="AN894" s="34"/>
      <c r="AQ894" s="67"/>
      <c r="AR894" s="67"/>
      <c r="AS894" s="67"/>
      <c r="AT894" s="67"/>
      <c r="AU894" s="67"/>
      <c r="AW894" s="68"/>
      <c r="AX894" s="68"/>
      <c r="AY894" s="68"/>
      <c r="AZ894" s="68"/>
      <c r="BA894" s="68"/>
      <c r="BB894" s="68"/>
    </row>
    <row r="895" spans="1:54" ht="13.5" thickBot="1">
      <c r="A895" s="103">
        <v>39960</v>
      </c>
      <c r="B895" s="104">
        <v>3.9825000762939453</v>
      </c>
      <c r="C895" s="105">
        <v>893.05999755859375</v>
      </c>
      <c r="D895" s="104">
        <v>1.6055999994277954</v>
      </c>
      <c r="E895">
        <v>95.219955026574439</v>
      </c>
      <c r="F895">
        <v>956.1468505859375</v>
      </c>
      <c r="G895" s="14"/>
      <c r="H895" s="34"/>
      <c r="I895" s="34"/>
      <c r="J895" s="34"/>
      <c r="K895" s="34"/>
      <c r="L895" s="34"/>
      <c r="N895" s="34"/>
      <c r="O895" s="35"/>
      <c r="P895" s="35"/>
      <c r="Q895" s="35"/>
      <c r="R895" s="35"/>
      <c r="S895" s="74"/>
      <c r="AJ895" s="34"/>
      <c r="AK895" s="34"/>
      <c r="AL895" s="34"/>
      <c r="AM895" s="34"/>
      <c r="AN895" s="34"/>
      <c r="AQ895" s="67"/>
      <c r="AR895" s="67"/>
      <c r="AS895" s="67"/>
      <c r="AT895" s="67"/>
      <c r="AU895" s="67"/>
      <c r="AW895" s="68"/>
      <c r="AX895" s="68"/>
      <c r="AY895" s="68"/>
      <c r="AZ895" s="68"/>
      <c r="BA895" s="68"/>
      <c r="BB895" s="68"/>
    </row>
    <row r="896" spans="1:54" ht="13.5" thickBot="1">
      <c r="A896" s="103">
        <v>39961</v>
      </c>
      <c r="B896" s="104">
        <v>3.9709999561309814</v>
      </c>
      <c r="C896" s="105">
        <v>906.83001708984375</v>
      </c>
      <c r="D896" s="104">
        <v>1.5946999788284302</v>
      </c>
      <c r="E896">
        <v>96.918008590769375</v>
      </c>
      <c r="F896">
        <v>961.09320068359375</v>
      </c>
      <c r="G896" s="14"/>
      <c r="H896" s="34"/>
      <c r="I896" s="34"/>
      <c r="J896" s="34"/>
      <c r="K896" s="34"/>
      <c r="L896" s="34"/>
      <c r="N896" s="34"/>
      <c r="O896" s="35"/>
      <c r="P896" s="35"/>
      <c r="Q896" s="35"/>
      <c r="R896" s="35"/>
      <c r="S896" s="74"/>
      <c r="AJ896" s="34"/>
      <c r="AK896" s="34"/>
      <c r="AL896" s="34"/>
      <c r="AM896" s="34"/>
      <c r="AN896" s="34"/>
      <c r="AQ896" s="67"/>
      <c r="AR896" s="67"/>
      <c r="AS896" s="67"/>
      <c r="AT896" s="67"/>
      <c r="AU896" s="67"/>
      <c r="AW896" s="68"/>
      <c r="AX896" s="68"/>
      <c r="AY896" s="68"/>
      <c r="AZ896" s="68"/>
      <c r="BA896" s="68"/>
      <c r="BB896" s="68"/>
    </row>
    <row r="897" spans="1:54" ht="13.5" thickBot="1">
      <c r="A897" s="103">
        <v>39962</v>
      </c>
      <c r="B897" s="104">
        <v>3.6575000286102295</v>
      </c>
      <c r="C897" s="105">
        <v>919.1400146484375</v>
      </c>
      <c r="D897" s="104">
        <v>1.6136000156402588</v>
      </c>
      <c r="E897">
        <v>95.147474968380664</v>
      </c>
      <c r="F897">
        <v>979.0911865234375</v>
      </c>
      <c r="G897" s="14"/>
      <c r="H897" s="34"/>
      <c r="I897" s="34"/>
      <c r="J897" s="34"/>
      <c r="K897" s="34"/>
      <c r="L897" s="34"/>
      <c r="N897" s="34"/>
      <c r="O897" s="35"/>
      <c r="P897" s="35"/>
      <c r="Q897" s="35"/>
      <c r="R897" s="35"/>
      <c r="S897" s="74"/>
      <c r="AJ897" s="34"/>
      <c r="AK897" s="34"/>
      <c r="AL897" s="34"/>
      <c r="AM897" s="34"/>
      <c r="AN897" s="34"/>
      <c r="AQ897" s="67"/>
      <c r="AR897" s="67"/>
      <c r="AS897" s="67"/>
      <c r="AT897" s="67"/>
      <c r="AU897" s="67"/>
      <c r="AW897" s="68"/>
      <c r="AX897" s="68"/>
      <c r="AY897" s="68"/>
      <c r="AZ897" s="68"/>
      <c r="BA897" s="68"/>
      <c r="BB897" s="68"/>
    </row>
    <row r="898" spans="1:54" ht="13.5" thickBot="1">
      <c r="A898" s="103">
        <v>39965</v>
      </c>
      <c r="B898" s="104">
        <v>4.0285000801086426</v>
      </c>
      <c r="C898" s="105">
        <v>942.8699951171875</v>
      </c>
      <c r="D898" s="104">
        <v>1.6447999477386475</v>
      </c>
      <c r="E898">
        <v>96.497149189637952</v>
      </c>
      <c r="F898">
        <v>978.49566650390625</v>
      </c>
      <c r="G898" s="14"/>
      <c r="H898" s="34"/>
      <c r="I898" s="34"/>
      <c r="J898" s="34"/>
      <c r="K898" s="34"/>
      <c r="L898" s="34"/>
      <c r="N898" s="34"/>
      <c r="O898" s="35"/>
      <c r="P898" s="35"/>
      <c r="Q898" s="35"/>
      <c r="R898" s="35"/>
      <c r="S898" s="74"/>
      <c r="AJ898" s="34"/>
      <c r="AK898" s="34"/>
      <c r="AL898" s="34"/>
      <c r="AM898" s="34"/>
      <c r="AN898" s="34"/>
      <c r="AQ898" s="67"/>
      <c r="AR898" s="67"/>
      <c r="AS898" s="67"/>
      <c r="AT898" s="67"/>
      <c r="AU898" s="67"/>
      <c r="AW898" s="68"/>
      <c r="AX898" s="68"/>
      <c r="AY898" s="68"/>
      <c r="AZ898" s="68"/>
      <c r="BA898" s="68"/>
      <c r="BB898" s="68"/>
    </row>
    <row r="899" spans="1:54" ht="13.5" thickBot="1">
      <c r="A899" s="103">
        <v>39966</v>
      </c>
      <c r="B899" s="104">
        <v>3.9725000858306885</v>
      </c>
      <c r="C899" s="105">
        <v>944.739990234375</v>
      </c>
      <c r="D899" s="104">
        <v>1.6581000089645386</v>
      </c>
      <c r="E899">
        <v>95.638863476542582</v>
      </c>
      <c r="F899">
        <v>981.79547119140625</v>
      </c>
      <c r="G899" s="14"/>
      <c r="H899" s="34"/>
      <c r="I899" s="34"/>
      <c r="J899" s="34"/>
      <c r="K899" s="34"/>
      <c r="L899" s="34"/>
      <c r="N899" s="34"/>
      <c r="O899" s="35"/>
      <c r="P899" s="35"/>
      <c r="Q899" s="35"/>
      <c r="R899" s="35"/>
      <c r="S899" s="74"/>
      <c r="AJ899" s="34"/>
      <c r="AK899" s="34"/>
      <c r="AL899" s="34"/>
      <c r="AM899" s="34"/>
      <c r="AN899" s="34"/>
      <c r="AQ899" s="67"/>
      <c r="AR899" s="67"/>
      <c r="AS899" s="67"/>
      <c r="AT899" s="67"/>
      <c r="AU899" s="67"/>
      <c r="AW899" s="68"/>
      <c r="AX899" s="68"/>
      <c r="AY899" s="68"/>
      <c r="AZ899" s="68"/>
      <c r="BA899" s="68"/>
      <c r="BB899" s="68"/>
    </row>
    <row r="900" spans="1:54" ht="13.5" thickBot="1">
      <c r="A900" s="103">
        <v>39967</v>
      </c>
      <c r="B900" s="104">
        <v>3.8345000743865967</v>
      </c>
      <c r="C900" s="105">
        <v>931.760009765625</v>
      </c>
      <c r="D900" s="104">
        <v>1.6268999576568604</v>
      </c>
      <c r="E900">
        <v>95.877279005765359</v>
      </c>
      <c r="F900">
        <v>964.81622314453125</v>
      </c>
      <c r="G900" s="14"/>
      <c r="H900" s="34"/>
      <c r="I900" s="34"/>
      <c r="J900" s="34"/>
      <c r="K900" s="34"/>
      <c r="L900" s="34"/>
      <c r="N900" s="34"/>
      <c r="O900" s="35"/>
      <c r="P900" s="35"/>
      <c r="Q900" s="35"/>
      <c r="R900" s="35"/>
      <c r="S900" s="74"/>
      <c r="AJ900" s="34"/>
      <c r="AK900" s="34"/>
      <c r="AL900" s="34"/>
      <c r="AM900" s="34"/>
      <c r="AN900" s="34"/>
      <c r="AQ900" s="67"/>
      <c r="AR900" s="67"/>
      <c r="AS900" s="67"/>
      <c r="AT900" s="67"/>
      <c r="AU900" s="67"/>
      <c r="AW900" s="68"/>
      <c r="AX900" s="68"/>
      <c r="AY900" s="68"/>
      <c r="AZ900" s="68"/>
      <c r="BA900" s="68"/>
      <c r="BB900" s="68"/>
    </row>
    <row r="901" spans="1:54" ht="13.5" thickBot="1">
      <c r="A901" s="103">
        <v>39968</v>
      </c>
      <c r="B901" s="104">
        <v>4.0430002212524414</v>
      </c>
      <c r="C901" s="105">
        <v>942.46002197265625</v>
      </c>
      <c r="D901" s="104">
        <v>1.6197999715805054</v>
      </c>
      <c r="E901">
        <v>96.777317729631449</v>
      </c>
      <c r="F901">
        <v>975.78167724609375</v>
      </c>
      <c r="G901" s="14"/>
      <c r="H901" s="34"/>
      <c r="I901" s="34"/>
      <c r="J901" s="34"/>
      <c r="K901" s="34"/>
      <c r="L901" s="34"/>
      <c r="N901" s="34"/>
      <c r="O901" s="35"/>
      <c r="P901" s="35"/>
      <c r="Q901" s="35"/>
      <c r="R901" s="35"/>
      <c r="S901" s="74"/>
      <c r="AJ901" s="34"/>
      <c r="AK901" s="34"/>
      <c r="AL901" s="34"/>
      <c r="AM901" s="34"/>
      <c r="AN901" s="34"/>
      <c r="AQ901" s="67"/>
      <c r="AR901" s="67"/>
      <c r="AS901" s="67"/>
      <c r="AT901" s="67"/>
      <c r="AU901" s="67"/>
      <c r="AW901" s="68"/>
      <c r="AX901" s="68"/>
      <c r="AY901" s="68"/>
      <c r="AZ901" s="68"/>
      <c r="BA901" s="68"/>
      <c r="BB901" s="68"/>
    </row>
    <row r="902" spans="1:54" ht="13.5" thickBot="1">
      <c r="A902" s="103">
        <v>39969</v>
      </c>
      <c r="B902" s="104">
        <v>4.2305002212524414</v>
      </c>
      <c r="C902" s="105">
        <v>940.09002685546875</v>
      </c>
      <c r="D902" s="104">
        <v>1.598099946975708</v>
      </c>
      <c r="E902">
        <v>98.396144289662857</v>
      </c>
      <c r="F902">
        <v>959.83282470703125</v>
      </c>
      <c r="G902" s="14"/>
      <c r="H902" s="34"/>
      <c r="I902" s="34"/>
      <c r="J902" s="34"/>
      <c r="K902" s="34"/>
      <c r="L902" s="34"/>
      <c r="N902" s="34"/>
      <c r="O902" s="35"/>
      <c r="P902" s="35"/>
      <c r="Q902" s="35"/>
      <c r="R902" s="35"/>
      <c r="S902" s="74"/>
      <c r="AJ902" s="34"/>
      <c r="AK902" s="34"/>
      <c r="AL902" s="34"/>
      <c r="AM902" s="34"/>
      <c r="AN902" s="34"/>
      <c r="AQ902" s="67"/>
      <c r="AR902" s="67"/>
      <c r="AS902" s="67"/>
      <c r="AT902" s="67"/>
      <c r="AU902" s="67"/>
      <c r="AW902" s="68"/>
      <c r="AX902" s="68"/>
      <c r="AY902" s="68"/>
      <c r="AZ902" s="68"/>
      <c r="BA902" s="68"/>
      <c r="BB902" s="68"/>
    </row>
    <row r="903" spans="1:54" ht="13.5" thickBot="1">
      <c r="A903" s="103">
        <v>39972</v>
      </c>
      <c r="B903" s="104">
        <v>4.3249998092651367</v>
      </c>
      <c r="C903" s="105">
        <v>939.1400146484375</v>
      </c>
      <c r="D903" s="104">
        <v>1.6045000553131104</v>
      </c>
      <c r="E903">
        <v>98.396144289662857</v>
      </c>
      <c r="F903">
        <v>947.016845703125</v>
      </c>
      <c r="G903" s="14"/>
      <c r="H903" s="34"/>
      <c r="I903" s="34"/>
      <c r="J903" s="34"/>
      <c r="K903" s="34"/>
      <c r="L903" s="34"/>
      <c r="N903" s="34"/>
      <c r="O903" s="35"/>
      <c r="P903" s="35"/>
      <c r="Q903" s="35"/>
      <c r="R903" s="35"/>
      <c r="S903" s="74"/>
      <c r="AJ903" s="34"/>
      <c r="AK903" s="34"/>
      <c r="AL903" s="34"/>
      <c r="AM903" s="34"/>
      <c r="AN903" s="34"/>
      <c r="AQ903" s="67"/>
      <c r="AR903" s="67"/>
      <c r="AS903" s="67"/>
      <c r="AT903" s="67"/>
      <c r="AU903" s="67"/>
      <c r="AW903" s="68"/>
      <c r="AX903" s="68"/>
      <c r="AY903" s="68"/>
      <c r="AZ903" s="68"/>
      <c r="BA903" s="68"/>
      <c r="BB903" s="68"/>
    </row>
    <row r="904" spans="1:54" ht="13.5" thickBot="1">
      <c r="A904" s="103">
        <v>39973</v>
      </c>
      <c r="B904" s="104">
        <v>4.2224998474121094</v>
      </c>
      <c r="C904" s="105">
        <v>942.42999267578125</v>
      </c>
      <c r="D904" s="104">
        <v>1.6332000494003296</v>
      </c>
      <c r="E904">
        <v>97.437399476506499</v>
      </c>
      <c r="F904">
        <v>955.01654052734375</v>
      </c>
      <c r="G904" s="14"/>
      <c r="H904" s="34"/>
      <c r="I904" s="34"/>
      <c r="J904" s="34"/>
      <c r="K904" s="34"/>
      <c r="L904" s="34"/>
      <c r="N904" s="34"/>
      <c r="O904" s="35"/>
      <c r="P904" s="35"/>
      <c r="Q904" s="35"/>
      <c r="R904" s="35"/>
      <c r="S904" s="74"/>
      <c r="AJ904" s="34"/>
      <c r="AK904" s="34"/>
      <c r="AL904" s="34"/>
      <c r="AM904" s="34"/>
      <c r="AN904" s="34"/>
      <c r="AQ904" s="67"/>
      <c r="AR904" s="67"/>
      <c r="AS904" s="67"/>
      <c r="AT904" s="67"/>
      <c r="AU904" s="67"/>
      <c r="AW904" s="68"/>
      <c r="AX904" s="68"/>
      <c r="AY904" s="68"/>
      <c r="AZ904" s="68"/>
      <c r="BA904" s="68"/>
      <c r="BB904" s="68"/>
    </row>
    <row r="905" spans="1:54" ht="13.5" thickBot="1">
      <c r="A905" s="103">
        <v>39974</v>
      </c>
      <c r="B905" s="104">
        <v>4.3309998512268066</v>
      </c>
      <c r="C905" s="105">
        <v>939.1500244140625</v>
      </c>
      <c r="D905" s="104">
        <v>1.6313999891281128</v>
      </c>
      <c r="E905">
        <v>98.164326734324305</v>
      </c>
      <c r="F905">
        <v>951.0167236328125</v>
      </c>
      <c r="G905" s="14"/>
      <c r="H905" s="34"/>
      <c r="I905" s="34"/>
      <c r="J905" s="34"/>
      <c r="K905" s="34"/>
      <c r="L905" s="34"/>
      <c r="N905" s="34"/>
      <c r="O905" s="35"/>
      <c r="P905" s="35"/>
      <c r="Q905" s="35"/>
      <c r="R905" s="35"/>
      <c r="S905" s="74"/>
      <c r="AJ905" s="34"/>
      <c r="AK905" s="34"/>
      <c r="AL905" s="34"/>
      <c r="AM905" s="34"/>
      <c r="AN905" s="34"/>
      <c r="AQ905" s="67"/>
      <c r="AR905" s="67"/>
      <c r="AS905" s="67"/>
      <c r="AT905" s="67"/>
      <c r="AU905" s="67"/>
      <c r="AW905" s="68"/>
      <c r="AX905" s="68"/>
      <c r="AY905" s="68"/>
      <c r="AZ905" s="68"/>
      <c r="BA905" s="68"/>
      <c r="BB905" s="68"/>
    </row>
    <row r="906" spans="1:54" ht="13.5" thickBot="1">
      <c r="A906" s="103">
        <v>39975</v>
      </c>
      <c r="B906" s="104">
        <v>4.2144999504089355</v>
      </c>
      <c r="C906" s="105">
        <v>944.8900146484375</v>
      </c>
      <c r="D906" s="104">
        <v>1.6586999893188477</v>
      </c>
      <c r="E906">
        <v>97.541944627366945</v>
      </c>
      <c r="F906">
        <v>958.98284912109375</v>
      </c>
      <c r="G906" s="14"/>
      <c r="H906" s="34"/>
      <c r="I906" s="34"/>
      <c r="J906" s="34"/>
      <c r="K906" s="34"/>
      <c r="L906" s="34"/>
      <c r="N906" s="34"/>
      <c r="O906" s="35"/>
      <c r="P906" s="35"/>
      <c r="Q906" s="35"/>
      <c r="R906" s="35"/>
      <c r="S906" s="74"/>
      <c r="AJ906" s="34"/>
      <c r="AK906" s="34"/>
      <c r="AL906" s="34"/>
      <c r="AM906" s="34"/>
      <c r="AN906" s="34"/>
      <c r="AQ906" s="67"/>
      <c r="AR906" s="67"/>
      <c r="AS906" s="67"/>
      <c r="AT906" s="67"/>
      <c r="AU906" s="67"/>
      <c r="AW906" s="68"/>
      <c r="AX906" s="68"/>
      <c r="AY906" s="68"/>
      <c r="AZ906" s="68"/>
      <c r="BA906" s="68"/>
      <c r="BB906" s="68"/>
    </row>
    <row r="907" spans="1:54" ht="13.5" thickBot="1">
      <c r="A907" s="103">
        <v>39976</v>
      </c>
      <c r="B907" s="104">
        <v>4.0739998817443848</v>
      </c>
      <c r="C907" s="105">
        <v>946.21002197265625</v>
      </c>
      <c r="D907" s="104">
        <v>1.6450999975204468</v>
      </c>
      <c r="E907">
        <v>98.241477789983151</v>
      </c>
      <c r="F907">
        <v>942.7340087890625</v>
      </c>
      <c r="G907" s="14"/>
      <c r="H907" s="34"/>
      <c r="I907" s="34"/>
      <c r="J907" s="34"/>
      <c r="K907" s="34"/>
      <c r="L907" s="34"/>
      <c r="N907" s="34"/>
      <c r="O907" s="35"/>
      <c r="P907" s="35"/>
      <c r="Q907" s="35"/>
      <c r="R907" s="35"/>
      <c r="S907" s="74"/>
      <c r="AJ907" s="34"/>
      <c r="AK907" s="34"/>
      <c r="AL907" s="34"/>
      <c r="AM907" s="34"/>
      <c r="AN907" s="34"/>
      <c r="AQ907" s="67"/>
      <c r="AR907" s="67"/>
      <c r="AS907" s="67"/>
      <c r="AT907" s="67"/>
      <c r="AU907" s="67"/>
      <c r="AW907" s="68"/>
      <c r="AX907" s="68"/>
      <c r="AY907" s="68"/>
      <c r="AZ907" s="68"/>
      <c r="BA907" s="68"/>
      <c r="BB907" s="68"/>
    </row>
    <row r="908" spans="1:54" ht="13.5" thickBot="1">
      <c r="A908" s="103">
        <v>39979</v>
      </c>
      <c r="B908" s="104">
        <v>3.9489998817443848</v>
      </c>
      <c r="C908" s="105">
        <v>923.719970703125</v>
      </c>
      <c r="D908" s="104">
        <v>1.6296000480651855</v>
      </c>
      <c r="E908">
        <v>97.637178119939648</v>
      </c>
      <c r="F908">
        <v>929.37677001953125</v>
      </c>
      <c r="G908" s="14"/>
      <c r="H908" s="34"/>
      <c r="I908" s="34"/>
      <c r="J908" s="34"/>
      <c r="K908" s="34"/>
      <c r="L908" s="34"/>
      <c r="N908" s="34"/>
      <c r="O908" s="35"/>
      <c r="P908" s="35"/>
      <c r="Q908" s="35"/>
      <c r="R908" s="35"/>
      <c r="S908" s="74"/>
      <c r="AJ908" s="34"/>
      <c r="AK908" s="34"/>
      <c r="AL908" s="34"/>
      <c r="AM908" s="34"/>
      <c r="AN908" s="34"/>
      <c r="AQ908" s="67"/>
      <c r="AR908" s="67"/>
      <c r="AS908" s="67"/>
      <c r="AT908" s="67"/>
      <c r="AU908" s="67"/>
      <c r="AW908" s="68"/>
      <c r="AX908" s="68"/>
      <c r="AY908" s="68"/>
      <c r="AZ908" s="68"/>
      <c r="BA908" s="68"/>
      <c r="BB908" s="68"/>
    </row>
    <row r="909" spans="1:54" ht="13.5" thickBot="1">
      <c r="A909" s="103">
        <v>39980</v>
      </c>
      <c r="B909" s="104">
        <v>3.8910000324249268</v>
      </c>
      <c r="C909" s="105">
        <v>911.969970703125</v>
      </c>
      <c r="D909" s="104">
        <v>1.6425000429153442</v>
      </c>
      <c r="E909">
        <v>96.543732688306889</v>
      </c>
      <c r="F909">
        <v>936.3765869140625</v>
      </c>
      <c r="G909" s="14"/>
      <c r="H909" s="34"/>
      <c r="I909" s="34"/>
      <c r="J909" s="34"/>
      <c r="K909" s="34"/>
      <c r="L909" s="34"/>
      <c r="N909" s="34"/>
      <c r="O909" s="35"/>
      <c r="P909" s="35"/>
      <c r="Q909" s="35"/>
      <c r="R909" s="35"/>
      <c r="S909" s="74"/>
      <c r="AJ909" s="34"/>
      <c r="AK909" s="34"/>
      <c r="AL909" s="34"/>
      <c r="AM909" s="34"/>
      <c r="AN909" s="34"/>
      <c r="AQ909" s="67"/>
      <c r="AR909" s="67"/>
      <c r="AS909" s="67"/>
      <c r="AT909" s="67"/>
      <c r="AU909" s="67"/>
      <c r="AW909" s="68"/>
      <c r="AX909" s="68"/>
      <c r="AY909" s="68"/>
      <c r="AZ909" s="68"/>
      <c r="BA909" s="68"/>
      <c r="BB909" s="68"/>
    </row>
    <row r="910" spans="1:54" ht="13.5" thickBot="1">
      <c r="A910" s="103">
        <v>39981</v>
      </c>
      <c r="B910" s="104">
        <v>3.8399999141693115</v>
      </c>
      <c r="C910" s="105">
        <v>910.71002197265625</v>
      </c>
      <c r="D910" s="104">
        <v>1.6417000293731689</v>
      </c>
      <c r="E910">
        <v>95.721258286582227</v>
      </c>
      <c r="F910">
        <v>935.378173828125</v>
      </c>
      <c r="G910" s="14"/>
      <c r="H910" s="34"/>
      <c r="I910" s="34"/>
      <c r="J910" s="34"/>
      <c r="K910" s="34"/>
      <c r="L910" s="34"/>
      <c r="N910" s="34"/>
      <c r="O910" s="35"/>
      <c r="P910" s="35"/>
      <c r="Q910" s="35"/>
      <c r="R910" s="35"/>
      <c r="S910" s="74"/>
      <c r="AJ910" s="34"/>
      <c r="AK910" s="34"/>
      <c r="AL910" s="34"/>
      <c r="AM910" s="34"/>
      <c r="AN910" s="34"/>
      <c r="AQ910" s="67"/>
      <c r="AR910" s="67"/>
      <c r="AS910" s="67"/>
      <c r="AT910" s="67"/>
      <c r="AU910" s="67"/>
      <c r="AW910" s="68"/>
      <c r="AX910" s="68"/>
      <c r="AY910" s="68"/>
      <c r="AZ910" s="68"/>
      <c r="BA910" s="68"/>
      <c r="BB910" s="68"/>
    </row>
    <row r="911" spans="1:54" ht="13.5" thickBot="1">
      <c r="A911" s="103">
        <v>39982</v>
      </c>
      <c r="B911" s="104">
        <v>4.1065001487731934</v>
      </c>
      <c r="C911" s="105">
        <v>918.3699951171875</v>
      </c>
      <c r="D911" s="104">
        <v>1.6330000162124634</v>
      </c>
      <c r="E911">
        <v>96.618356430732817</v>
      </c>
      <c r="F911">
        <v>937.35626220703125</v>
      </c>
      <c r="G911" s="14"/>
      <c r="H911" s="34"/>
      <c r="I911" s="34"/>
      <c r="J911" s="34"/>
      <c r="K911" s="34"/>
      <c r="L911" s="34"/>
      <c r="N911" s="34"/>
      <c r="O911" s="35"/>
      <c r="P911" s="35"/>
      <c r="Q911" s="35"/>
      <c r="R911" s="35"/>
      <c r="S911" s="74"/>
      <c r="AJ911" s="34"/>
      <c r="AK911" s="34"/>
      <c r="AL911" s="34"/>
      <c r="AM911" s="34"/>
      <c r="AN911" s="34"/>
      <c r="AQ911" s="67"/>
      <c r="AR911" s="67"/>
      <c r="AS911" s="67"/>
      <c r="AT911" s="67"/>
      <c r="AU911" s="67"/>
      <c r="AW911" s="68"/>
      <c r="AX911" s="68"/>
      <c r="AY911" s="68"/>
      <c r="AZ911" s="68"/>
      <c r="BA911" s="68"/>
      <c r="BB911" s="68"/>
    </row>
    <row r="912" spans="1:54" ht="13.5" thickBot="1">
      <c r="A912" s="103">
        <v>39983</v>
      </c>
      <c r="B912" s="104">
        <v>4.0469999313354492</v>
      </c>
      <c r="C912" s="105">
        <v>921.22998046875</v>
      </c>
      <c r="D912" s="104">
        <v>1.6505999565124512</v>
      </c>
      <c r="E912">
        <v>96.237130812957417</v>
      </c>
      <c r="F912">
        <v>937.46563720703125</v>
      </c>
      <c r="G912" s="14"/>
      <c r="H912" s="34"/>
      <c r="I912" s="34"/>
      <c r="J912" s="34"/>
      <c r="K912" s="34"/>
      <c r="L912" s="34"/>
      <c r="N912" s="34"/>
      <c r="O912" s="35"/>
      <c r="P912" s="35"/>
      <c r="Q912" s="35"/>
      <c r="R912" s="35"/>
      <c r="S912" s="74"/>
      <c r="AJ912" s="34"/>
      <c r="AK912" s="34"/>
      <c r="AL912" s="34"/>
      <c r="AM912" s="34"/>
      <c r="AN912" s="34"/>
      <c r="AQ912" s="67"/>
      <c r="AR912" s="67"/>
      <c r="AS912" s="67"/>
      <c r="AT912" s="67"/>
      <c r="AU912" s="67"/>
      <c r="AW912" s="68"/>
      <c r="AX912" s="68"/>
      <c r="AY912" s="68"/>
      <c r="AZ912" s="68"/>
      <c r="BA912" s="68"/>
      <c r="BB912" s="68"/>
    </row>
    <row r="913" spans="1:54" ht="13.5" thickBot="1">
      <c r="A913" s="103">
        <v>39986</v>
      </c>
      <c r="B913" s="104">
        <v>3.937999963760376</v>
      </c>
      <c r="C913" s="105">
        <v>893.03997802734375</v>
      </c>
      <c r="D913" s="104">
        <v>1.6341999769210815</v>
      </c>
      <c r="E913">
        <v>95.941667736664542</v>
      </c>
      <c r="F913">
        <v>920.98211669921875</v>
      </c>
      <c r="G913" s="14"/>
      <c r="H913" s="34"/>
      <c r="I913" s="34"/>
      <c r="J913" s="34"/>
      <c r="K913" s="34"/>
      <c r="L913" s="34"/>
      <c r="N913" s="34"/>
      <c r="O913" s="35"/>
      <c r="P913" s="35"/>
      <c r="Q913" s="35"/>
      <c r="R913" s="35"/>
      <c r="S913" s="74"/>
      <c r="AJ913" s="34"/>
      <c r="AK913" s="34"/>
      <c r="AL913" s="34"/>
      <c r="AM913" s="34"/>
      <c r="AN913" s="34"/>
      <c r="AQ913" s="67"/>
      <c r="AR913" s="67"/>
      <c r="AS913" s="67"/>
      <c r="AT913" s="67"/>
      <c r="AU913" s="67"/>
      <c r="AW913" s="68"/>
      <c r="AX913" s="68"/>
      <c r="AY913" s="68"/>
      <c r="AZ913" s="68"/>
      <c r="BA913" s="68"/>
      <c r="BB913" s="68"/>
    </row>
    <row r="914" spans="1:54" ht="13.5" thickBot="1">
      <c r="A914" s="103">
        <v>39987</v>
      </c>
      <c r="B914" s="104">
        <v>3.8884999752044678</v>
      </c>
      <c r="C914" s="105">
        <v>895.0999755859375</v>
      </c>
      <c r="D914" s="104">
        <v>1.6455999612808228</v>
      </c>
      <c r="E914">
        <v>95.256236481052142</v>
      </c>
      <c r="F914">
        <v>922.08209228515625</v>
      </c>
      <c r="G914" s="14"/>
      <c r="H914" s="34"/>
      <c r="I914" s="34"/>
      <c r="J914" s="34"/>
      <c r="K914" s="34"/>
      <c r="L914" s="34"/>
      <c r="N914" s="34"/>
      <c r="O914" s="35"/>
      <c r="P914" s="35"/>
      <c r="Q914" s="35"/>
      <c r="R914" s="35"/>
      <c r="S914" s="74"/>
      <c r="AJ914" s="34"/>
      <c r="AK914" s="34"/>
      <c r="AL914" s="34"/>
      <c r="AM914" s="34"/>
      <c r="AN914" s="34"/>
      <c r="AQ914" s="67"/>
      <c r="AR914" s="67"/>
      <c r="AS914" s="67"/>
      <c r="AT914" s="67"/>
      <c r="AU914" s="67"/>
      <c r="AW914" s="68"/>
      <c r="AX914" s="68"/>
      <c r="AY914" s="68"/>
      <c r="AZ914" s="68"/>
      <c r="BA914" s="68"/>
      <c r="BB914" s="68"/>
    </row>
    <row r="915" spans="1:54" ht="13.5" thickBot="1">
      <c r="A915" s="103">
        <v>39988</v>
      </c>
      <c r="B915" s="104">
        <v>3.9295001029968262</v>
      </c>
      <c r="C915" s="105">
        <v>900.94000244140625</v>
      </c>
      <c r="D915" s="104">
        <v>1.6410000324249268</v>
      </c>
      <c r="E915">
        <v>95.721258286582227</v>
      </c>
      <c r="F915">
        <v>931.68084716796875</v>
      </c>
      <c r="G915" s="14"/>
      <c r="H915" s="34"/>
      <c r="I915" s="34"/>
      <c r="J915" s="34"/>
      <c r="K915" s="34"/>
      <c r="L915" s="34"/>
      <c r="N915" s="34"/>
      <c r="O915" s="35"/>
      <c r="P915" s="35"/>
      <c r="Q915" s="35"/>
      <c r="R915" s="35"/>
      <c r="S915" s="74"/>
      <c r="AJ915" s="34"/>
      <c r="AK915" s="34"/>
      <c r="AL915" s="34"/>
      <c r="AM915" s="34"/>
      <c r="AN915" s="34"/>
      <c r="AQ915" s="67"/>
      <c r="AR915" s="67"/>
      <c r="AS915" s="67"/>
      <c r="AT915" s="67"/>
      <c r="AU915" s="67"/>
      <c r="AW915" s="68"/>
      <c r="AX915" s="68"/>
      <c r="AY915" s="68"/>
      <c r="AZ915" s="68"/>
      <c r="BA915" s="68"/>
      <c r="BB915" s="68"/>
    </row>
    <row r="916" spans="1:54" ht="13.5" thickBot="1">
      <c r="A916" s="103">
        <v>39989</v>
      </c>
      <c r="B916" s="104">
        <v>3.7679998874664307</v>
      </c>
      <c r="C916" s="105">
        <v>920.260009765625</v>
      </c>
      <c r="D916" s="104">
        <v>1.6368000507354736</v>
      </c>
      <c r="E916">
        <v>95.895663294924162</v>
      </c>
      <c r="F916">
        <v>937.66143798828125</v>
      </c>
      <c r="G916" s="14"/>
      <c r="H916" s="34"/>
      <c r="I916" s="34"/>
      <c r="J916" s="34"/>
      <c r="K916" s="34"/>
      <c r="L916" s="34"/>
      <c r="N916" s="34"/>
      <c r="O916" s="35"/>
      <c r="P916" s="35"/>
      <c r="Q916" s="35"/>
      <c r="R916" s="35"/>
      <c r="S916" s="74"/>
      <c r="AJ916" s="34"/>
      <c r="AK916" s="34"/>
      <c r="AL916" s="34"/>
      <c r="AM916" s="34"/>
      <c r="AN916" s="34"/>
      <c r="AQ916" s="67"/>
      <c r="AR916" s="67"/>
      <c r="AS916" s="67"/>
      <c r="AT916" s="67"/>
      <c r="AU916" s="67"/>
      <c r="AW916" s="68"/>
      <c r="AX916" s="68"/>
      <c r="AY916" s="68"/>
      <c r="AZ916" s="68"/>
      <c r="BA916" s="68"/>
      <c r="BB916" s="68"/>
    </row>
    <row r="917" spans="1:54" ht="13.5" thickBot="1">
      <c r="A917" s="103">
        <v>39990</v>
      </c>
      <c r="B917" s="104">
        <v>3.7019999027252197</v>
      </c>
      <c r="C917" s="105">
        <v>918.9000244140625</v>
      </c>
      <c r="D917" s="104">
        <v>1.6526000499725342</v>
      </c>
      <c r="E917">
        <v>95.183701199532081</v>
      </c>
      <c r="F917">
        <v>939.65826416015625</v>
      </c>
      <c r="G917" s="14"/>
      <c r="H917" s="34"/>
      <c r="I917" s="34"/>
      <c r="J917" s="34"/>
      <c r="K917" s="34"/>
      <c r="L917" s="34"/>
      <c r="N917" s="34"/>
      <c r="O917" s="35"/>
      <c r="P917" s="35"/>
      <c r="Q917" s="35"/>
      <c r="R917" s="35"/>
      <c r="S917" s="74"/>
      <c r="AJ917" s="34"/>
      <c r="AK917" s="34"/>
      <c r="AL917" s="34"/>
      <c r="AM917" s="34"/>
      <c r="AN917" s="34"/>
      <c r="AQ917" s="67"/>
      <c r="AR917" s="67"/>
      <c r="AS917" s="67"/>
      <c r="AT917" s="67"/>
      <c r="AU917" s="67"/>
      <c r="AW917" s="68"/>
      <c r="AX917" s="68"/>
      <c r="AY917" s="68"/>
      <c r="AZ917" s="68"/>
      <c r="BA917" s="68"/>
      <c r="BB917" s="68"/>
    </row>
    <row r="918" spans="1:54" ht="13.5" thickBot="1">
      <c r="A918" s="103">
        <v>39993</v>
      </c>
      <c r="B918" s="104">
        <v>3.7054998874664307</v>
      </c>
      <c r="C918" s="105">
        <v>927.22998046875</v>
      </c>
      <c r="D918" s="104">
        <v>1.6562999486923218</v>
      </c>
      <c r="E918">
        <v>96.061482679904515</v>
      </c>
      <c r="F918">
        <v>935.77923583984375</v>
      </c>
      <c r="G918" s="14"/>
      <c r="H918" s="34"/>
      <c r="I918" s="34"/>
      <c r="J918" s="34"/>
      <c r="K918" s="34"/>
      <c r="L918" s="34"/>
      <c r="N918" s="34"/>
      <c r="O918" s="35"/>
      <c r="P918" s="35"/>
      <c r="Q918" s="35"/>
      <c r="R918" s="35"/>
      <c r="S918" s="74"/>
      <c r="AJ918" s="34"/>
      <c r="AK918" s="34"/>
      <c r="AL918" s="34"/>
      <c r="AM918" s="34"/>
      <c r="AN918" s="34"/>
      <c r="AQ918" s="67"/>
      <c r="AR918" s="67"/>
      <c r="AS918" s="67"/>
      <c r="AT918" s="67"/>
      <c r="AU918" s="67"/>
      <c r="AW918" s="68"/>
      <c r="AX918" s="68"/>
      <c r="AY918" s="68"/>
      <c r="AZ918" s="68"/>
      <c r="BA918" s="68"/>
      <c r="BB918" s="68"/>
    </row>
    <row r="919" spans="1:54" ht="13.5" thickBot="1">
      <c r="A919" s="103">
        <v>39994</v>
      </c>
      <c r="B919" s="104">
        <v>3.7590000629425049</v>
      </c>
      <c r="C919" s="105">
        <v>919.32000732421875</v>
      </c>
      <c r="D919" s="104">
        <v>1.6463500261306763</v>
      </c>
      <c r="E919">
        <v>96.348399182151766</v>
      </c>
      <c r="F919">
        <v>927.17938232421875</v>
      </c>
      <c r="G919" s="14"/>
      <c r="H919" s="34"/>
      <c r="I919" s="34"/>
      <c r="J919" s="34"/>
      <c r="K919" s="34"/>
      <c r="L919" s="34"/>
      <c r="N919" s="34"/>
      <c r="O919" s="35"/>
      <c r="P919" s="35"/>
      <c r="Q919" s="35"/>
      <c r="R919" s="35"/>
      <c r="S919" s="74"/>
      <c r="AJ919" s="34"/>
      <c r="AK919" s="34"/>
      <c r="AL919" s="34"/>
      <c r="AM919" s="34"/>
      <c r="AN919" s="34"/>
      <c r="AQ919" s="67"/>
      <c r="AR919" s="67"/>
      <c r="AS919" s="67"/>
      <c r="AT919" s="67"/>
      <c r="AU919" s="67"/>
      <c r="AW919" s="68"/>
      <c r="AX919" s="68"/>
      <c r="AY919" s="68"/>
      <c r="AZ919" s="68"/>
      <c r="BA919" s="68"/>
      <c r="BB919" s="68"/>
    </row>
    <row r="920" spans="1:54" ht="13.5" thickBot="1">
      <c r="A920" s="103">
        <v>39995</v>
      </c>
      <c r="B920" s="104">
        <v>3.7790000438690186</v>
      </c>
      <c r="C920" s="105">
        <v>923.33001708984375</v>
      </c>
      <c r="D920" s="104">
        <v>1.6482000350952148</v>
      </c>
      <c r="E920">
        <v>96.543732688306889</v>
      </c>
      <c r="F920">
        <v>942.779052734375</v>
      </c>
      <c r="G920" s="14"/>
      <c r="H920" s="34"/>
      <c r="I920" s="34"/>
      <c r="J920" s="34"/>
      <c r="K920" s="34"/>
      <c r="L920" s="34"/>
      <c r="N920" s="34"/>
      <c r="O920" s="35"/>
      <c r="P920" s="35"/>
      <c r="Q920" s="35"/>
      <c r="R920" s="35"/>
      <c r="S920" s="74"/>
      <c r="AJ920" s="34"/>
      <c r="AK920" s="34"/>
      <c r="AL920" s="34"/>
      <c r="AM920" s="34"/>
      <c r="AN920" s="34"/>
      <c r="AQ920" s="67"/>
      <c r="AR920" s="67"/>
      <c r="AS920" s="67"/>
      <c r="AT920" s="67"/>
      <c r="AU920" s="67"/>
      <c r="AW920" s="68"/>
      <c r="AX920" s="68"/>
      <c r="AY920" s="68"/>
      <c r="AZ920" s="68"/>
      <c r="BA920" s="68"/>
      <c r="BB920" s="68"/>
    </row>
    <row r="921" spans="1:54" ht="13.5" thickBot="1">
      <c r="A921" s="103">
        <v>39996</v>
      </c>
      <c r="B921" s="104">
        <v>3.7135000228881836</v>
      </c>
      <c r="C921" s="105">
        <v>896.41998291015625</v>
      </c>
      <c r="D921" s="104">
        <v>1.6416000127792358</v>
      </c>
      <c r="E921">
        <v>95.82215130510987</v>
      </c>
      <c r="F921">
        <v>928.85870361328125</v>
      </c>
      <c r="G921" s="14"/>
      <c r="H921" s="34"/>
      <c r="I921" s="34"/>
      <c r="J921" s="34"/>
      <c r="K921" s="34"/>
      <c r="L921" s="34"/>
      <c r="N921" s="34"/>
      <c r="O921" s="35"/>
      <c r="P921" s="35"/>
      <c r="Q921" s="35"/>
      <c r="R921" s="35"/>
      <c r="S921" s="74"/>
      <c r="AJ921" s="34"/>
      <c r="AK921" s="34"/>
      <c r="AL921" s="34"/>
      <c r="AM921" s="34"/>
      <c r="AN921" s="34"/>
      <c r="AQ921" s="67"/>
      <c r="AR921" s="67"/>
      <c r="AS921" s="67"/>
      <c r="AT921" s="67"/>
      <c r="AU921" s="67"/>
      <c r="AW921" s="68"/>
      <c r="AX921" s="68"/>
      <c r="AY921" s="68"/>
      <c r="AZ921" s="68"/>
      <c r="BA921" s="68"/>
      <c r="BB921" s="68"/>
    </row>
    <row r="922" spans="1:54" ht="13.5" thickBot="1">
      <c r="A922" s="103">
        <v>39997</v>
      </c>
      <c r="B922" s="104">
        <v>3.7135000228881836</v>
      </c>
      <c r="C922" s="105">
        <v>896.41998291015625</v>
      </c>
      <c r="D922" s="104">
        <v>1.6336499452590942</v>
      </c>
      <c r="E922">
        <v>95.923257236465432</v>
      </c>
      <c r="F922">
        <v>932.35858154296875</v>
      </c>
      <c r="G922" s="14"/>
      <c r="H922" s="34"/>
      <c r="I922" s="34"/>
      <c r="J922" s="34"/>
      <c r="K922" s="34"/>
      <c r="L922" s="34"/>
      <c r="N922" s="34"/>
      <c r="O922" s="35"/>
      <c r="P922" s="35"/>
      <c r="Q922" s="35"/>
      <c r="R922" s="35"/>
      <c r="S922" s="74"/>
      <c r="AJ922" s="34"/>
      <c r="AK922" s="34"/>
      <c r="AL922" s="34"/>
      <c r="AM922" s="34"/>
      <c r="AN922" s="34"/>
      <c r="AQ922" s="67"/>
      <c r="AR922" s="67"/>
      <c r="AS922" s="67"/>
      <c r="AT922" s="67"/>
      <c r="AU922" s="67"/>
      <c r="AW922" s="68"/>
      <c r="AX922" s="68"/>
      <c r="AY922" s="68"/>
      <c r="AZ922" s="68"/>
      <c r="BA922" s="68"/>
      <c r="BB922" s="68"/>
    </row>
    <row r="923" spans="1:54" ht="13.5" thickBot="1">
      <c r="A923" s="103">
        <v>40000</v>
      </c>
      <c r="B923" s="104">
        <v>3.7125000953674316</v>
      </c>
      <c r="C923" s="105">
        <v>898.719970703125</v>
      </c>
      <c r="D923" s="104">
        <v>1.6253999471664429</v>
      </c>
      <c r="E923">
        <v>95.283472062983847</v>
      </c>
      <c r="F923">
        <v>923.9794921875</v>
      </c>
      <c r="G923" s="14"/>
      <c r="H923" s="34"/>
      <c r="I923" s="34"/>
      <c r="J923" s="34"/>
      <c r="K923" s="34"/>
      <c r="L923" s="34"/>
      <c r="N923" s="34"/>
      <c r="O923" s="35"/>
      <c r="P923" s="35"/>
      <c r="Q923" s="35"/>
      <c r="R923" s="35"/>
      <c r="S923" s="74"/>
      <c r="AJ923" s="34"/>
      <c r="AK923" s="34"/>
      <c r="AL923" s="34"/>
      <c r="AM923" s="34"/>
      <c r="AN923" s="34"/>
      <c r="AQ923" s="67"/>
      <c r="AR923" s="67"/>
      <c r="AS923" s="67"/>
      <c r="AT923" s="67"/>
      <c r="AU923" s="67"/>
      <c r="AW923" s="68"/>
      <c r="AX923" s="68"/>
      <c r="AY923" s="68"/>
      <c r="AZ923" s="68"/>
      <c r="BA923" s="68"/>
      <c r="BB923" s="68"/>
    </row>
    <row r="924" spans="1:54" ht="13.5" thickBot="1">
      <c r="A924" s="103">
        <v>40001</v>
      </c>
      <c r="B924" s="104">
        <v>3.6510000228881836</v>
      </c>
      <c r="C924" s="105">
        <v>881.030029296875</v>
      </c>
      <c r="D924" s="104">
        <v>1.614799976348877</v>
      </c>
      <c r="E924">
        <v>94.79571106064914</v>
      </c>
      <c r="F924">
        <v>923.5794677734375</v>
      </c>
      <c r="G924" s="14"/>
      <c r="H924" s="34"/>
      <c r="I924" s="34"/>
      <c r="J924" s="34"/>
      <c r="K924" s="34"/>
      <c r="L924" s="34"/>
      <c r="N924" s="34"/>
      <c r="O924" s="35"/>
      <c r="P924" s="35"/>
      <c r="Q924" s="35"/>
      <c r="R924" s="35"/>
      <c r="S924" s="74"/>
      <c r="AJ924" s="34"/>
      <c r="AK924" s="34"/>
      <c r="AL924" s="34"/>
      <c r="AM924" s="34"/>
      <c r="AN924" s="34"/>
      <c r="AQ924" s="67"/>
      <c r="AR924" s="67"/>
      <c r="AS924" s="67"/>
      <c r="AT924" s="67"/>
      <c r="AU924" s="67"/>
      <c r="AW924" s="68"/>
      <c r="AX924" s="68"/>
      <c r="AY924" s="68"/>
      <c r="AZ924" s="68"/>
      <c r="BA924" s="68"/>
      <c r="BB924" s="68"/>
    </row>
    <row r="925" spans="1:54" ht="13.5" thickBot="1">
      <c r="A925" s="103">
        <v>40002</v>
      </c>
      <c r="B925" s="104">
        <v>3.4449999332427979</v>
      </c>
      <c r="C925" s="105">
        <v>879.55999755859375</v>
      </c>
      <c r="D925" s="104">
        <v>1.6030000448226929</v>
      </c>
      <c r="E925">
        <v>92.438528792701007</v>
      </c>
      <c r="F925">
        <v>906.078857421875</v>
      </c>
      <c r="G925" s="14"/>
      <c r="H925" s="34"/>
      <c r="I925" s="34"/>
      <c r="J925" s="34"/>
      <c r="K925" s="34"/>
      <c r="L925" s="34"/>
      <c r="N925" s="34"/>
      <c r="O925" s="35"/>
      <c r="P925" s="35"/>
      <c r="Q925" s="35"/>
      <c r="R925" s="35"/>
      <c r="S925" s="74"/>
      <c r="AJ925" s="34"/>
      <c r="AK925" s="34"/>
      <c r="AL925" s="34"/>
      <c r="AM925" s="34"/>
      <c r="AN925" s="34"/>
      <c r="AQ925" s="67"/>
      <c r="AR925" s="67"/>
      <c r="AS925" s="67"/>
      <c r="AT925" s="67"/>
      <c r="AU925" s="67"/>
      <c r="AW925" s="68"/>
      <c r="AX925" s="68"/>
      <c r="AY925" s="68"/>
      <c r="AZ925" s="68"/>
      <c r="BA925" s="68"/>
      <c r="BB925" s="68"/>
    </row>
    <row r="926" spans="1:54" ht="13.5" thickBot="1">
      <c r="A926" s="103">
        <v>40003</v>
      </c>
      <c r="B926" s="104">
        <v>3.5859999656677246</v>
      </c>
      <c r="C926" s="105">
        <v>882.67999267578125</v>
      </c>
      <c r="D926" s="104">
        <v>1.6360000371932983</v>
      </c>
      <c r="E926">
        <v>93.040566689169879</v>
      </c>
      <c r="F926">
        <v>912.05743408203125</v>
      </c>
      <c r="G926" s="14"/>
      <c r="H926" s="34"/>
      <c r="I926" s="34"/>
      <c r="J926" s="34"/>
      <c r="K926" s="34"/>
      <c r="L926" s="34"/>
      <c r="N926" s="34"/>
      <c r="O926" s="35"/>
      <c r="P926" s="35"/>
      <c r="Q926" s="35"/>
      <c r="R926" s="35"/>
      <c r="S926" s="74"/>
      <c r="AJ926" s="34"/>
      <c r="AK926" s="34"/>
      <c r="AL926" s="34"/>
      <c r="AM926" s="34"/>
      <c r="AN926" s="34"/>
      <c r="AQ926" s="67"/>
      <c r="AR926" s="67"/>
      <c r="AS926" s="67"/>
      <c r="AT926" s="67"/>
      <c r="AU926" s="67"/>
      <c r="AW926" s="68"/>
      <c r="AX926" s="68"/>
      <c r="AY926" s="68"/>
      <c r="AZ926" s="68"/>
      <c r="BA926" s="68"/>
      <c r="BB926" s="68"/>
    </row>
    <row r="927" spans="1:54" ht="13.5" thickBot="1">
      <c r="A927" s="103">
        <v>40004</v>
      </c>
      <c r="B927" s="104">
        <v>3.4684998989105225</v>
      </c>
      <c r="C927" s="105">
        <v>879.1300048828125</v>
      </c>
      <c r="D927" s="104">
        <v>1.6190999746322632</v>
      </c>
      <c r="E927">
        <v>92.336103050541496</v>
      </c>
      <c r="F927">
        <v>910.5574951171875</v>
      </c>
      <c r="G927" s="14"/>
      <c r="H927" s="34"/>
      <c r="I927" s="34"/>
      <c r="J927" s="34"/>
      <c r="K927" s="34"/>
      <c r="L927" s="34"/>
      <c r="N927" s="34"/>
      <c r="O927" s="35"/>
      <c r="P927" s="35"/>
      <c r="Q927" s="35"/>
      <c r="R927" s="35"/>
      <c r="S927" s="74"/>
      <c r="AJ927" s="34"/>
      <c r="AK927" s="34"/>
      <c r="AL927" s="34"/>
      <c r="AM927" s="34"/>
      <c r="AN927" s="34"/>
      <c r="AQ927" s="67"/>
      <c r="AR927" s="67"/>
      <c r="AS927" s="67"/>
      <c r="AT927" s="67"/>
      <c r="AU927" s="67"/>
      <c r="AW927" s="68"/>
      <c r="AX927" s="68"/>
      <c r="AY927" s="68"/>
      <c r="AZ927" s="68"/>
      <c r="BA927" s="68"/>
      <c r="BB927" s="68"/>
    </row>
    <row r="928" spans="1:54" ht="13.5" thickBot="1">
      <c r="A928" s="103">
        <v>40007</v>
      </c>
      <c r="B928" s="104">
        <v>3.5415000915527344</v>
      </c>
      <c r="C928" s="105">
        <v>901.04998779296875</v>
      </c>
      <c r="D928" s="104">
        <v>1.6205999851226807</v>
      </c>
      <c r="E928">
        <v>92.876383295600078</v>
      </c>
      <c r="F928">
        <v>914.27764892578125</v>
      </c>
      <c r="G928" s="14"/>
      <c r="H928" s="34"/>
      <c r="I928" s="34"/>
      <c r="J928" s="34"/>
      <c r="K928" s="34"/>
      <c r="L928" s="34"/>
      <c r="N928" s="34"/>
      <c r="O928" s="35"/>
      <c r="P928" s="35"/>
      <c r="Q928" s="35"/>
      <c r="R928" s="35"/>
      <c r="S928" s="74"/>
      <c r="AJ928" s="34"/>
      <c r="AK928" s="34"/>
      <c r="AL928" s="34"/>
      <c r="AM928" s="34"/>
      <c r="AN928" s="34"/>
      <c r="AQ928" s="67"/>
      <c r="AR928" s="67"/>
      <c r="AS928" s="67"/>
      <c r="AT928" s="67"/>
      <c r="AU928" s="67"/>
      <c r="AW928" s="68"/>
      <c r="AX928" s="68"/>
      <c r="AY928" s="68"/>
      <c r="AZ928" s="68"/>
      <c r="BA928" s="68"/>
      <c r="BB928" s="68"/>
    </row>
    <row r="929" spans="1:54" ht="13.5" thickBot="1">
      <c r="A929" s="103">
        <v>40008</v>
      </c>
      <c r="B929" s="104">
        <v>3.6649999618530273</v>
      </c>
      <c r="C929" s="105">
        <v>905.84002685546875</v>
      </c>
      <c r="D929" s="104">
        <v>1.6277999877929687</v>
      </c>
      <c r="E929">
        <v>93.318405519381386</v>
      </c>
      <c r="F929">
        <v>926.27734375</v>
      </c>
      <c r="G929" s="14"/>
      <c r="H929" s="34"/>
      <c r="I929" s="34"/>
      <c r="J929" s="34"/>
      <c r="K929" s="34"/>
      <c r="L929" s="34"/>
      <c r="N929" s="34"/>
      <c r="O929" s="35"/>
      <c r="P929" s="35"/>
      <c r="Q929" s="35"/>
      <c r="R929" s="35"/>
      <c r="S929" s="74"/>
      <c r="AJ929" s="34"/>
      <c r="AK929" s="34"/>
      <c r="AL929" s="34"/>
      <c r="AM929" s="34"/>
      <c r="AN929" s="34"/>
      <c r="AQ929" s="67"/>
      <c r="AR929" s="67"/>
      <c r="AS929" s="67"/>
      <c r="AT929" s="67"/>
      <c r="AU929" s="67"/>
      <c r="AW929" s="68"/>
      <c r="AX929" s="68"/>
      <c r="AY929" s="68"/>
      <c r="AZ929" s="68"/>
      <c r="BA929" s="68"/>
      <c r="BB929" s="68"/>
    </row>
    <row r="930" spans="1:54" ht="13.5" thickBot="1">
      <c r="A930" s="103">
        <v>40009</v>
      </c>
      <c r="B930" s="104">
        <v>3.8410000801086426</v>
      </c>
      <c r="C930" s="105">
        <v>932.67999267578125</v>
      </c>
      <c r="D930" s="104">
        <v>1.6426000595092773</v>
      </c>
      <c r="E930">
        <v>94.401964736344624</v>
      </c>
      <c r="F930">
        <v>939.27703857421875</v>
      </c>
      <c r="G930" s="14"/>
      <c r="H930" s="34"/>
      <c r="I930" s="34"/>
      <c r="J930" s="34"/>
      <c r="K930" s="34"/>
      <c r="L930" s="34"/>
      <c r="N930" s="34"/>
      <c r="O930" s="35"/>
      <c r="P930" s="35"/>
      <c r="Q930" s="35"/>
      <c r="R930" s="35"/>
      <c r="S930" s="74"/>
      <c r="AJ930" s="34"/>
      <c r="AK930" s="34"/>
      <c r="AL930" s="34"/>
      <c r="AM930" s="34"/>
      <c r="AN930" s="34"/>
      <c r="AQ930" s="67"/>
      <c r="AR930" s="67"/>
      <c r="AS930" s="67"/>
      <c r="AT930" s="67"/>
      <c r="AU930" s="67"/>
      <c r="AW930" s="68"/>
      <c r="AX930" s="68"/>
      <c r="AY930" s="68"/>
      <c r="AZ930" s="68"/>
      <c r="BA930" s="68"/>
      <c r="BB930" s="68"/>
    </row>
    <row r="931" spans="1:54" ht="13.5" thickBot="1">
      <c r="A931" s="103">
        <v>40010</v>
      </c>
      <c r="B931" s="104">
        <v>3.7774999141693115</v>
      </c>
      <c r="C931" s="105">
        <v>940.739990234375</v>
      </c>
      <c r="D931" s="104">
        <v>1.6450999975204468</v>
      </c>
      <c r="E931">
        <v>93.755862154475906</v>
      </c>
      <c r="F931">
        <v>936.25421142578125</v>
      </c>
      <c r="G931" s="14"/>
      <c r="H931" s="34"/>
      <c r="I931" s="34"/>
      <c r="J931" s="34"/>
      <c r="K931" s="34"/>
      <c r="L931" s="34"/>
      <c r="N931" s="34"/>
      <c r="O931" s="35"/>
      <c r="P931" s="35"/>
      <c r="Q931" s="35"/>
      <c r="R931" s="35"/>
      <c r="S931" s="74"/>
      <c r="AJ931" s="34"/>
      <c r="AK931" s="34"/>
      <c r="AL931" s="34"/>
      <c r="AM931" s="34"/>
      <c r="AN931" s="34"/>
      <c r="AQ931" s="67"/>
      <c r="AR931" s="67"/>
      <c r="AS931" s="67"/>
      <c r="AT931" s="67"/>
      <c r="AU931" s="67"/>
      <c r="AW931" s="68"/>
      <c r="AX931" s="68"/>
      <c r="AY931" s="68"/>
      <c r="AZ931" s="68"/>
      <c r="BA931" s="68"/>
      <c r="BB931" s="68"/>
    </row>
    <row r="932" spans="1:54" ht="13.5" thickBot="1">
      <c r="A932" s="103">
        <v>40011</v>
      </c>
      <c r="B932" s="104">
        <v>3.8884999752044678</v>
      </c>
      <c r="C932" s="105">
        <v>940.3800048828125</v>
      </c>
      <c r="D932" s="104">
        <v>1.6380000114440918</v>
      </c>
      <c r="E932">
        <v>94.259591002874373</v>
      </c>
      <c r="F932">
        <v>938.25726318359375</v>
      </c>
      <c r="G932" s="14"/>
      <c r="H932" s="34"/>
      <c r="I932" s="34"/>
      <c r="J932" s="34"/>
      <c r="K932" s="34"/>
      <c r="L932" s="34"/>
      <c r="N932" s="34"/>
      <c r="O932" s="35"/>
      <c r="P932" s="35"/>
      <c r="Q932" s="35"/>
      <c r="R932" s="35"/>
      <c r="S932" s="74"/>
      <c r="AJ932" s="34"/>
      <c r="AK932" s="34"/>
      <c r="AL932" s="34"/>
      <c r="AM932" s="34"/>
      <c r="AN932" s="34"/>
      <c r="AQ932" s="67"/>
      <c r="AR932" s="67"/>
      <c r="AS932" s="67"/>
      <c r="AT932" s="67"/>
      <c r="AU932" s="67"/>
      <c r="AW932" s="68"/>
      <c r="AX932" s="68"/>
      <c r="AY932" s="68"/>
      <c r="AZ932" s="68"/>
      <c r="BA932" s="68"/>
      <c r="BB932" s="68"/>
    </row>
    <row r="933" spans="1:54" ht="13.5" thickBot="1">
      <c r="A933" s="103">
        <v>40014</v>
      </c>
      <c r="B933" s="104">
        <v>3.8185000419616699</v>
      </c>
      <c r="C933" s="105">
        <v>951.1300048828125</v>
      </c>
      <c r="D933" s="104">
        <v>1.6533999443054199</v>
      </c>
      <c r="E933">
        <v>94.224064645176895</v>
      </c>
      <c r="F933">
        <v>951.27728271484375</v>
      </c>
      <c r="G933" s="14"/>
      <c r="H933" s="34"/>
      <c r="I933" s="34"/>
      <c r="J933" s="34"/>
      <c r="K933" s="34"/>
      <c r="L933" s="34"/>
      <c r="N933" s="34"/>
      <c r="O933" s="35"/>
      <c r="P933" s="35"/>
      <c r="Q933" s="35"/>
      <c r="R933" s="35"/>
      <c r="S933" s="74"/>
      <c r="AJ933" s="34"/>
      <c r="AK933" s="34"/>
      <c r="AL933" s="34"/>
      <c r="AM933" s="34"/>
      <c r="AN933" s="34"/>
      <c r="AQ933" s="67"/>
      <c r="AR933" s="67"/>
      <c r="AS933" s="67"/>
      <c r="AT933" s="67"/>
      <c r="AU933" s="67"/>
      <c r="AW933" s="68"/>
      <c r="AX933" s="68"/>
      <c r="AY933" s="68"/>
      <c r="AZ933" s="68"/>
      <c r="BA933" s="68"/>
      <c r="BB933" s="68"/>
    </row>
    <row r="934" spans="1:54" ht="13.5" thickBot="1">
      <c r="A934" s="103">
        <v>40015</v>
      </c>
      <c r="B934" s="104">
        <v>3.6779999732971191</v>
      </c>
      <c r="C934" s="105">
        <v>954.58001708984375</v>
      </c>
      <c r="D934" s="104">
        <v>1.6433999538421631</v>
      </c>
      <c r="E934">
        <v>93.624195937511658</v>
      </c>
      <c r="F934">
        <v>947.273681640625</v>
      </c>
      <c r="G934" s="14"/>
      <c r="H934" s="34"/>
      <c r="I934" s="34"/>
      <c r="J934" s="34"/>
      <c r="K934" s="34"/>
      <c r="L934" s="34"/>
      <c r="N934" s="34"/>
      <c r="O934" s="35"/>
      <c r="P934" s="35"/>
      <c r="Q934" s="35"/>
      <c r="R934" s="35"/>
      <c r="S934" s="74"/>
      <c r="AJ934" s="34"/>
      <c r="AK934" s="34"/>
      <c r="AL934" s="34"/>
      <c r="AM934" s="34"/>
      <c r="AN934" s="34"/>
      <c r="AQ934" s="67"/>
      <c r="AR934" s="67"/>
      <c r="AS934" s="67"/>
      <c r="AT934" s="67"/>
      <c r="AU934" s="67"/>
      <c r="AW934" s="68"/>
      <c r="AX934" s="68"/>
      <c r="AY934" s="68"/>
      <c r="AZ934" s="68"/>
      <c r="BA934" s="68"/>
      <c r="BB934" s="68"/>
    </row>
    <row r="935" spans="1:54" ht="13.5" thickBot="1">
      <c r="A935" s="103">
        <v>40016</v>
      </c>
      <c r="B935" s="104">
        <v>3.7539999485015869</v>
      </c>
      <c r="C935" s="105">
        <v>954.07000732421875</v>
      </c>
      <c r="D935" s="104">
        <v>1.6461000442504883</v>
      </c>
      <c r="E935">
        <v>93.580386621759359</v>
      </c>
      <c r="F935">
        <v>952.2735595703125</v>
      </c>
      <c r="G935" s="14"/>
      <c r="H935" s="34"/>
      <c r="I935" s="34"/>
      <c r="J935" s="34"/>
      <c r="K935" s="34"/>
      <c r="L935" s="34"/>
      <c r="N935" s="34"/>
      <c r="O935" s="35"/>
      <c r="P935" s="35"/>
      <c r="Q935" s="35"/>
      <c r="R935" s="35"/>
      <c r="S935" s="74"/>
      <c r="AJ935" s="34"/>
      <c r="AK935" s="34"/>
      <c r="AL935" s="34"/>
      <c r="AM935" s="34"/>
      <c r="AN935" s="34"/>
      <c r="AQ935" s="67"/>
      <c r="AR935" s="67"/>
      <c r="AS935" s="67"/>
      <c r="AT935" s="67"/>
      <c r="AU935" s="67"/>
      <c r="AW935" s="68"/>
      <c r="AX935" s="68"/>
      <c r="AY935" s="68"/>
      <c r="AZ935" s="68"/>
      <c r="BA935" s="68"/>
      <c r="BB935" s="68"/>
    </row>
    <row r="936" spans="1:54" ht="13.5" thickBot="1">
      <c r="A936" s="103">
        <v>40017</v>
      </c>
      <c r="B936" s="104">
        <v>3.9470000267028809</v>
      </c>
      <c r="C936" s="105">
        <v>976.28997802734375</v>
      </c>
      <c r="D936" s="104">
        <v>1.6517000198364258</v>
      </c>
      <c r="E936">
        <v>95.156531049003831</v>
      </c>
      <c r="F936">
        <v>956.1468505859375</v>
      </c>
      <c r="G936" s="14"/>
      <c r="H936" s="34"/>
      <c r="I936" s="34"/>
      <c r="J936" s="34"/>
      <c r="K936" s="34"/>
      <c r="L936" s="34"/>
      <c r="N936" s="34"/>
      <c r="O936" s="35"/>
      <c r="P936" s="35"/>
      <c r="Q936" s="35"/>
      <c r="R936" s="35"/>
      <c r="S936" s="74"/>
      <c r="AJ936" s="34"/>
      <c r="AK936" s="34"/>
      <c r="AL936" s="34"/>
      <c r="AM936" s="34"/>
      <c r="AN936" s="34"/>
      <c r="AQ936" s="67"/>
      <c r="AR936" s="67"/>
      <c r="AS936" s="67"/>
      <c r="AT936" s="67"/>
      <c r="AU936" s="67"/>
      <c r="AW936" s="68"/>
      <c r="AX936" s="68"/>
      <c r="AY936" s="68"/>
      <c r="AZ936" s="68"/>
      <c r="BA936" s="68"/>
      <c r="BB936" s="68"/>
    </row>
    <row r="937" spans="1:54" ht="13.5" thickBot="1">
      <c r="A937" s="103">
        <v>40018</v>
      </c>
      <c r="B937" s="104">
        <v>3.8959999084472656</v>
      </c>
      <c r="C937" s="105">
        <v>979.260009765625</v>
      </c>
      <c r="D937" s="104">
        <v>1.6433999538421631</v>
      </c>
      <c r="E937">
        <v>94.741828118706351</v>
      </c>
      <c r="F937">
        <v>953.14703369140625</v>
      </c>
      <c r="G937" s="14"/>
      <c r="H937" s="34"/>
      <c r="I937" s="34"/>
      <c r="J937" s="34"/>
      <c r="K937" s="34"/>
      <c r="L937" s="34"/>
      <c r="N937" s="34"/>
      <c r="O937" s="35"/>
      <c r="P937" s="35"/>
      <c r="Q937" s="35"/>
      <c r="R937" s="35"/>
      <c r="S937" s="74"/>
      <c r="AJ937" s="34"/>
      <c r="AK937" s="34"/>
      <c r="AL937" s="34"/>
      <c r="AM937" s="34"/>
      <c r="AN937" s="34"/>
      <c r="AQ937" s="67"/>
      <c r="AR937" s="67"/>
      <c r="AS937" s="67"/>
      <c r="AT937" s="67"/>
      <c r="AU937" s="67"/>
      <c r="AW937" s="68"/>
      <c r="AX937" s="68"/>
      <c r="AY937" s="68"/>
      <c r="AZ937" s="68"/>
      <c r="BA937" s="68"/>
      <c r="BB937" s="68"/>
    </row>
    <row r="938" spans="1:54" ht="13.5" thickBot="1">
      <c r="A938" s="103">
        <v>40021</v>
      </c>
      <c r="B938" s="104">
        <v>3.9419999122619629</v>
      </c>
      <c r="C938" s="105">
        <v>982.17999267578125</v>
      </c>
      <c r="D938" s="104">
        <v>1.649899959564209</v>
      </c>
      <c r="E938">
        <v>95.238096522095546</v>
      </c>
      <c r="F938">
        <v>952.17352294921875</v>
      </c>
      <c r="G938" s="14"/>
      <c r="H938" s="34"/>
      <c r="I938" s="34"/>
      <c r="J938" s="34"/>
      <c r="K938" s="34"/>
      <c r="L938" s="34"/>
      <c r="N938" s="34"/>
      <c r="O938" s="35"/>
      <c r="P938" s="35"/>
      <c r="Q938" s="35"/>
      <c r="R938" s="35"/>
      <c r="S938" s="74"/>
      <c r="AJ938" s="34"/>
      <c r="AK938" s="34"/>
      <c r="AL938" s="34"/>
      <c r="AM938" s="34"/>
      <c r="AN938" s="34"/>
      <c r="AQ938" s="67"/>
      <c r="AR938" s="67"/>
      <c r="AS938" s="67"/>
      <c r="AT938" s="67"/>
      <c r="AU938" s="67"/>
      <c r="AW938" s="68"/>
      <c r="AX938" s="68"/>
      <c r="AY938" s="68"/>
      <c r="AZ938" s="68"/>
      <c r="BA938" s="68"/>
      <c r="BB938" s="68"/>
    </row>
    <row r="939" spans="1:54" ht="13.5" thickBot="1">
      <c r="A939" s="103">
        <v>40022</v>
      </c>
      <c r="B939" s="104">
        <v>3.9130001068115234</v>
      </c>
      <c r="C939" s="105">
        <v>979.6199951171875</v>
      </c>
      <c r="D939" s="104">
        <v>1.6431000232696533</v>
      </c>
      <c r="E939">
        <v>94.482241207101112</v>
      </c>
      <c r="F939">
        <v>937.6739501953125</v>
      </c>
      <c r="G939" s="14"/>
      <c r="H939" s="34"/>
      <c r="I939" s="34"/>
      <c r="J939" s="34"/>
      <c r="K939" s="34"/>
      <c r="L939" s="34"/>
      <c r="N939" s="34"/>
      <c r="O939" s="35"/>
      <c r="P939" s="35"/>
      <c r="Q939" s="35"/>
      <c r="R939" s="35"/>
      <c r="S939" s="74"/>
      <c r="AJ939" s="34"/>
      <c r="AK939" s="34"/>
      <c r="AL939" s="34"/>
      <c r="AM939" s="34"/>
      <c r="AN939" s="34"/>
      <c r="AQ939" s="67"/>
      <c r="AR939" s="67"/>
      <c r="AS939" s="67"/>
      <c r="AT939" s="67"/>
      <c r="AU939" s="67"/>
      <c r="AW939" s="68"/>
      <c r="AX939" s="68"/>
      <c r="AY939" s="68"/>
      <c r="AZ939" s="68"/>
      <c r="BA939" s="68"/>
      <c r="BB939" s="68"/>
    </row>
    <row r="940" spans="1:54" ht="13.5" thickBot="1">
      <c r="A940" s="103">
        <v>40023</v>
      </c>
      <c r="B940" s="104">
        <v>3.9035000801086426</v>
      </c>
      <c r="C940" s="105">
        <v>975.1500244140625</v>
      </c>
      <c r="D940" s="104">
        <v>1.6358000040054321</v>
      </c>
      <c r="E940">
        <v>95.00285377916488</v>
      </c>
      <c r="F940">
        <v>928.1741943359375</v>
      </c>
      <c r="G940" s="14"/>
      <c r="H940" s="34"/>
      <c r="I940" s="34"/>
      <c r="J940" s="34"/>
      <c r="K940" s="34"/>
      <c r="L940" s="34"/>
      <c r="N940" s="34"/>
      <c r="O940" s="35"/>
      <c r="P940" s="35"/>
      <c r="Q940" s="35"/>
      <c r="R940" s="35"/>
      <c r="S940" s="74"/>
      <c r="AJ940" s="34"/>
      <c r="AK940" s="34"/>
      <c r="AL940" s="34"/>
      <c r="AM940" s="34"/>
      <c r="AN940" s="34"/>
      <c r="AQ940" s="67"/>
      <c r="AR940" s="67"/>
      <c r="AS940" s="67"/>
      <c r="AT940" s="67"/>
      <c r="AU940" s="67"/>
      <c r="AW940" s="68"/>
      <c r="AX940" s="68"/>
      <c r="AY940" s="68"/>
      <c r="AZ940" s="68"/>
      <c r="BA940" s="68"/>
      <c r="BB940" s="68"/>
    </row>
    <row r="941" spans="1:54" ht="13.5" thickBot="1">
      <c r="A941" s="103">
        <v>40024</v>
      </c>
      <c r="B941" s="104">
        <v>3.8884999752044678</v>
      </c>
      <c r="C941" s="105">
        <v>986.75</v>
      </c>
      <c r="D941" s="104">
        <v>1.6490000486373901</v>
      </c>
      <c r="E941">
        <v>95.620577509049625</v>
      </c>
      <c r="F941">
        <v>934.748046875</v>
      </c>
      <c r="G941" s="14"/>
      <c r="H941" s="34"/>
      <c r="I941" s="34"/>
      <c r="J941" s="34"/>
      <c r="K941" s="34"/>
      <c r="L941" s="34"/>
      <c r="N941" s="34"/>
      <c r="O941" s="35"/>
      <c r="P941" s="35"/>
      <c r="Q941" s="35"/>
      <c r="R941" s="35"/>
      <c r="S941" s="74"/>
      <c r="AJ941" s="34"/>
      <c r="AK941" s="34"/>
      <c r="AL941" s="34"/>
      <c r="AM941" s="34"/>
      <c r="AN941" s="34"/>
      <c r="AQ941" s="67"/>
      <c r="AR941" s="67"/>
      <c r="AS941" s="67"/>
      <c r="AT941" s="67"/>
      <c r="AU941" s="67"/>
      <c r="AW941" s="68"/>
      <c r="AX941" s="68"/>
      <c r="AY941" s="68"/>
      <c r="AZ941" s="68"/>
      <c r="BA941" s="68"/>
      <c r="BB941" s="68"/>
    </row>
    <row r="942" spans="1:54" ht="13.5" thickBot="1">
      <c r="A942" s="103">
        <v>40025</v>
      </c>
      <c r="B942" s="104">
        <v>3.7374999523162842</v>
      </c>
      <c r="C942" s="105">
        <v>987.47998046875</v>
      </c>
      <c r="D942" s="104">
        <v>1.6691999435424805</v>
      </c>
      <c r="E942">
        <v>94.750807141834144</v>
      </c>
      <c r="F942">
        <v>951.8460693359375</v>
      </c>
      <c r="G942" s="14"/>
      <c r="H942" s="34"/>
      <c r="I942" s="34"/>
      <c r="J942" s="34"/>
      <c r="K942" s="34"/>
      <c r="L942" s="34"/>
      <c r="N942" s="34"/>
      <c r="O942" s="35"/>
      <c r="P942" s="35"/>
      <c r="Q942" s="35"/>
      <c r="R942" s="35"/>
      <c r="S942" s="74"/>
      <c r="AJ942" s="34"/>
      <c r="AK942" s="34"/>
      <c r="AL942" s="34"/>
      <c r="AM942" s="34"/>
      <c r="AN942" s="34"/>
      <c r="AQ942" s="67"/>
      <c r="AR942" s="67"/>
      <c r="AS942" s="67"/>
      <c r="AT942" s="67"/>
      <c r="AU942" s="67"/>
      <c r="AW942" s="68"/>
      <c r="AX942" s="68"/>
      <c r="AY942" s="68"/>
      <c r="AZ942" s="68"/>
      <c r="BA942" s="68"/>
      <c r="BB942" s="68"/>
    </row>
    <row r="943" spans="1:54" ht="13.5" thickBot="1">
      <c r="A943" s="103">
        <v>40028</v>
      </c>
      <c r="B943" s="104">
        <v>3.8989999294281006</v>
      </c>
      <c r="C943" s="105">
        <v>1002.6300048828125</v>
      </c>
      <c r="D943" s="104">
        <v>1.6921999454498291</v>
      </c>
      <c r="E943">
        <v>95.319801946358623</v>
      </c>
      <c r="F943">
        <v>959.872802734375</v>
      </c>
      <c r="G943" s="14"/>
      <c r="H943" s="34"/>
      <c r="I943" s="34"/>
      <c r="J943" s="34"/>
      <c r="K943" s="34"/>
      <c r="L943" s="34"/>
      <c r="N943" s="34"/>
      <c r="O943" s="35"/>
      <c r="P943" s="35"/>
      <c r="Q943" s="35"/>
      <c r="R943" s="35"/>
      <c r="S943" s="74"/>
      <c r="AJ943" s="34"/>
      <c r="AK943" s="34"/>
      <c r="AL943" s="34"/>
      <c r="AM943" s="34"/>
      <c r="AN943" s="34"/>
      <c r="AQ943" s="67"/>
      <c r="AR943" s="67"/>
      <c r="AS943" s="67"/>
      <c r="AT943" s="67"/>
      <c r="AU943" s="67"/>
      <c r="AW943" s="68"/>
      <c r="AX943" s="68"/>
      <c r="AY943" s="68"/>
      <c r="AZ943" s="68"/>
      <c r="BA943" s="68"/>
      <c r="BB943" s="68"/>
    </row>
    <row r="944" spans="1:54" ht="13.5" thickBot="1">
      <c r="A944" s="103">
        <v>40029</v>
      </c>
      <c r="B944" s="104">
        <v>3.9244999885559082</v>
      </c>
      <c r="C944" s="105">
        <v>1005.6500244140625</v>
      </c>
      <c r="D944" s="104">
        <v>1.6917999982833862</v>
      </c>
      <c r="E944">
        <v>95.238096522095546</v>
      </c>
      <c r="F944">
        <v>963.3726806640625</v>
      </c>
      <c r="G944" s="14"/>
      <c r="H944" s="34"/>
      <c r="I944" s="34"/>
      <c r="J944" s="34"/>
      <c r="K944" s="34"/>
      <c r="L944" s="34"/>
      <c r="N944" s="34"/>
      <c r="O944" s="35"/>
      <c r="P944" s="35"/>
      <c r="Q944" s="35"/>
      <c r="R944" s="35"/>
      <c r="S944" s="74"/>
      <c r="AJ944" s="34"/>
      <c r="AK944" s="34"/>
      <c r="AL944" s="34"/>
      <c r="AM944" s="34"/>
      <c r="AN944" s="34"/>
      <c r="AQ944" s="67"/>
      <c r="AR944" s="67"/>
      <c r="AS944" s="67"/>
      <c r="AT944" s="67"/>
      <c r="AU944" s="67"/>
      <c r="AW944" s="68"/>
      <c r="AX944" s="68"/>
      <c r="AY944" s="68"/>
      <c r="AZ944" s="68"/>
      <c r="BA944" s="68"/>
      <c r="BB944" s="68"/>
    </row>
    <row r="945" spans="1:54" ht="13.5" thickBot="1">
      <c r="A945" s="103">
        <v>40030</v>
      </c>
      <c r="B945" s="104">
        <v>4.0219998359680176</v>
      </c>
      <c r="C945" s="105">
        <v>1002.719970703125</v>
      </c>
      <c r="D945" s="104">
        <v>1.7017999887466431</v>
      </c>
      <c r="E945">
        <v>94.975778360624645</v>
      </c>
      <c r="F945">
        <v>962.87164306640625</v>
      </c>
      <c r="G945" s="14"/>
      <c r="H945" s="34"/>
      <c r="I945" s="34"/>
      <c r="J945" s="34"/>
      <c r="K945" s="34"/>
      <c r="L945" s="34"/>
      <c r="N945" s="34"/>
      <c r="O945" s="35"/>
      <c r="P945" s="35"/>
      <c r="Q945" s="35"/>
      <c r="R945" s="35"/>
      <c r="S945" s="74"/>
      <c r="AJ945" s="34"/>
      <c r="AK945" s="34"/>
      <c r="AL945" s="34"/>
      <c r="AM945" s="34"/>
      <c r="AN945" s="34"/>
      <c r="AQ945" s="67"/>
      <c r="AR945" s="67"/>
      <c r="AS945" s="67"/>
      <c r="AT945" s="67"/>
      <c r="AU945" s="67"/>
      <c r="AW945" s="68"/>
      <c r="AX945" s="68"/>
      <c r="AY945" s="68"/>
      <c r="AZ945" s="68"/>
      <c r="BA945" s="68"/>
      <c r="BB945" s="68"/>
    </row>
    <row r="946" spans="1:54" ht="13.5" thickBot="1">
      <c r="A946" s="103">
        <v>40031</v>
      </c>
      <c r="B946" s="104">
        <v>4.0384998321533203</v>
      </c>
      <c r="C946" s="105">
        <v>997.08001708984375</v>
      </c>
      <c r="D946" s="104">
        <v>1.6776000261306763</v>
      </c>
      <c r="E946">
        <v>95.456283978361952</v>
      </c>
      <c r="F946">
        <v>962.84649658203125</v>
      </c>
      <c r="G946" s="14"/>
      <c r="H946" s="34"/>
      <c r="I946" s="34"/>
      <c r="J946" s="34"/>
      <c r="K946" s="34"/>
      <c r="L946" s="34"/>
      <c r="N946" s="34"/>
      <c r="O946" s="35"/>
      <c r="P946" s="35"/>
      <c r="Q946" s="35"/>
      <c r="R946" s="35"/>
      <c r="S946" s="74"/>
      <c r="AJ946" s="34"/>
      <c r="AK946" s="34"/>
      <c r="AL946" s="34"/>
      <c r="AM946" s="34"/>
      <c r="AN946" s="34"/>
      <c r="AQ946" s="67"/>
      <c r="AR946" s="67"/>
      <c r="AS946" s="67"/>
      <c r="AT946" s="67"/>
      <c r="AU946" s="67"/>
      <c r="AW946" s="68"/>
      <c r="AX946" s="68"/>
      <c r="AY946" s="68"/>
      <c r="AZ946" s="68"/>
      <c r="BA946" s="68"/>
      <c r="BB946" s="68"/>
    </row>
    <row r="947" spans="1:54" ht="13.5" thickBot="1">
      <c r="A947" s="103">
        <v>40032</v>
      </c>
      <c r="B947" s="104">
        <v>4.1944999694824219</v>
      </c>
      <c r="C947" s="105">
        <v>1010.47998046875</v>
      </c>
      <c r="D947" s="104">
        <v>1.6668000221252441</v>
      </c>
      <c r="E947">
        <v>97.59906064222352</v>
      </c>
      <c r="F947">
        <v>957.3468017578125</v>
      </c>
      <c r="G947" s="14"/>
      <c r="H947" s="34"/>
      <c r="I947" s="34"/>
      <c r="J947" s="34"/>
      <c r="K947" s="34"/>
      <c r="L947" s="34"/>
      <c r="N947" s="34"/>
      <c r="O947" s="35"/>
      <c r="P947" s="35"/>
      <c r="Q947" s="35"/>
      <c r="R947" s="35"/>
      <c r="S947" s="74"/>
      <c r="AJ947" s="34"/>
      <c r="AK947" s="34"/>
      <c r="AL947" s="34"/>
      <c r="AM947" s="34"/>
      <c r="AN947" s="34"/>
      <c r="AQ947" s="67"/>
      <c r="AR947" s="67"/>
      <c r="AS947" s="67"/>
      <c r="AT947" s="67"/>
      <c r="AU947" s="67"/>
      <c r="AW947" s="68"/>
      <c r="AX947" s="68"/>
      <c r="AY947" s="68"/>
      <c r="AZ947" s="68"/>
      <c r="BA947" s="68"/>
      <c r="BB947" s="68"/>
    </row>
    <row r="948" spans="1:54" ht="13.5" thickBot="1">
      <c r="A948" s="103">
        <v>40035</v>
      </c>
      <c r="B948" s="104">
        <v>4.0789999961853027</v>
      </c>
      <c r="C948" s="105">
        <v>1007.0999755859375</v>
      </c>
      <c r="D948" s="104">
        <v>1.646399974822998</v>
      </c>
      <c r="E948">
        <v>97.040276065532936</v>
      </c>
      <c r="F948">
        <v>947.87420654296875</v>
      </c>
      <c r="G948" s="14"/>
      <c r="H948" s="34"/>
      <c r="I948" s="34"/>
      <c r="J948" s="34"/>
      <c r="K948" s="34"/>
      <c r="L948" s="34"/>
      <c r="N948" s="34"/>
      <c r="O948" s="35"/>
      <c r="P948" s="35"/>
      <c r="Q948" s="35"/>
      <c r="R948" s="35"/>
      <c r="S948" s="74"/>
      <c r="AJ948" s="34"/>
      <c r="AK948" s="34"/>
      <c r="AL948" s="34"/>
      <c r="AM948" s="34"/>
      <c r="AN948" s="34"/>
      <c r="AQ948" s="67"/>
      <c r="AR948" s="67"/>
      <c r="AS948" s="67"/>
      <c r="AT948" s="67"/>
      <c r="AU948" s="67"/>
      <c r="AW948" s="68"/>
      <c r="AX948" s="68"/>
      <c r="AY948" s="68"/>
      <c r="AZ948" s="68"/>
      <c r="BA948" s="68"/>
      <c r="BB948" s="68"/>
    </row>
    <row r="949" spans="1:54" ht="13.5" thickBot="1">
      <c r="A949" s="103">
        <v>40036</v>
      </c>
      <c r="B949" s="104">
        <v>3.9755001068115234</v>
      </c>
      <c r="C949" s="105">
        <v>994.3499755859375</v>
      </c>
      <c r="D949" s="104">
        <v>1.6475000381469727</v>
      </c>
      <c r="E949">
        <v>96.04302617220344</v>
      </c>
      <c r="F949">
        <v>943.87432861328125</v>
      </c>
      <c r="G949" s="14"/>
      <c r="H949" s="34"/>
      <c r="I949" s="34"/>
      <c r="J949" s="34"/>
      <c r="K949" s="34"/>
      <c r="L949" s="34"/>
      <c r="N949" s="34"/>
      <c r="O949" s="35"/>
      <c r="P949" s="35"/>
      <c r="Q949" s="35"/>
      <c r="R949" s="35"/>
      <c r="S949" s="74"/>
      <c r="AJ949" s="34"/>
      <c r="AK949" s="34"/>
      <c r="AL949" s="34"/>
      <c r="AM949" s="34"/>
      <c r="AN949" s="34"/>
      <c r="AQ949" s="67"/>
      <c r="AR949" s="67"/>
      <c r="AS949" s="67"/>
      <c r="AT949" s="67"/>
      <c r="AU949" s="67"/>
      <c r="AW949" s="68"/>
      <c r="AX949" s="68"/>
      <c r="AY949" s="68"/>
      <c r="AZ949" s="68"/>
      <c r="BA949" s="68"/>
      <c r="BB949" s="68"/>
    </row>
    <row r="950" spans="1:54" ht="13.5" thickBot="1">
      <c r="A950" s="103">
        <v>40037</v>
      </c>
      <c r="B950" s="104">
        <v>3.9505000114440918</v>
      </c>
      <c r="C950" s="105">
        <v>1005.8099975585937</v>
      </c>
      <c r="D950" s="104">
        <v>1.6512000560760498</v>
      </c>
      <c r="E950">
        <v>96.200098445143709</v>
      </c>
      <c r="F950">
        <v>948.07421875</v>
      </c>
      <c r="G950" s="14"/>
      <c r="H950" s="34"/>
      <c r="I950" s="34"/>
      <c r="J950" s="34"/>
      <c r="K950" s="34"/>
      <c r="L950" s="34"/>
      <c r="N950" s="34"/>
      <c r="O950" s="35"/>
      <c r="P950" s="35"/>
      <c r="Q950" s="35"/>
      <c r="R950" s="35"/>
      <c r="S950" s="74"/>
      <c r="AJ950" s="34"/>
      <c r="AK950" s="34"/>
      <c r="AL950" s="34"/>
      <c r="AM950" s="34"/>
      <c r="AN950" s="34"/>
      <c r="AQ950" s="67"/>
      <c r="AR950" s="67"/>
      <c r="AS950" s="67"/>
      <c r="AT950" s="67"/>
      <c r="AU950" s="67"/>
      <c r="AW950" s="68"/>
      <c r="AX950" s="68"/>
      <c r="AY950" s="68"/>
      <c r="AZ950" s="68"/>
      <c r="BA950" s="68"/>
      <c r="BB950" s="68"/>
    </row>
    <row r="951" spans="1:54" ht="13.5" thickBot="1">
      <c r="A951" s="103">
        <v>40038</v>
      </c>
      <c r="B951" s="104">
        <v>3.8090000152587891</v>
      </c>
      <c r="C951" s="105">
        <v>1012.72998046875</v>
      </c>
      <c r="D951" s="104">
        <v>1.6555999517440796</v>
      </c>
      <c r="E951">
        <v>95.120325492494501</v>
      </c>
      <c r="F951">
        <v>956.0479736328125</v>
      </c>
      <c r="G951" s="14"/>
      <c r="H951" s="34"/>
      <c r="I951" s="34"/>
      <c r="J951" s="34"/>
      <c r="K951" s="34"/>
      <c r="L951" s="34"/>
      <c r="N951" s="34"/>
      <c r="O951" s="35"/>
      <c r="P951" s="35"/>
      <c r="Q951" s="35"/>
      <c r="R951" s="35"/>
      <c r="S951" s="74"/>
      <c r="AJ951" s="34"/>
      <c r="AK951" s="34"/>
      <c r="AL951" s="34"/>
      <c r="AM951" s="34"/>
      <c r="AN951" s="34"/>
      <c r="AQ951" s="67"/>
      <c r="AR951" s="67"/>
      <c r="AS951" s="67"/>
      <c r="AT951" s="67"/>
      <c r="AU951" s="67"/>
      <c r="AW951" s="68"/>
      <c r="AX951" s="68"/>
      <c r="AY951" s="68"/>
      <c r="AZ951" s="68"/>
      <c r="BA951" s="68"/>
      <c r="BB951" s="68"/>
    </row>
    <row r="952" spans="1:54" ht="13.5" thickBot="1">
      <c r="A952" s="103">
        <v>40039</v>
      </c>
      <c r="B952" s="104">
        <v>3.7734999656677246</v>
      </c>
      <c r="C952" s="105">
        <v>1004.0900268554687</v>
      </c>
      <c r="D952" s="104">
        <v>1.6505999565124512</v>
      </c>
      <c r="E952">
        <v>94.876658874129987</v>
      </c>
      <c r="F952">
        <v>946.448486328125</v>
      </c>
      <c r="G952" s="14"/>
      <c r="H952" s="34"/>
      <c r="I952" s="34"/>
      <c r="J952" s="34"/>
      <c r="K952" s="34"/>
      <c r="L952" s="34"/>
      <c r="N952" s="34"/>
      <c r="O952" s="35"/>
      <c r="P952" s="35"/>
      <c r="Q952" s="35"/>
      <c r="R952" s="35"/>
      <c r="S952" s="74"/>
      <c r="AJ952" s="34"/>
      <c r="AK952" s="34"/>
      <c r="AL952" s="34"/>
      <c r="AM952" s="34"/>
      <c r="AN952" s="34"/>
      <c r="AQ952" s="67"/>
      <c r="AR952" s="67"/>
      <c r="AS952" s="67"/>
      <c r="AT952" s="67"/>
      <c r="AU952" s="67"/>
      <c r="AW952" s="68"/>
      <c r="AX952" s="68"/>
      <c r="AY952" s="68"/>
      <c r="AZ952" s="68"/>
      <c r="BA952" s="68"/>
      <c r="BB952" s="68"/>
    </row>
    <row r="953" spans="1:54" ht="13.5" thickBot="1">
      <c r="A953" s="103">
        <v>40042</v>
      </c>
      <c r="B953" s="104">
        <v>3.7039999961853027</v>
      </c>
      <c r="C953" s="105">
        <v>979.72998046875</v>
      </c>
      <c r="D953" s="104">
        <v>1.6339999437332153</v>
      </c>
      <c r="E953">
        <v>94.482241207101112</v>
      </c>
      <c r="F953">
        <v>934.424560546875</v>
      </c>
      <c r="G953" s="14"/>
      <c r="H953" s="34"/>
      <c r="I953" s="34"/>
      <c r="J953" s="34"/>
      <c r="K953" s="34"/>
      <c r="L953" s="34"/>
      <c r="N953" s="34"/>
      <c r="O953" s="35"/>
      <c r="P953" s="35"/>
      <c r="Q953" s="35"/>
      <c r="R953" s="35"/>
      <c r="S953" s="74"/>
      <c r="AJ953" s="34"/>
      <c r="AK953" s="34"/>
      <c r="AL953" s="34"/>
      <c r="AM953" s="34"/>
      <c r="AN953" s="34"/>
      <c r="AQ953" s="67"/>
      <c r="AR953" s="67"/>
      <c r="AS953" s="67"/>
      <c r="AT953" s="67"/>
      <c r="AU953" s="67"/>
      <c r="AW953" s="68"/>
      <c r="AX953" s="68"/>
      <c r="AY953" s="68"/>
      <c r="AZ953" s="68"/>
      <c r="BA953" s="68"/>
      <c r="BB953" s="68"/>
    </row>
    <row r="954" spans="1:54" ht="13.5" thickBot="1">
      <c r="A954" s="103">
        <v>40043</v>
      </c>
      <c r="B954" s="104">
        <v>3.7739999294281006</v>
      </c>
      <c r="C954" s="105">
        <v>989.66998291015625</v>
      </c>
      <c r="D954" s="104">
        <v>1.6571999788284302</v>
      </c>
      <c r="E954">
        <v>94.643196091794593</v>
      </c>
      <c r="F954">
        <v>938.4244384765625</v>
      </c>
      <c r="G954" s="14"/>
      <c r="H954" s="34"/>
      <c r="I954" s="34"/>
      <c r="J954" s="34"/>
      <c r="K954" s="34"/>
      <c r="L954" s="34"/>
      <c r="N954" s="34"/>
      <c r="O954" s="35"/>
      <c r="P954" s="35"/>
      <c r="Q954" s="35"/>
      <c r="R954" s="35"/>
      <c r="S954" s="74"/>
      <c r="AJ954" s="34"/>
      <c r="AK954" s="34"/>
      <c r="AL954" s="34"/>
      <c r="AM954" s="34"/>
      <c r="AN954" s="34"/>
      <c r="AQ954" s="67"/>
      <c r="AR954" s="67"/>
      <c r="AS954" s="67"/>
      <c r="AT954" s="67"/>
      <c r="AU954" s="67"/>
      <c r="AW954" s="68"/>
      <c r="AX954" s="68"/>
      <c r="AY954" s="68"/>
      <c r="AZ954" s="68"/>
      <c r="BA954" s="68"/>
      <c r="BB954" s="68"/>
    </row>
    <row r="955" spans="1:54" ht="13.5" thickBot="1">
      <c r="A955" s="103">
        <v>40044</v>
      </c>
      <c r="B955" s="104">
        <v>3.7155001163482666</v>
      </c>
      <c r="C955" s="105">
        <v>996.46002197265625</v>
      </c>
      <c r="D955" s="104">
        <v>1.6543999910354614</v>
      </c>
      <c r="E955">
        <v>93.976128000005602</v>
      </c>
      <c r="F955">
        <v>944.57427978515625</v>
      </c>
      <c r="G955" s="14"/>
      <c r="H955" s="34"/>
      <c r="I955" s="34"/>
      <c r="J955" s="34"/>
      <c r="K955" s="34"/>
      <c r="L955" s="34"/>
      <c r="N955" s="34"/>
      <c r="O955" s="35"/>
      <c r="P955" s="35"/>
      <c r="Q955" s="35"/>
      <c r="R955" s="35"/>
      <c r="S955" s="74"/>
      <c r="AJ955" s="34"/>
      <c r="AK955" s="34"/>
      <c r="AL955" s="34"/>
      <c r="AM955" s="34"/>
      <c r="AN955" s="34"/>
      <c r="AQ955" s="67"/>
      <c r="AR955" s="67"/>
      <c r="AS955" s="67"/>
      <c r="AT955" s="67"/>
      <c r="AU955" s="67"/>
      <c r="AW955" s="68"/>
      <c r="AX955" s="68"/>
      <c r="AY955" s="68"/>
      <c r="AZ955" s="68"/>
      <c r="BA955" s="68"/>
      <c r="BB955" s="68"/>
    </row>
    <row r="956" spans="1:54" ht="13.5" thickBot="1">
      <c r="A956" s="103">
        <v>40045</v>
      </c>
      <c r="B956" s="104">
        <v>3.6805000305175781</v>
      </c>
      <c r="C956" s="105">
        <v>1007.3699951171875</v>
      </c>
      <c r="D956" s="104">
        <v>1.6507999897003174</v>
      </c>
      <c r="E956">
        <v>94.099937128932311</v>
      </c>
      <c r="F956">
        <v>942.5487060546875</v>
      </c>
      <c r="G956" s="14"/>
      <c r="H956" s="34"/>
      <c r="I956" s="34"/>
      <c r="J956" s="34"/>
      <c r="K956" s="34"/>
      <c r="L956" s="34"/>
      <c r="N956" s="34"/>
      <c r="O956" s="35"/>
      <c r="P956" s="35"/>
      <c r="Q956" s="35"/>
      <c r="R956" s="35"/>
      <c r="S956" s="74"/>
      <c r="AJ956" s="34"/>
      <c r="AK956" s="34"/>
      <c r="AL956" s="34"/>
      <c r="AM956" s="34"/>
      <c r="AN956" s="34"/>
      <c r="AQ956" s="67"/>
      <c r="AR956" s="67"/>
      <c r="AS956" s="67"/>
      <c r="AT956" s="67"/>
      <c r="AU956" s="67"/>
      <c r="AW956" s="68"/>
      <c r="AX956" s="68"/>
      <c r="AY956" s="68"/>
      <c r="AZ956" s="68"/>
      <c r="BA956" s="68"/>
      <c r="BB956" s="68"/>
    </row>
    <row r="957" spans="1:54" ht="13.5" thickBot="1">
      <c r="A957" s="103">
        <v>40046</v>
      </c>
      <c r="B957" s="104">
        <v>3.811500072479248</v>
      </c>
      <c r="C957" s="105">
        <v>1026.1300048828125</v>
      </c>
      <c r="D957" s="104">
        <v>1.6481000185012817</v>
      </c>
      <c r="E957">
        <v>94.259591002874373</v>
      </c>
      <c r="F957">
        <v>954.8480224609375</v>
      </c>
      <c r="G957" s="14"/>
      <c r="H957" s="34"/>
      <c r="I957" s="34"/>
      <c r="J957" s="34"/>
      <c r="K957" s="34"/>
      <c r="L957" s="34"/>
      <c r="N957" s="34"/>
      <c r="O957" s="35"/>
      <c r="P957" s="35"/>
      <c r="Q957" s="35"/>
      <c r="R957" s="35"/>
      <c r="S957" s="74"/>
      <c r="AJ957" s="34"/>
      <c r="AK957" s="34"/>
      <c r="AL957" s="34"/>
      <c r="AM957" s="34"/>
      <c r="AN957" s="34"/>
      <c r="AQ957" s="67"/>
      <c r="AR957" s="67"/>
      <c r="AS957" s="67"/>
      <c r="AT957" s="67"/>
      <c r="AU957" s="67"/>
      <c r="AW957" s="68"/>
      <c r="AX957" s="68"/>
      <c r="AY957" s="68"/>
      <c r="AZ957" s="68"/>
      <c r="BA957" s="68"/>
      <c r="BB957" s="68"/>
    </row>
    <row r="958" spans="1:54" ht="13.5" thickBot="1">
      <c r="A958" s="103">
        <v>40049</v>
      </c>
      <c r="B958" s="104">
        <v>3.7514998912811279</v>
      </c>
      <c r="C958" s="105">
        <v>1025.5699462890625</v>
      </c>
      <c r="D958" s="104">
        <v>1.639799952507019</v>
      </c>
      <c r="E958">
        <v>94.535829198010461</v>
      </c>
      <c r="F958">
        <v>941.5743408203125</v>
      </c>
      <c r="G958" s="14"/>
      <c r="H958" s="34"/>
      <c r="I958" s="34"/>
      <c r="J958" s="34"/>
      <c r="K958" s="34"/>
      <c r="L958" s="34"/>
      <c r="N958" s="34"/>
      <c r="O958" s="35"/>
      <c r="P958" s="35"/>
      <c r="Q958" s="35"/>
      <c r="R958" s="35"/>
      <c r="S958" s="74"/>
      <c r="AJ958" s="34"/>
      <c r="AK958" s="34"/>
      <c r="AL958" s="34"/>
      <c r="AM958" s="34"/>
      <c r="AN958" s="34"/>
      <c r="AQ958" s="67"/>
      <c r="AR958" s="67"/>
      <c r="AS958" s="67"/>
      <c r="AT958" s="67"/>
      <c r="AU958" s="67"/>
      <c r="AW958" s="68"/>
      <c r="AX958" s="68"/>
      <c r="AY958" s="68"/>
      <c r="AZ958" s="68"/>
      <c r="BA958" s="68"/>
      <c r="BB958" s="68"/>
    </row>
    <row r="959" spans="1:54" ht="13.5" thickBot="1">
      <c r="A959" s="103">
        <v>40050</v>
      </c>
      <c r="B959" s="104">
        <v>3.7005000114440918</v>
      </c>
      <c r="C959" s="105">
        <v>1028</v>
      </c>
      <c r="D959" s="104">
        <v>1.635200023651123</v>
      </c>
      <c r="E959">
        <v>94.197439512062758</v>
      </c>
      <c r="F959">
        <v>946.57421875</v>
      </c>
      <c r="G959" s="14"/>
      <c r="H959" s="34"/>
      <c r="I959" s="34"/>
      <c r="J959" s="34"/>
      <c r="K959" s="34"/>
      <c r="L959" s="34"/>
      <c r="N959" s="34"/>
      <c r="O959" s="35"/>
      <c r="P959" s="35"/>
      <c r="Q959" s="35"/>
      <c r="R959" s="35"/>
      <c r="S959" s="74"/>
      <c r="AJ959" s="34"/>
      <c r="AK959" s="34"/>
      <c r="AL959" s="34"/>
      <c r="AM959" s="34"/>
      <c r="AN959" s="34"/>
      <c r="AQ959" s="67"/>
      <c r="AR959" s="67"/>
      <c r="AS959" s="67"/>
      <c r="AT959" s="67"/>
      <c r="AU959" s="67"/>
      <c r="AW959" s="68"/>
      <c r="AX959" s="68"/>
      <c r="AY959" s="68"/>
      <c r="AZ959" s="68"/>
      <c r="BA959" s="68"/>
      <c r="BB959" s="68"/>
    </row>
    <row r="960" spans="1:54" ht="13.5" thickBot="1">
      <c r="A960" s="103">
        <v>40051</v>
      </c>
      <c r="B960" s="104">
        <v>3.6770000457763672</v>
      </c>
      <c r="C960" s="105">
        <v>1028.1199951171875</v>
      </c>
      <c r="D960" s="104">
        <v>1.6238000392913818</v>
      </c>
      <c r="E960">
        <v>94.161959979788023</v>
      </c>
      <c r="F960">
        <v>943.57427978515625</v>
      </c>
      <c r="G960" s="14"/>
      <c r="H960" s="34"/>
      <c r="I960" s="34"/>
      <c r="J960" s="34"/>
      <c r="K960" s="34"/>
      <c r="L960" s="34"/>
      <c r="N960" s="34"/>
      <c r="O960" s="35"/>
      <c r="P960" s="35"/>
      <c r="Q960" s="35"/>
      <c r="R960" s="35"/>
      <c r="S960" s="74"/>
      <c r="AJ960" s="34"/>
      <c r="AK960" s="34"/>
      <c r="AL960" s="34"/>
      <c r="AM960" s="34"/>
      <c r="AN960" s="34"/>
      <c r="AQ960" s="67"/>
      <c r="AR960" s="67"/>
      <c r="AS960" s="67"/>
      <c r="AT960" s="67"/>
      <c r="AU960" s="67"/>
      <c r="AW960" s="68"/>
      <c r="AX960" s="68"/>
      <c r="AY960" s="68"/>
      <c r="AZ960" s="68"/>
      <c r="BA960" s="68"/>
      <c r="BB960" s="68"/>
    </row>
    <row r="961" spans="1:54" ht="13.5" thickBot="1">
      <c r="A961" s="103">
        <v>40052</v>
      </c>
      <c r="B961" s="104">
        <v>3.6889998912811279</v>
      </c>
      <c r="C961" s="105">
        <v>1030.97998046875</v>
      </c>
      <c r="D961" s="104">
        <v>1.6287000179290771</v>
      </c>
      <c r="E961">
        <v>93.484156806969565</v>
      </c>
      <c r="F961">
        <v>946.03564453125</v>
      </c>
      <c r="G961" s="14"/>
      <c r="H961" s="34"/>
      <c r="I961" s="34"/>
      <c r="J961" s="34"/>
      <c r="K961" s="34"/>
      <c r="L961" s="34"/>
      <c r="N961" s="34"/>
      <c r="O961" s="35"/>
      <c r="P961" s="35"/>
      <c r="Q961" s="35"/>
      <c r="R961" s="35"/>
      <c r="S961" s="74"/>
      <c r="AJ961" s="34"/>
      <c r="AK961" s="34"/>
      <c r="AL961" s="34"/>
      <c r="AM961" s="34"/>
      <c r="AN961" s="34"/>
      <c r="AQ961" s="67"/>
      <c r="AR961" s="67"/>
      <c r="AS961" s="67"/>
      <c r="AT961" s="67"/>
      <c r="AU961" s="67"/>
      <c r="AW961" s="68"/>
      <c r="AX961" s="68"/>
      <c r="AY961" s="68"/>
      <c r="AZ961" s="68"/>
      <c r="BA961" s="68"/>
      <c r="BB961" s="68"/>
    </row>
    <row r="962" spans="1:54" ht="13.5" thickBot="1">
      <c r="A962" s="103">
        <v>40053</v>
      </c>
      <c r="B962" s="104">
        <v>3.6830000877380371</v>
      </c>
      <c r="C962" s="105">
        <v>1028.9300537109375</v>
      </c>
      <c r="D962" s="104">
        <v>1.6267999410629272</v>
      </c>
      <c r="E962">
        <v>93.624195937511658</v>
      </c>
      <c r="F962">
        <v>957.0875244140625</v>
      </c>
      <c r="G962" s="14"/>
      <c r="H962" s="34"/>
      <c r="I962" s="34"/>
      <c r="J962" s="34"/>
      <c r="K962" s="34"/>
      <c r="L962" s="34"/>
      <c r="N962" s="34"/>
      <c r="O962" s="35"/>
      <c r="P962" s="35"/>
      <c r="Q962" s="35"/>
      <c r="R962" s="35"/>
      <c r="S962" s="74"/>
      <c r="AJ962" s="34"/>
      <c r="AK962" s="34"/>
      <c r="AL962" s="34"/>
      <c r="AM962" s="34"/>
      <c r="AN962" s="34"/>
      <c r="AQ962" s="67"/>
      <c r="AR962" s="67"/>
      <c r="AS962" s="67"/>
      <c r="AT962" s="67"/>
      <c r="AU962" s="67"/>
      <c r="AW962" s="68"/>
      <c r="AX962" s="68"/>
      <c r="AY962" s="68"/>
      <c r="AZ962" s="68"/>
      <c r="BA962" s="68"/>
      <c r="BB962" s="68"/>
    </row>
    <row r="963" spans="1:54" ht="13.5" thickBot="1">
      <c r="A963" s="103">
        <v>40056</v>
      </c>
      <c r="B963" s="104">
        <v>3.6119699478149414</v>
      </c>
      <c r="C963" s="105">
        <v>1020.6199951171875</v>
      </c>
      <c r="D963" s="104">
        <v>1.6261500120162964</v>
      </c>
      <c r="E963">
        <v>92.988651963883328</v>
      </c>
      <c r="F963">
        <v>953.72509765625</v>
      </c>
      <c r="G963" s="14"/>
      <c r="H963" s="34"/>
      <c r="I963" s="34"/>
      <c r="J963" s="34"/>
      <c r="K963" s="34"/>
      <c r="L963" s="34"/>
      <c r="N963" s="34"/>
      <c r="O963" s="35"/>
      <c r="P963" s="35"/>
      <c r="Q963" s="35"/>
      <c r="R963" s="35"/>
      <c r="S963" s="74"/>
      <c r="AJ963" s="34"/>
      <c r="AK963" s="34"/>
      <c r="AL963" s="34"/>
      <c r="AM963" s="34"/>
      <c r="AN963" s="34"/>
      <c r="AQ963" s="67"/>
      <c r="AR963" s="67"/>
      <c r="AS963" s="67"/>
      <c r="AT963" s="67"/>
      <c r="AU963" s="67"/>
      <c r="AW963" s="68"/>
      <c r="AX963" s="68"/>
      <c r="AY963" s="68"/>
      <c r="AZ963" s="68"/>
      <c r="BA963" s="68"/>
      <c r="BB963" s="68"/>
    </row>
    <row r="964" spans="1:54" ht="13.5" thickBot="1">
      <c r="A964" s="103">
        <v>40057</v>
      </c>
      <c r="B964" s="104">
        <v>3.5964999198913574</v>
      </c>
      <c r="C964" s="105">
        <v>998.03997802734375</v>
      </c>
      <c r="D964" s="104">
        <v>1.6160999536514282</v>
      </c>
      <c r="E964">
        <v>92.936803185053975</v>
      </c>
      <c r="F964">
        <v>949.72625732421875</v>
      </c>
      <c r="G964" s="14"/>
      <c r="H964" s="34"/>
      <c r="I964" s="34"/>
      <c r="J964" s="34"/>
      <c r="K964" s="34"/>
      <c r="L964" s="34"/>
      <c r="N964" s="34"/>
      <c r="O964" s="35"/>
      <c r="P964" s="35"/>
      <c r="Q964" s="35"/>
      <c r="R964" s="35"/>
      <c r="S964" s="74"/>
      <c r="AJ964" s="34"/>
      <c r="AK964" s="34"/>
      <c r="AL964" s="34"/>
      <c r="AM964" s="34"/>
      <c r="AN964" s="34"/>
      <c r="AQ964" s="67"/>
      <c r="AR964" s="67"/>
      <c r="AS964" s="67"/>
      <c r="AT964" s="67"/>
      <c r="AU964" s="67"/>
      <c r="AW964" s="68"/>
      <c r="AX964" s="68"/>
      <c r="AY964" s="68"/>
      <c r="AZ964" s="68"/>
      <c r="BA964" s="68"/>
      <c r="BB964" s="68"/>
    </row>
    <row r="965" spans="1:54" ht="13.5" thickBot="1">
      <c r="A965" s="103">
        <v>40058</v>
      </c>
      <c r="B965" s="104">
        <v>3.4944999217987061</v>
      </c>
      <c r="C965" s="105">
        <v>994.75</v>
      </c>
      <c r="D965" s="104">
        <v>1.6277999877929687</v>
      </c>
      <c r="E965">
        <v>92.157401147506775</v>
      </c>
      <c r="F965">
        <v>979.72662353515625</v>
      </c>
      <c r="G965" s="14"/>
      <c r="H965" s="34"/>
      <c r="I965" s="34"/>
      <c r="J965" s="34"/>
      <c r="K965" s="34"/>
      <c r="L965" s="34"/>
      <c r="N965" s="34"/>
      <c r="O965" s="35"/>
      <c r="P965" s="35"/>
      <c r="Q965" s="35"/>
      <c r="R965" s="35"/>
      <c r="S965" s="74"/>
      <c r="AJ965" s="34"/>
      <c r="AK965" s="34"/>
      <c r="AL965" s="34"/>
      <c r="AM965" s="34"/>
      <c r="AN965" s="34"/>
      <c r="AQ965" s="67"/>
      <c r="AR965" s="67"/>
      <c r="AS965" s="67"/>
      <c r="AT965" s="67"/>
      <c r="AU965" s="67"/>
      <c r="AW965" s="68"/>
      <c r="AX965" s="68"/>
      <c r="AY965" s="68"/>
      <c r="AZ965" s="68"/>
      <c r="BA965" s="68"/>
      <c r="BB965" s="68"/>
    </row>
    <row r="966" spans="1:54" ht="13.5" thickBot="1">
      <c r="A966" s="103">
        <v>40059</v>
      </c>
      <c r="B966" s="104">
        <v>3.5234999656677246</v>
      </c>
      <c r="C966" s="105">
        <v>1003.239990234375</v>
      </c>
      <c r="D966" s="104">
        <v>1.6319999694824219</v>
      </c>
      <c r="E966">
        <v>92.558309075472721</v>
      </c>
      <c r="F966">
        <v>987.70501708984375</v>
      </c>
      <c r="G966" s="14"/>
      <c r="H966" s="34"/>
      <c r="I966" s="34"/>
      <c r="J966" s="34"/>
      <c r="K966" s="34"/>
      <c r="L966" s="34"/>
      <c r="N966" s="34"/>
      <c r="O966" s="35"/>
      <c r="P966" s="35"/>
      <c r="Q966" s="35"/>
      <c r="R966" s="35"/>
      <c r="S966" s="74"/>
      <c r="AJ966" s="34"/>
      <c r="AK966" s="34"/>
      <c r="AL966" s="34"/>
      <c r="AM966" s="34"/>
      <c r="AN966" s="34"/>
      <c r="AQ966" s="67"/>
      <c r="AR966" s="67"/>
      <c r="AS966" s="67"/>
      <c r="AT966" s="67"/>
      <c r="AU966" s="67"/>
      <c r="AW966" s="68"/>
      <c r="AX966" s="68"/>
      <c r="AY966" s="68"/>
      <c r="AZ966" s="68"/>
      <c r="BA966" s="68"/>
      <c r="BB966" s="68"/>
    </row>
    <row r="967" spans="1:54" ht="13.5" thickBot="1">
      <c r="A967" s="103">
        <v>40060</v>
      </c>
      <c r="B967" s="104">
        <v>3.643996000289917</v>
      </c>
      <c r="C967" s="105">
        <v>1016.4000244140625</v>
      </c>
      <c r="D967" s="104">
        <v>1.6401000022888184</v>
      </c>
      <c r="E967">
        <v>93.040566689169879</v>
      </c>
      <c r="F967">
        <v>994.7047119140625</v>
      </c>
      <c r="G967" s="14"/>
      <c r="H967" s="34"/>
      <c r="I967" s="34"/>
      <c r="J967" s="34"/>
      <c r="K967" s="34"/>
      <c r="L967" s="34"/>
      <c r="N967" s="34"/>
      <c r="O967" s="35"/>
      <c r="P967" s="35"/>
      <c r="Q967" s="35"/>
      <c r="R967" s="35"/>
      <c r="S967" s="74"/>
      <c r="AJ967" s="34"/>
      <c r="AK967" s="34"/>
      <c r="AL967" s="34"/>
      <c r="AM967" s="34"/>
      <c r="AN967" s="34"/>
      <c r="AQ967" s="67"/>
      <c r="AR967" s="67"/>
      <c r="AS967" s="67"/>
      <c r="AT967" s="67"/>
      <c r="AU967" s="67"/>
      <c r="AW967" s="68"/>
      <c r="AX967" s="68"/>
      <c r="AY967" s="68"/>
      <c r="AZ967" s="68"/>
      <c r="BA967" s="68"/>
      <c r="BB967" s="68"/>
    </row>
    <row r="968" spans="1:54" ht="13.5" thickBot="1">
      <c r="A968" s="103">
        <v>40063</v>
      </c>
      <c r="B968" s="104">
        <v>3.643996000289917</v>
      </c>
      <c r="C968" s="105">
        <v>1016.4000244140625</v>
      </c>
      <c r="D968" s="104">
        <v>1.6331000328063965</v>
      </c>
      <c r="E968">
        <v>92.902266763352088</v>
      </c>
      <c r="F968">
        <v>993.72735595703125</v>
      </c>
      <c r="G968" s="14"/>
      <c r="H968" s="34"/>
      <c r="I968" s="34"/>
      <c r="J968" s="34"/>
      <c r="K968" s="34"/>
      <c r="L968" s="34"/>
      <c r="N968" s="34"/>
      <c r="O968" s="35"/>
      <c r="P968" s="35"/>
      <c r="Q968" s="35"/>
      <c r="R968" s="35"/>
      <c r="S968" s="74"/>
      <c r="AJ968" s="34"/>
      <c r="AK968" s="34"/>
      <c r="AL968" s="34"/>
      <c r="AM968" s="34"/>
      <c r="AN968" s="34"/>
      <c r="AQ968" s="67"/>
      <c r="AR968" s="67"/>
      <c r="AS968" s="67"/>
      <c r="AT968" s="67"/>
      <c r="AU968" s="67"/>
      <c r="AW968" s="68"/>
      <c r="AX968" s="68"/>
      <c r="AY968" s="68"/>
      <c r="AZ968" s="68"/>
      <c r="BA968" s="68"/>
      <c r="BB968" s="68"/>
    </row>
    <row r="969" spans="1:54" ht="13.5" thickBot="1">
      <c r="A969" s="103">
        <v>40064</v>
      </c>
      <c r="B969" s="104">
        <v>3.6644999980926514</v>
      </c>
      <c r="C969" s="105">
        <v>1025.3900146484375</v>
      </c>
      <c r="D969" s="104">
        <v>1.6488000154495239</v>
      </c>
      <c r="E969">
        <v>92.319058126069194</v>
      </c>
      <c r="F969">
        <v>997.3272705078125</v>
      </c>
      <c r="G969" s="14"/>
      <c r="H969" s="34"/>
      <c r="I969" s="34"/>
      <c r="J969" s="34"/>
      <c r="K969" s="34"/>
      <c r="L969" s="34"/>
      <c r="N969" s="34"/>
      <c r="O969" s="35"/>
      <c r="P969" s="35"/>
      <c r="Q969" s="35"/>
      <c r="R969" s="35"/>
      <c r="S969" s="74"/>
      <c r="AJ969" s="34"/>
      <c r="AK969" s="34"/>
      <c r="AL969" s="34"/>
      <c r="AM969" s="34"/>
      <c r="AN969" s="34"/>
      <c r="AQ969" s="67"/>
      <c r="AR969" s="67"/>
      <c r="AS969" s="67"/>
      <c r="AT969" s="67"/>
      <c r="AU969" s="67"/>
      <c r="AW969" s="68"/>
      <c r="AX969" s="68"/>
      <c r="AY969" s="68"/>
      <c r="AZ969" s="68"/>
      <c r="BA969" s="68"/>
      <c r="BB969" s="68"/>
    </row>
    <row r="970" spans="1:54" ht="13.5" thickBot="1">
      <c r="A970" s="103">
        <v>40065</v>
      </c>
      <c r="B970" s="104">
        <v>3.6524999141693115</v>
      </c>
      <c r="C970" s="105">
        <v>1033.3699951171875</v>
      </c>
      <c r="D970" s="104">
        <v>1.6533000469207764</v>
      </c>
      <c r="E970">
        <v>92.157401147506775</v>
      </c>
      <c r="F970">
        <v>999.97833251953125</v>
      </c>
      <c r="G970" s="14"/>
      <c r="H970" s="34"/>
      <c r="I970" s="34"/>
      <c r="J970" s="34"/>
      <c r="K970" s="34"/>
      <c r="L970" s="34"/>
      <c r="N970" s="34"/>
      <c r="O970" s="35"/>
      <c r="P970" s="35"/>
      <c r="Q970" s="35"/>
      <c r="R970" s="35"/>
      <c r="S970" s="74"/>
      <c r="AJ970" s="34"/>
      <c r="AK970" s="34"/>
      <c r="AL970" s="34"/>
      <c r="AM970" s="34"/>
      <c r="AN970" s="34"/>
      <c r="AQ970" s="67"/>
      <c r="AR970" s="67"/>
      <c r="AS970" s="67"/>
      <c r="AT970" s="67"/>
      <c r="AU970" s="67"/>
      <c r="AW970" s="68"/>
      <c r="AX970" s="68"/>
      <c r="AY970" s="68"/>
      <c r="AZ970" s="68"/>
      <c r="BA970" s="68"/>
      <c r="BB970" s="68"/>
    </row>
    <row r="971" spans="1:54" ht="13.5" thickBot="1">
      <c r="A971" s="103">
        <v>40066</v>
      </c>
      <c r="B971" s="104">
        <v>3.5065000057220459</v>
      </c>
      <c r="C971" s="105">
        <v>1044.1400146484375</v>
      </c>
      <c r="D971" s="104">
        <v>1.666100025177002</v>
      </c>
      <c r="E971">
        <v>91.74311833794637</v>
      </c>
      <c r="F971">
        <v>994.4569091796875</v>
      </c>
      <c r="G971" s="14"/>
      <c r="H971" s="34"/>
      <c r="I971" s="34"/>
      <c r="J971" s="34"/>
      <c r="K971" s="34"/>
      <c r="L971" s="34"/>
      <c r="N971" s="34"/>
      <c r="O971" s="35"/>
      <c r="P971" s="35"/>
      <c r="Q971" s="35"/>
      <c r="R971" s="35"/>
      <c r="S971" s="74"/>
      <c r="AJ971" s="34"/>
      <c r="AK971" s="34"/>
      <c r="AL971" s="34"/>
      <c r="AM971" s="34"/>
      <c r="AN971" s="34"/>
      <c r="AQ971" s="67"/>
      <c r="AR971" s="67"/>
      <c r="AS971" s="67"/>
      <c r="AT971" s="67"/>
      <c r="AU971" s="67"/>
      <c r="AW971" s="68"/>
      <c r="AX971" s="68"/>
      <c r="AY971" s="68"/>
      <c r="AZ971" s="68"/>
      <c r="BA971" s="68"/>
      <c r="BB971" s="68"/>
    </row>
    <row r="972" spans="1:54" ht="13.5" thickBot="1">
      <c r="A972" s="103">
        <v>40067</v>
      </c>
      <c r="B972" s="104">
        <v>3.5060000419616699</v>
      </c>
      <c r="C972" s="105">
        <v>1042.72998046875</v>
      </c>
      <c r="D972" s="104">
        <v>1.6687999963760376</v>
      </c>
      <c r="E972">
        <v>90.579708134984401</v>
      </c>
      <c r="F972">
        <v>1005.4564208984375</v>
      </c>
      <c r="G972" s="14"/>
      <c r="H972" s="34"/>
      <c r="I972" s="34"/>
      <c r="J972" s="34"/>
      <c r="K972" s="34"/>
      <c r="L972" s="34"/>
      <c r="N972" s="34"/>
      <c r="O972" s="35"/>
      <c r="P972" s="35"/>
      <c r="Q972" s="35"/>
      <c r="R972" s="35"/>
      <c r="S972" s="74"/>
      <c r="AJ972" s="34"/>
      <c r="AK972" s="34"/>
      <c r="AL972" s="34"/>
      <c r="AM972" s="34"/>
      <c r="AN972" s="34"/>
      <c r="AQ972" s="67"/>
      <c r="AR972" s="67"/>
      <c r="AS972" s="67"/>
      <c r="AT972" s="67"/>
      <c r="AU972" s="67"/>
      <c r="AW972" s="68"/>
      <c r="AX972" s="68"/>
      <c r="AY972" s="68"/>
      <c r="AZ972" s="68"/>
      <c r="BA972" s="68"/>
      <c r="BB972" s="68"/>
    </row>
    <row r="973" spans="1:54" ht="13.5" thickBot="1">
      <c r="A973" s="103">
        <v>40070</v>
      </c>
      <c r="B973" s="104">
        <v>3.5915000438690186</v>
      </c>
      <c r="C973" s="105">
        <v>1049.3399658203125</v>
      </c>
      <c r="D973" s="104">
        <v>1.6574000120162964</v>
      </c>
      <c r="E973">
        <v>90.942161530601055</v>
      </c>
      <c r="F973">
        <v>999.62835693359375</v>
      </c>
      <c r="G973" s="14"/>
      <c r="H973" s="34"/>
      <c r="I973" s="34"/>
      <c r="J973" s="34"/>
      <c r="K973" s="34"/>
      <c r="L973" s="34"/>
      <c r="N973" s="34"/>
      <c r="O973" s="35"/>
      <c r="P973" s="35"/>
      <c r="Q973" s="35"/>
      <c r="R973" s="35"/>
      <c r="S973" s="74"/>
      <c r="AJ973" s="34"/>
      <c r="AK973" s="34"/>
      <c r="AL973" s="34"/>
      <c r="AM973" s="34"/>
      <c r="AN973" s="34"/>
      <c r="AQ973" s="67"/>
      <c r="AR973" s="67"/>
      <c r="AS973" s="67"/>
      <c r="AT973" s="67"/>
      <c r="AU973" s="67"/>
      <c r="AW973" s="68"/>
      <c r="AX973" s="68"/>
      <c r="AY973" s="68"/>
      <c r="AZ973" s="68"/>
      <c r="BA973" s="68"/>
      <c r="BB973" s="68"/>
    </row>
    <row r="974" spans="1:54" ht="13.5" thickBot="1">
      <c r="A974" s="103">
        <v>40071</v>
      </c>
      <c r="B974" s="104">
        <v>3.6614999771118164</v>
      </c>
      <c r="C974" s="105">
        <v>1052.6300048828125</v>
      </c>
      <c r="D974" s="104">
        <v>1.6491999626159668</v>
      </c>
      <c r="E974">
        <v>91.09957184784173</v>
      </c>
      <c r="F974">
        <v>1000.63330078125</v>
      </c>
      <c r="G974" s="14"/>
      <c r="H974" s="34"/>
      <c r="I974" s="34"/>
      <c r="J974" s="34"/>
      <c r="K974" s="34"/>
      <c r="L974" s="34"/>
      <c r="N974" s="34"/>
      <c r="O974" s="35"/>
      <c r="P974" s="35"/>
      <c r="Q974" s="35"/>
      <c r="R974" s="35"/>
      <c r="S974" s="74"/>
      <c r="AJ974" s="34"/>
      <c r="AK974" s="34"/>
      <c r="AL974" s="34"/>
      <c r="AM974" s="34"/>
      <c r="AN974" s="34"/>
      <c r="AQ974" s="67"/>
      <c r="AR974" s="67"/>
      <c r="AS974" s="67"/>
      <c r="AT974" s="67"/>
      <c r="AU974" s="67"/>
      <c r="AW974" s="68"/>
      <c r="AX974" s="68"/>
      <c r="AY974" s="68"/>
      <c r="AZ974" s="68"/>
      <c r="BA974" s="68"/>
      <c r="BB974" s="68"/>
    </row>
    <row r="975" spans="1:54" ht="13.5" thickBot="1">
      <c r="A975" s="103">
        <v>40072</v>
      </c>
      <c r="B975" s="104">
        <v>3.6784999370574951</v>
      </c>
      <c r="C975" s="105">
        <v>1068.760009765625</v>
      </c>
      <c r="D975" s="104">
        <v>1.6490999460220337</v>
      </c>
      <c r="E975">
        <v>90.917358603485184</v>
      </c>
      <c r="F975">
        <v>1016.5330810546875</v>
      </c>
      <c r="G975" s="14"/>
      <c r="H975" s="34"/>
      <c r="I975" s="34"/>
      <c r="J975" s="34"/>
      <c r="K975" s="34"/>
      <c r="L975" s="34"/>
      <c r="N975" s="34"/>
      <c r="O975" s="35"/>
      <c r="P975" s="35"/>
      <c r="Q975" s="35"/>
      <c r="R975" s="35"/>
      <c r="S975" s="74"/>
      <c r="AJ975" s="34"/>
      <c r="AK975" s="34"/>
      <c r="AL975" s="34"/>
      <c r="AM975" s="34"/>
      <c r="AN975" s="34"/>
      <c r="AQ975" s="67"/>
      <c r="AR975" s="67"/>
      <c r="AS975" s="67"/>
      <c r="AT975" s="67"/>
      <c r="AU975" s="67"/>
      <c r="AW975" s="68"/>
      <c r="AX975" s="68"/>
      <c r="AY975" s="68"/>
      <c r="AZ975" s="68"/>
      <c r="BA975" s="68"/>
      <c r="BB975" s="68"/>
    </row>
    <row r="976" spans="1:54" ht="13.5" thickBot="1">
      <c r="A976" s="103">
        <v>40073</v>
      </c>
      <c r="B976" s="104">
        <v>3.5920000076293945</v>
      </c>
      <c r="C976" s="105">
        <v>1065.489990234375</v>
      </c>
      <c r="D976" s="104">
        <v>1.6448999643325806</v>
      </c>
      <c r="E976">
        <v>91.157701349899838</v>
      </c>
      <c r="F976">
        <v>1014.5167236328125</v>
      </c>
      <c r="G976" s="14"/>
      <c r="H976" s="34"/>
      <c r="I976" s="34"/>
      <c r="J976" s="34"/>
      <c r="K976" s="34"/>
      <c r="L976" s="34"/>
      <c r="N976" s="34"/>
      <c r="O976" s="35"/>
      <c r="P976" s="35"/>
      <c r="Q976" s="35"/>
      <c r="R976" s="35"/>
      <c r="S976" s="74"/>
      <c r="AJ976" s="34"/>
      <c r="AK976" s="34"/>
      <c r="AL976" s="34"/>
      <c r="AM976" s="34"/>
      <c r="AN976" s="34"/>
      <c r="AQ976" s="67"/>
      <c r="AR976" s="67"/>
      <c r="AS976" s="67"/>
      <c r="AT976" s="67"/>
      <c r="AU976" s="67"/>
      <c r="AW976" s="68"/>
      <c r="AX976" s="68"/>
      <c r="AY976" s="68"/>
      <c r="AZ976" s="68"/>
      <c r="BA976" s="68"/>
      <c r="BB976" s="68"/>
    </row>
    <row r="977" spans="1:54" ht="13.5" thickBot="1">
      <c r="A977" s="103">
        <v>40074</v>
      </c>
      <c r="B977" s="104">
        <v>3.6830000877380371</v>
      </c>
      <c r="C977" s="105">
        <v>1068.300048828125</v>
      </c>
      <c r="D977" s="104">
        <v>1.6274000406265259</v>
      </c>
      <c r="E977">
        <v>91.382617315110181</v>
      </c>
      <c r="F977">
        <v>1011.5167846679687</v>
      </c>
      <c r="G977" s="14"/>
      <c r="H977" s="34"/>
      <c r="I977" s="34"/>
      <c r="J977" s="34"/>
      <c r="K977" s="34"/>
      <c r="L977" s="34"/>
      <c r="N977" s="34"/>
      <c r="O977" s="35"/>
      <c r="P977" s="35"/>
      <c r="Q977" s="35"/>
      <c r="R977" s="35"/>
      <c r="S977" s="74"/>
      <c r="AJ977" s="34"/>
      <c r="AK977" s="34"/>
      <c r="AL977" s="34"/>
      <c r="AM977" s="34"/>
      <c r="AN977" s="34"/>
      <c r="AQ977" s="67"/>
      <c r="AR977" s="67"/>
      <c r="AS977" s="67"/>
      <c r="AT977" s="67"/>
      <c r="AU977" s="67"/>
      <c r="AW977" s="68"/>
      <c r="AX977" s="68"/>
      <c r="AY977" s="68"/>
      <c r="AZ977" s="68"/>
      <c r="BA977" s="68"/>
      <c r="BB977" s="68"/>
    </row>
    <row r="978" spans="1:54" ht="13.5" thickBot="1">
      <c r="A978" s="103">
        <v>40077</v>
      </c>
      <c r="B978" s="104">
        <v>3.7014999389648438</v>
      </c>
      <c r="C978" s="105">
        <v>1064.6600341796875</v>
      </c>
      <c r="D978" s="104">
        <v>1.6194000244140625</v>
      </c>
      <c r="E978">
        <v>92.140422128629439</v>
      </c>
      <c r="F978">
        <v>1003.5336303710937</v>
      </c>
      <c r="G978" s="14"/>
      <c r="H978" s="34"/>
      <c r="I978" s="34"/>
      <c r="J978" s="34"/>
      <c r="K978" s="34"/>
      <c r="L978" s="34"/>
      <c r="N978" s="34"/>
      <c r="O978" s="35"/>
      <c r="P978" s="35"/>
      <c r="Q978" s="35"/>
      <c r="R978" s="35"/>
      <c r="S978" s="74"/>
      <c r="AJ978" s="34"/>
      <c r="AK978" s="34"/>
      <c r="AL978" s="34"/>
      <c r="AM978" s="34"/>
      <c r="AN978" s="34"/>
      <c r="AQ978" s="67"/>
      <c r="AR978" s="67"/>
      <c r="AS978" s="67"/>
      <c r="AT978" s="67"/>
      <c r="AU978" s="67"/>
      <c r="AW978" s="68"/>
      <c r="AX978" s="68"/>
      <c r="AY978" s="68"/>
      <c r="AZ978" s="68"/>
      <c r="BA978" s="68"/>
      <c r="BB978" s="68"/>
    </row>
    <row r="979" spans="1:54" ht="13.5" thickBot="1">
      <c r="A979" s="103">
        <v>40078</v>
      </c>
      <c r="B979" s="104">
        <v>3.6689999103546143</v>
      </c>
      <c r="C979" s="105">
        <v>1071.6600341796875</v>
      </c>
      <c r="D979" s="104">
        <v>1.6353000402450562</v>
      </c>
      <c r="E979">
        <v>91.257528027854349</v>
      </c>
      <c r="F979">
        <v>1014.5341796875</v>
      </c>
      <c r="G979" s="14"/>
      <c r="H979" s="34"/>
      <c r="I979" s="34"/>
      <c r="J979" s="34"/>
      <c r="K979" s="34"/>
      <c r="L979" s="34"/>
      <c r="N979" s="34"/>
      <c r="O979" s="35"/>
      <c r="P979" s="35"/>
      <c r="Q979" s="35"/>
      <c r="R979" s="35"/>
      <c r="S979" s="74"/>
      <c r="AJ979" s="34"/>
      <c r="AK979" s="34"/>
      <c r="AL979" s="34"/>
      <c r="AM979" s="34"/>
      <c r="AN979" s="34"/>
      <c r="AQ979" s="67"/>
      <c r="AR979" s="67"/>
      <c r="AS979" s="67"/>
      <c r="AT979" s="67"/>
      <c r="AU979" s="67"/>
      <c r="AW979" s="68"/>
      <c r="AX979" s="68"/>
      <c r="AY979" s="68"/>
      <c r="AZ979" s="68"/>
      <c r="BA979" s="68"/>
      <c r="BB979" s="68"/>
    </row>
    <row r="980" spans="1:54" ht="13.5" thickBot="1">
      <c r="A980" s="103">
        <v>40079</v>
      </c>
      <c r="B980" s="104">
        <v>3.6129999160766602</v>
      </c>
      <c r="C980" s="105">
        <v>1060.8699951171875</v>
      </c>
      <c r="D980" s="104">
        <v>1.6419999599456787</v>
      </c>
      <c r="E980">
        <v>91.157701349899838</v>
      </c>
      <c r="F980">
        <v>1012.5341796875</v>
      </c>
      <c r="G980" s="14"/>
      <c r="H980" s="34"/>
      <c r="I980" s="34"/>
      <c r="J980" s="34"/>
      <c r="K980" s="34"/>
      <c r="L980" s="34"/>
      <c r="N980" s="34"/>
      <c r="O980" s="35"/>
      <c r="P980" s="35"/>
      <c r="Q980" s="35"/>
      <c r="R980" s="35"/>
      <c r="S980" s="74"/>
      <c r="AJ980" s="34"/>
      <c r="AK980" s="34"/>
      <c r="AL980" s="34"/>
      <c r="AM980" s="34"/>
      <c r="AN980" s="34"/>
      <c r="AQ980" s="67"/>
      <c r="AR980" s="67"/>
      <c r="AS980" s="67"/>
      <c r="AT980" s="67"/>
      <c r="AU980" s="67"/>
      <c r="AW980" s="68"/>
      <c r="AX980" s="68"/>
      <c r="AY980" s="68"/>
      <c r="AZ980" s="68"/>
      <c r="BA980" s="68"/>
      <c r="BB980" s="68"/>
    </row>
    <row r="981" spans="1:54" ht="13.5" thickBot="1">
      <c r="A981" s="103">
        <v>40080</v>
      </c>
      <c r="B981" s="104">
        <v>3.563499927520752</v>
      </c>
      <c r="C981" s="105">
        <v>1050.780029296875</v>
      </c>
      <c r="D981" s="104">
        <v>1.6061999797821045</v>
      </c>
      <c r="E981">
        <v>91.257528027854349</v>
      </c>
      <c r="F981">
        <v>996.01898193359375</v>
      </c>
      <c r="G981" s="14"/>
      <c r="H981" s="34"/>
      <c r="I981" s="34"/>
      <c r="J981" s="34"/>
      <c r="K981" s="34"/>
      <c r="L981" s="34"/>
      <c r="N981" s="34"/>
      <c r="O981" s="35"/>
      <c r="P981" s="35"/>
      <c r="Q981" s="35"/>
      <c r="R981" s="35"/>
      <c r="S981" s="74"/>
      <c r="AJ981" s="34"/>
      <c r="AK981" s="34"/>
      <c r="AL981" s="34"/>
      <c r="AM981" s="34"/>
      <c r="AN981" s="34"/>
      <c r="AQ981" s="67"/>
      <c r="AR981" s="67"/>
      <c r="AS981" s="67"/>
      <c r="AT981" s="67"/>
      <c r="AU981" s="67"/>
      <c r="AW981" s="68"/>
      <c r="AX981" s="68"/>
      <c r="AY981" s="68"/>
      <c r="AZ981" s="68"/>
      <c r="BA981" s="68"/>
      <c r="BB981" s="68"/>
    </row>
    <row r="982" spans="1:54" ht="13.5" thickBot="1">
      <c r="A982" s="103">
        <v>40081</v>
      </c>
      <c r="B982" s="104">
        <v>3.4955000877380371</v>
      </c>
      <c r="C982" s="105">
        <v>1044.3800048828125</v>
      </c>
      <c r="D982" s="104">
        <v>1.5936000347137451</v>
      </c>
      <c r="E982">
        <v>89.903805252013072</v>
      </c>
      <c r="F982">
        <v>991.7691650390625</v>
      </c>
      <c r="G982" s="14"/>
      <c r="H982" s="34"/>
      <c r="I982" s="34"/>
      <c r="J982" s="34"/>
      <c r="K982" s="34"/>
      <c r="L982" s="34"/>
      <c r="N982" s="34"/>
      <c r="O982" s="35"/>
      <c r="P982" s="35"/>
      <c r="Q982" s="35"/>
      <c r="R982" s="35"/>
      <c r="S982" s="74"/>
      <c r="AJ982" s="34"/>
      <c r="AK982" s="34"/>
      <c r="AL982" s="34"/>
      <c r="AM982" s="34"/>
      <c r="AN982" s="34"/>
      <c r="AQ982" s="67"/>
      <c r="AR982" s="67"/>
      <c r="AS982" s="67"/>
      <c r="AT982" s="67"/>
      <c r="AU982" s="67"/>
      <c r="AW982" s="68"/>
      <c r="AX982" s="68"/>
      <c r="AY982" s="68"/>
      <c r="AZ982" s="68"/>
      <c r="BA982" s="68"/>
      <c r="BB982" s="68"/>
    </row>
    <row r="983" spans="1:54" ht="13.5" thickBot="1">
      <c r="A983" s="103">
        <v>40084</v>
      </c>
      <c r="B983" s="104">
        <v>3.4454998970031738</v>
      </c>
      <c r="C983" s="105">
        <v>1062.97998046875</v>
      </c>
      <c r="D983" s="104">
        <v>1.5870000123977661</v>
      </c>
      <c r="E983">
        <v>89.758546959605127</v>
      </c>
      <c r="F983">
        <v>995.78564453125</v>
      </c>
      <c r="G983" s="14"/>
      <c r="H983" s="34"/>
      <c r="I983" s="34"/>
      <c r="J983" s="34"/>
      <c r="K983" s="34"/>
      <c r="L983" s="34"/>
      <c r="N983" s="34"/>
      <c r="O983" s="35"/>
      <c r="P983" s="35"/>
      <c r="Q983" s="35"/>
      <c r="R983" s="35"/>
      <c r="S983" s="74"/>
      <c r="AJ983" s="34"/>
      <c r="AK983" s="34"/>
      <c r="AL983" s="34"/>
      <c r="AM983" s="34"/>
      <c r="AN983" s="34"/>
      <c r="AQ983" s="67"/>
      <c r="AR983" s="67"/>
      <c r="AS983" s="67"/>
      <c r="AT983" s="67"/>
      <c r="AU983" s="67"/>
      <c r="AW983" s="68"/>
      <c r="AX983" s="68"/>
      <c r="AY983" s="68"/>
      <c r="AZ983" s="68"/>
      <c r="BA983" s="68"/>
      <c r="BB983" s="68"/>
    </row>
    <row r="984" spans="1:54" ht="13.5" thickBot="1">
      <c r="A984" s="103">
        <v>40085</v>
      </c>
      <c r="B984" s="104">
        <v>3.434499979019165</v>
      </c>
      <c r="C984" s="105">
        <v>1060.6099853515625</v>
      </c>
      <c r="D984" s="104">
        <v>1.594499945640564</v>
      </c>
      <c r="E984">
        <v>90.163192127952343</v>
      </c>
      <c r="F984">
        <v>991.88568115234375</v>
      </c>
      <c r="G984" s="14"/>
      <c r="H984" s="34"/>
      <c r="I984" s="34"/>
      <c r="J984" s="34"/>
      <c r="K984" s="34"/>
      <c r="L984" s="34"/>
      <c r="N984" s="34"/>
      <c r="O984" s="35"/>
      <c r="P984" s="35"/>
      <c r="Q984" s="35"/>
      <c r="R984" s="35"/>
      <c r="S984" s="74"/>
      <c r="AJ984" s="34"/>
      <c r="AK984" s="34"/>
      <c r="AL984" s="34"/>
      <c r="AM984" s="34"/>
      <c r="AN984" s="34"/>
      <c r="AQ984" s="67"/>
      <c r="AR984" s="67"/>
      <c r="AS984" s="67"/>
      <c r="AT984" s="67"/>
      <c r="AU984" s="67"/>
      <c r="AW984" s="68"/>
      <c r="AX984" s="68"/>
      <c r="AY984" s="68"/>
      <c r="AZ984" s="68"/>
      <c r="BA984" s="68"/>
      <c r="BB984" s="68"/>
    </row>
    <row r="985" spans="1:54" ht="13.5" thickBot="1">
      <c r="A985" s="103">
        <v>40086</v>
      </c>
      <c r="B985" s="104">
        <v>3.4530000686645508</v>
      </c>
      <c r="C985" s="105">
        <v>1057.0799560546875</v>
      </c>
      <c r="D985" s="104">
        <v>1.600600004196167</v>
      </c>
      <c r="E985">
        <v>89.637861450993199</v>
      </c>
      <c r="F985">
        <v>1008.3353881835937</v>
      </c>
      <c r="G985" s="14"/>
      <c r="H985" s="34"/>
      <c r="I985" s="34"/>
      <c r="J985" s="34"/>
      <c r="K985" s="34"/>
      <c r="L985" s="34"/>
      <c r="N985" s="34"/>
      <c r="O985" s="35"/>
      <c r="P985" s="35"/>
      <c r="Q985" s="35"/>
      <c r="R985" s="35"/>
      <c r="S985" s="74"/>
      <c r="AJ985" s="34"/>
      <c r="AK985" s="34"/>
      <c r="AL985" s="34"/>
      <c r="AM985" s="34"/>
      <c r="AN985" s="34"/>
      <c r="AQ985" s="67"/>
      <c r="AR985" s="67"/>
      <c r="AS985" s="67"/>
      <c r="AT985" s="67"/>
      <c r="AU985" s="67"/>
      <c r="AW985" s="68"/>
      <c r="AX985" s="68"/>
      <c r="AY985" s="68"/>
      <c r="AZ985" s="68"/>
      <c r="BA985" s="68"/>
      <c r="BB985" s="68"/>
    </row>
    <row r="986" spans="1:54" ht="13.5" thickBot="1">
      <c r="A986" s="103">
        <v>40087</v>
      </c>
      <c r="B986" s="104">
        <v>3.3415000438690186</v>
      </c>
      <c r="C986" s="105">
        <v>1029.8499755859375</v>
      </c>
      <c r="D986" s="104">
        <v>1.5950000286102295</v>
      </c>
      <c r="E986">
        <v>89.742440285824017</v>
      </c>
      <c r="F986">
        <v>999.0211181640625</v>
      </c>
      <c r="G986" s="14"/>
      <c r="H986" s="34"/>
      <c r="I986" s="34"/>
      <c r="J986" s="34"/>
      <c r="K986" s="34"/>
      <c r="L986" s="34"/>
      <c r="N986" s="34"/>
      <c r="O986" s="35"/>
      <c r="P986" s="35"/>
      <c r="Q986" s="35"/>
      <c r="R986" s="35"/>
      <c r="S986" s="74"/>
      <c r="AJ986" s="34"/>
      <c r="AK986" s="34"/>
      <c r="AL986" s="34"/>
      <c r="AM986" s="34"/>
      <c r="AN986" s="34"/>
      <c r="AQ986" s="67"/>
      <c r="AR986" s="67"/>
      <c r="AS986" s="67"/>
      <c r="AT986" s="67"/>
      <c r="AU986" s="67"/>
      <c r="AW986" s="68"/>
      <c r="AX986" s="68"/>
      <c r="AY986" s="68"/>
      <c r="AZ986" s="68"/>
      <c r="BA986" s="68"/>
      <c r="BB986" s="68"/>
    </row>
    <row r="987" spans="1:54" ht="13.5" thickBot="1">
      <c r="A987" s="103">
        <v>40088</v>
      </c>
      <c r="B987" s="104">
        <v>3.3835000991821289</v>
      </c>
      <c r="C987" s="105">
        <v>1025.2099609375</v>
      </c>
      <c r="D987" s="104">
        <v>1.5918999910354614</v>
      </c>
      <c r="E987">
        <v>89.637861450993199</v>
      </c>
      <c r="F987">
        <v>1003.02099609375</v>
      </c>
      <c r="G987" s="14"/>
      <c r="H987" s="34"/>
      <c r="I987" s="34"/>
      <c r="J987" s="34"/>
      <c r="K987" s="34"/>
      <c r="L987" s="34"/>
      <c r="N987" s="34"/>
      <c r="O987" s="35"/>
      <c r="P987" s="35"/>
      <c r="Q987" s="35"/>
      <c r="R987" s="35"/>
      <c r="S987" s="74"/>
      <c r="AJ987" s="34"/>
      <c r="AK987" s="34"/>
      <c r="AL987" s="34"/>
      <c r="AM987" s="34"/>
      <c r="AN987" s="34"/>
      <c r="AQ987" s="67"/>
      <c r="AR987" s="67"/>
      <c r="AS987" s="67"/>
      <c r="AT987" s="67"/>
      <c r="AU987" s="67"/>
      <c r="AW987" s="68"/>
      <c r="AX987" s="68"/>
      <c r="AY987" s="68"/>
      <c r="AZ987" s="68"/>
      <c r="BA987" s="68"/>
      <c r="BB987" s="68"/>
    </row>
    <row r="988" spans="1:54" ht="13.5" thickBot="1">
      <c r="A988" s="103">
        <v>40091</v>
      </c>
      <c r="B988" s="104">
        <v>3.3919999599456787</v>
      </c>
      <c r="C988" s="105">
        <v>1040.4599609375</v>
      </c>
      <c r="D988" s="104">
        <v>1.593999981880188</v>
      </c>
      <c r="E988">
        <v>89.517500043769076</v>
      </c>
      <c r="F988">
        <v>1011.0864868164062</v>
      </c>
      <c r="G988" s="14"/>
      <c r="H988" s="34"/>
      <c r="I988" s="34"/>
      <c r="J988" s="34"/>
      <c r="K988" s="34"/>
      <c r="L988" s="34"/>
      <c r="N988" s="34"/>
      <c r="O988" s="35"/>
      <c r="P988" s="35"/>
      <c r="Q988" s="35"/>
      <c r="R988" s="35"/>
      <c r="S988" s="74"/>
      <c r="AJ988" s="34"/>
      <c r="AK988" s="34"/>
      <c r="AL988" s="34"/>
      <c r="AM988" s="34"/>
      <c r="AN988" s="34"/>
      <c r="AQ988" s="67"/>
      <c r="AR988" s="67"/>
      <c r="AS988" s="67"/>
      <c r="AT988" s="67"/>
      <c r="AU988" s="67"/>
      <c r="AW988" s="68"/>
      <c r="AX988" s="68"/>
      <c r="AY988" s="68"/>
      <c r="AZ988" s="68"/>
      <c r="BA988" s="68"/>
      <c r="BB988" s="68"/>
    </row>
    <row r="989" spans="1:54" ht="13.5" thickBot="1">
      <c r="A989" s="103">
        <v>40092</v>
      </c>
      <c r="B989" s="104">
        <v>3.4210000038146973</v>
      </c>
      <c r="C989" s="105">
        <v>1054.719970703125</v>
      </c>
      <c r="D989" s="104">
        <v>1.5910999774932861</v>
      </c>
      <c r="E989">
        <v>88.817836064228587</v>
      </c>
      <c r="F989">
        <v>1040.986083984375</v>
      </c>
      <c r="G989" s="14"/>
      <c r="H989" s="34"/>
      <c r="I989" s="34"/>
      <c r="J989" s="34"/>
      <c r="K989" s="34"/>
      <c r="L989" s="34"/>
      <c r="N989" s="34"/>
      <c r="O989" s="35"/>
      <c r="P989" s="35"/>
      <c r="Q989" s="35"/>
      <c r="R989" s="35"/>
      <c r="S989" s="74"/>
      <c r="AJ989" s="34"/>
      <c r="AK989" s="34"/>
      <c r="AL989" s="34"/>
      <c r="AM989" s="34"/>
      <c r="AN989" s="34"/>
      <c r="AQ989" s="67"/>
      <c r="AR989" s="67"/>
      <c r="AS989" s="67"/>
      <c r="AT989" s="67"/>
      <c r="AU989" s="67"/>
      <c r="AW989" s="68"/>
      <c r="AX989" s="68"/>
      <c r="AY989" s="68"/>
      <c r="AZ989" s="68"/>
      <c r="BA989" s="68"/>
      <c r="BB989" s="68"/>
    </row>
    <row r="990" spans="1:54" ht="13.5" thickBot="1">
      <c r="A990" s="103">
        <v>40093</v>
      </c>
      <c r="B990" s="104">
        <v>3.3429999351501465</v>
      </c>
      <c r="C990" s="105">
        <v>1057.5799560546875</v>
      </c>
      <c r="D990" s="104">
        <v>1.593500018119812</v>
      </c>
      <c r="E990">
        <v>88.63676842121339</v>
      </c>
      <c r="F990">
        <v>1039.986083984375</v>
      </c>
      <c r="G990" s="14"/>
      <c r="H990" s="34"/>
      <c r="I990" s="34"/>
      <c r="J990" s="34"/>
      <c r="K990" s="34"/>
      <c r="L990" s="34"/>
      <c r="N990" s="34"/>
      <c r="O990" s="35"/>
      <c r="P990" s="35"/>
      <c r="Q990" s="35"/>
      <c r="R990" s="35"/>
      <c r="S990" s="74"/>
      <c r="AJ990" s="34"/>
      <c r="AK990" s="34"/>
      <c r="AL990" s="34"/>
      <c r="AM990" s="34"/>
      <c r="AN990" s="34"/>
      <c r="AQ990" s="67"/>
      <c r="AR990" s="67"/>
      <c r="AS990" s="67"/>
      <c r="AT990" s="67"/>
      <c r="AU990" s="67"/>
      <c r="AW990" s="68"/>
      <c r="AX990" s="68"/>
      <c r="AY990" s="68"/>
      <c r="AZ990" s="68"/>
      <c r="BA990" s="68"/>
      <c r="BB990" s="68"/>
    </row>
    <row r="991" spans="1:54" ht="13.5" thickBot="1">
      <c r="A991" s="103">
        <v>40094</v>
      </c>
      <c r="B991" s="104">
        <v>3.4144999980926514</v>
      </c>
      <c r="C991" s="105">
        <v>1065.47998046875</v>
      </c>
      <c r="D991" s="104">
        <v>1.6067999601364136</v>
      </c>
      <c r="E991">
        <v>88.51907867569669</v>
      </c>
      <c r="F991">
        <v>1057.07177734375</v>
      </c>
      <c r="G991" s="14"/>
      <c r="H991" s="34"/>
      <c r="I991" s="34"/>
      <c r="J991" s="34"/>
      <c r="K991" s="34"/>
      <c r="L991" s="34"/>
      <c r="N991" s="34"/>
      <c r="O991" s="35"/>
      <c r="P991" s="35"/>
      <c r="Q991" s="35"/>
      <c r="R991" s="35"/>
      <c r="S991" s="74"/>
      <c r="AJ991" s="34"/>
      <c r="AK991" s="34"/>
      <c r="AL991" s="34"/>
      <c r="AM991" s="34"/>
      <c r="AN991" s="34"/>
      <c r="AQ991" s="67"/>
      <c r="AR991" s="67"/>
      <c r="AS991" s="67"/>
      <c r="AT991" s="67"/>
      <c r="AU991" s="67"/>
      <c r="AW991" s="68"/>
      <c r="AX991" s="68"/>
      <c r="AY991" s="68"/>
      <c r="AZ991" s="68"/>
      <c r="BA991" s="68"/>
      <c r="BB991" s="68"/>
    </row>
    <row r="992" spans="1:54" ht="13.5" thickBot="1">
      <c r="A992" s="103">
        <v>40095</v>
      </c>
      <c r="B992" s="104">
        <v>3.5521669387817383</v>
      </c>
      <c r="C992" s="105">
        <v>1071.489990234375</v>
      </c>
      <c r="D992" s="104">
        <v>1.5835000276565552</v>
      </c>
      <c r="E992">
        <v>89.863407751820944</v>
      </c>
      <c r="F992">
        <v>1046.0721435546875</v>
      </c>
      <c r="G992" s="14"/>
      <c r="H992" s="34"/>
      <c r="I992" s="34"/>
      <c r="J992" s="34"/>
      <c r="K992" s="34"/>
      <c r="L992" s="34"/>
      <c r="N992" s="34"/>
      <c r="O992" s="35"/>
      <c r="P992" s="35"/>
      <c r="Q992" s="35"/>
      <c r="R992" s="35"/>
      <c r="S992" s="74"/>
      <c r="AJ992" s="34"/>
      <c r="AK992" s="34"/>
      <c r="AL992" s="34"/>
      <c r="AM992" s="34"/>
      <c r="AN992" s="34"/>
      <c r="AQ992" s="67"/>
      <c r="AR992" s="67"/>
      <c r="AS992" s="67"/>
      <c r="AT992" s="67"/>
      <c r="AU992" s="67"/>
      <c r="AW992" s="68"/>
      <c r="AX992" s="68"/>
      <c r="AY992" s="68"/>
      <c r="AZ992" s="68"/>
      <c r="BA992" s="68"/>
      <c r="BB992" s="68"/>
    </row>
    <row r="993" spans="1:54" ht="13.5" thickBot="1">
      <c r="A993" s="103">
        <v>40098</v>
      </c>
      <c r="B993" s="104">
        <v>3.5521669387817383</v>
      </c>
      <c r="C993" s="105">
        <v>1076.18994140625</v>
      </c>
      <c r="D993" s="104">
        <v>1.5786000490188599</v>
      </c>
      <c r="E993">
        <v>89.863407751820944</v>
      </c>
      <c r="F993">
        <v>1055.0859375</v>
      </c>
      <c r="G993" s="14"/>
      <c r="H993" s="34"/>
      <c r="I993" s="34"/>
      <c r="J993" s="34"/>
      <c r="K993" s="34"/>
      <c r="L993" s="34"/>
      <c r="N993" s="34"/>
      <c r="O993" s="35"/>
      <c r="P993" s="35"/>
      <c r="Q993" s="35"/>
      <c r="R993" s="35"/>
      <c r="S993" s="74"/>
      <c r="AJ993" s="34"/>
      <c r="AK993" s="34"/>
      <c r="AL993" s="34"/>
      <c r="AM993" s="34"/>
      <c r="AN993" s="34"/>
      <c r="AQ993" s="67"/>
      <c r="AR993" s="67"/>
      <c r="AS993" s="67"/>
      <c r="AT993" s="67"/>
      <c r="AU993" s="67"/>
      <c r="AW993" s="68"/>
      <c r="AX993" s="68"/>
      <c r="AY993" s="68"/>
      <c r="AZ993" s="68"/>
      <c r="BA993" s="68"/>
      <c r="BB993" s="68"/>
    </row>
    <row r="994" spans="1:54" ht="13.5" thickBot="1">
      <c r="A994" s="103">
        <v>40099</v>
      </c>
      <c r="B994" s="104">
        <v>3.4769999980926514</v>
      </c>
      <c r="C994" s="105">
        <v>1073.18994140625</v>
      </c>
      <c r="D994" s="104">
        <v>1.5895999670028687</v>
      </c>
      <c r="E994">
        <v>89.798850214711834</v>
      </c>
      <c r="F994">
        <v>1064.0858154296875</v>
      </c>
      <c r="G994" s="14"/>
      <c r="H994" s="34"/>
      <c r="I994" s="34"/>
      <c r="J994" s="34"/>
      <c r="K994" s="34"/>
      <c r="L994" s="34"/>
      <c r="N994" s="34"/>
      <c r="O994" s="35"/>
      <c r="P994" s="35"/>
      <c r="Q994" s="35"/>
      <c r="R994" s="35"/>
      <c r="S994" s="74"/>
      <c r="AJ994" s="34"/>
      <c r="AK994" s="34"/>
      <c r="AL994" s="34"/>
      <c r="AM994" s="34"/>
      <c r="AN994" s="34"/>
      <c r="AQ994" s="67"/>
      <c r="AR994" s="67"/>
      <c r="AS994" s="67"/>
      <c r="AT994" s="67"/>
      <c r="AU994" s="67"/>
      <c r="AW994" s="68"/>
      <c r="AX994" s="68"/>
      <c r="AY994" s="68"/>
      <c r="AZ994" s="68"/>
      <c r="BA994" s="68"/>
      <c r="BB994" s="68"/>
    </row>
    <row r="995" spans="1:54" ht="13.5" thickBot="1">
      <c r="A995" s="103">
        <v>40100</v>
      </c>
      <c r="B995" s="104">
        <v>3.5910000801086426</v>
      </c>
      <c r="C995" s="105">
        <v>1092.02001953125</v>
      </c>
      <c r="D995" s="104">
        <v>1.5968999862670898</v>
      </c>
      <c r="E995">
        <v>89.501479755173762</v>
      </c>
      <c r="F995">
        <v>1062.0858154296875</v>
      </c>
      <c r="G995" s="14"/>
      <c r="H995" s="34"/>
      <c r="I995" s="34"/>
      <c r="J995" s="34"/>
      <c r="K995" s="34"/>
      <c r="L995" s="34"/>
      <c r="N995" s="34"/>
      <c r="O995" s="35"/>
      <c r="P995" s="35"/>
      <c r="Q995" s="35"/>
      <c r="R995" s="35"/>
      <c r="S995" s="74"/>
      <c r="AJ995" s="34"/>
      <c r="AK995" s="34"/>
      <c r="AL995" s="34"/>
      <c r="AM995" s="34"/>
      <c r="AN995" s="34"/>
      <c r="AQ995" s="67"/>
      <c r="AR995" s="67"/>
      <c r="AS995" s="67"/>
      <c r="AT995" s="67"/>
      <c r="AU995" s="67"/>
      <c r="AW995" s="68"/>
      <c r="AX995" s="68"/>
      <c r="AY995" s="68"/>
      <c r="AZ995" s="68"/>
      <c r="BA995" s="68"/>
      <c r="BB995" s="68"/>
    </row>
    <row r="996" spans="1:54" ht="13.5" thickBot="1">
      <c r="A996" s="103">
        <v>40101</v>
      </c>
      <c r="B996" s="104">
        <v>3.6480000019073486</v>
      </c>
      <c r="C996" s="105">
        <v>1096.56005859375</v>
      </c>
      <c r="D996" s="104">
        <v>1.6268999576568604</v>
      </c>
      <c r="E996">
        <v>90.661833808817292</v>
      </c>
      <c r="F996">
        <v>1058.621826171875</v>
      </c>
      <c r="G996" s="14"/>
      <c r="H996" s="34"/>
      <c r="I996" s="34"/>
      <c r="J996" s="34"/>
      <c r="K996" s="34"/>
      <c r="L996" s="34"/>
      <c r="N996" s="34"/>
      <c r="O996" s="35"/>
      <c r="P996" s="35"/>
      <c r="Q996" s="35"/>
      <c r="R996" s="35"/>
      <c r="S996" s="74"/>
      <c r="AJ996" s="34"/>
      <c r="AK996" s="34"/>
      <c r="AL996" s="34"/>
      <c r="AM996" s="34"/>
      <c r="AN996" s="34"/>
      <c r="AQ996" s="67"/>
      <c r="AR996" s="67"/>
      <c r="AS996" s="67"/>
      <c r="AT996" s="67"/>
      <c r="AU996" s="67"/>
      <c r="AW996" s="68"/>
      <c r="AX996" s="68"/>
      <c r="AY996" s="68"/>
      <c r="AZ996" s="68"/>
      <c r="BA996" s="68"/>
      <c r="BB996" s="68"/>
    </row>
    <row r="997" spans="1:54" ht="13.5" thickBot="1">
      <c r="A997" s="103">
        <v>40102</v>
      </c>
      <c r="B997" s="104">
        <v>3.6050000190734863</v>
      </c>
      <c r="C997" s="105">
        <v>1087.6800537109375</v>
      </c>
      <c r="D997" s="104">
        <v>1.6354000568389893</v>
      </c>
      <c r="E997">
        <v>90.876045315224843</v>
      </c>
      <c r="F997">
        <v>1053.221923828125</v>
      </c>
      <c r="G997" s="14"/>
      <c r="H997" s="34"/>
      <c r="I997" s="34"/>
      <c r="J997" s="34"/>
      <c r="K997" s="34"/>
      <c r="L997" s="34"/>
      <c r="N997" s="34"/>
      <c r="O997" s="35"/>
      <c r="P997" s="35"/>
      <c r="Q997" s="35"/>
      <c r="R997" s="35"/>
      <c r="S997" s="74"/>
      <c r="AJ997" s="34"/>
      <c r="AK997" s="34"/>
      <c r="AL997" s="34"/>
      <c r="AM997" s="34"/>
      <c r="AN997" s="34"/>
      <c r="AQ997" s="67"/>
      <c r="AR997" s="67"/>
      <c r="AS997" s="67"/>
      <c r="AT997" s="67"/>
      <c r="AU997" s="67"/>
      <c r="AW997" s="68"/>
      <c r="AX997" s="68"/>
      <c r="AY997" s="68"/>
      <c r="AZ997" s="68"/>
      <c r="BA997" s="68"/>
      <c r="BB997" s="68"/>
    </row>
    <row r="998" spans="1:54" ht="13.5" thickBot="1">
      <c r="A998" s="103">
        <v>40105</v>
      </c>
      <c r="B998" s="104">
        <v>3.5750000476837158</v>
      </c>
      <c r="C998" s="105">
        <v>1097.9100341796875</v>
      </c>
      <c r="D998" s="104">
        <v>1.6373000144958496</v>
      </c>
      <c r="E998">
        <v>90.702944854554872</v>
      </c>
      <c r="F998">
        <v>1057.23583984375</v>
      </c>
      <c r="G998" s="14"/>
      <c r="H998" s="34"/>
      <c r="I998" s="34"/>
      <c r="J998" s="34"/>
      <c r="K998" s="34"/>
      <c r="L998" s="34"/>
      <c r="N998" s="34"/>
      <c r="O998" s="35"/>
      <c r="P998" s="35"/>
      <c r="Q998" s="35"/>
      <c r="R998" s="35"/>
      <c r="S998" s="74"/>
      <c r="AJ998" s="34"/>
      <c r="AK998" s="34"/>
      <c r="AL998" s="34"/>
      <c r="AM998" s="34"/>
      <c r="AN998" s="34"/>
      <c r="AQ998" s="67"/>
      <c r="AR998" s="67"/>
      <c r="AS998" s="67"/>
      <c r="AT998" s="67"/>
      <c r="AU998" s="67"/>
      <c r="AW998" s="68"/>
      <c r="AX998" s="68"/>
      <c r="AY998" s="68"/>
      <c r="AZ998" s="68"/>
      <c r="BA998" s="68"/>
      <c r="BB998" s="68"/>
    </row>
    <row r="999" spans="1:54" ht="13.5" thickBot="1">
      <c r="A999" s="103">
        <v>40106</v>
      </c>
      <c r="B999" s="104">
        <v>3.5120000839233398</v>
      </c>
      <c r="C999" s="105">
        <v>1091.06005859375</v>
      </c>
      <c r="D999" s="104">
        <v>1.6355999708175659</v>
      </c>
      <c r="E999">
        <v>90.719405846100187</v>
      </c>
      <c r="F999">
        <v>1054.23583984375</v>
      </c>
      <c r="G999" s="14"/>
      <c r="H999" s="34"/>
      <c r="I999" s="34"/>
      <c r="J999" s="34"/>
      <c r="K999" s="34"/>
      <c r="L999" s="34"/>
      <c r="N999" s="34"/>
      <c r="O999" s="35"/>
      <c r="P999" s="35"/>
      <c r="Q999" s="35"/>
      <c r="R999" s="35"/>
      <c r="S999" s="74"/>
      <c r="AJ999" s="34"/>
      <c r="AK999" s="34"/>
      <c r="AL999" s="34"/>
      <c r="AM999" s="34"/>
      <c r="AN999" s="34"/>
      <c r="AQ999" s="67"/>
      <c r="AR999" s="67"/>
      <c r="AS999" s="67"/>
      <c r="AT999" s="67"/>
      <c r="AU999" s="67"/>
      <c r="AW999" s="68"/>
      <c r="AX999" s="68"/>
      <c r="AY999" s="68"/>
      <c r="AZ999" s="68"/>
      <c r="BA999" s="68"/>
      <c r="BB999" s="68"/>
    </row>
    <row r="1000" spans="1:54" ht="13.5" thickBot="1">
      <c r="A1000" s="103">
        <v>40107</v>
      </c>
      <c r="B1000" s="104">
        <v>3.5875000953674316</v>
      </c>
      <c r="C1000" s="105">
        <v>1081.4000244140625</v>
      </c>
      <c r="D1000" s="104">
        <v>1.6625000238418579</v>
      </c>
      <c r="E1000">
        <v>91.058092834252321</v>
      </c>
      <c r="F1000">
        <v>1058.285888671875</v>
      </c>
      <c r="G1000" s="14"/>
      <c r="H1000" s="34"/>
      <c r="I1000" s="34"/>
      <c r="J1000" s="34"/>
      <c r="K1000" s="34"/>
      <c r="L1000" s="34"/>
      <c r="N1000" s="34"/>
      <c r="O1000" s="35"/>
      <c r="P1000" s="35"/>
      <c r="Q1000" s="35"/>
      <c r="R1000" s="35"/>
      <c r="S1000" s="74"/>
      <c r="AJ1000" s="34"/>
      <c r="AK1000" s="34"/>
      <c r="AL1000" s="34"/>
      <c r="AM1000" s="34"/>
      <c r="AN1000" s="34"/>
      <c r="AQ1000" s="67"/>
      <c r="AR1000" s="67"/>
      <c r="AS1000" s="67"/>
      <c r="AT1000" s="67"/>
      <c r="AU1000" s="67"/>
      <c r="AW1000" s="68"/>
      <c r="AX1000" s="68"/>
      <c r="AY1000" s="68"/>
      <c r="AZ1000" s="68"/>
      <c r="BA1000" s="68"/>
      <c r="BB1000" s="68"/>
    </row>
    <row r="1001" spans="1:54" ht="13.5" thickBot="1">
      <c r="A1001" s="103">
        <v>40108</v>
      </c>
      <c r="B1001" s="104">
        <v>3.5985000133514404</v>
      </c>
      <c r="C1001" s="105">
        <v>1092.9100341796875</v>
      </c>
      <c r="D1001" s="104">
        <v>1.6620999574661255</v>
      </c>
      <c r="E1001">
        <v>91.282516929157083</v>
      </c>
      <c r="F1001">
        <v>1056.4217529296875</v>
      </c>
      <c r="G1001" s="14"/>
      <c r="H1001" s="34"/>
      <c r="I1001" s="34"/>
      <c r="J1001" s="34"/>
      <c r="K1001" s="34"/>
      <c r="L1001" s="34"/>
      <c r="N1001" s="34"/>
      <c r="O1001" s="35"/>
      <c r="P1001" s="35"/>
      <c r="Q1001" s="35"/>
      <c r="R1001" s="35"/>
      <c r="S1001" s="74"/>
      <c r="AJ1001" s="34"/>
      <c r="AK1001" s="34"/>
      <c r="AL1001" s="34"/>
      <c r="AM1001" s="34"/>
      <c r="AN1001" s="34"/>
      <c r="AQ1001" s="67"/>
      <c r="AR1001" s="67"/>
      <c r="AS1001" s="67"/>
      <c r="AT1001" s="67"/>
      <c r="AU1001" s="67"/>
      <c r="AW1001" s="68"/>
      <c r="AX1001" s="68"/>
      <c r="AY1001" s="68"/>
      <c r="AZ1001" s="68"/>
      <c r="BA1001" s="68"/>
      <c r="BB1001" s="68"/>
    </row>
    <row r="1002" spans="1:54" ht="13.5" thickBot="1">
      <c r="A1002" s="103">
        <v>40109</v>
      </c>
      <c r="B1002" s="104">
        <v>3.6549999713897705</v>
      </c>
      <c r="C1002" s="105">
        <v>1079.5999755859375</v>
      </c>
      <c r="D1002" s="104">
        <v>1.631100058555603</v>
      </c>
      <c r="E1002">
        <v>92.123449365006138</v>
      </c>
      <c r="F1002">
        <v>1056.4217529296875</v>
      </c>
      <c r="G1002" s="14"/>
      <c r="H1002" s="34"/>
      <c r="I1002" s="34"/>
      <c r="J1002" s="34"/>
      <c r="K1002" s="34"/>
      <c r="L1002" s="34"/>
      <c r="N1002" s="34"/>
      <c r="O1002" s="35"/>
      <c r="P1002" s="35"/>
      <c r="Q1002" s="35"/>
      <c r="R1002" s="35"/>
      <c r="S1002" s="74"/>
      <c r="AJ1002" s="34"/>
      <c r="AK1002" s="34"/>
      <c r="AL1002" s="34"/>
      <c r="AM1002" s="34"/>
      <c r="AN1002" s="34"/>
      <c r="AQ1002" s="67"/>
      <c r="AR1002" s="67"/>
      <c r="AS1002" s="67"/>
      <c r="AT1002" s="67"/>
      <c r="AU1002" s="67"/>
      <c r="AW1002" s="68"/>
      <c r="AX1002" s="68"/>
      <c r="AY1002" s="68"/>
      <c r="AZ1002" s="68"/>
      <c r="BA1002" s="68"/>
      <c r="BB1002" s="68"/>
    </row>
    <row r="1003" spans="1:54" ht="13.5" thickBot="1">
      <c r="A1003" s="103">
        <v>40112</v>
      </c>
      <c r="B1003" s="104">
        <v>3.7409999370574951</v>
      </c>
      <c r="C1003" s="105">
        <v>1066.949951171875</v>
      </c>
      <c r="D1003" s="104">
        <v>1.6303999423980713</v>
      </c>
      <c r="E1003">
        <v>92.216896823471942</v>
      </c>
      <c r="F1003">
        <v>1046.43603515625</v>
      </c>
      <c r="G1003" s="14"/>
      <c r="H1003" s="34"/>
      <c r="I1003" s="34"/>
      <c r="J1003" s="34"/>
      <c r="K1003" s="34"/>
      <c r="L1003" s="34"/>
      <c r="N1003" s="34"/>
      <c r="O1003" s="35"/>
      <c r="P1003" s="35"/>
      <c r="Q1003" s="35"/>
      <c r="R1003" s="35"/>
      <c r="S1003" s="74"/>
      <c r="AJ1003" s="34"/>
      <c r="AK1003" s="34"/>
      <c r="AL1003" s="34"/>
      <c r="AM1003" s="34"/>
      <c r="AN1003" s="34"/>
      <c r="AQ1003" s="67"/>
      <c r="AR1003" s="67"/>
      <c r="AS1003" s="67"/>
      <c r="AT1003" s="67"/>
      <c r="AU1003" s="67"/>
      <c r="AW1003" s="68"/>
      <c r="AX1003" s="68"/>
      <c r="AY1003" s="68"/>
      <c r="AZ1003" s="68"/>
      <c r="BA1003" s="68"/>
      <c r="BB1003" s="68"/>
    </row>
    <row r="1004" spans="1:54" ht="13.5" thickBot="1">
      <c r="A1004" s="103">
        <v>40113</v>
      </c>
      <c r="B1004" s="104">
        <v>3.6354999542236328</v>
      </c>
      <c r="C1004" s="105">
        <v>1063.4100341796875</v>
      </c>
      <c r="D1004" s="104">
        <v>1.638700008392334</v>
      </c>
      <c r="E1004">
        <v>91.802072284583033</v>
      </c>
      <c r="F1004">
        <v>1038.4361572265625</v>
      </c>
      <c r="G1004" s="14"/>
      <c r="H1004" s="34"/>
      <c r="I1004" s="34"/>
      <c r="J1004" s="34"/>
      <c r="K1004" s="34"/>
      <c r="L1004" s="34"/>
      <c r="N1004" s="34"/>
      <c r="O1004" s="35"/>
      <c r="P1004" s="35"/>
      <c r="Q1004" s="35"/>
      <c r="R1004" s="35"/>
      <c r="S1004" s="74"/>
      <c r="AJ1004" s="34"/>
      <c r="AK1004" s="34"/>
      <c r="AL1004" s="34"/>
      <c r="AM1004" s="34"/>
      <c r="AN1004" s="34"/>
      <c r="AQ1004" s="67"/>
      <c r="AR1004" s="67"/>
      <c r="AS1004" s="67"/>
      <c r="AT1004" s="67"/>
      <c r="AU1004" s="67"/>
      <c r="AW1004" s="68"/>
      <c r="AX1004" s="68"/>
      <c r="AY1004" s="68"/>
      <c r="AZ1004" s="68"/>
      <c r="BA1004" s="68"/>
      <c r="BB1004" s="68"/>
    </row>
    <row r="1005" spans="1:54" ht="13.5" thickBot="1">
      <c r="A1005" s="103">
        <v>40114</v>
      </c>
      <c r="B1005" s="104">
        <v>3.5764999389648437</v>
      </c>
      <c r="C1005" s="105">
        <v>1042.6300048828125</v>
      </c>
      <c r="D1005" s="104">
        <v>1.6411000490188599</v>
      </c>
      <c r="E1005">
        <v>90.801777470484652</v>
      </c>
      <c r="F1005">
        <v>1031.5362548828125</v>
      </c>
      <c r="G1005" s="14"/>
      <c r="H1005" s="34"/>
      <c r="I1005" s="34"/>
      <c r="J1005" s="34"/>
      <c r="K1005" s="34"/>
      <c r="L1005" s="34"/>
      <c r="N1005" s="34"/>
      <c r="O1005" s="35"/>
      <c r="P1005" s="35"/>
      <c r="Q1005" s="35"/>
      <c r="R1005" s="35"/>
      <c r="S1005" s="74"/>
      <c r="AJ1005" s="34"/>
      <c r="AK1005" s="34"/>
      <c r="AL1005" s="34"/>
      <c r="AM1005" s="34"/>
      <c r="AN1005" s="34"/>
      <c r="AQ1005" s="67"/>
      <c r="AR1005" s="67"/>
      <c r="AS1005" s="67"/>
      <c r="AT1005" s="67"/>
      <c r="AU1005" s="67"/>
      <c r="AW1005" s="68"/>
      <c r="AX1005" s="68"/>
      <c r="AY1005" s="68"/>
      <c r="AZ1005" s="68"/>
      <c r="BA1005" s="68"/>
      <c r="BB1005" s="68"/>
    </row>
    <row r="1006" spans="1:54" ht="13.5" thickBot="1">
      <c r="A1006" s="103">
        <v>40115</v>
      </c>
      <c r="B1006" s="104">
        <v>3.6665000915527344</v>
      </c>
      <c r="C1006" s="105">
        <v>1066.1099853515625</v>
      </c>
      <c r="D1006" s="104">
        <v>1.6548999547958374</v>
      </c>
      <c r="E1006">
        <v>91.541557412744353</v>
      </c>
      <c r="F1006">
        <v>1043.6221923828125</v>
      </c>
      <c r="G1006" s="14"/>
      <c r="H1006" s="34"/>
      <c r="I1006" s="34"/>
      <c r="J1006" s="34"/>
      <c r="K1006" s="34"/>
      <c r="L1006" s="34"/>
      <c r="N1006" s="34"/>
      <c r="O1006" s="35"/>
      <c r="P1006" s="35"/>
      <c r="Q1006" s="35"/>
      <c r="R1006" s="35"/>
      <c r="S1006" s="74"/>
      <c r="AQ1006" s="67"/>
      <c r="AR1006" s="67"/>
      <c r="AS1006" s="67"/>
      <c r="AT1006" s="67"/>
      <c r="AU1006" s="67"/>
      <c r="AW1006" s="68"/>
      <c r="AX1006" s="68"/>
      <c r="AY1006" s="68"/>
      <c r="AZ1006" s="68"/>
      <c r="BA1006" s="68"/>
      <c r="BB1006" s="68"/>
    </row>
    <row r="1007" spans="1:54" ht="13.5" thickBot="1">
      <c r="A1007" s="103">
        <v>40116</v>
      </c>
      <c r="B1007" s="104">
        <v>3.560499906539917</v>
      </c>
      <c r="C1007" s="105">
        <v>1036.18994140625</v>
      </c>
      <c r="D1007" s="104">
        <v>1.6446499824523926</v>
      </c>
      <c r="E1007">
        <v>89.992801694417068</v>
      </c>
      <c r="F1007">
        <v>1039.622314453125</v>
      </c>
      <c r="G1007" s="14"/>
      <c r="H1007" s="34"/>
      <c r="I1007" s="34"/>
      <c r="J1007" s="34"/>
      <c r="K1007" s="34"/>
      <c r="L1007" s="34"/>
      <c r="N1007" s="34"/>
      <c r="O1007" s="35"/>
      <c r="P1007" s="35"/>
      <c r="Q1007" s="35"/>
      <c r="R1007" s="35"/>
      <c r="S1007" s="74"/>
    </row>
    <row r="1008" spans="1:54" ht="13.5" thickBot="1">
      <c r="A1008" s="103">
        <v>40119</v>
      </c>
      <c r="B1008" s="104">
        <v>3.5999999046325684</v>
      </c>
      <c r="C1008" s="105">
        <v>1042.8800048828125</v>
      </c>
      <c r="D1008" s="104">
        <v>1.638200044631958</v>
      </c>
      <c r="E1008">
        <v>90.399566516570673</v>
      </c>
      <c r="F1008">
        <v>1060.6358642578125</v>
      </c>
      <c r="G1008" s="14"/>
      <c r="H1008" s="34"/>
      <c r="I1008" s="34"/>
      <c r="J1008" s="34"/>
      <c r="K1008" s="34"/>
      <c r="L1008" s="34"/>
      <c r="N1008" s="34"/>
      <c r="O1008" s="35"/>
      <c r="P1008" s="35"/>
      <c r="Q1008" s="35"/>
      <c r="R1008" s="35"/>
      <c r="S1008" s="74"/>
    </row>
    <row r="1009" spans="1:42" ht="13.5" thickBot="1">
      <c r="A1009" s="103">
        <v>40120</v>
      </c>
      <c r="B1009" s="104">
        <v>3.6535000801086426</v>
      </c>
      <c r="C1009" s="105">
        <v>1045.4100341796875</v>
      </c>
      <c r="D1009" s="104">
        <v>1.6403000354766846</v>
      </c>
      <c r="E1009">
        <v>90.317922686260104</v>
      </c>
      <c r="F1009">
        <v>1078.6356201171875</v>
      </c>
      <c r="G1009" s="14"/>
      <c r="H1009" s="34"/>
      <c r="I1009" s="34"/>
      <c r="J1009" s="34"/>
      <c r="K1009" s="34"/>
      <c r="L1009" s="34"/>
      <c r="N1009" s="34"/>
      <c r="O1009" s="35"/>
      <c r="P1009" s="35"/>
      <c r="Q1009" s="35"/>
      <c r="R1009" s="35"/>
      <c r="S1009" s="74"/>
      <c r="AJ1009" s="108" t="s">
        <v>74</v>
      </c>
      <c r="AK1009" s="108"/>
      <c r="AL1009" s="108"/>
      <c r="AM1009" s="108"/>
      <c r="AN1009" s="108"/>
      <c r="AO1009" s="108"/>
    </row>
    <row r="1010" spans="1:42" ht="13.5" thickBot="1">
      <c r="A1010" s="103">
        <v>40121</v>
      </c>
      <c r="B1010" s="104">
        <v>3.7130000591278076</v>
      </c>
      <c r="C1010" s="105">
        <v>1046.5</v>
      </c>
      <c r="D1010" s="104">
        <v>1.6588000059127808</v>
      </c>
      <c r="E1010">
        <v>90.818274357604366</v>
      </c>
      <c r="F1010">
        <v>1091.6353759765625</v>
      </c>
      <c r="G1010" s="14"/>
      <c r="H1010" s="34"/>
      <c r="I1010" s="34"/>
      <c r="J1010" s="34"/>
      <c r="K1010" s="34"/>
      <c r="L1010" s="34"/>
      <c r="N1010" s="34"/>
      <c r="O1010" s="35"/>
      <c r="P1010" s="35"/>
      <c r="Q1010" s="35"/>
      <c r="R1010" s="35"/>
      <c r="S1010" s="74"/>
      <c r="AJ1010" s="2" t="s">
        <v>75</v>
      </c>
      <c r="AK1010" s="2"/>
      <c r="AL1010" s="2"/>
      <c r="AM1010" s="2"/>
      <c r="AN1010" s="2"/>
    </row>
    <row r="1011" spans="1:42" ht="13.5" thickBot="1">
      <c r="A1011" s="103">
        <v>40122</v>
      </c>
      <c r="B1011" s="104">
        <v>3.6954998970031738</v>
      </c>
      <c r="C1011" s="105">
        <v>1066.6300048828125</v>
      </c>
      <c r="D1011" s="104">
        <v>1.6586999893188477</v>
      </c>
      <c r="E1011">
        <v>90.777051048583317</v>
      </c>
      <c r="F1011">
        <v>1089.720947265625</v>
      </c>
      <c r="G1011" s="14"/>
      <c r="H1011" s="34"/>
      <c r="I1011" s="34"/>
      <c r="J1011" s="34"/>
      <c r="K1011" s="34"/>
      <c r="L1011" s="34"/>
      <c r="N1011" s="34"/>
      <c r="O1011" s="35"/>
      <c r="P1011" s="35"/>
      <c r="Q1011" s="35"/>
      <c r="R1011" s="35"/>
      <c r="S1011" s="74"/>
      <c r="AJ1011" s="80" t="s">
        <v>76</v>
      </c>
    </row>
    <row r="1012" spans="1:42" ht="13.5" thickBot="1">
      <c r="A1012" s="103">
        <v>40123</v>
      </c>
      <c r="B1012" s="104">
        <v>3.6565001010894775</v>
      </c>
      <c r="C1012" s="105">
        <v>1069.300048828125</v>
      </c>
      <c r="D1012" s="104">
        <v>1.6599999666213989</v>
      </c>
      <c r="E1012">
        <v>89.960418287502534</v>
      </c>
      <c r="F1012">
        <v>1093.7208251953125</v>
      </c>
      <c r="G1012" s="14"/>
      <c r="H1012" s="34"/>
      <c r="I1012" s="34"/>
      <c r="J1012" s="34"/>
      <c r="K1012" s="34"/>
      <c r="L1012" s="34"/>
      <c r="N1012" s="34"/>
      <c r="O1012" s="35"/>
      <c r="P1012" s="35"/>
      <c r="Q1012" s="35"/>
      <c r="R1012" s="35"/>
      <c r="S1012" s="74"/>
      <c r="AJ1012" s="80" t="s">
        <v>77</v>
      </c>
    </row>
    <row r="1013" spans="1:42" ht="13.5" thickBot="1">
      <c r="A1013" s="103">
        <v>40126</v>
      </c>
      <c r="B1013" s="104">
        <v>3.6329998970031738</v>
      </c>
      <c r="C1013" s="105">
        <v>1093.0799560546875</v>
      </c>
      <c r="D1013" s="104">
        <v>1.6753000020980835</v>
      </c>
      <c r="E1013">
        <v>89.976603307292777</v>
      </c>
      <c r="F1013">
        <v>1107.7352294921875</v>
      </c>
      <c r="G1013" s="14"/>
      <c r="H1013" s="34"/>
      <c r="I1013" s="34"/>
      <c r="J1013" s="34"/>
      <c r="K1013" s="34"/>
      <c r="L1013" s="34"/>
      <c r="N1013" s="34"/>
      <c r="O1013" s="35"/>
      <c r="P1013" s="35"/>
      <c r="Q1013" s="35"/>
      <c r="R1013" s="35"/>
      <c r="S1013" s="74"/>
      <c r="AJ1013" s="80"/>
    </row>
    <row r="1014" spans="1:42" ht="13.5" thickBot="1">
      <c r="A1014" s="103">
        <v>40127</v>
      </c>
      <c r="B1014" s="104">
        <v>3.6207349300384521</v>
      </c>
      <c r="C1014" s="105">
        <v>1093.010009765625</v>
      </c>
      <c r="D1014" s="104">
        <v>1.6734999418258667</v>
      </c>
      <c r="E1014">
        <v>89.782729074590762</v>
      </c>
      <c r="F1014">
        <v>1100.8353271484375</v>
      </c>
      <c r="G1014" s="14"/>
      <c r="H1014" s="34"/>
      <c r="I1014" s="34"/>
      <c r="J1014" s="34"/>
      <c r="K1014" s="34"/>
      <c r="L1014" s="34"/>
      <c r="N1014" s="34"/>
      <c r="O1014" s="35"/>
      <c r="P1014" s="35"/>
      <c r="Q1014" s="35"/>
      <c r="R1014" s="35"/>
      <c r="S1014" s="74"/>
      <c r="AJ1014" s="25"/>
      <c r="AK1014" s="84" t="s">
        <v>69</v>
      </c>
      <c r="AL1014" s="84" t="s">
        <v>70</v>
      </c>
      <c r="AM1014" s="84" t="s">
        <v>71</v>
      </c>
      <c r="AN1014" s="84" t="s">
        <v>72</v>
      </c>
      <c r="AO1014" s="84" t="s">
        <v>73</v>
      </c>
    </row>
    <row r="1015" spans="1:42" ht="13.5" thickBot="1">
      <c r="A1015" s="103">
        <v>40128</v>
      </c>
      <c r="B1015" s="104">
        <v>3.6207349300384521</v>
      </c>
      <c r="C1015" s="105">
        <v>1098.510009765625</v>
      </c>
      <c r="D1015" s="104">
        <v>1.655500054359436</v>
      </c>
      <c r="E1015">
        <v>89.823046539860243</v>
      </c>
      <c r="F1015">
        <v>1113.8350830078125</v>
      </c>
      <c r="G1015" s="14"/>
      <c r="H1015" s="34"/>
      <c r="I1015" s="34"/>
      <c r="J1015" s="34"/>
      <c r="K1015" s="34"/>
      <c r="L1015" s="34"/>
      <c r="N1015" s="34"/>
      <c r="O1015" s="35"/>
      <c r="P1015" s="35"/>
      <c r="Q1015" s="35"/>
      <c r="R1015" s="35"/>
      <c r="S1015" s="74"/>
      <c r="AJ1015" s="81" t="s">
        <v>78</v>
      </c>
      <c r="AK1015" s="85" t="e">
        <f>(SKEW(AJ6:AJ1005)^2)/(6/1000) + (KURT(AJ6:AJ1005)^2)/(24/1000)</f>
        <v>#DIV/0!</v>
      </c>
      <c r="AL1015" s="85" t="e">
        <f>(SKEW(AK6:AK1005)^2)/(6/1000) + (KURT(AK6:AK1005)^2)/(24/1000)</f>
        <v>#DIV/0!</v>
      </c>
      <c r="AM1015" s="85" t="e">
        <f>(SKEW(AL6:AL1005)^2)/(6/1000) + (KURT(AL6:AL1005)^2)/(24/1000)</f>
        <v>#DIV/0!</v>
      </c>
      <c r="AN1015" s="85" t="e">
        <f>(SKEW(AM6:AM1005)^2)/(6/1000) + (KURT(AM6:AM1005)^2)/(24/1000)</f>
        <v>#DIV/0!</v>
      </c>
      <c r="AO1015" s="85" t="e">
        <f>(SKEW(AN6:AN1005)^2)/(6/1000) + (KURT(AN6:AN1005)^2)/(24/1000)</f>
        <v>#DIV/0!</v>
      </c>
    </row>
    <row r="1016" spans="1:42" ht="13.5" thickBot="1">
      <c r="A1016" s="103">
        <v>40129</v>
      </c>
      <c r="B1016" s="104">
        <v>3.5585000514984131</v>
      </c>
      <c r="C1016" s="105">
        <v>1087.239990234375</v>
      </c>
      <c r="D1016" s="104">
        <v>1.6575000286102295</v>
      </c>
      <c r="E1016">
        <v>90.317922686260104</v>
      </c>
      <c r="F1016">
        <v>1108.8204345703125</v>
      </c>
      <c r="G1016" s="14"/>
      <c r="H1016" s="34"/>
      <c r="I1016" s="34"/>
      <c r="J1016" s="34"/>
      <c r="K1016" s="34"/>
      <c r="L1016" s="34"/>
      <c r="N1016" s="34"/>
      <c r="O1016" s="35"/>
      <c r="P1016" s="35"/>
      <c r="Q1016" s="35"/>
      <c r="R1016" s="35"/>
      <c r="S1016" s="74"/>
      <c r="AJ1016" s="81" t="s">
        <v>79</v>
      </c>
      <c r="AK1016" s="88" t="e">
        <f>IF(AK1015&lt;CHIINV(0.01,2), "Accept", "Reject")</f>
        <v>#DIV/0!</v>
      </c>
      <c r="AL1016" s="89" t="e">
        <f>IF(AL1015&lt;CHIINV(0.01,2), "Accept", "Reject")</f>
        <v>#DIV/0!</v>
      </c>
      <c r="AM1016" s="89" t="e">
        <f>IF(AM1015&lt;CHIINV(0.01,2), "Accept", "Reject")</f>
        <v>#DIV/0!</v>
      </c>
      <c r="AN1016" s="89" t="e">
        <f>IF(AN1015&lt;CHIINV(0.01,2), "Accept", "Reject")</f>
        <v>#DIV/0!</v>
      </c>
      <c r="AO1016" s="90" t="e">
        <f>IF(AO1015&lt;CHIINV(0.01,2), "Accept", "Reject")</f>
        <v>#DIV/0!</v>
      </c>
      <c r="AP1016" s="82"/>
    </row>
    <row r="1017" spans="1:42" ht="13.5" thickBot="1">
      <c r="A1017" s="103">
        <v>40130</v>
      </c>
      <c r="B1017" s="104">
        <v>3.5420000553131104</v>
      </c>
      <c r="C1017" s="105">
        <v>1093.47998046875</v>
      </c>
      <c r="D1017" s="104">
        <v>1.6670999526977539</v>
      </c>
      <c r="E1017">
        <v>89.661971085328531</v>
      </c>
      <c r="F1017">
        <v>1115.920166015625</v>
      </c>
      <c r="G1017" s="14"/>
      <c r="H1017" s="34"/>
      <c r="I1017" s="34"/>
      <c r="J1017" s="34"/>
      <c r="K1017" s="34"/>
      <c r="L1017" s="34"/>
      <c r="N1017" s="34"/>
      <c r="O1017" s="35"/>
      <c r="P1017" s="35"/>
      <c r="Q1017" s="35"/>
      <c r="R1017" s="35"/>
      <c r="S1017" s="74"/>
      <c r="AJ1017" s="81"/>
      <c r="AP1017" s="82"/>
    </row>
    <row r="1018" spans="1:42" ht="13.5" thickBot="1">
      <c r="A1018" s="103">
        <v>40133</v>
      </c>
      <c r="B1018" s="104">
        <v>3.4219999313354492</v>
      </c>
      <c r="C1018" s="105">
        <v>1109.300048828125</v>
      </c>
      <c r="D1018" s="104">
        <v>1.6836999654769897</v>
      </c>
      <c r="E1018">
        <v>88.983802131334713</v>
      </c>
      <c r="F1018">
        <v>1129.9349365234375</v>
      </c>
      <c r="G1018" s="14"/>
      <c r="H1018" s="34"/>
      <c r="I1018" s="34"/>
      <c r="J1018" s="34"/>
      <c r="K1018" s="34"/>
      <c r="L1018" s="34"/>
      <c r="N1018" s="34"/>
      <c r="O1018" s="35"/>
      <c r="P1018" s="35"/>
      <c r="Q1018" s="35"/>
      <c r="R1018" s="35"/>
      <c r="S1018" s="74"/>
      <c r="AJ1018" s="81"/>
      <c r="AP1018" s="82"/>
    </row>
    <row r="1019" spans="1:42" ht="13.5" thickBot="1">
      <c r="A1019" s="103">
        <v>40134</v>
      </c>
      <c r="B1019" s="104">
        <v>3.4059998989105225</v>
      </c>
      <c r="C1019" s="105">
        <v>1110.3199462890625</v>
      </c>
      <c r="D1019" s="104">
        <v>1.679900050163269</v>
      </c>
      <c r="E1019">
        <v>89.301660603533293</v>
      </c>
      <c r="F1019">
        <v>1137.934814453125</v>
      </c>
      <c r="G1019" s="14"/>
      <c r="H1019" s="34"/>
      <c r="I1019" s="34"/>
      <c r="J1019" s="34"/>
      <c r="K1019" s="34"/>
      <c r="L1019" s="34"/>
      <c r="N1019" s="34"/>
      <c r="O1019" s="35"/>
      <c r="P1019" s="35"/>
      <c r="Q1019" s="35"/>
      <c r="R1019" s="35"/>
      <c r="S1019" s="74"/>
      <c r="AJ1019" s="99" t="s">
        <v>80</v>
      </c>
      <c r="AK1019" s="2"/>
      <c r="AL1019" s="2"/>
      <c r="AM1019" s="2"/>
      <c r="AN1019" s="2"/>
      <c r="AP1019" s="82"/>
    </row>
    <row r="1020" spans="1:42" ht="13.5" thickBot="1">
      <c r="A1020" s="103">
        <v>40135</v>
      </c>
      <c r="B1020" s="104">
        <v>3.4565000534057617</v>
      </c>
      <c r="C1020" s="105">
        <v>1109.800048828125</v>
      </c>
      <c r="D1020" s="104">
        <v>1.6718000173568726</v>
      </c>
      <c r="E1020">
        <v>89.477448886217061</v>
      </c>
      <c r="F1020">
        <v>1145.9346923828125</v>
      </c>
      <c r="G1020" s="14"/>
      <c r="H1020" s="34"/>
      <c r="I1020" s="34"/>
      <c r="J1020" s="34"/>
      <c r="K1020" s="34"/>
      <c r="L1020" s="34"/>
      <c r="N1020" s="34"/>
      <c r="O1020" s="35"/>
      <c r="P1020" s="35"/>
      <c r="Q1020" s="35"/>
      <c r="R1020" s="35"/>
      <c r="S1020" s="74"/>
      <c r="AJ1020" s="81" t="s">
        <v>81</v>
      </c>
      <c r="AP1020" s="82"/>
    </row>
    <row r="1021" spans="1:42" ht="13.5" thickBot="1">
      <c r="A1021" s="103">
        <v>40136</v>
      </c>
      <c r="B1021" s="104">
        <v>3.4595000743865967</v>
      </c>
      <c r="C1021" s="105">
        <v>1094.9000244140625</v>
      </c>
      <c r="D1021" s="104">
        <v>1.6642999649047852</v>
      </c>
      <c r="E1021">
        <v>88.999644993357819</v>
      </c>
      <c r="F1021">
        <v>1142.9195556640625</v>
      </c>
      <c r="G1021" s="14"/>
      <c r="H1021" s="34"/>
      <c r="I1021" s="34"/>
      <c r="J1021" s="34"/>
      <c r="K1021" s="34"/>
      <c r="L1021" s="34"/>
      <c r="N1021" s="34"/>
      <c r="O1021" s="35"/>
      <c r="P1021" s="35"/>
      <c r="Q1021" s="35"/>
      <c r="R1021" s="35"/>
      <c r="S1021" s="74"/>
      <c r="AJ1021" s="81" t="s">
        <v>82</v>
      </c>
      <c r="AP1021" s="82"/>
    </row>
    <row r="1022" spans="1:42" ht="13.5" thickBot="1">
      <c r="A1022" s="103">
        <v>40137</v>
      </c>
      <c r="B1022" s="104">
        <v>3.4730000495910645</v>
      </c>
      <c r="C1022" s="105">
        <v>1091.3800048828125</v>
      </c>
      <c r="D1022" s="104">
        <v>1.6482000350952148</v>
      </c>
      <c r="E1022">
        <v>88.960055781590157</v>
      </c>
      <c r="F1022">
        <v>1143.9195556640625</v>
      </c>
      <c r="G1022" s="14"/>
      <c r="H1022" s="34"/>
      <c r="I1022" s="34"/>
      <c r="J1022" s="34"/>
      <c r="K1022" s="34"/>
      <c r="L1022" s="34"/>
      <c r="N1022" s="34"/>
      <c r="O1022" s="35"/>
      <c r="P1022" s="35"/>
      <c r="Q1022" s="35"/>
      <c r="R1022" s="35"/>
      <c r="S1022" s="74"/>
      <c r="AJ1022" s="25"/>
      <c r="AP1022" s="82"/>
    </row>
    <row r="1023" spans="1:42" ht="13.5" thickBot="1">
      <c r="A1023" s="103">
        <v>40140</v>
      </c>
      <c r="B1023" s="104">
        <v>3.4719998836517334</v>
      </c>
      <c r="C1023" s="105">
        <v>1106.239990234375</v>
      </c>
      <c r="D1023" s="104">
        <v>1.6620999574661255</v>
      </c>
      <c r="E1023">
        <v>89.023412485940625</v>
      </c>
      <c r="F1023">
        <v>1169.4344482421875</v>
      </c>
      <c r="G1023" s="14"/>
      <c r="H1023" s="34"/>
      <c r="I1023" s="34"/>
      <c r="J1023" s="34"/>
      <c r="K1023" s="34"/>
      <c r="L1023" s="34"/>
      <c r="N1023" s="34"/>
      <c r="O1023" s="35"/>
      <c r="P1023" s="35"/>
      <c r="Q1023" s="35"/>
      <c r="R1023" s="35"/>
      <c r="S1023" s="74"/>
      <c r="AJ1023" s="86" t="s">
        <v>83</v>
      </c>
      <c r="AK1023" s="84" t="s">
        <v>69</v>
      </c>
      <c r="AL1023" s="84" t="s">
        <v>70</v>
      </c>
      <c r="AM1023" s="84" t="s">
        <v>71</v>
      </c>
      <c r="AN1023" s="84" t="s">
        <v>72</v>
      </c>
      <c r="AO1023" s="84" t="s">
        <v>73</v>
      </c>
      <c r="AP1023" s="82"/>
    </row>
    <row r="1024" spans="1:42" ht="13.5" thickBot="1">
      <c r="A1024" s="103">
        <v>40141</v>
      </c>
      <c r="B1024" s="104">
        <v>3.4184999465942383</v>
      </c>
      <c r="C1024" s="105">
        <v>1105.6500244140625</v>
      </c>
      <c r="D1024" s="104">
        <v>1.6591999530792236</v>
      </c>
      <c r="E1024">
        <v>88.558268980501197</v>
      </c>
      <c r="F1024">
        <v>1167.0843505859375</v>
      </c>
      <c r="G1024" s="14"/>
      <c r="H1024" s="34"/>
      <c r="I1024" s="34"/>
      <c r="J1024" s="34"/>
      <c r="K1024" s="34"/>
      <c r="L1024" s="34"/>
      <c r="N1024" s="34"/>
      <c r="O1024" s="35"/>
      <c r="P1024" s="35"/>
      <c r="Q1024" s="35"/>
      <c r="R1024" s="35"/>
      <c r="S1024" s="74"/>
      <c r="AJ1024" s="87" t="s">
        <v>69</v>
      </c>
      <c r="AK1024" s="91" t="e">
        <f>CORREL($AJ$6:$AJ$1005,AJ6:AJ1005)</f>
        <v>#DIV/0!</v>
      </c>
      <c r="AL1024" s="91" t="e">
        <f>CORREL($AJ$6:$AJ$1005,AK6:AK1005)</f>
        <v>#DIV/0!</v>
      </c>
      <c r="AM1024" s="91" t="e">
        <f>CORREL($AJ$6:$AJ$1005,AL6:AL1005)</f>
        <v>#DIV/0!</v>
      </c>
      <c r="AN1024" s="91" t="e">
        <f>CORREL($AJ$6:$AJ$1005,AM6:AM1005)</f>
        <v>#DIV/0!</v>
      </c>
      <c r="AO1024" s="91" t="e">
        <f>CORREL($AJ$6:$AJ$1005,AN6:AN1005)</f>
        <v>#DIV/0!</v>
      </c>
      <c r="AP1024" s="82"/>
    </row>
    <row r="1025" spans="1:42" ht="13.5" thickBot="1">
      <c r="A1025" s="103">
        <v>40142</v>
      </c>
      <c r="B1025" s="104">
        <v>3.3595890998840332</v>
      </c>
      <c r="C1025" s="105">
        <v>1110.6300048828125</v>
      </c>
      <c r="D1025" s="104">
        <v>1.6717000007629395</v>
      </c>
      <c r="E1025">
        <v>87.397307808702664</v>
      </c>
      <c r="F1025">
        <v>1183.6341552734375</v>
      </c>
      <c r="G1025" s="14"/>
      <c r="H1025" s="34"/>
      <c r="I1025" s="34"/>
      <c r="J1025" s="34"/>
      <c r="K1025" s="34"/>
      <c r="L1025" s="34"/>
      <c r="N1025" s="34"/>
      <c r="O1025" s="35"/>
      <c r="P1025" s="35"/>
      <c r="Q1025" s="35"/>
      <c r="R1025" s="35"/>
      <c r="S1025" s="74"/>
      <c r="AJ1025" s="87" t="s">
        <v>70</v>
      </c>
      <c r="AK1025" s="92" t="e">
        <f>CORREL($AK$6:$AK$1005,AJ6:AJ1005)</f>
        <v>#DIV/0!</v>
      </c>
      <c r="AL1025" s="92" t="e">
        <f>CORREL($AK$6:$AK$1005,AK6:AK1005)</f>
        <v>#DIV/0!</v>
      </c>
      <c r="AM1025" s="92" t="e">
        <f>CORREL($AK$6:$AK$1005,AL6:AL1005)</f>
        <v>#DIV/0!</v>
      </c>
      <c r="AN1025" s="92" t="e">
        <f>CORREL($AK$6:$AK$1005,AM6:AM1005)</f>
        <v>#DIV/0!</v>
      </c>
      <c r="AO1025" s="92" t="e">
        <f>CORREL($AK$6:$AK$1005,AN6:AN1005)</f>
        <v>#DIV/0!</v>
      </c>
      <c r="AP1025" s="82"/>
    </row>
    <row r="1026" spans="1:42" ht="13.5" thickBot="1">
      <c r="A1026" s="103">
        <v>40143</v>
      </c>
      <c r="B1026" s="104">
        <v>3.3595890998840332</v>
      </c>
      <c r="C1026" s="105">
        <v>1110.6300048828125</v>
      </c>
      <c r="D1026" s="104">
        <v>1.6483500003814697</v>
      </c>
      <c r="E1026">
        <v>86.580087049229789</v>
      </c>
      <c r="F1026">
        <v>1184.618408203125</v>
      </c>
      <c r="G1026" s="14"/>
      <c r="H1026" s="34"/>
      <c r="I1026" s="34"/>
      <c r="J1026" s="34"/>
      <c r="K1026" s="34"/>
      <c r="L1026" s="34"/>
      <c r="N1026" s="34"/>
      <c r="O1026" s="35"/>
      <c r="P1026" s="35"/>
      <c r="Q1026" s="35"/>
      <c r="R1026" s="35"/>
      <c r="S1026" s="74"/>
      <c r="AJ1026" s="87" t="s">
        <v>71</v>
      </c>
      <c r="AK1026" s="92" t="e">
        <f>CORREL($AL$6:$AL$1005,AJ6:AJ1005)</f>
        <v>#DIV/0!</v>
      </c>
      <c r="AL1026" s="92" t="e">
        <f>CORREL($AL$6:$AL$1005,AK6:AK1005)</f>
        <v>#DIV/0!</v>
      </c>
      <c r="AM1026" s="92" t="e">
        <f>CORREL($AL$6:$AL$1005,AL6:AL1005)</f>
        <v>#DIV/0!</v>
      </c>
      <c r="AN1026" s="92" t="e">
        <f>CORREL($AL$6:$AL$1005,AM6:AM1005)</f>
        <v>#DIV/0!</v>
      </c>
      <c r="AO1026" s="92" t="e">
        <f>CORREL($AL$6:$AL$1005,AN6:AN1005)</f>
        <v>#DIV/0!</v>
      </c>
      <c r="AP1026" s="82"/>
    </row>
    <row r="1027" spans="1:42" ht="13.5" thickBot="1">
      <c r="A1027" s="103">
        <v>40144</v>
      </c>
      <c r="B1027" s="104">
        <v>3.3064999580383301</v>
      </c>
      <c r="C1027" s="105">
        <v>1091.489990234375</v>
      </c>
      <c r="D1027" s="104">
        <v>1.6478999853134155</v>
      </c>
      <c r="E1027">
        <v>86.737795081398431</v>
      </c>
      <c r="F1027">
        <v>1176.818603515625</v>
      </c>
      <c r="G1027" s="14"/>
      <c r="H1027" s="34"/>
      <c r="I1027" s="34"/>
      <c r="J1027" s="34"/>
      <c r="K1027" s="34"/>
      <c r="L1027" s="34"/>
      <c r="N1027" s="34"/>
      <c r="O1027" s="35"/>
      <c r="P1027" s="35"/>
      <c r="Q1027" s="35"/>
      <c r="R1027" s="35"/>
      <c r="S1027" s="74"/>
      <c r="AJ1027" s="87" t="s">
        <v>72</v>
      </c>
      <c r="AK1027" s="92" t="e">
        <f>CORREL($AM$6:$AM$1005,AJ6:AJ1005)</f>
        <v>#DIV/0!</v>
      </c>
      <c r="AL1027" s="92" t="e">
        <f>CORREL($AM$6:$AM$1005,AK6:AK1005)</f>
        <v>#DIV/0!</v>
      </c>
      <c r="AM1027" s="92" t="e">
        <f>CORREL($AM$6:$AM$1005,AL6:AL1005)</f>
        <v>#DIV/0!</v>
      </c>
      <c r="AN1027" s="92" t="e">
        <f>CORREL($AM$6:$AM$1005,AM6:AM1005)</f>
        <v>#DIV/0!</v>
      </c>
      <c r="AO1027" s="92" t="e">
        <f>CORREL($AM$6:$AM$1005,AN6:AN1005)</f>
        <v>#DIV/0!</v>
      </c>
    </row>
    <row r="1028" spans="1:42" ht="13.5" thickBot="1">
      <c r="A1028" s="103">
        <v>40147</v>
      </c>
      <c r="B1028" s="104">
        <v>3.2934999465942383</v>
      </c>
      <c r="C1028" s="105">
        <v>1095.6300048828125</v>
      </c>
      <c r="D1028" s="104">
        <v>1.6421999931335449</v>
      </c>
      <c r="E1028">
        <v>86.288722052487415</v>
      </c>
      <c r="F1028">
        <v>1181.334228515625</v>
      </c>
      <c r="G1028" s="14"/>
      <c r="H1028" s="34"/>
      <c r="I1028" s="34"/>
      <c r="J1028" s="34"/>
      <c r="K1028" s="34"/>
      <c r="L1028" s="34"/>
      <c r="N1028" s="34"/>
      <c r="O1028" s="35"/>
      <c r="P1028" s="35"/>
      <c r="Q1028" s="35"/>
      <c r="R1028" s="35"/>
      <c r="S1028" s="74"/>
      <c r="AJ1028" s="87" t="s">
        <v>73</v>
      </c>
      <c r="AK1028" s="90" t="e">
        <f>CORREL($AN$6:$AN$1005,AJ6:AJ1005)</f>
        <v>#DIV/0!</v>
      </c>
      <c r="AL1028" s="90" t="e">
        <f>CORREL($AN$6:$AN$1005,AK6:AK1005)</f>
        <v>#DIV/0!</v>
      </c>
      <c r="AM1028" s="90" t="e">
        <f>CORREL($AN$6:$AN$1005,AL6:AL1005)</f>
        <v>#DIV/0!</v>
      </c>
      <c r="AN1028" s="90" t="e">
        <f>CORREL($AN$6:$AN$1005,AM6:AM1005)</f>
        <v>#DIV/0!</v>
      </c>
      <c r="AO1028" s="90" t="e">
        <f>CORREL($AN$6:$AN$1005,AN6:AN1005)</f>
        <v>#DIV/0!</v>
      </c>
    </row>
    <row r="1029" spans="1:42" ht="13.5" thickBot="1">
      <c r="A1029" s="103">
        <v>40148</v>
      </c>
      <c r="B1029" s="104">
        <v>3.3789999485015869</v>
      </c>
      <c r="C1029" s="105">
        <v>1108.8599853515625</v>
      </c>
      <c r="D1029" s="104">
        <v>1.6640000343322754</v>
      </c>
      <c r="E1029">
        <v>86.677648798301618</v>
      </c>
      <c r="F1029">
        <v>1196.9366455078125</v>
      </c>
      <c r="G1029" s="14"/>
      <c r="H1029" s="34"/>
      <c r="I1029" s="34"/>
      <c r="J1029" s="34"/>
      <c r="K1029" s="34"/>
      <c r="L1029" s="34"/>
      <c r="N1029" s="34"/>
      <c r="O1029" s="35"/>
      <c r="P1029" s="35"/>
      <c r="Q1029" s="35"/>
      <c r="R1029" s="35"/>
      <c r="S1029" s="74"/>
      <c r="AK1029" s="83"/>
      <c r="AL1029" s="83"/>
      <c r="AM1029" s="83"/>
      <c r="AN1029" s="83"/>
      <c r="AO1029" s="83"/>
    </row>
    <row r="1030" spans="1:42" ht="13.5" thickBot="1">
      <c r="A1030" s="103">
        <v>40149</v>
      </c>
      <c r="B1030" s="104">
        <v>3.4284999370574951</v>
      </c>
      <c r="C1030" s="105">
        <v>1109.239990234375</v>
      </c>
      <c r="D1030" s="104">
        <v>1.6641999483108521</v>
      </c>
      <c r="E1030">
        <v>87.458457344057635</v>
      </c>
      <c r="F1030">
        <v>1210.9365234375</v>
      </c>
      <c r="G1030" s="14"/>
      <c r="H1030" s="34"/>
      <c r="I1030" s="34"/>
      <c r="J1030" s="34"/>
      <c r="K1030" s="34"/>
      <c r="L1030" s="34"/>
      <c r="N1030" s="34"/>
      <c r="O1030" s="35"/>
      <c r="P1030" s="35"/>
      <c r="Q1030" s="35"/>
      <c r="R1030" s="35"/>
      <c r="S1030" s="74"/>
      <c r="AJ1030" s="86" t="s">
        <v>79</v>
      </c>
      <c r="AK1030" s="84" t="s">
        <v>69</v>
      </c>
      <c r="AL1030" s="84" t="s">
        <v>70</v>
      </c>
      <c r="AM1030" s="84" t="s">
        <v>71</v>
      </c>
      <c r="AN1030" s="84" t="s">
        <v>72</v>
      </c>
      <c r="AO1030" s="84" t="s">
        <v>73</v>
      </c>
    </row>
    <row r="1031" spans="1:42" ht="13.5" thickBot="1">
      <c r="A1031" s="103">
        <v>40150</v>
      </c>
      <c r="B1031" s="104">
        <v>3.5039999485015869</v>
      </c>
      <c r="C1031" s="105">
        <v>1099.9200439453125</v>
      </c>
      <c r="D1031" s="104">
        <v>1.6567000150680542</v>
      </c>
      <c r="E1031">
        <v>88.237890012389144</v>
      </c>
      <c r="F1031">
        <v>1209.923095703125</v>
      </c>
      <c r="G1031" s="14"/>
      <c r="H1031" s="34"/>
      <c r="I1031" s="34"/>
      <c r="J1031" s="34"/>
      <c r="K1031" s="34"/>
      <c r="L1031" s="34"/>
      <c r="N1031" s="34"/>
      <c r="O1031" s="35"/>
      <c r="P1031" s="35"/>
      <c r="Q1031" s="35"/>
      <c r="R1031" s="35"/>
      <c r="S1031" s="74"/>
      <c r="AJ1031" s="87" t="s">
        <v>69</v>
      </c>
      <c r="AK1031" s="93" t="s">
        <v>84</v>
      </c>
      <c r="AL1031" s="94" t="e">
        <f t="shared" ref="AL1031:AO1032" si="0">IF(ABS(AL1024/SQRT(1/1000)) &lt; 2.58, "Accept", "Reject")</f>
        <v>#DIV/0!</v>
      </c>
      <c r="AM1031" s="94" t="e">
        <f t="shared" si="0"/>
        <v>#DIV/0!</v>
      </c>
      <c r="AN1031" s="94" t="e">
        <f t="shared" si="0"/>
        <v>#DIV/0!</v>
      </c>
      <c r="AO1031" s="95" t="e">
        <f t="shared" si="0"/>
        <v>#DIV/0!</v>
      </c>
    </row>
    <row r="1032" spans="1:42" ht="13.5" thickBot="1">
      <c r="A1032" s="103">
        <v>40151</v>
      </c>
      <c r="B1032" s="104">
        <v>3.622499942779541</v>
      </c>
      <c r="C1032" s="105">
        <v>1105.97998046875</v>
      </c>
      <c r="D1032" s="104">
        <v>1.642799973487854</v>
      </c>
      <c r="E1032">
        <v>90.719405846100187</v>
      </c>
      <c r="F1032">
        <v>1176.02392578125</v>
      </c>
      <c r="G1032" s="14"/>
      <c r="H1032" s="34"/>
      <c r="I1032" s="34"/>
      <c r="J1032" s="34"/>
      <c r="K1032" s="34"/>
      <c r="L1032" s="34"/>
      <c r="N1032" s="34"/>
      <c r="O1032" s="35"/>
      <c r="P1032" s="35"/>
      <c r="Q1032" s="35"/>
      <c r="R1032" s="35"/>
      <c r="S1032" s="74"/>
      <c r="AJ1032" s="87" t="s">
        <v>70</v>
      </c>
      <c r="AK1032" s="96" t="e">
        <f>IF(ABS(AK1025/SQRT(1/1000)) &lt; 2.58, "Accept", "Reject")</f>
        <v>#DIV/0!</v>
      </c>
      <c r="AL1032" s="93" t="s">
        <v>84</v>
      </c>
      <c r="AM1032" s="92" t="e">
        <f t="shared" si="0"/>
        <v>#DIV/0!</v>
      </c>
      <c r="AN1032" s="92" t="e">
        <f t="shared" si="0"/>
        <v>#DIV/0!</v>
      </c>
      <c r="AO1032" s="97" t="e">
        <f t="shared" si="0"/>
        <v>#DIV/0!</v>
      </c>
    </row>
    <row r="1033" spans="1:42" ht="13.5" thickBot="1">
      <c r="A1033" s="103">
        <v>40154</v>
      </c>
      <c r="B1033" s="104">
        <v>3.5959999561309814</v>
      </c>
      <c r="C1033" s="105">
        <v>1103.25</v>
      </c>
      <c r="D1033" s="104">
        <v>1.6437000036239624</v>
      </c>
      <c r="E1033">
        <v>89.477448886217061</v>
      </c>
      <c r="F1033">
        <v>1160.987060546875</v>
      </c>
      <c r="G1033" s="14"/>
      <c r="H1033" s="34"/>
      <c r="I1033" s="34"/>
      <c r="J1033" s="34"/>
      <c r="K1033" s="34"/>
      <c r="L1033" s="34"/>
      <c r="N1033" s="34"/>
      <c r="O1033" s="35"/>
      <c r="P1033" s="35"/>
      <c r="Q1033" s="35"/>
      <c r="R1033" s="35"/>
      <c r="S1033" s="74"/>
      <c r="AJ1033" s="87" t="s">
        <v>71</v>
      </c>
      <c r="AK1033" s="96" t="e">
        <f>IF(ABS(AK1026/SQRT(1/1000)) &lt; 2.58, "Accept", "Reject")</f>
        <v>#DIV/0!</v>
      </c>
      <c r="AL1033" s="92" t="e">
        <f>IF(ABS(AL1026/SQRT(1/1000)) &lt; 2.58, "Accept", "Reject")</f>
        <v>#DIV/0!</v>
      </c>
      <c r="AM1033" s="93" t="s">
        <v>84</v>
      </c>
      <c r="AN1033" s="92" t="e">
        <f>IF(ABS(AN1026/SQRT(1/1000)) &lt; 2.58, "Accept", "Reject")</f>
        <v>#DIV/0!</v>
      </c>
      <c r="AO1033" s="97" t="e">
        <f>IF(ABS(AO1026/SQRT(1/1000)) &lt; 2.58, "Accept", "Reject")</f>
        <v>#DIV/0!</v>
      </c>
    </row>
    <row r="1034" spans="1:42" ht="13.5" thickBot="1">
      <c r="A1034" s="103">
        <v>40155</v>
      </c>
      <c r="B1034" s="104">
        <v>3.5225000381469727</v>
      </c>
      <c r="C1034" s="105">
        <v>1091.93994140625</v>
      </c>
      <c r="D1034" s="104">
        <v>1.6266000270843506</v>
      </c>
      <c r="E1034">
        <v>88.362641891527133</v>
      </c>
      <c r="F1034">
        <v>1151.0372314453125</v>
      </c>
      <c r="G1034" s="14"/>
      <c r="H1034" s="34"/>
      <c r="I1034" s="34"/>
      <c r="J1034" s="34"/>
      <c r="K1034" s="34"/>
      <c r="L1034" s="34"/>
      <c r="N1034" s="34"/>
      <c r="O1034" s="35"/>
      <c r="P1034" s="35"/>
      <c r="Q1034" s="35"/>
      <c r="R1034" s="35"/>
      <c r="S1034" s="74"/>
      <c r="AJ1034" s="87" t="s">
        <v>72</v>
      </c>
      <c r="AK1034" s="96" t="e">
        <f>IF(ABS(AK1027/SQRT(1/1000)) &lt; 2.58, "Accept", "Reject")</f>
        <v>#DIV/0!</v>
      </c>
      <c r="AL1034" s="92" t="e">
        <f>IF(ABS(AL1027/SQRT(1/1000)) &lt; 2.58, "Accept", "Reject")</f>
        <v>#DIV/0!</v>
      </c>
      <c r="AM1034" s="92" t="e">
        <f>IF(ABS(AM1027/SQRT(1/1000)) &lt; 2.58, "Accept", "Reject")</f>
        <v>#DIV/0!</v>
      </c>
      <c r="AN1034" s="93" t="s">
        <v>84</v>
      </c>
      <c r="AO1034" s="97" t="e">
        <f>IF(ABS(AO1027/SQRT(1/1000)) &lt; 2.58, "Accept", "Reject")</f>
        <v>#DIV/0!</v>
      </c>
    </row>
    <row r="1035" spans="1:42" ht="13.5" thickBot="1">
      <c r="A1035" s="103">
        <v>40156</v>
      </c>
      <c r="B1035" s="104">
        <v>3.5429999828338623</v>
      </c>
      <c r="C1035" s="105">
        <v>1095.949951171875</v>
      </c>
      <c r="D1035" s="104">
        <v>1.6246999502182007</v>
      </c>
      <c r="E1035">
        <v>87.75778910966379</v>
      </c>
      <c r="F1035">
        <v>1133.037353515625</v>
      </c>
      <c r="G1035" s="14"/>
      <c r="H1035" s="34"/>
      <c r="I1035" s="34"/>
      <c r="J1035" s="34"/>
      <c r="K1035" s="34"/>
      <c r="L1035" s="34"/>
      <c r="N1035" s="34"/>
      <c r="O1035" s="35"/>
      <c r="P1035" s="35"/>
      <c r="Q1035" s="35"/>
      <c r="R1035" s="35"/>
      <c r="S1035" s="74"/>
      <c r="AJ1035" s="87" t="s">
        <v>73</v>
      </c>
      <c r="AK1035" s="88" t="e">
        <f>IF(ABS(AK1028/SQRT(1/1000)) &lt; 2.58, "Accept", "Reject")</f>
        <v>#DIV/0!</v>
      </c>
      <c r="AL1035" s="89" t="e">
        <f>IF(ABS(AL1028/SQRT(1/1000)) &lt; 2.58, "Accept", "Reject")</f>
        <v>#DIV/0!</v>
      </c>
      <c r="AM1035" s="89" t="e">
        <f>IF(ABS(AM1028/SQRT(1/1000)) &lt; 2.58, "Accept", "Reject")</f>
        <v>#DIV/0!</v>
      </c>
      <c r="AN1035" s="89" t="e">
        <f>IF(ABS(AN1028/SQRT(1/1000)) &lt; 2.58, "Accept", "Reject")</f>
        <v>#DIV/0!</v>
      </c>
      <c r="AO1035" s="98" t="s">
        <v>84</v>
      </c>
    </row>
    <row r="1036" spans="1:42" ht="13.5" thickBot="1">
      <c r="A1036" s="103">
        <v>40157</v>
      </c>
      <c r="B1036" s="104">
        <v>3.5994999408721924</v>
      </c>
      <c r="C1036" s="105">
        <v>1102.3499755859375</v>
      </c>
      <c r="D1036" s="104">
        <v>1.6263999938964844</v>
      </c>
      <c r="E1036">
        <v>88.237890012389144</v>
      </c>
      <c r="F1036">
        <v>1127.074951171875</v>
      </c>
      <c r="G1036" s="14"/>
      <c r="H1036" s="34"/>
      <c r="I1036" s="34"/>
      <c r="J1036" s="34"/>
      <c r="K1036" s="34"/>
      <c r="L1036" s="34"/>
      <c r="N1036" s="34"/>
      <c r="O1036" s="35"/>
      <c r="P1036" s="35"/>
      <c r="Q1036" s="35"/>
      <c r="R1036" s="35"/>
      <c r="S1036" s="74"/>
      <c r="AJ1036" s="25"/>
    </row>
    <row r="1037" spans="1:42" ht="13.5" thickBot="1">
      <c r="A1037" s="103">
        <v>40158</v>
      </c>
      <c r="B1037" s="104">
        <v>3.6600000858306885</v>
      </c>
      <c r="C1037" s="105">
        <v>1106.4100341796875</v>
      </c>
      <c r="D1037" s="104">
        <v>1.6241999864578247</v>
      </c>
      <c r="E1037">
        <v>89.182199770146966</v>
      </c>
      <c r="F1037">
        <v>1117.0751953125</v>
      </c>
      <c r="G1037" s="14"/>
      <c r="H1037" s="34"/>
      <c r="I1037" s="34"/>
      <c r="J1037" s="34"/>
      <c r="K1037" s="34"/>
      <c r="L1037" s="34"/>
      <c r="N1037" s="34"/>
      <c r="O1037" s="35"/>
      <c r="P1037" s="35"/>
      <c r="Q1037" s="35"/>
      <c r="R1037" s="35"/>
      <c r="S1037" s="74"/>
    </row>
    <row r="1038" spans="1:42" ht="13.5" thickBot="1">
      <c r="A1038" s="103">
        <v>40161</v>
      </c>
      <c r="B1038" s="104">
        <v>3.6754999160766602</v>
      </c>
      <c r="C1038" s="105">
        <v>1114.1099853515625</v>
      </c>
      <c r="D1038" s="104">
        <v>1.6303000450134277</v>
      </c>
      <c r="E1038">
        <v>88.63676842121339</v>
      </c>
      <c r="F1038">
        <v>1122.0875244140625</v>
      </c>
      <c r="G1038" s="14"/>
      <c r="H1038" s="34"/>
      <c r="I1038" s="34"/>
      <c r="J1038" s="34"/>
      <c r="K1038" s="34"/>
      <c r="L1038" s="34"/>
      <c r="N1038" s="34"/>
      <c r="O1038" s="35"/>
      <c r="P1038" s="35"/>
      <c r="Q1038" s="35"/>
      <c r="R1038" s="35"/>
      <c r="S1038" s="74"/>
    </row>
    <row r="1039" spans="1:42" ht="13.5" thickBot="1">
      <c r="A1039" s="103">
        <v>40162</v>
      </c>
      <c r="B1039" s="104">
        <v>3.7455000877380371</v>
      </c>
      <c r="C1039" s="105">
        <v>1107.9300537109375</v>
      </c>
      <c r="D1039" s="104">
        <v>1.625499963760376</v>
      </c>
      <c r="E1039">
        <v>89.742440285824017</v>
      </c>
      <c r="F1039">
        <v>1121.085693359375</v>
      </c>
      <c r="G1039" s="14"/>
      <c r="H1039" s="34"/>
      <c r="I1039" s="34"/>
      <c r="J1039" s="34"/>
      <c r="K1039" s="34"/>
      <c r="L1039" s="34"/>
      <c r="N1039" s="34"/>
      <c r="O1039" s="35"/>
      <c r="P1039" s="35"/>
      <c r="Q1039" s="35"/>
      <c r="R1039" s="35"/>
      <c r="S1039" s="74"/>
    </row>
    <row r="1040" spans="1:42" ht="13.5" thickBot="1">
      <c r="A1040" s="103">
        <v>40163</v>
      </c>
      <c r="B1040" s="104">
        <v>3.7404999732971191</v>
      </c>
      <c r="C1040" s="105">
        <v>1109.1800537109375</v>
      </c>
      <c r="D1040" s="104">
        <v>1.6310000419616699</v>
      </c>
      <c r="E1040">
        <v>89.960418287502534</v>
      </c>
      <c r="F1040">
        <v>1136.08544921875</v>
      </c>
      <c r="G1040" s="14"/>
      <c r="H1040" s="34"/>
      <c r="I1040" s="34"/>
      <c r="J1040" s="34"/>
      <c r="K1040" s="34"/>
      <c r="L1040" s="34"/>
      <c r="N1040" s="34"/>
      <c r="O1040" s="35"/>
      <c r="P1040" s="35"/>
      <c r="Q1040" s="35"/>
      <c r="R1040" s="35"/>
      <c r="S1040" s="74"/>
    </row>
    <row r="1041" spans="1:19" ht="13.5" thickBot="1">
      <c r="A1041" s="103">
        <v>40164</v>
      </c>
      <c r="B1041" s="104">
        <v>3.6289999485015869</v>
      </c>
      <c r="C1041" s="105">
        <v>1096.0799560546875</v>
      </c>
      <c r="D1041" s="104">
        <v>1.615399956703186</v>
      </c>
      <c r="E1041">
        <v>89.960418287502534</v>
      </c>
      <c r="F1041">
        <v>1105.1717529296875</v>
      </c>
      <c r="G1041" s="14"/>
      <c r="H1041" s="34"/>
      <c r="I1041" s="34"/>
      <c r="J1041" s="34"/>
      <c r="K1041" s="34"/>
      <c r="L1041" s="34"/>
      <c r="N1041" s="34"/>
      <c r="O1041" s="35"/>
      <c r="P1041" s="35"/>
      <c r="Q1041" s="35"/>
      <c r="R1041" s="35"/>
      <c r="S1041" s="74"/>
    </row>
    <row r="1042" spans="1:19" ht="13.5" thickBot="1">
      <c r="A1042" s="103">
        <v>40165</v>
      </c>
      <c r="B1042" s="104">
        <v>3.6779999732971191</v>
      </c>
      <c r="C1042" s="105">
        <v>1102.469970703125</v>
      </c>
      <c r="D1042" s="104">
        <v>1.6122000217437744</v>
      </c>
      <c r="E1042">
        <v>90.440447617715193</v>
      </c>
      <c r="F1042">
        <v>1107.6717529296875</v>
      </c>
      <c r="G1042" s="14"/>
      <c r="H1042" s="34"/>
      <c r="I1042" s="34"/>
      <c r="J1042" s="34"/>
      <c r="K1042" s="34"/>
      <c r="L1042" s="34"/>
      <c r="N1042" s="34"/>
      <c r="O1042" s="35"/>
      <c r="P1042" s="35"/>
      <c r="Q1042" s="35"/>
      <c r="R1042" s="35"/>
      <c r="S1042" s="74"/>
    </row>
    <row r="1043" spans="1:19" ht="13.5" thickBot="1">
      <c r="A1043" s="103">
        <v>40168</v>
      </c>
      <c r="B1043" s="104">
        <v>3.8375000953674316</v>
      </c>
      <c r="C1043" s="105">
        <v>1114.050048828125</v>
      </c>
      <c r="D1043" s="104">
        <v>1.6053999662399292</v>
      </c>
      <c r="E1043">
        <v>91.182635602880396</v>
      </c>
      <c r="F1043">
        <v>1101.285888671875</v>
      </c>
      <c r="G1043" s="14"/>
      <c r="H1043" s="34"/>
      <c r="I1043" s="34"/>
      <c r="J1043" s="34"/>
      <c r="K1043" s="34"/>
      <c r="L1043" s="34"/>
      <c r="N1043" s="34"/>
      <c r="O1043" s="35"/>
      <c r="P1043" s="35"/>
      <c r="Q1043" s="35"/>
      <c r="R1043" s="35"/>
      <c r="S1043" s="74"/>
    </row>
    <row r="1044" spans="1:19" ht="13.5" thickBot="1">
      <c r="A1044" s="103">
        <v>40169</v>
      </c>
      <c r="B1044" s="104">
        <v>3.9114999771118164</v>
      </c>
      <c r="C1044" s="105">
        <v>1118.02001953125</v>
      </c>
      <c r="D1044" s="104">
        <v>1.5968999862670898</v>
      </c>
      <c r="E1044">
        <v>91.776798153013672</v>
      </c>
      <c r="F1044">
        <v>1083.336181640625</v>
      </c>
      <c r="G1044" s="14"/>
      <c r="H1044" s="34"/>
      <c r="I1044" s="34"/>
      <c r="J1044" s="34"/>
      <c r="K1044" s="34"/>
      <c r="L1044" s="34"/>
      <c r="N1044" s="34"/>
      <c r="O1044" s="35"/>
      <c r="P1044" s="35"/>
      <c r="Q1044" s="35"/>
      <c r="R1044" s="35"/>
      <c r="S1044" s="74"/>
    </row>
    <row r="1045" spans="1:19" ht="13.5" thickBot="1">
      <c r="A1045" s="103">
        <v>40170</v>
      </c>
      <c r="B1045" s="104">
        <v>3.9024999141693115</v>
      </c>
      <c r="C1045" s="105">
        <v>1120.5899658203125</v>
      </c>
      <c r="D1045" s="104">
        <v>1.5952999591827393</v>
      </c>
      <c r="E1045">
        <v>91.675832811378328</v>
      </c>
      <c r="F1045">
        <v>1094.8079833984375</v>
      </c>
      <c r="G1045" s="14"/>
      <c r="H1045" s="34"/>
      <c r="I1045" s="34"/>
      <c r="J1045" s="34"/>
      <c r="K1045" s="34"/>
      <c r="L1045" s="34"/>
      <c r="N1045" s="34"/>
      <c r="O1045" s="35"/>
      <c r="P1045" s="35"/>
      <c r="Q1045" s="35"/>
      <c r="R1045" s="35"/>
      <c r="S1045" s="74"/>
    </row>
    <row r="1046" spans="1:19" ht="13.5" thickBot="1">
      <c r="A1046" s="103">
        <v>40171</v>
      </c>
      <c r="B1046" s="104">
        <v>3.9509999752044678</v>
      </c>
      <c r="C1046" s="105">
        <v>1126.47998046875</v>
      </c>
      <c r="D1046" s="104">
        <v>1.5949000120162964</v>
      </c>
      <c r="E1046">
        <v>91.675832811378328</v>
      </c>
      <c r="F1046">
        <v>1101.3577880859375</v>
      </c>
      <c r="G1046" s="14"/>
      <c r="H1046" s="34"/>
      <c r="I1046" s="34"/>
      <c r="J1046" s="34"/>
      <c r="K1046" s="34"/>
      <c r="L1046" s="34"/>
      <c r="N1046" s="34"/>
      <c r="O1046" s="35"/>
      <c r="P1046" s="35"/>
      <c r="Q1046" s="35"/>
      <c r="R1046" s="35"/>
      <c r="S1046" s="74"/>
    </row>
    <row r="1047" spans="1:19" ht="13.5" thickBot="1">
      <c r="A1047" s="103">
        <v>40172</v>
      </c>
      <c r="B1047" s="104">
        <v>3.9509999752044678</v>
      </c>
      <c r="C1047" s="105">
        <v>1126.47998046875</v>
      </c>
      <c r="D1047" s="104">
        <v>1.5949000120162964</v>
      </c>
      <c r="E1047">
        <v>91.675832811378328</v>
      </c>
      <c r="F1047">
        <v>1101.3577880859375</v>
      </c>
      <c r="G1047" s="14"/>
      <c r="H1047" s="34"/>
      <c r="I1047" s="34"/>
      <c r="J1047" s="34"/>
      <c r="K1047" s="34"/>
      <c r="L1047" s="34"/>
      <c r="N1047" s="34"/>
      <c r="O1047" s="35"/>
      <c r="P1047" s="35"/>
      <c r="Q1047" s="35"/>
      <c r="R1047" s="35"/>
      <c r="S1047" s="74"/>
    </row>
    <row r="1048" spans="1:19" ht="13.5" thickBot="1">
      <c r="A1048" s="103">
        <v>40175</v>
      </c>
      <c r="B1048" s="104">
        <v>4.000950813293457</v>
      </c>
      <c r="C1048" s="105">
        <v>1127.780029296875</v>
      </c>
      <c r="D1048" s="104">
        <v>1.6003999710083008</v>
      </c>
      <c r="E1048">
        <v>91.600260330135399</v>
      </c>
      <c r="F1048">
        <v>1101.4122314453125</v>
      </c>
      <c r="G1048" s="14"/>
      <c r="H1048" s="34"/>
      <c r="I1048" s="34"/>
      <c r="J1048" s="34"/>
      <c r="K1048" s="34"/>
      <c r="L1048" s="34"/>
      <c r="N1048" s="34"/>
      <c r="O1048" s="35"/>
      <c r="P1048" s="35"/>
      <c r="Q1048" s="35"/>
      <c r="R1048" s="35"/>
      <c r="S1048" s="74"/>
    </row>
    <row r="1049" spans="1:19" ht="13.5" thickBot="1">
      <c r="A1049" s="103">
        <v>40176</v>
      </c>
      <c r="B1049" s="104">
        <v>3.9639999866485596</v>
      </c>
      <c r="C1049" s="105">
        <v>1126.199951171875</v>
      </c>
      <c r="D1049" s="104">
        <v>1.5904999971389771</v>
      </c>
      <c r="E1049">
        <v>91.962476112056407</v>
      </c>
      <c r="F1049">
        <v>1097.385986328125</v>
      </c>
      <c r="G1049" s="14"/>
      <c r="H1049" s="34"/>
      <c r="I1049" s="34"/>
      <c r="J1049" s="34"/>
      <c r="K1049" s="34"/>
      <c r="L1049" s="34"/>
      <c r="N1049" s="34"/>
      <c r="O1049" s="35"/>
      <c r="P1049" s="35"/>
      <c r="Q1049" s="35"/>
      <c r="R1049" s="35"/>
      <c r="S1049" s="74"/>
    </row>
    <row r="1050" spans="1:19" ht="13.5" thickBot="1">
      <c r="A1050" s="103">
        <v>40177</v>
      </c>
      <c r="B1050" s="104">
        <v>3.9240000247955322</v>
      </c>
      <c r="C1050" s="105">
        <v>1126.4200439453125</v>
      </c>
      <c r="D1050" s="104">
        <v>1.6067999601364136</v>
      </c>
      <c r="E1050">
        <v>92.481275273742355</v>
      </c>
      <c r="F1050">
        <v>1094.364990234375</v>
      </c>
      <c r="G1050" s="14"/>
      <c r="H1050" s="34"/>
      <c r="I1050" s="34"/>
      <c r="J1050" s="34"/>
      <c r="K1050" s="34"/>
      <c r="L1050" s="34"/>
      <c r="N1050" s="34"/>
      <c r="O1050" s="35"/>
      <c r="P1050" s="35"/>
      <c r="Q1050" s="35"/>
      <c r="R1050" s="35"/>
      <c r="S1050" s="74"/>
    </row>
    <row r="1051" spans="1:19" ht="13.5" thickBot="1">
      <c r="A1051" s="103">
        <v>40178</v>
      </c>
      <c r="B1051" s="104">
        <v>3.9714999198913574</v>
      </c>
      <c r="C1051" s="105">
        <v>1115.0999755859375</v>
      </c>
      <c r="D1051" s="104">
        <v>1.6146999597549438</v>
      </c>
      <c r="E1051">
        <v>93.135884968087652</v>
      </c>
      <c r="F1051">
        <v>1095.6650390625</v>
      </c>
      <c r="G1051" s="14"/>
      <c r="H1051" s="34"/>
      <c r="I1051" s="34"/>
      <c r="J1051" s="34"/>
      <c r="K1051" s="34"/>
      <c r="L1051" s="34"/>
      <c r="N1051" s="34"/>
      <c r="O1051" s="35"/>
      <c r="P1051" s="35"/>
      <c r="Q1051" s="35"/>
      <c r="R1051" s="35"/>
      <c r="S1051" s="74"/>
    </row>
    <row r="1052" spans="1:19" ht="13.5" thickBot="1">
      <c r="A1052" s="103">
        <v>40179</v>
      </c>
      <c r="B1052" s="104">
        <v>3.9714999198913574</v>
      </c>
      <c r="C1052" s="105">
        <v>1115.0999755859375</v>
      </c>
      <c r="D1052" s="104">
        <v>1.6146999597549438</v>
      </c>
      <c r="E1052">
        <v>93.135884968087652</v>
      </c>
      <c r="F1052">
        <v>1095.6650390625</v>
      </c>
      <c r="G1052" s="14"/>
      <c r="H1052" s="34"/>
      <c r="I1052" s="34"/>
      <c r="J1052" s="34"/>
      <c r="K1052" s="34"/>
      <c r="L1052" s="34"/>
      <c r="N1052" s="34"/>
      <c r="O1052" s="35"/>
      <c r="P1052" s="35"/>
      <c r="Q1052" s="35"/>
      <c r="R1052" s="35"/>
      <c r="S1052" s="74"/>
    </row>
    <row r="1053" spans="1:19" ht="13.5" thickBot="1">
      <c r="A1053" s="103">
        <v>40182</v>
      </c>
      <c r="B1053" s="104">
        <v>3.9514999389648437</v>
      </c>
      <c r="C1053" s="105">
        <v>1132.989990234375</v>
      </c>
      <c r="D1053" s="104">
        <v>1.6094000339508057</v>
      </c>
      <c r="E1053">
        <v>92.601166434303167</v>
      </c>
      <c r="F1053">
        <v>1118.4857177734375</v>
      </c>
      <c r="G1053" s="14"/>
      <c r="H1053" s="34"/>
      <c r="I1053" s="34"/>
      <c r="J1053" s="34"/>
      <c r="K1053" s="34"/>
      <c r="L1053" s="34"/>
      <c r="N1053" s="34"/>
      <c r="O1053" s="35"/>
      <c r="P1053" s="35"/>
      <c r="Q1053" s="35"/>
      <c r="R1053" s="35"/>
      <c r="S1053" s="74"/>
    </row>
    <row r="1054" spans="1:19" ht="13.5" thickBot="1">
      <c r="A1054" s="103">
        <v>40183</v>
      </c>
      <c r="B1054" s="104">
        <v>3.8499999046325684</v>
      </c>
      <c r="C1054" s="105">
        <v>1136.52001953125</v>
      </c>
      <c r="D1054" s="104">
        <v>1.6002999544143677</v>
      </c>
      <c r="E1054">
        <v>91.74311833794637</v>
      </c>
      <c r="F1054">
        <v>1123.53564453125</v>
      </c>
      <c r="G1054" s="14"/>
      <c r="H1054" s="34"/>
      <c r="I1054" s="34"/>
      <c r="J1054" s="34"/>
      <c r="K1054" s="34"/>
      <c r="L1054" s="34"/>
      <c r="N1054" s="34"/>
      <c r="O1054" s="35"/>
      <c r="P1054" s="35"/>
      <c r="Q1054" s="35"/>
      <c r="R1054" s="35"/>
      <c r="S1054" s="74"/>
    </row>
    <row r="1055" spans="1:19" ht="13.5" thickBot="1">
      <c r="A1055" s="103">
        <v>40184</v>
      </c>
      <c r="B1055" s="104">
        <v>3.9045000076293945</v>
      </c>
      <c r="C1055" s="105">
        <v>1137.1400146484375</v>
      </c>
      <c r="D1055" s="104">
        <v>1.600600004196167</v>
      </c>
      <c r="E1055">
        <v>92.421438080780092</v>
      </c>
      <c r="F1055">
        <v>1136.83544921875</v>
      </c>
      <c r="G1055" s="14"/>
      <c r="H1055" s="34"/>
      <c r="I1055" s="34"/>
      <c r="J1055" s="34"/>
      <c r="K1055" s="34"/>
      <c r="L1055" s="34"/>
      <c r="N1055" s="34"/>
      <c r="O1055" s="35"/>
      <c r="P1055" s="35"/>
      <c r="Q1055" s="35"/>
      <c r="R1055" s="35"/>
      <c r="S1055" s="74"/>
    </row>
    <row r="1056" spans="1:19" ht="13.5" thickBot="1">
      <c r="A1056" s="103">
        <v>40185</v>
      </c>
      <c r="B1056" s="104">
        <v>3.9305000305175781</v>
      </c>
      <c r="C1056" s="105">
        <v>1141.68994140625</v>
      </c>
      <c r="D1056" s="104">
        <v>1.5943000316619873</v>
      </c>
      <c r="E1056">
        <v>93.161913297809349</v>
      </c>
      <c r="F1056">
        <v>1129.869873046875</v>
      </c>
      <c r="G1056" s="14"/>
      <c r="H1056" s="34"/>
      <c r="I1056" s="34"/>
      <c r="J1056" s="34"/>
      <c r="K1056" s="34"/>
      <c r="L1056" s="34"/>
      <c r="N1056" s="34"/>
      <c r="O1056" s="35"/>
      <c r="P1056" s="35"/>
      <c r="Q1056" s="35"/>
      <c r="R1056" s="35"/>
      <c r="S1056" s="74"/>
    </row>
    <row r="1057" spans="1:19" ht="13.5" thickBot="1">
      <c r="A1057" s="103">
        <v>40186</v>
      </c>
      <c r="B1057" s="104">
        <v>3.9065001010894775</v>
      </c>
      <c r="C1057" s="105">
        <v>1144.97998046875</v>
      </c>
      <c r="D1057" s="104">
        <v>1.6031999588012695</v>
      </c>
      <c r="E1057">
        <v>92.618323688303221</v>
      </c>
      <c r="F1057">
        <v>1128.869873046875</v>
      </c>
      <c r="G1057" s="14"/>
      <c r="H1057" s="34"/>
      <c r="I1057" s="34"/>
      <c r="J1057" s="34"/>
      <c r="K1057" s="34"/>
      <c r="L1057" s="34"/>
      <c r="N1057" s="34"/>
      <c r="O1057" s="35"/>
      <c r="P1057" s="35"/>
      <c r="Q1057" s="35"/>
      <c r="R1057" s="35"/>
      <c r="S1057" s="74"/>
    </row>
    <row r="1058" spans="1:19" ht="13.5" thickBot="1">
      <c r="A1058" s="103">
        <v>40189</v>
      </c>
      <c r="B1058" s="104">
        <v>3.9149999618530273</v>
      </c>
      <c r="C1058" s="105">
        <v>1146.97998046875</v>
      </c>
      <c r="D1058" s="104">
        <v>1.6097999811172485</v>
      </c>
      <c r="E1058">
        <v>91.99631720623114</v>
      </c>
      <c r="F1058">
        <v>1151.8846435546875</v>
      </c>
      <c r="G1058" s="14"/>
      <c r="H1058" s="34"/>
      <c r="I1058" s="34"/>
      <c r="J1058" s="34"/>
      <c r="K1058" s="34"/>
      <c r="L1058" s="34"/>
      <c r="N1058" s="34"/>
      <c r="O1058" s="35"/>
      <c r="P1058" s="35"/>
      <c r="Q1058" s="35"/>
      <c r="R1058" s="35"/>
      <c r="S1058" s="74"/>
    </row>
    <row r="1059" spans="1:19" ht="13.5" thickBot="1">
      <c r="A1059" s="103">
        <v>40190</v>
      </c>
      <c r="B1059" s="104">
        <v>3.8169999122619629</v>
      </c>
      <c r="C1059" s="105">
        <v>1136.219970703125</v>
      </c>
      <c r="D1059" s="104">
        <v>1.6175999641418457</v>
      </c>
      <c r="E1059">
        <v>91.016659290623252</v>
      </c>
      <c r="F1059">
        <v>1147.9346923828125</v>
      </c>
      <c r="G1059" s="14"/>
      <c r="H1059" s="34"/>
      <c r="I1059" s="34"/>
      <c r="J1059" s="34"/>
      <c r="K1059" s="34"/>
      <c r="L1059" s="34"/>
      <c r="N1059" s="34"/>
      <c r="O1059" s="35"/>
      <c r="P1059" s="35"/>
      <c r="Q1059" s="35"/>
      <c r="R1059" s="35"/>
      <c r="S1059" s="74"/>
    </row>
    <row r="1060" spans="1:19" ht="13.5" thickBot="1">
      <c r="A1060" s="103">
        <v>40191</v>
      </c>
      <c r="B1060" s="104">
        <v>3.8880000114440918</v>
      </c>
      <c r="C1060" s="105">
        <v>1145.6800537109375</v>
      </c>
      <c r="D1060" s="104">
        <v>1.6281000375747681</v>
      </c>
      <c r="E1060">
        <v>91.457838743888246</v>
      </c>
      <c r="F1060">
        <v>1132.9349365234375</v>
      </c>
      <c r="G1060" s="14"/>
      <c r="H1060" s="34"/>
      <c r="I1060" s="34"/>
      <c r="J1060" s="34"/>
      <c r="K1060" s="34"/>
      <c r="L1060" s="34"/>
      <c r="N1060" s="34"/>
      <c r="O1060" s="35"/>
      <c r="P1060" s="35"/>
      <c r="Q1060" s="35"/>
      <c r="R1060" s="35"/>
      <c r="S1060" s="74"/>
    </row>
    <row r="1061" spans="1:19" ht="13.5" thickBot="1">
      <c r="A1061" s="103">
        <v>40192</v>
      </c>
      <c r="B1061" s="104">
        <v>3.8294999599456787</v>
      </c>
      <c r="C1061" s="105">
        <v>1148.4599609375</v>
      </c>
      <c r="D1061" s="104">
        <v>1.6332000494003296</v>
      </c>
      <c r="E1061">
        <v>91.000090259216847</v>
      </c>
      <c r="F1061">
        <v>1140.9696044921875</v>
      </c>
      <c r="G1061" s="14"/>
      <c r="H1061" s="34"/>
      <c r="I1061" s="34"/>
      <c r="J1061" s="34"/>
      <c r="K1061" s="34"/>
      <c r="L1061" s="34"/>
      <c r="N1061" s="34"/>
      <c r="O1061" s="35"/>
      <c r="P1061" s="35"/>
      <c r="Q1061" s="35"/>
      <c r="R1061" s="35"/>
      <c r="S1061" s="74"/>
    </row>
    <row r="1062" spans="1:19" ht="13.5" thickBot="1">
      <c r="A1062" s="103">
        <v>40193</v>
      </c>
      <c r="B1062" s="104">
        <v>3.7799770832061768</v>
      </c>
      <c r="C1062" s="105">
        <v>1136.030029296875</v>
      </c>
      <c r="D1062" s="104">
        <v>1.6263999938964844</v>
      </c>
      <c r="E1062">
        <v>90.900825703249694</v>
      </c>
      <c r="F1062">
        <v>1131.06982421875</v>
      </c>
      <c r="G1062" s="14"/>
      <c r="H1062" s="34"/>
      <c r="I1062" s="34"/>
      <c r="J1062" s="34"/>
      <c r="K1062" s="34"/>
      <c r="L1062" s="34"/>
      <c r="N1062" s="34"/>
      <c r="O1062" s="35"/>
      <c r="P1062" s="35"/>
      <c r="Q1062" s="35"/>
      <c r="R1062" s="35"/>
      <c r="S1062" s="74"/>
    </row>
    <row r="1063" spans="1:19" ht="13.5" thickBot="1">
      <c r="A1063" s="103">
        <v>40196</v>
      </c>
      <c r="B1063" s="104">
        <v>3.7799770832061768</v>
      </c>
      <c r="C1063" s="105">
        <v>1136.030029296875</v>
      </c>
      <c r="D1063" s="104">
        <v>1.6363500356674194</v>
      </c>
      <c r="E1063">
        <v>90.867785624695713</v>
      </c>
      <c r="F1063">
        <v>1134.0849609375</v>
      </c>
      <c r="G1063" s="14"/>
      <c r="H1063" s="34"/>
      <c r="I1063" s="34"/>
      <c r="J1063" s="34"/>
      <c r="K1063" s="34"/>
      <c r="L1063" s="34"/>
      <c r="N1063" s="34"/>
      <c r="O1063" s="35"/>
      <c r="P1063" s="35"/>
      <c r="Q1063" s="35"/>
      <c r="R1063" s="35"/>
      <c r="S1063" s="74"/>
    </row>
    <row r="1064" spans="1:19" ht="13.5" thickBot="1">
      <c r="A1064" s="103">
        <v>40197</v>
      </c>
      <c r="B1064" s="104">
        <v>3.8110001087188721</v>
      </c>
      <c r="C1064" s="105">
        <v>1150.22998046875</v>
      </c>
      <c r="D1064" s="104">
        <v>1.6365000009536743</v>
      </c>
      <c r="E1064">
        <v>91.116169397004512</v>
      </c>
      <c r="F1064">
        <v>1133.0849609375</v>
      </c>
      <c r="G1064" s="14"/>
      <c r="H1064" s="34"/>
      <c r="I1064" s="34"/>
      <c r="J1064" s="34"/>
      <c r="K1064" s="34"/>
      <c r="L1064" s="34"/>
      <c r="N1064" s="34"/>
      <c r="O1064" s="35"/>
      <c r="P1064" s="35"/>
      <c r="Q1064" s="35"/>
      <c r="R1064" s="35"/>
      <c r="S1064" s="74"/>
    </row>
    <row r="1065" spans="1:19" ht="13.5" thickBot="1">
      <c r="A1065" s="103">
        <v>40198</v>
      </c>
      <c r="B1065" s="104">
        <v>3.7620000839233398</v>
      </c>
      <c r="C1065" s="105">
        <v>1138.0400390625</v>
      </c>
      <c r="D1065" s="104">
        <v>1.6289999485015869</v>
      </c>
      <c r="E1065">
        <v>91.21590508274609</v>
      </c>
      <c r="F1065">
        <v>1110.13525390625</v>
      </c>
      <c r="G1065" s="14"/>
      <c r="H1065" s="34"/>
      <c r="I1065" s="34"/>
      <c r="J1065" s="34"/>
      <c r="K1065" s="34"/>
      <c r="L1065" s="34"/>
      <c r="N1065" s="34"/>
      <c r="O1065" s="35"/>
      <c r="P1065" s="35"/>
      <c r="Q1065" s="35"/>
      <c r="R1065" s="35"/>
      <c r="S1065" s="74"/>
    </row>
    <row r="1066" spans="1:19" ht="13.5" thickBot="1">
      <c r="A1066" s="103">
        <v>40199</v>
      </c>
      <c r="B1066" s="104">
        <v>3.7165000438690186</v>
      </c>
      <c r="C1066" s="105">
        <v>1116.47998046875</v>
      </c>
      <c r="D1066" s="104">
        <v>1.6210999488830566</v>
      </c>
      <c r="E1066">
        <v>90.399566516570673</v>
      </c>
      <c r="F1066">
        <v>1099.220703125</v>
      </c>
      <c r="G1066" s="14"/>
      <c r="H1066" s="34"/>
      <c r="I1066" s="34"/>
      <c r="J1066" s="34"/>
      <c r="K1066" s="34"/>
      <c r="L1066" s="34"/>
      <c r="N1066" s="34"/>
      <c r="O1066" s="35"/>
      <c r="P1066" s="35"/>
      <c r="Q1066" s="35"/>
      <c r="R1066" s="35"/>
      <c r="S1066" s="74"/>
    </row>
    <row r="1067" spans="1:19" ht="13.5" thickBot="1">
      <c r="A1067" s="103">
        <v>40200</v>
      </c>
      <c r="B1067" s="104">
        <v>3.7114999294281006</v>
      </c>
      <c r="C1067" s="105">
        <v>1091.760009765625</v>
      </c>
      <c r="D1067" s="104">
        <v>1.611799955368042</v>
      </c>
      <c r="E1067">
        <v>89.879557880448516</v>
      </c>
      <c r="F1067">
        <v>1095.2208251953125</v>
      </c>
      <c r="G1067" s="14"/>
      <c r="H1067" s="34"/>
      <c r="I1067" s="34"/>
      <c r="J1067" s="34"/>
      <c r="K1067" s="34"/>
      <c r="L1067" s="34"/>
      <c r="N1067" s="34"/>
      <c r="O1067" s="35"/>
      <c r="P1067" s="35"/>
      <c r="Q1067" s="35"/>
      <c r="R1067" s="35"/>
      <c r="S1067" s="74"/>
    </row>
    <row r="1068" spans="1:19" ht="13.5" thickBot="1">
      <c r="A1068" s="103">
        <v>40203</v>
      </c>
      <c r="B1068" s="104">
        <v>3.7425000667572021</v>
      </c>
      <c r="C1068" s="105">
        <v>1096.780029296875</v>
      </c>
      <c r="D1068" s="104">
        <v>1.624500036239624</v>
      </c>
      <c r="E1068">
        <v>90.260851349354311</v>
      </c>
      <c r="F1068">
        <v>1095.2353515625</v>
      </c>
      <c r="G1068" s="14"/>
      <c r="H1068" s="34"/>
      <c r="I1068" s="34"/>
      <c r="J1068" s="34"/>
      <c r="K1068" s="34"/>
      <c r="L1068" s="34"/>
      <c r="N1068" s="34"/>
      <c r="O1068" s="35"/>
      <c r="P1068" s="35"/>
      <c r="Q1068" s="35"/>
      <c r="R1068" s="35"/>
      <c r="S1068" s="74"/>
    </row>
    <row r="1069" spans="1:19" ht="13.5" thickBot="1">
      <c r="A1069" s="103">
        <v>40204</v>
      </c>
      <c r="B1069" s="104">
        <v>3.747499942779541</v>
      </c>
      <c r="C1069" s="105">
        <v>1092.1700439453125</v>
      </c>
      <c r="D1069" s="104">
        <v>1.6145999431610107</v>
      </c>
      <c r="E1069">
        <v>89.71828736240515</v>
      </c>
      <c r="F1069">
        <v>1100.2353515625</v>
      </c>
      <c r="G1069" s="14"/>
      <c r="H1069" s="34"/>
      <c r="I1069" s="34"/>
      <c r="J1069" s="34"/>
      <c r="K1069" s="34"/>
      <c r="L1069" s="34"/>
      <c r="N1069" s="34"/>
      <c r="O1069" s="35"/>
      <c r="P1069" s="35"/>
      <c r="Q1069" s="35"/>
      <c r="R1069" s="35"/>
      <c r="S1069" s="74"/>
    </row>
    <row r="1070" spans="1:19" ht="13.5" thickBot="1">
      <c r="A1070" s="103">
        <v>40205</v>
      </c>
      <c r="B1070" s="104">
        <v>3.7625000476837158</v>
      </c>
      <c r="C1070" s="105">
        <v>1097.5</v>
      </c>
      <c r="D1070" s="104">
        <v>1.617900013923645</v>
      </c>
      <c r="E1070">
        <v>89.960418287502534</v>
      </c>
      <c r="F1070">
        <v>1094.7860107421875</v>
      </c>
      <c r="G1070" s="14"/>
      <c r="H1070" s="34"/>
      <c r="I1070" s="34"/>
      <c r="J1070" s="34"/>
      <c r="K1070" s="34"/>
      <c r="L1070" s="34"/>
      <c r="N1070" s="34"/>
      <c r="O1070" s="35"/>
      <c r="P1070" s="35"/>
      <c r="Q1070" s="35"/>
      <c r="R1070" s="35"/>
      <c r="S1070" s="74"/>
    </row>
    <row r="1071" spans="1:19" ht="13.5" thickBot="1">
      <c r="A1071" s="103">
        <v>40206</v>
      </c>
      <c r="B1071" s="104">
        <v>3.7804999351501465</v>
      </c>
      <c r="C1071" s="105">
        <v>1084.530029296875</v>
      </c>
      <c r="D1071" s="104">
        <v>1.6126999855041504</v>
      </c>
      <c r="E1071">
        <v>89.936147905989941</v>
      </c>
      <c r="F1071">
        <v>1082.4222412109375</v>
      </c>
      <c r="G1071" s="14"/>
      <c r="H1071" s="34"/>
      <c r="I1071" s="34"/>
      <c r="J1071" s="34"/>
      <c r="K1071" s="34"/>
      <c r="L1071" s="34"/>
      <c r="N1071" s="34"/>
      <c r="O1071" s="35"/>
      <c r="P1071" s="35"/>
      <c r="Q1071" s="35"/>
      <c r="R1071" s="35"/>
      <c r="S1071" s="74"/>
    </row>
    <row r="1072" spans="1:19" ht="13.5" thickBot="1">
      <c r="A1072" s="103">
        <v>40207</v>
      </c>
      <c r="B1072" s="104">
        <v>3.7355000972747803</v>
      </c>
      <c r="C1072" s="105">
        <v>1073.8699951171875</v>
      </c>
      <c r="D1072" s="104">
        <v>1.5992499589920044</v>
      </c>
      <c r="E1072">
        <v>90.293451452783287</v>
      </c>
      <c r="F1072">
        <v>1083.2222900390625</v>
      </c>
      <c r="G1072" s="14"/>
      <c r="H1072" s="34"/>
      <c r="I1072" s="34"/>
      <c r="J1072" s="34"/>
      <c r="K1072" s="34"/>
      <c r="L1072" s="34"/>
      <c r="N1072" s="34"/>
      <c r="O1072" s="35"/>
      <c r="P1072" s="35"/>
      <c r="Q1072" s="35"/>
      <c r="R1072" s="35"/>
      <c r="S1072" s="74"/>
    </row>
    <row r="1073" spans="1:19" ht="13.5" thickBot="1">
      <c r="A1073" s="103">
        <v>40210</v>
      </c>
      <c r="B1073" s="104">
        <v>3.7744998931884766</v>
      </c>
      <c r="C1073" s="105">
        <v>1089.18994140625</v>
      </c>
      <c r="D1073" s="104">
        <v>1.5956000089645386</v>
      </c>
      <c r="E1073">
        <v>90.637175883633731</v>
      </c>
      <c r="F1073">
        <v>1096.43603515625</v>
      </c>
      <c r="G1073" s="14"/>
      <c r="H1073" s="34"/>
      <c r="I1073" s="34"/>
      <c r="J1073" s="34"/>
      <c r="K1073" s="34"/>
      <c r="L1073" s="34"/>
      <c r="N1073" s="34"/>
      <c r="O1073" s="35"/>
      <c r="P1073" s="35"/>
      <c r="Q1073" s="35"/>
      <c r="R1073" s="35"/>
      <c r="S1073" s="74"/>
    </row>
    <row r="1074" spans="1:19" ht="13.5" thickBot="1">
      <c r="A1074" s="103">
        <v>40211</v>
      </c>
      <c r="B1074" s="104">
        <v>3.7595000267028809</v>
      </c>
      <c r="C1074" s="105">
        <v>1103.3199462890625</v>
      </c>
      <c r="D1074" s="104">
        <v>1.5973999500274658</v>
      </c>
      <c r="E1074">
        <v>90.383221379340526</v>
      </c>
      <c r="F1074">
        <v>1115.9857177734375</v>
      </c>
      <c r="G1074" s="14"/>
      <c r="H1074" s="34"/>
      <c r="I1074" s="34"/>
      <c r="J1074" s="34"/>
      <c r="K1074" s="34"/>
      <c r="L1074" s="34"/>
      <c r="N1074" s="34"/>
      <c r="O1074" s="35"/>
      <c r="P1074" s="35"/>
      <c r="Q1074" s="35"/>
      <c r="R1074" s="35"/>
      <c r="S1074" s="74"/>
    </row>
    <row r="1075" spans="1:19" ht="13.5" thickBot="1">
      <c r="A1075" s="103">
        <v>40212</v>
      </c>
      <c r="B1075" s="104">
        <v>3.811500072479248</v>
      </c>
      <c r="C1075" s="105">
        <v>1097.280029296875</v>
      </c>
      <c r="D1075" s="104">
        <v>1.5898000001907349</v>
      </c>
      <c r="E1075">
        <v>91.016659290623252</v>
      </c>
      <c r="F1075">
        <v>1110.48583984375</v>
      </c>
      <c r="G1075" s="14"/>
      <c r="H1075" s="34"/>
      <c r="I1075" s="34"/>
      <c r="J1075" s="34"/>
      <c r="K1075" s="34"/>
      <c r="L1075" s="34"/>
      <c r="N1075" s="34"/>
      <c r="O1075" s="35"/>
      <c r="P1075" s="35"/>
      <c r="Q1075" s="35"/>
      <c r="R1075" s="35"/>
      <c r="S1075" s="74"/>
    </row>
    <row r="1076" spans="1:19" ht="13.5" thickBot="1">
      <c r="A1076" s="103">
        <v>40213</v>
      </c>
      <c r="B1076" s="104">
        <v>3.7160000801086426</v>
      </c>
      <c r="C1076" s="105">
        <v>1063.1099853515625</v>
      </c>
      <c r="D1076" s="104">
        <v>1.576200008392334</v>
      </c>
      <c r="E1076">
        <v>89.221986991065179</v>
      </c>
      <c r="F1076">
        <v>1068.47265625</v>
      </c>
      <c r="G1076" s="14"/>
      <c r="H1076" s="34"/>
      <c r="I1076" s="34"/>
      <c r="J1076" s="34"/>
      <c r="K1076" s="34"/>
      <c r="L1076" s="34"/>
      <c r="N1076" s="34"/>
      <c r="O1076" s="35"/>
      <c r="P1076" s="35"/>
      <c r="Q1076" s="35"/>
      <c r="R1076" s="35"/>
      <c r="S1076" s="74"/>
    </row>
    <row r="1077" spans="1:19" ht="13.5" thickBot="1">
      <c r="A1077" s="103">
        <v>40214</v>
      </c>
      <c r="B1077" s="104">
        <v>3.6424999237060547</v>
      </c>
      <c r="C1077" s="105">
        <v>1066.18994140625</v>
      </c>
      <c r="D1077" s="104">
        <v>1.5605000257492065</v>
      </c>
      <c r="E1077">
        <v>89.19810595361912</v>
      </c>
      <c r="F1077">
        <v>1053.5731201171875</v>
      </c>
      <c r="G1077" s="14"/>
      <c r="H1077" s="34"/>
      <c r="I1077" s="34"/>
      <c r="J1077" s="34"/>
      <c r="K1077" s="34"/>
      <c r="L1077" s="34"/>
      <c r="N1077" s="34"/>
      <c r="O1077" s="35"/>
      <c r="P1077" s="35"/>
      <c r="Q1077" s="35"/>
      <c r="R1077" s="35"/>
      <c r="S1077" s="74"/>
    </row>
    <row r="1078" spans="1:19" ht="13.5" thickBot="1">
      <c r="A1078" s="103">
        <v>40217</v>
      </c>
      <c r="B1078" s="104">
        <v>3.687000036239624</v>
      </c>
      <c r="C1078" s="105">
        <v>1056.739990234375</v>
      </c>
      <c r="D1078" s="104">
        <v>1.5613000392913818</v>
      </c>
      <c r="E1078">
        <v>89.381476637356258</v>
      </c>
      <c r="F1078">
        <v>1068.6363525390625</v>
      </c>
      <c r="G1078" s="14"/>
      <c r="H1078" s="34"/>
      <c r="I1078" s="34"/>
      <c r="J1078" s="34"/>
      <c r="K1078" s="34"/>
      <c r="L1078" s="34"/>
      <c r="N1078" s="34"/>
      <c r="O1078" s="35"/>
      <c r="P1078" s="35"/>
      <c r="Q1078" s="35"/>
      <c r="R1078" s="35"/>
      <c r="S1078" s="74"/>
    </row>
    <row r="1079" spans="1:19" ht="13.5" thickBot="1">
      <c r="A1079" s="103">
        <v>40218</v>
      </c>
      <c r="B1079" s="104">
        <v>3.7349998950958252</v>
      </c>
      <c r="C1079" s="105">
        <v>1070.52001953125</v>
      </c>
      <c r="D1079" s="104">
        <v>1.5688999891281128</v>
      </c>
      <c r="E1079">
        <v>89.661971085328531</v>
      </c>
      <c r="F1079">
        <v>1082.63623046875</v>
      </c>
      <c r="G1079" s="14"/>
      <c r="H1079" s="34"/>
      <c r="I1079" s="34"/>
      <c r="J1079" s="34"/>
      <c r="K1079" s="34"/>
      <c r="L1079" s="34"/>
      <c r="N1079" s="34"/>
      <c r="O1079" s="35"/>
      <c r="P1079" s="35"/>
      <c r="Q1079" s="35"/>
      <c r="R1079" s="35"/>
      <c r="S1079" s="74"/>
    </row>
    <row r="1080" spans="1:19" ht="13.5" thickBot="1">
      <c r="A1080" s="103">
        <v>40219</v>
      </c>
      <c r="B1080" s="104">
        <v>3.7999999523162842</v>
      </c>
      <c r="C1080" s="105">
        <v>1068.1300048828125</v>
      </c>
      <c r="D1080" s="104">
        <v>1.5590000152587891</v>
      </c>
      <c r="E1080">
        <v>89.919969905577247</v>
      </c>
      <c r="F1080">
        <v>1074.6363525390625</v>
      </c>
      <c r="G1080" s="14"/>
      <c r="H1080" s="34"/>
      <c r="I1080" s="34"/>
      <c r="J1080" s="34"/>
      <c r="K1080" s="34"/>
      <c r="L1080" s="34"/>
      <c r="N1080" s="34"/>
      <c r="O1080" s="35"/>
      <c r="P1080" s="35"/>
      <c r="Q1080" s="35"/>
      <c r="R1080" s="35"/>
      <c r="S1080" s="74"/>
    </row>
    <row r="1081" spans="1:19" ht="13.5" thickBot="1">
      <c r="A1081" s="103">
        <v>40220</v>
      </c>
      <c r="B1081" s="104">
        <v>3.8269999027252197</v>
      </c>
      <c r="C1081" s="105">
        <v>1078.469970703125</v>
      </c>
      <c r="D1081" s="104">
        <v>1.569599986076355</v>
      </c>
      <c r="E1081">
        <v>89.758546959605127</v>
      </c>
      <c r="F1081">
        <v>1093.7220458984375</v>
      </c>
      <c r="G1081" s="14"/>
      <c r="H1081" s="34"/>
      <c r="I1081" s="34"/>
      <c r="J1081" s="34"/>
      <c r="K1081" s="34"/>
      <c r="L1081" s="34"/>
      <c r="N1081" s="34"/>
      <c r="O1081" s="35"/>
      <c r="P1081" s="35"/>
      <c r="Q1081" s="35"/>
      <c r="R1081" s="35"/>
      <c r="S1081" s="74"/>
    </row>
    <row r="1082" spans="1:19" ht="13.5" thickBot="1">
      <c r="A1082" s="103">
        <v>40221</v>
      </c>
      <c r="B1082" s="104">
        <v>3.7872529029846191</v>
      </c>
      <c r="C1082" s="105">
        <v>1075.510009765625</v>
      </c>
      <c r="D1082" s="104">
        <v>1.5666999816894531</v>
      </c>
      <c r="E1082">
        <v>89.936147905989941</v>
      </c>
      <c r="F1082">
        <v>1087.72216796875</v>
      </c>
      <c r="G1082" s="14"/>
      <c r="H1082" s="34"/>
      <c r="I1082" s="34"/>
      <c r="J1082" s="34"/>
      <c r="K1082" s="34"/>
      <c r="L1082" s="34"/>
      <c r="N1082" s="34"/>
      <c r="O1082" s="35"/>
      <c r="P1082" s="35"/>
      <c r="Q1082" s="35"/>
      <c r="R1082" s="35"/>
      <c r="S1082" s="74"/>
    </row>
    <row r="1083" spans="1:19" ht="13.5" thickBot="1">
      <c r="A1083" s="103">
        <v>40224</v>
      </c>
      <c r="B1083" s="104">
        <v>3.7872529029846191</v>
      </c>
      <c r="C1083" s="105">
        <v>1075.510009765625</v>
      </c>
      <c r="D1083" s="104">
        <v>1.5650999546051025</v>
      </c>
      <c r="E1083">
        <v>90.033315640970812</v>
      </c>
      <c r="F1083">
        <v>1100.73583984375</v>
      </c>
      <c r="G1083" s="14"/>
      <c r="H1083" s="34"/>
      <c r="I1083" s="34"/>
      <c r="J1083" s="34"/>
      <c r="K1083" s="34"/>
      <c r="L1083" s="34"/>
      <c r="N1083" s="34"/>
      <c r="O1083" s="35"/>
      <c r="P1083" s="35"/>
      <c r="Q1083" s="35"/>
      <c r="R1083" s="35"/>
      <c r="S1083" s="74"/>
    </row>
    <row r="1084" spans="1:19" ht="13.5" thickBot="1">
      <c r="A1084" s="103">
        <v>40225</v>
      </c>
      <c r="B1084" s="104">
        <v>3.7614998817443848</v>
      </c>
      <c r="C1084" s="105">
        <v>1094.8699951171875</v>
      </c>
      <c r="D1084" s="104">
        <v>1.5781999826431274</v>
      </c>
      <c r="E1084">
        <v>90.138812225426065</v>
      </c>
      <c r="F1084">
        <v>1118.736328125</v>
      </c>
      <c r="G1084" s="14"/>
      <c r="H1084" s="34"/>
      <c r="I1084" s="34"/>
      <c r="J1084" s="34"/>
      <c r="K1084" s="34"/>
      <c r="L1084" s="34"/>
      <c r="N1084" s="34"/>
      <c r="O1084" s="35"/>
      <c r="P1084" s="35"/>
      <c r="Q1084" s="35"/>
      <c r="R1084" s="35"/>
      <c r="S1084" s="74"/>
    </row>
    <row r="1085" spans="1:19" ht="13.5" thickBot="1">
      <c r="A1085" s="103">
        <v>40226</v>
      </c>
      <c r="B1085" s="104">
        <v>3.8375000953674316</v>
      </c>
      <c r="C1085" s="105">
        <v>1099.510009765625</v>
      </c>
      <c r="D1085" s="104">
        <v>1.568600058555603</v>
      </c>
      <c r="E1085">
        <v>91.141088667903958</v>
      </c>
      <c r="F1085">
        <v>1114.7364501953125</v>
      </c>
      <c r="G1085" s="14"/>
      <c r="H1085" s="34"/>
      <c r="I1085" s="34"/>
      <c r="J1085" s="34"/>
      <c r="K1085" s="34"/>
      <c r="L1085" s="34"/>
      <c r="N1085" s="34"/>
      <c r="O1085" s="35"/>
      <c r="P1085" s="35"/>
      <c r="Q1085" s="35"/>
      <c r="R1085" s="35"/>
      <c r="S1085" s="74"/>
    </row>
    <row r="1086" spans="1:19" ht="13.5" thickBot="1">
      <c r="A1086" s="103">
        <v>40227</v>
      </c>
      <c r="B1086" s="104">
        <v>3.8935000896453857</v>
      </c>
      <c r="C1086" s="105">
        <v>1106.75</v>
      </c>
      <c r="D1086" s="104">
        <v>1.562999963760376</v>
      </c>
      <c r="E1086">
        <v>91.315859348948464</v>
      </c>
      <c r="F1086">
        <v>1116.72265625</v>
      </c>
      <c r="G1086" s="14"/>
      <c r="H1086" s="34"/>
      <c r="I1086" s="34"/>
      <c r="J1086" s="34"/>
      <c r="K1086" s="34"/>
      <c r="L1086" s="34"/>
      <c r="N1086" s="34"/>
      <c r="O1086" s="35"/>
      <c r="P1086" s="35"/>
      <c r="Q1086" s="35"/>
      <c r="R1086" s="35"/>
      <c r="S1086" s="74"/>
    </row>
    <row r="1087" spans="1:19" ht="13.5" thickBot="1">
      <c r="A1087" s="103">
        <v>40228</v>
      </c>
      <c r="B1087" s="104">
        <v>3.8894999027252197</v>
      </c>
      <c r="C1087" s="105">
        <v>1109.1700439453125</v>
      </c>
      <c r="D1087" s="104">
        <v>1.5465999841690063</v>
      </c>
      <c r="E1087">
        <v>91.74311833794637</v>
      </c>
      <c r="F1087">
        <v>1124.7225341796875</v>
      </c>
      <c r="G1087" s="14"/>
      <c r="H1087" s="34"/>
      <c r="I1087" s="34"/>
      <c r="J1087" s="34"/>
      <c r="K1087" s="34"/>
      <c r="L1087" s="34"/>
      <c r="N1087" s="34"/>
      <c r="O1087" s="35"/>
      <c r="P1087" s="35"/>
      <c r="Q1087" s="35"/>
      <c r="R1087" s="35"/>
      <c r="S1087" s="74"/>
    </row>
    <row r="1088" spans="1:19" ht="13.5" thickBot="1">
      <c r="A1088" s="103">
        <v>40231</v>
      </c>
      <c r="B1088" s="104">
        <v>3.8910000324249268</v>
      </c>
      <c r="C1088" s="105">
        <v>1108.010009765625</v>
      </c>
      <c r="D1088" s="104">
        <v>1.5489000082015991</v>
      </c>
      <c r="E1088">
        <v>91.182635602880396</v>
      </c>
      <c r="F1088">
        <v>1113.6363525390625</v>
      </c>
      <c r="G1088" s="14"/>
      <c r="H1088" s="34"/>
      <c r="I1088" s="34"/>
      <c r="J1088" s="34"/>
      <c r="K1088" s="34"/>
      <c r="L1088" s="34"/>
      <c r="N1088" s="34"/>
      <c r="O1088" s="35"/>
      <c r="P1088" s="35"/>
      <c r="Q1088" s="35"/>
      <c r="R1088" s="35"/>
      <c r="S1088" s="74"/>
    </row>
    <row r="1089" spans="1:19" ht="13.5" thickBot="1">
      <c r="A1089" s="103">
        <v>40232</v>
      </c>
      <c r="B1089" s="104">
        <v>3.7860000133514404</v>
      </c>
      <c r="C1089" s="105">
        <v>1094.5999755859375</v>
      </c>
      <c r="D1089" s="104">
        <v>1.5443999767303467</v>
      </c>
      <c r="E1089">
        <v>90.220139994155289</v>
      </c>
      <c r="F1089">
        <v>1101.636474609375</v>
      </c>
      <c r="G1089" s="14"/>
      <c r="H1089" s="34"/>
      <c r="I1089" s="34"/>
      <c r="J1089" s="34"/>
      <c r="K1089" s="34"/>
      <c r="L1089" s="34"/>
      <c r="N1089" s="34"/>
      <c r="O1089" s="35"/>
      <c r="P1089" s="35"/>
      <c r="Q1089" s="35"/>
      <c r="R1089" s="35"/>
      <c r="S1089" s="74"/>
    </row>
    <row r="1090" spans="1:19" ht="13.5" thickBot="1">
      <c r="A1090" s="103">
        <v>40233</v>
      </c>
      <c r="B1090" s="104">
        <v>3.7825000286102295</v>
      </c>
      <c r="C1090" s="105">
        <v>1105.239990234375</v>
      </c>
      <c r="D1090" s="104">
        <v>1.5397000312805176</v>
      </c>
      <c r="E1090">
        <v>90.163192127952343</v>
      </c>
      <c r="F1090">
        <v>1095.6365966796875</v>
      </c>
      <c r="G1090" s="14"/>
      <c r="H1090" s="34"/>
      <c r="I1090" s="34"/>
      <c r="J1090" s="34"/>
      <c r="K1090" s="34"/>
      <c r="L1090" s="34"/>
      <c r="N1090" s="34"/>
      <c r="O1090" s="35"/>
      <c r="P1090" s="35"/>
      <c r="Q1090" s="35"/>
      <c r="R1090" s="35"/>
      <c r="S1090" s="74"/>
    </row>
    <row r="1091" spans="1:19" ht="13.5" thickBot="1">
      <c r="A1091" s="103">
        <v>40234</v>
      </c>
      <c r="B1091" s="104">
        <v>3.7174999713897705</v>
      </c>
      <c r="C1091" s="105">
        <v>1102.93994140625</v>
      </c>
      <c r="D1091" s="104">
        <v>1.524899959564209</v>
      </c>
      <c r="E1091">
        <v>89.158347427171506</v>
      </c>
      <c r="F1091">
        <v>1100.72314453125</v>
      </c>
      <c r="G1091" s="14"/>
      <c r="H1091" s="34"/>
      <c r="I1091" s="34"/>
      <c r="J1091" s="34"/>
      <c r="K1091" s="34"/>
      <c r="L1091" s="34"/>
      <c r="N1091" s="34"/>
      <c r="O1091" s="35"/>
      <c r="P1091" s="35"/>
      <c r="Q1091" s="35"/>
      <c r="R1091" s="35"/>
      <c r="S1091" s="74"/>
    </row>
    <row r="1092" spans="1:19" ht="13.5" thickBot="1">
      <c r="A1092" s="103">
        <v>40235</v>
      </c>
      <c r="B1092" s="104">
        <v>3.6710000038146973</v>
      </c>
      <c r="C1092" s="105">
        <v>1104.489990234375</v>
      </c>
      <c r="D1092" s="104">
        <v>1.5247999429702759</v>
      </c>
      <c r="E1092">
        <v>88.888885356761932</v>
      </c>
      <c r="F1092">
        <v>1113.7227783203125</v>
      </c>
      <c r="G1092" s="14"/>
      <c r="H1092" s="34"/>
      <c r="I1092" s="34"/>
      <c r="J1092" s="34"/>
      <c r="K1092" s="34"/>
      <c r="L1092" s="34"/>
      <c r="N1092" s="34"/>
      <c r="O1092" s="35"/>
      <c r="P1092" s="35"/>
      <c r="Q1092" s="35"/>
      <c r="R1092" s="35"/>
      <c r="S1092" s="74"/>
    </row>
    <row r="1093" spans="1:19" ht="13.5" thickBot="1">
      <c r="A1093" s="103">
        <v>40238</v>
      </c>
      <c r="B1093" s="104">
        <v>3.6835000514984131</v>
      </c>
      <c r="C1093" s="105">
        <v>1115.7099609375</v>
      </c>
      <c r="D1093" s="104">
        <v>1.4998999834060669</v>
      </c>
      <c r="E1093">
        <v>89.078921829467262</v>
      </c>
      <c r="F1093">
        <v>1120.736328125</v>
      </c>
      <c r="G1093" s="14"/>
      <c r="H1093" s="34"/>
      <c r="I1093" s="34"/>
      <c r="J1093" s="34"/>
      <c r="K1093" s="34"/>
      <c r="L1093" s="34"/>
      <c r="N1093" s="34"/>
      <c r="O1093" s="35"/>
      <c r="P1093" s="35"/>
      <c r="Q1093" s="35"/>
      <c r="R1093" s="35"/>
      <c r="S1093" s="74"/>
    </row>
    <row r="1094" spans="1:19" ht="13.5" thickBot="1">
      <c r="A1094" s="103">
        <v>40239</v>
      </c>
      <c r="B1094" s="104">
        <v>3.6744999885559082</v>
      </c>
      <c r="C1094" s="105">
        <v>1118.31005859375</v>
      </c>
      <c r="D1094" s="104">
        <v>1.4948999881744385</v>
      </c>
      <c r="E1094">
        <v>88.683929061236611</v>
      </c>
      <c r="F1094">
        <v>1133.736083984375</v>
      </c>
      <c r="G1094" s="14"/>
      <c r="H1094" s="34"/>
      <c r="I1094" s="34"/>
      <c r="J1094" s="34"/>
      <c r="K1094" s="34"/>
      <c r="L1094" s="34"/>
      <c r="N1094" s="34"/>
      <c r="O1094" s="35"/>
      <c r="P1094" s="35"/>
      <c r="Q1094" s="35"/>
      <c r="R1094" s="35"/>
      <c r="S1094" s="74"/>
    </row>
    <row r="1095" spans="1:19" ht="13.5" thickBot="1">
      <c r="A1095" s="103">
        <v>40240</v>
      </c>
      <c r="B1095" s="104">
        <v>3.6659998893737793</v>
      </c>
      <c r="C1095" s="105">
        <v>1118.7900390625</v>
      </c>
      <c r="D1095" s="104">
        <v>1.5092999935150146</v>
      </c>
      <c r="E1095">
        <v>88.401693768767231</v>
      </c>
      <c r="F1095">
        <v>1143.7359619140625</v>
      </c>
      <c r="G1095" s="14"/>
      <c r="H1095" s="34"/>
      <c r="I1095" s="34"/>
      <c r="J1095" s="34"/>
      <c r="K1095" s="34"/>
      <c r="L1095" s="34"/>
      <c r="N1095" s="34"/>
      <c r="O1095" s="35"/>
      <c r="P1095" s="35"/>
      <c r="Q1095" s="35"/>
      <c r="R1095" s="35"/>
      <c r="S1095" s="74"/>
    </row>
    <row r="1096" spans="1:19" ht="13.5" thickBot="1">
      <c r="A1096" s="103">
        <v>40241</v>
      </c>
      <c r="B1096" s="104">
        <v>3.6364998817443848</v>
      </c>
      <c r="C1096" s="105">
        <v>1122.969970703125</v>
      </c>
      <c r="D1096" s="104">
        <v>1.5032000541687012</v>
      </c>
      <c r="E1096">
        <v>89.102739082621923</v>
      </c>
      <c r="F1096">
        <v>1130.722412109375</v>
      </c>
      <c r="G1096" s="14"/>
      <c r="H1096" s="34"/>
      <c r="I1096" s="34"/>
      <c r="J1096" s="34"/>
      <c r="K1096" s="34"/>
      <c r="L1096" s="34"/>
      <c r="N1096" s="34"/>
      <c r="O1096" s="35"/>
      <c r="P1096" s="35"/>
      <c r="Q1096" s="35"/>
      <c r="R1096" s="35"/>
      <c r="S1096" s="74"/>
    </row>
    <row r="1097" spans="1:19" ht="13.5" thickBot="1">
      <c r="A1097" s="103">
        <v>40242</v>
      </c>
      <c r="B1097" s="104">
        <v>3.7249999046325684</v>
      </c>
      <c r="C1097" s="105">
        <v>1138.699951171875</v>
      </c>
      <c r="D1097" s="104">
        <v>1.5157999992370605</v>
      </c>
      <c r="E1097">
        <v>90.383221379340526</v>
      </c>
      <c r="F1097">
        <v>1137.72216796875</v>
      </c>
      <c r="G1097" s="14"/>
      <c r="H1097" s="34"/>
      <c r="I1097" s="34"/>
      <c r="J1097" s="34"/>
      <c r="K1097" s="34"/>
      <c r="L1097" s="34"/>
      <c r="N1097" s="34"/>
      <c r="O1097" s="35"/>
      <c r="P1097" s="35"/>
      <c r="Q1097" s="35"/>
      <c r="R1097" s="35"/>
      <c r="S1097" s="74"/>
    </row>
    <row r="1098" spans="1:19" ht="13.5" thickBot="1">
      <c r="A1098" s="103">
        <v>40245</v>
      </c>
      <c r="B1098" s="104">
        <v>3.7555000782012939</v>
      </c>
      <c r="C1098" s="105">
        <v>1138.5</v>
      </c>
      <c r="D1098" s="104">
        <v>1.5072000026702881</v>
      </c>
      <c r="E1098">
        <v>90.317922686260104</v>
      </c>
      <c r="F1098">
        <v>1123.236328125</v>
      </c>
      <c r="G1098" s="14"/>
      <c r="H1098" s="34"/>
      <c r="I1098" s="34"/>
      <c r="J1098" s="34"/>
      <c r="K1098" s="34"/>
      <c r="L1098" s="34"/>
      <c r="N1098" s="34"/>
      <c r="O1098" s="35"/>
      <c r="P1098" s="35"/>
      <c r="Q1098" s="35"/>
      <c r="R1098" s="35"/>
      <c r="S1098" s="74"/>
    </row>
    <row r="1099" spans="1:19" ht="13.5" thickBot="1">
      <c r="A1099" s="103">
        <v>40246</v>
      </c>
      <c r="B1099" s="104">
        <v>3.7420001029968262</v>
      </c>
      <c r="C1099" s="105">
        <v>1140.449951171875</v>
      </c>
      <c r="D1099" s="104">
        <v>1.4989000558853149</v>
      </c>
      <c r="E1099">
        <v>89.960418287502534</v>
      </c>
      <c r="F1099">
        <v>1119.8363037109375</v>
      </c>
      <c r="G1099" s="14"/>
      <c r="H1099" s="34"/>
      <c r="I1099" s="34"/>
      <c r="J1099" s="34"/>
      <c r="K1099" s="34"/>
      <c r="L1099" s="34"/>
      <c r="N1099" s="34"/>
      <c r="O1099" s="35"/>
      <c r="P1099" s="35"/>
      <c r="Q1099" s="35"/>
      <c r="R1099" s="35"/>
      <c r="S1099" s="74"/>
    </row>
    <row r="1100" spans="1:19" ht="13.5" thickBot="1">
      <c r="A1100" s="103">
        <v>40247</v>
      </c>
      <c r="B1100" s="104">
        <v>3.7455000877380371</v>
      </c>
      <c r="C1100" s="105">
        <v>1145.6099853515625</v>
      </c>
      <c r="D1100" s="104">
        <v>1.4975999593734741</v>
      </c>
      <c r="E1100">
        <v>90.522313214056823</v>
      </c>
      <c r="F1100">
        <v>1107.8365478515625</v>
      </c>
      <c r="G1100" s="14"/>
      <c r="H1100" s="34"/>
      <c r="I1100" s="34"/>
      <c r="J1100" s="34"/>
      <c r="K1100" s="34"/>
      <c r="L1100" s="34"/>
      <c r="N1100" s="34"/>
      <c r="O1100" s="35"/>
      <c r="P1100" s="35"/>
      <c r="Q1100" s="35"/>
      <c r="R1100" s="35"/>
      <c r="S1100" s="74"/>
    </row>
    <row r="1101" spans="1:19" ht="13.5" thickBot="1">
      <c r="A1101" s="103">
        <v>40248</v>
      </c>
      <c r="B1101" s="104">
        <v>3.7534999847412109</v>
      </c>
      <c r="C1101" s="105">
        <v>1150.239990234375</v>
      </c>
      <c r="D1101" s="104">
        <v>1.5048999786376953</v>
      </c>
      <c r="E1101">
        <v>90.596124422268645</v>
      </c>
      <c r="F1101">
        <v>1107.472900390625</v>
      </c>
      <c r="G1101" s="14"/>
      <c r="H1101" s="34"/>
      <c r="I1101" s="34"/>
      <c r="J1101" s="34"/>
      <c r="K1101" s="34"/>
      <c r="L1101" s="34"/>
      <c r="N1101" s="34"/>
      <c r="O1101" s="35"/>
      <c r="P1101" s="35"/>
      <c r="Q1101" s="35"/>
      <c r="R1101" s="35"/>
      <c r="S1101" s="74"/>
    </row>
    <row r="1102" spans="1:19" ht="13.5" thickBot="1">
      <c r="A1102" s="103">
        <v>40249</v>
      </c>
      <c r="B1102" s="104">
        <v>3.7555000782012939</v>
      </c>
      <c r="C1102" s="105">
        <v>1149.989990234375</v>
      </c>
      <c r="D1102" s="104">
        <v>1.5175000429153442</v>
      </c>
      <c r="E1102">
        <v>90.522313214056823</v>
      </c>
      <c r="F1102">
        <v>1102.9730224609375</v>
      </c>
      <c r="G1102" s="14"/>
      <c r="H1102" s="34"/>
      <c r="I1102" s="34"/>
      <c r="J1102" s="34"/>
      <c r="K1102" s="34"/>
      <c r="L1102" s="34"/>
      <c r="N1102" s="34"/>
      <c r="O1102" s="35"/>
      <c r="P1102" s="35"/>
      <c r="Q1102" s="35"/>
      <c r="R1102" s="35"/>
      <c r="S1102" s="74"/>
    </row>
    <row r="1103" spans="1:19" ht="13.5" thickBot="1">
      <c r="A1103" s="103">
        <v>40252</v>
      </c>
      <c r="B1103" s="104">
        <v>3.7395000457763672</v>
      </c>
      <c r="C1103" s="105">
        <v>1150.510009765625</v>
      </c>
      <c r="D1103" s="104">
        <v>1.5041999816894531</v>
      </c>
      <c r="E1103">
        <v>90.481358086019256</v>
      </c>
      <c r="F1103">
        <v>1102.9864501953125</v>
      </c>
      <c r="G1103" s="14"/>
      <c r="H1103" s="34"/>
      <c r="I1103" s="34"/>
      <c r="J1103" s="34"/>
      <c r="K1103" s="34"/>
      <c r="L1103" s="34"/>
      <c r="N1103" s="34"/>
      <c r="O1103" s="35"/>
      <c r="P1103" s="35"/>
      <c r="Q1103" s="35"/>
      <c r="R1103" s="35"/>
      <c r="S1103" s="74"/>
    </row>
    <row r="1104" spans="1:19" ht="13.5" thickBot="1">
      <c r="A1104" s="103">
        <v>40253</v>
      </c>
      <c r="B1104" s="104">
        <v>3.6914999485015869</v>
      </c>
      <c r="C1104" s="105">
        <v>1159.4599609375</v>
      </c>
      <c r="D1104" s="104">
        <v>1.5231000185012817</v>
      </c>
      <c r="E1104">
        <v>90.277152253124683</v>
      </c>
      <c r="F1104">
        <v>1124.986328125</v>
      </c>
      <c r="G1104" s="14"/>
      <c r="H1104" s="34"/>
      <c r="I1104" s="34"/>
      <c r="J1104" s="34"/>
      <c r="K1104" s="34"/>
      <c r="L1104" s="34"/>
      <c r="N1104" s="34"/>
      <c r="O1104" s="35"/>
      <c r="P1104" s="35"/>
      <c r="Q1104" s="35"/>
      <c r="R1104" s="35"/>
      <c r="S1104" s="74"/>
    </row>
    <row r="1105" spans="1:19" ht="13.5" thickBot="1">
      <c r="A1105" s="103">
        <v>40254</v>
      </c>
      <c r="B1105" s="104">
        <v>3.6749999523162842</v>
      </c>
      <c r="C1105" s="105">
        <v>1166.2099609375</v>
      </c>
      <c r="D1105" s="104">
        <v>1.5329999923706055</v>
      </c>
      <c r="E1105">
        <v>90.203859670876682</v>
      </c>
      <c r="F1105">
        <v>1124.986328125</v>
      </c>
      <c r="G1105" s="14"/>
      <c r="H1105" s="34"/>
      <c r="I1105" s="34"/>
      <c r="J1105" s="34"/>
      <c r="K1105" s="34"/>
      <c r="L1105" s="34"/>
      <c r="N1105" s="34"/>
      <c r="O1105" s="35"/>
      <c r="P1105" s="35"/>
      <c r="Q1105" s="35"/>
      <c r="R1105" s="35"/>
      <c r="S1105" s="74"/>
    </row>
    <row r="1106" spans="1:19" ht="13.5" thickBot="1">
      <c r="A1106" s="103">
        <v>40255</v>
      </c>
      <c r="B1106" s="104">
        <v>3.7095000743865967</v>
      </c>
      <c r="C1106" s="105">
        <v>1165.8299560546875</v>
      </c>
      <c r="D1106" s="104">
        <v>1.5256999731063843</v>
      </c>
      <c r="E1106">
        <v>90.317922686260104</v>
      </c>
      <c r="F1106">
        <v>1125.97119140625</v>
      </c>
      <c r="G1106" s="14"/>
      <c r="H1106" s="34"/>
      <c r="I1106" s="34"/>
      <c r="J1106" s="34"/>
      <c r="K1106" s="34"/>
      <c r="L1106" s="34"/>
      <c r="N1106" s="34"/>
      <c r="O1106" s="35"/>
      <c r="P1106" s="35"/>
      <c r="Q1106" s="35"/>
      <c r="R1106" s="35"/>
      <c r="S1106" s="74"/>
    </row>
    <row r="1107" spans="1:19" ht="13.5" thickBot="1">
      <c r="A1107" s="103">
        <v>40256</v>
      </c>
      <c r="B1107" s="104">
        <v>3.7295000553131104</v>
      </c>
      <c r="C1107" s="105">
        <v>1159.9000244140625</v>
      </c>
      <c r="D1107" s="104">
        <v>1.5022000074386597</v>
      </c>
      <c r="E1107">
        <v>90.481358086019256</v>
      </c>
      <c r="F1107">
        <v>1102.9718017578125</v>
      </c>
      <c r="G1107" s="14"/>
      <c r="H1107" s="34"/>
      <c r="I1107" s="34"/>
      <c r="J1107" s="34"/>
      <c r="K1107" s="34"/>
      <c r="L1107" s="34"/>
      <c r="N1107" s="34"/>
      <c r="O1107" s="35"/>
      <c r="P1107" s="35"/>
      <c r="Q1107" s="35"/>
      <c r="R1107" s="35"/>
      <c r="S1107" s="74"/>
    </row>
    <row r="1108" spans="1:19" ht="13.5" thickBot="1">
      <c r="A1108" s="103">
        <v>40259</v>
      </c>
      <c r="B1108" s="104">
        <v>3.6909999847412109</v>
      </c>
      <c r="C1108" s="105">
        <v>1165.81005859375</v>
      </c>
      <c r="D1108" s="104">
        <v>1.509600043296814</v>
      </c>
      <c r="E1108">
        <v>90.138812225426065</v>
      </c>
      <c r="F1108">
        <v>1098.9884033203125</v>
      </c>
      <c r="G1108" s="14"/>
      <c r="H1108" s="34"/>
      <c r="I1108" s="34"/>
      <c r="J1108" s="34"/>
      <c r="K1108" s="34"/>
      <c r="L1108" s="34"/>
      <c r="N1108" s="34"/>
      <c r="O1108" s="35"/>
      <c r="P1108" s="35"/>
      <c r="Q1108" s="35"/>
      <c r="R1108" s="35"/>
      <c r="S1108" s="74"/>
    </row>
    <row r="1109" spans="1:19" ht="13.5" thickBot="1">
      <c r="A1109" s="103">
        <v>40260</v>
      </c>
      <c r="B1109" s="104">
        <v>3.6594998836517334</v>
      </c>
      <c r="C1109" s="105">
        <v>1174.1700439453125</v>
      </c>
      <c r="D1109" s="104">
        <v>1.5031000375747681</v>
      </c>
      <c r="E1109">
        <v>90.440447617715193</v>
      </c>
      <c r="F1109">
        <v>1103.087158203125</v>
      </c>
      <c r="G1109" s="14"/>
      <c r="H1109" s="34"/>
      <c r="I1109" s="34"/>
      <c r="J1109" s="34"/>
      <c r="K1109" s="34"/>
      <c r="L1109" s="34"/>
      <c r="N1109" s="34"/>
      <c r="O1109" s="35"/>
      <c r="P1109" s="35"/>
      <c r="Q1109" s="35"/>
      <c r="R1109" s="35"/>
      <c r="S1109" s="74"/>
    </row>
    <row r="1110" spans="1:19" ht="13.5" thickBot="1">
      <c r="A1110" s="103">
        <v>40261</v>
      </c>
      <c r="B1110" s="104">
        <v>3.7465000152587891</v>
      </c>
      <c r="C1110" s="105">
        <v>1167.719970703125</v>
      </c>
      <c r="D1110" s="104">
        <v>1.4895999431610107</v>
      </c>
      <c r="E1110">
        <v>92.038655586799649</v>
      </c>
      <c r="F1110">
        <v>1093.0860595703125</v>
      </c>
      <c r="G1110" s="14"/>
      <c r="H1110" s="34"/>
      <c r="I1110" s="34"/>
      <c r="J1110" s="34"/>
      <c r="K1110" s="34"/>
      <c r="L1110" s="34"/>
      <c r="N1110" s="34"/>
      <c r="O1110" s="35"/>
      <c r="P1110" s="35"/>
      <c r="Q1110" s="35"/>
      <c r="R1110" s="35"/>
      <c r="S1110" s="74"/>
    </row>
    <row r="1111" spans="1:19" ht="13.5" thickBot="1">
      <c r="A1111" s="103">
        <v>40262</v>
      </c>
      <c r="B1111" s="104">
        <v>3.8259999752044678</v>
      </c>
      <c r="C1111" s="105">
        <v>1165.72998046875</v>
      </c>
      <c r="D1111" s="104">
        <v>1.4831000566482544</v>
      </c>
      <c r="E1111">
        <v>92.781595171224495</v>
      </c>
      <c r="F1111">
        <v>1090.172119140625</v>
      </c>
      <c r="G1111" s="14"/>
      <c r="H1111" s="34"/>
      <c r="I1111" s="34"/>
      <c r="J1111" s="34"/>
      <c r="K1111" s="34"/>
      <c r="L1111" s="34"/>
      <c r="N1111" s="34"/>
      <c r="O1111" s="35"/>
      <c r="P1111" s="35"/>
      <c r="Q1111" s="35"/>
      <c r="R1111" s="35"/>
      <c r="S1111" s="74"/>
    </row>
    <row r="1112" spans="1:19" ht="13.5" thickBot="1">
      <c r="A1112" s="103">
        <v>40263</v>
      </c>
      <c r="B1112" s="104">
        <v>3.7904999256134033</v>
      </c>
      <c r="C1112" s="105">
        <v>1166.5899658203125</v>
      </c>
      <c r="D1112" s="104">
        <v>1.4891999959945679</v>
      </c>
      <c r="E1112">
        <v>92.524053334932645</v>
      </c>
      <c r="F1112">
        <v>1104.1717529296875</v>
      </c>
      <c r="G1112" s="14"/>
      <c r="H1112" s="34"/>
      <c r="I1112" s="34"/>
      <c r="J1112" s="34"/>
      <c r="K1112" s="34"/>
      <c r="L1112" s="34"/>
      <c r="N1112" s="34"/>
      <c r="O1112" s="35"/>
      <c r="P1112" s="35"/>
      <c r="Q1112" s="35"/>
      <c r="R1112" s="35"/>
      <c r="S1112" s="74"/>
    </row>
    <row r="1113" spans="1:19" ht="13.5" thickBot="1">
      <c r="A1113" s="103">
        <v>40266</v>
      </c>
      <c r="B1113" s="104">
        <v>3.8125</v>
      </c>
      <c r="C1113" s="105">
        <v>1173.219970703125</v>
      </c>
      <c r="D1113" s="104">
        <v>1.497499942779541</v>
      </c>
      <c r="E1113">
        <v>92.558309075472721</v>
      </c>
      <c r="F1113">
        <v>1109.1851806640625</v>
      </c>
      <c r="G1113" s="14"/>
      <c r="H1113" s="34"/>
      <c r="I1113" s="34"/>
      <c r="J1113" s="34"/>
      <c r="K1113" s="34"/>
      <c r="L1113" s="34"/>
      <c r="N1113" s="34"/>
      <c r="O1113" s="35"/>
      <c r="P1113" s="35"/>
      <c r="Q1113" s="35"/>
      <c r="R1113" s="35"/>
      <c r="S1113" s="74"/>
    </row>
    <row r="1114" spans="1:19" ht="13.5" thickBot="1">
      <c r="A1114" s="103">
        <v>40267</v>
      </c>
      <c r="B1114" s="104">
        <v>3.8210000991821289</v>
      </c>
      <c r="C1114" s="105">
        <v>1173.27001953125</v>
      </c>
      <c r="D1114" s="104">
        <v>1.5063999891281128</v>
      </c>
      <c r="E1114">
        <v>92.841891756467831</v>
      </c>
      <c r="F1114">
        <v>1104.18408203125</v>
      </c>
      <c r="G1114" s="14"/>
      <c r="H1114" s="34"/>
      <c r="I1114" s="34"/>
      <c r="J1114" s="34"/>
      <c r="K1114" s="34"/>
      <c r="L1114" s="34"/>
      <c r="N1114" s="34"/>
      <c r="O1114" s="35"/>
      <c r="P1114" s="35"/>
      <c r="Q1114" s="35"/>
      <c r="R1114" s="35"/>
      <c r="S1114" s="74"/>
    </row>
    <row r="1115" spans="1:19" ht="13.5" thickBot="1">
      <c r="A1115" s="103">
        <v>40268</v>
      </c>
      <c r="B1115" s="104">
        <v>3.8125</v>
      </c>
      <c r="C1115" s="105">
        <v>1169.4300537109375</v>
      </c>
      <c r="D1115" s="104">
        <v>1.5182000398635864</v>
      </c>
      <c r="E1115">
        <v>93.457939994627921</v>
      </c>
      <c r="F1115">
        <v>1113.6517333984375</v>
      </c>
      <c r="G1115" s="14"/>
      <c r="H1115" s="34"/>
      <c r="I1115" s="34"/>
      <c r="J1115" s="34"/>
      <c r="K1115" s="34"/>
      <c r="L1115" s="34"/>
      <c r="N1115" s="34"/>
      <c r="O1115" s="35"/>
      <c r="P1115" s="35"/>
      <c r="Q1115" s="35"/>
      <c r="R1115" s="35"/>
      <c r="S1115" s="74"/>
    </row>
    <row r="1116" spans="1:19" ht="13.5" thickBot="1">
      <c r="A1116" s="103">
        <v>40269</v>
      </c>
      <c r="B1116" s="104">
        <v>3.8610000610351562</v>
      </c>
      <c r="C1116" s="105">
        <v>1178.0999755859375</v>
      </c>
      <c r="D1116" s="104">
        <v>1.5269999504089355</v>
      </c>
      <c r="E1116">
        <v>93.843842831276532</v>
      </c>
      <c r="F1116">
        <v>1126.201171875</v>
      </c>
      <c r="G1116" s="14"/>
      <c r="H1116" s="34"/>
      <c r="I1116" s="34"/>
      <c r="J1116" s="34"/>
      <c r="K1116" s="34"/>
      <c r="L1116" s="34"/>
      <c r="N1116" s="34"/>
      <c r="O1116" s="35"/>
      <c r="P1116" s="35"/>
      <c r="Q1116" s="35"/>
      <c r="R1116" s="35"/>
      <c r="S1116" s="74"/>
    </row>
    <row r="1117" spans="1:19" ht="13.5" thickBot="1">
      <c r="A1117" s="103">
        <v>40270</v>
      </c>
      <c r="B1117" s="104">
        <v>3.9619998931884766</v>
      </c>
      <c r="C1117" s="105">
        <v>1178.0999755859375</v>
      </c>
      <c r="D1117" s="104">
        <v>1.5192500352859497</v>
      </c>
      <c r="E1117">
        <v>94.652156428347396</v>
      </c>
      <c r="F1117">
        <v>1126.201171875</v>
      </c>
      <c r="G1117" s="14"/>
      <c r="H1117" s="34"/>
      <c r="I1117" s="34"/>
      <c r="J1117" s="34"/>
      <c r="K1117" s="34"/>
      <c r="L1117" s="34"/>
      <c r="N1117" s="34"/>
      <c r="O1117" s="35"/>
      <c r="P1117" s="35"/>
      <c r="Q1117" s="35"/>
      <c r="R1117" s="35"/>
      <c r="S1117" s="74"/>
    </row>
    <row r="1118" spans="1:19" ht="13.5" thickBot="1">
      <c r="A1118" s="103">
        <v>40273</v>
      </c>
      <c r="B1118" s="104">
        <v>4.0265002250671387</v>
      </c>
      <c r="C1118" s="105">
        <v>1187.43994140625</v>
      </c>
      <c r="D1118" s="104">
        <v>1.5293999910354614</v>
      </c>
      <c r="E1118">
        <v>94.259591002874373</v>
      </c>
      <c r="F1118">
        <v>1128.223388671875</v>
      </c>
      <c r="G1118" s="14"/>
      <c r="H1118" s="34"/>
      <c r="I1118" s="34"/>
      <c r="J1118" s="34"/>
      <c r="K1118" s="34"/>
      <c r="L1118" s="34"/>
      <c r="N1118" s="34"/>
      <c r="O1118" s="35"/>
      <c r="P1118" s="35"/>
      <c r="Q1118" s="35"/>
      <c r="R1118" s="35"/>
      <c r="S1118" s="74"/>
    </row>
    <row r="1119" spans="1:19" ht="13.5" thickBot="1">
      <c r="A1119" s="103">
        <v>40274</v>
      </c>
      <c r="B1119" s="104">
        <v>3.9549999237060547</v>
      </c>
      <c r="C1119" s="105">
        <v>1189.43994140625</v>
      </c>
      <c r="D1119" s="104">
        <v>1.5276000499725342</v>
      </c>
      <c r="E1119">
        <v>93.896717109664337</v>
      </c>
      <c r="F1119">
        <v>1137.2835693359375</v>
      </c>
      <c r="G1119" s="14"/>
      <c r="H1119" s="34"/>
      <c r="I1119" s="34"/>
      <c r="J1119" s="34"/>
      <c r="K1119" s="34"/>
      <c r="L1119" s="34"/>
      <c r="N1119" s="34"/>
      <c r="O1119" s="35"/>
      <c r="P1119" s="35"/>
      <c r="Q1119" s="35"/>
      <c r="R1119" s="35"/>
      <c r="S1119" s="74"/>
    </row>
    <row r="1120" spans="1:19" ht="13.5" thickBot="1">
      <c r="A1120" s="103">
        <v>40275</v>
      </c>
      <c r="B1120" s="104">
        <v>3.8454999923706055</v>
      </c>
      <c r="C1120" s="105">
        <v>1182.449951171875</v>
      </c>
      <c r="D1120" s="104">
        <v>1.5271999835968018</v>
      </c>
      <c r="E1120">
        <v>93.240093745324387</v>
      </c>
      <c r="F1120">
        <v>1149.283447265625</v>
      </c>
      <c r="G1120" s="14"/>
      <c r="H1120" s="34"/>
      <c r="I1120" s="34"/>
      <c r="J1120" s="34"/>
      <c r="K1120" s="34"/>
      <c r="L1120" s="34"/>
      <c r="N1120" s="34"/>
      <c r="O1120" s="35"/>
      <c r="P1120" s="35"/>
      <c r="Q1120" s="35"/>
      <c r="R1120" s="35"/>
      <c r="S1120" s="74"/>
    </row>
    <row r="1121" spans="1:19" ht="13.5" thickBot="1">
      <c r="A1121" s="103">
        <v>40276</v>
      </c>
      <c r="B1121" s="104">
        <v>3.8694999217987061</v>
      </c>
      <c r="C1121" s="105">
        <v>1186.43994140625</v>
      </c>
      <c r="D1121" s="104">
        <v>1.5276000499725342</v>
      </c>
      <c r="E1121">
        <v>93.379402073329842</v>
      </c>
      <c r="F1121">
        <v>1152.2667236328125</v>
      </c>
      <c r="G1121" s="14"/>
      <c r="H1121" s="34"/>
      <c r="I1121" s="34"/>
      <c r="J1121" s="34"/>
      <c r="K1121" s="34"/>
      <c r="L1121" s="34"/>
      <c r="N1121" s="34"/>
      <c r="O1121" s="35"/>
      <c r="P1121" s="35"/>
      <c r="Q1121" s="35"/>
      <c r="R1121" s="35"/>
      <c r="S1121" s="74"/>
    </row>
    <row r="1122" spans="1:19" ht="13.5" thickBot="1">
      <c r="A1122" s="103">
        <v>40277</v>
      </c>
      <c r="B1122" s="104">
        <v>3.8735001087188721</v>
      </c>
      <c r="C1122" s="105">
        <v>1194.3699951171875</v>
      </c>
      <c r="D1122" s="104">
        <v>1.5363999605178833</v>
      </c>
      <c r="E1122">
        <v>93.300987933559639</v>
      </c>
      <c r="F1122">
        <v>1161.2664794921875</v>
      </c>
      <c r="G1122" s="14"/>
      <c r="H1122" s="34"/>
      <c r="I1122" s="34"/>
      <c r="J1122" s="34"/>
      <c r="K1122" s="34"/>
      <c r="L1122" s="34"/>
      <c r="N1122" s="34"/>
      <c r="O1122" s="35"/>
      <c r="P1122" s="35"/>
      <c r="Q1122" s="35"/>
      <c r="R1122" s="35"/>
      <c r="S1122" s="74"/>
    </row>
    <row r="1123" spans="1:19" ht="13.5" thickBot="1">
      <c r="A1123" s="103">
        <v>40280</v>
      </c>
      <c r="B1123" s="104">
        <v>3.8085000514984131</v>
      </c>
      <c r="C1123" s="105">
        <v>1196.47998046875</v>
      </c>
      <c r="D1123" s="104">
        <v>1.538100004196167</v>
      </c>
      <c r="E1123">
        <v>93.222705377803791</v>
      </c>
      <c r="F1123">
        <v>1164.283203125</v>
      </c>
      <c r="G1123" s="14"/>
      <c r="H1123" s="34"/>
      <c r="I1123" s="34"/>
      <c r="J1123" s="34"/>
      <c r="K1123" s="34"/>
      <c r="L1123" s="34"/>
      <c r="N1123" s="34"/>
      <c r="O1123" s="35"/>
      <c r="P1123" s="35"/>
      <c r="Q1123" s="35"/>
      <c r="R1123" s="35"/>
      <c r="S1123" s="74"/>
    </row>
    <row r="1124" spans="1:19" ht="13.5" thickBot="1">
      <c r="A1124" s="103">
        <v>40281</v>
      </c>
      <c r="B1124" s="104">
        <v>3.7569999694824219</v>
      </c>
      <c r="C1124" s="105">
        <v>1197.300048828125</v>
      </c>
      <c r="D1124" s="104">
        <v>1.5374000072479248</v>
      </c>
      <c r="E1124">
        <v>93.179278992123585</v>
      </c>
      <c r="F1124">
        <v>1150.283447265625</v>
      </c>
      <c r="G1124" s="14"/>
      <c r="H1124" s="34"/>
      <c r="I1124" s="34"/>
      <c r="J1124" s="34"/>
      <c r="K1124" s="34"/>
      <c r="L1124" s="34"/>
      <c r="N1124" s="34"/>
      <c r="O1124" s="35"/>
      <c r="P1124" s="35"/>
      <c r="Q1124" s="35"/>
      <c r="R1124" s="35"/>
      <c r="S1124" s="74"/>
    </row>
    <row r="1125" spans="1:19" ht="13.5" thickBot="1">
      <c r="A1125" s="103">
        <v>40282</v>
      </c>
      <c r="B1125" s="104">
        <v>3.815000057220459</v>
      </c>
      <c r="C1125" s="105">
        <v>1210.6500244140625</v>
      </c>
      <c r="D1125" s="104">
        <v>1.5471999645233154</v>
      </c>
      <c r="E1125">
        <v>93.135884968087652</v>
      </c>
      <c r="F1125">
        <v>1158.2833251953125</v>
      </c>
      <c r="G1125" s="14"/>
      <c r="H1125" s="34"/>
      <c r="I1125" s="34"/>
      <c r="J1125" s="34"/>
      <c r="K1125" s="34"/>
      <c r="L1125" s="34"/>
      <c r="N1125" s="34"/>
      <c r="O1125" s="35"/>
      <c r="P1125" s="35"/>
      <c r="Q1125" s="35"/>
      <c r="R1125" s="35"/>
      <c r="S1125" s="74"/>
    </row>
    <row r="1126" spans="1:19" ht="13.5" thickBot="1">
      <c r="A1126" s="103">
        <v>40283</v>
      </c>
      <c r="B1126" s="104">
        <v>3.8110001087188721</v>
      </c>
      <c r="C1126" s="105">
        <v>1211.6700439453125</v>
      </c>
      <c r="D1126" s="104">
        <v>1.5504000186920166</v>
      </c>
      <c r="E1126">
        <v>93.101200453201457</v>
      </c>
      <c r="F1126">
        <v>1160.2664794921875</v>
      </c>
      <c r="G1126" s="14"/>
      <c r="H1126" s="34"/>
      <c r="I1126" s="34"/>
      <c r="J1126" s="34"/>
      <c r="K1126" s="34"/>
      <c r="L1126" s="34"/>
      <c r="N1126" s="34"/>
      <c r="O1126" s="35"/>
      <c r="P1126" s="35"/>
      <c r="Q1126" s="35"/>
      <c r="R1126" s="35"/>
      <c r="S1126" s="74"/>
    </row>
    <row r="1127" spans="1:19" ht="13.5" thickBot="1">
      <c r="A1127" s="103">
        <v>40284</v>
      </c>
      <c r="B1127" s="104">
        <v>3.7379999160766602</v>
      </c>
      <c r="C1127" s="105">
        <v>1192.1300048828125</v>
      </c>
      <c r="D1127" s="104">
        <v>1.5391999483108521</v>
      </c>
      <c r="E1127">
        <v>92.140422128629439</v>
      </c>
      <c r="F1127">
        <v>1134.2672119140625</v>
      </c>
      <c r="G1127" s="14"/>
      <c r="H1127" s="34"/>
      <c r="I1127" s="34"/>
      <c r="J1127" s="34"/>
      <c r="K1127" s="34"/>
      <c r="L1127" s="34"/>
      <c r="N1127" s="34"/>
      <c r="O1127" s="35"/>
      <c r="P1127" s="35"/>
      <c r="Q1127" s="35"/>
      <c r="R1127" s="35"/>
      <c r="S1127" s="74"/>
    </row>
    <row r="1128" spans="1:19" ht="13.5" thickBot="1">
      <c r="A1128" s="103">
        <v>40287</v>
      </c>
      <c r="B1128" s="104">
        <v>3.7904999256134033</v>
      </c>
      <c r="C1128" s="105">
        <v>1197.52001953125</v>
      </c>
      <c r="D1128" s="104">
        <v>1.5312999486923218</v>
      </c>
      <c r="E1128">
        <v>92.438528792701007</v>
      </c>
      <c r="F1128">
        <v>1131.583740234375</v>
      </c>
      <c r="G1128" s="14"/>
      <c r="H1128" s="34"/>
      <c r="I1128" s="34"/>
      <c r="J1128" s="34"/>
      <c r="K1128" s="34"/>
      <c r="L1128" s="34"/>
      <c r="N1128" s="34"/>
      <c r="O1128" s="35"/>
      <c r="P1128" s="35"/>
      <c r="Q1128" s="35"/>
      <c r="R1128" s="35"/>
      <c r="S1128" s="74"/>
    </row>
    <row r="1129" spans="1:19" ht="13.5" thickBot="1">
      <c r="A1129" s="103">
        <v>40288</v>
      </c>
      <c r="B1129" s="104">
        <v>3.7844998836517334</v>
      </c>
      <c r="C1129" s="105">
        <v>1207.1700439453125</v>
      </c>
      <c r="D1129" s="104">
        <v>1.5363999605178833</v>
      </c>
      <c r="E1129">
        <v>93.196643072583271</v>
      </c>
      <c r="F1129">
        <v>1139.5828857421875</v>
      </c>
      <c r="G1129" s="14"/>
      <c r="H1129" s="34"/>
      <c r="I1129" s="34"/>
      <c r="J1129" s="34"/>
      <c r="K1129" s="34"/>
      <c r="L1129" s="34"/>
      <c r="N1129" s="34"/>
      <c r="O1129" s="35"/>
      <c r="P1129" s="35"/>
      <c r="Q1129" s="35"/>
      <c r="R1129" s="35"/>
      <c r="S1129" s="74"/>
    </row>
    <row r="1130" spans="1:19" ht="13.5" thickBot="1">
      <c r="A1130" s="103">
        <v>40289</v>
      </c>
      <c r="B1130" s="104">
        <v>3.7235000133514404</v>
      </c>
      <c r="C1130" s="105">
        <v>1205.93994140625</v>
      </c>
      <c r="D1130" s="104">
        <v>1.5405999422073364</v>
      </c>
      <c r="E1130">
        <v>93.057879104869556</v>
      </c>
      <c r="F1130">
        <v>1141.5828857421875</v>
      </c>
      <c r="G1130" s="14"/>
      <c r="H1130" s="34"/>
      <c r="I1130" s="34"/>
      <c r="J1130" s="34"/>
      <c r="K1130" s="34"/>
      <c r="L1130" s="34"/>
      <c r="N1130" s="34"/>
      <c r="O1130" s="35"/>
      <c r="P1130" s="35"/>
      <c r="Q1130" s="35"/>
      <c r="R1130" s="35"/>
      <c r="S1130" s="74"/>
    </row>
    <row r="1131" spans="1:19" ht="13.5" thickBot="1">
      <c r="A1131" s="103">
        <v>40290</v>
      </c>
      <c r="B1131" s="104">
        <v>3.7695000171661377</v>
      </c>
      <c r="C1131" s="105">
        <v>1208.6700439453125</v>
      </c>
      <c r="D1131" s="104">
        <v>1.5389000177383423</v>
      </c>
      <c r="E1131">
        <v>93.361961712565744</v>
      </c>
      <c r="F1131">
        <v>1139.5657958984375</v>
      </c>
      <c r="G1131" s="14"/>
      <c r="H1131" s="34"/>
      <c r="I1131" s="34"/>
      <c r="J1131" s="34"/>
      <c r="K1131" s="34"/>
      <c r="L1131" s="34"/>
      <c r="N1131" s="34"/>
      <c r="O1131" s="35"/>
      <c r="P1131" s="35"/>
      <c r="Q1131" s="35"/>
      <c r="R1131" s="35"/>
      <c r="S1131" s="74"/>
    </row>
    <row r="1132" spans="1:19" ht="13.5" thickBot="1">
      <c r="A1132" s="103">
        <v>40291</v>
      </c>
      <c r="B1132" s="104">
        <v>3.8215000629425049</v>
      </c>
      <c r="C1132" s="105">
        <v>1217.280029296875</v>
      </c>
      <c r="D1132" s="104">
        <v>1.5369000434875488</v>
      </c>
      <c r="E1132">
        <v>94.037987695227201</v>
      </c>
      <c r="F1132">
        <v>1153.5654296875</v>
      </c>
      <c r="G1132" s="14"/>
      <c r="H1132" s="34"/>
      <c r="I1132" s="34"/>
      <c r="J1132" s="34"/>
      <c r="K1132" s="34"/>
      <c r="L1132" s="34"/>
      <c r="N1132" s="34"/>
      <c r="O1132" s="35"/>
      <c r="P1132" s="35"/>
      <c r="Q1132" s="35"/>
      <c r="R1132" s="35"/>
      <c r="S1132" s="74"/>
    </row>
    <row r="1133" spans="1:19" ht="13.5" thickBot="1">
      <c r="A1133" s="103">
        <v>40294</v>
      </c>
      <c r="B1133" s="104">
        <v>3.8229999542236328</v>
      </c>
      <c r="C1133" s="105">
        <v>1212.050048828125</v>
      </c>
      <c r="D1133" s="104">
        <v>1.5457999706268311</v>
      </c>
      <c r="E1133">
        <v>94.099937128932311</v>
      </c>
      <c r="F1133">
        <v>1152.5826416015625</v>
      </c>
      <c r="G1133" s="14"/>
      <c r="H1133" s="34"/>
      <c r="I1133" s="34"/>
      <c r="J1133" s="34"/>
      <c r="K1133" s="34"/>
      <c r="L1133" s="34"/>
      <c r="N1133" s="34"/>
      <c r="O1133" s="35"/>
      <c r="P1133" s="35"/>
      <c r="Q1133" s="35"/>
      <c r="R1133" s="35"/>
      <c r="S1133" s="74"/>
    </row>
    <row r="1134" spans="1:19" ht="13.5" thickBot="1">
      <c r="A1134" s="103">
        <v>40295</v>
      </c>
      <c r="B1134" s="104">
        <v>3.7049999237060547</v>
      </c>
      <c r="C1134" s="105">
        <v>1183.7099609375</v>
      </c>
      <c r="D1134" s="104">
        <v>1.5259000062942505</v>
      </c>
      <c r="E1134">
        <v>93.092531342835855</v>
      </c>
      <c r="F1134">
        <v>1159.5838623046875</v>
      </c>
      <c r="G1134" s="14"/>
      <c r="H1134" s="34"/>
      <c r="I1134" s="34"/>
      <c r="J1134" s="34"/>
      <c r="K1134" s="34"/>
      <c r="L1134" s="34"/>
      <c r="N1134" s="34"/>
      <c r="O1134" s="35"/>
      <c r="P1134" s="35"/>
      <c r="Q1134" s="35"/>
      <c r="R1134" s="35"/>
      <c r="S1134" s="74"/>
    </row>
    <row r="1135" spans="1:19" ht="13.5" thickBot="1">
      <c r="A1135" s="103">
        <v>40296</v>
      </c>
      <c r="B1135" s="104">
        <v>3.7715001106262207</v>
      </c>
      <c r="C1135" s="105">
        <v>1191.3599853515625</v>
      </c>
      <c r="D1135" s="104">
        <v>1.5190999507904053</v>
      </c>
      <c r="E1135">
        <v>94.321824562969297</v>
      </c>
      <c r="F1135">
        <v>1172.583740234375</v>
      </c>
      <c r="G1135" s="14"/>
      <c r="H1135" s="34"/>
      <c r="I1135" s="34"/>
      <c r="J1135" s="34"/>
      <c r="K1135" s="34"/>
      <c r="L1135" s="34"/>
      <c r="N1135" s="34"/>
      <c r="O1135" s="35"/>
      <c r="P1135" s="35"/>
      <c r="Q1135" s="35"/>
      <c r="R1135" s="35"/>
      <c r="S1135" s="74"/>
    </row>
    <row r="1136" spans="1:19" ht="13.5" thickBot="1">
      <c r="A1136" s="103">
        <v>40297</v>
      </c>
      <c r="B1136" s="104">
        <v>3.7109999656677246</v>
      </c>
      <c r="C1136" s="105">
        <v>1206.780029296875</v>
      </c>
      <c r="D1136" s="104">
        <v>1.5334000587463379</v>
      </c>
      <c r="E1136">
        <v>94.037987695227201</v>
      </c>
      <c r="F1136">
        <v>1165.5594482421875</v>
      </c>
      <c r="G1136" s="14"/>
      <c r="H1136" s="34"/>
      <c r="I1136" s="34"/>
      <c r="J1136" s="34"/>
      <c r="K1136" s="34"/>
      <c r="L1136" s="34"/>
      <c r="N1136" s="34"/>
      <c r="O1136" s="35"/>
      <c r="P1136" s="35"/>
      <c r="Q1136" s="35"/>
      <c r="R1136" s="35"/>
      <c r="S1136" s="74"/>
    </row>
    <row r="1137" spans="1:19" ht="13.5" thickBot="1">
      <c r="A1137" s="103">
        <v>40298</v>
      </c>
      <c r="B1137" s="104">
        <v>3.6630001068115234</v>
      </c>
      <c r="C1137" s="105">
        <v>1186.68994140625</v>
      </c>
      <c r="D1137" s="104">
        <v>1.527400016784668</v>
      </c>
      <c r="E1137">
        <v>93.931997002901312</v>
      </c>
      <c r="F1137">
        <v>1180.259033203125</v>
      </c>
      <c r="G1137" s="14"/>
      <c r="H1137" s="34"/>
      <c r="I1137" s="34"/>
      <c r="J1137" s="34"/>
      <c r="K1137" s="34"/>
      <c r="L1137" s="34"/>
      <c r="N1137" s="34"/>
      <c r="O1137" s="35"/>
      <c r="P1137" s="35"/>
      <c r="Q1137" s="35"/>
      <c r="R1137" s="35"/>
      <c r="S1137" s="74"/>
    </row>
    <row r="1138" spans="1:19" ht="13.5" thickBot="1">
      <c r="A1138" s="103">
        <v>40301</v>
      </c>
      <c r="B1138" s="104">
        <v>3.7149999141693115</v>
      </c>
      <c r="C1138" s="105">
        <v>1202.260009765625</v>
      </c>
      <c r="D1138" s="104">
        <v>1.5256999731063843</v>
      </c>
      <c r="E1138">
        <v>94.58053786808955</v>
      </c>
      <c r="F1138">
        <v>1181.5721435546875</v>
      </c>
      <c r="G1138" s="14"/>
      <c r="H1138" s="34"/>
      <c r="I1138" s="34"/>
      <c r="J1138" s="34"/>
      <c r="K1138" s="34"/>
      <c r="L1138" s="34"/>
      <c r="N1138" s="34"/>
      <c r="O1138" s="35"/>
      <c r="P1138" s="35"/>
      <c r="Q1138" s="35"/>
      <c r="R1138" s="35"/>
      <c r="S1138" s="74"/>
    </row>
    <row r="1139" spans="1:19" ht="13.5" thickBot="1">
      <c r="A1139" s="103">
        <v>40302</v>
      </c>
      <c r="B1139" s="104">
        <v>3.625999927520752</v>
      </c>
      <c r="C1139" s="105">
        <v>1173.5999755859375</v>
      </c>
      <c r="D1139" s="104">
        <v>1.5168000459671021</v>
      </c>
      <c r="E1139">
        <v>94.401964736344624</v>
      </c>
      <c r="F1139">
        <v>1177.5836181640625</v>
      </c>
      <c r="G1139" s="14"/>
      <c r="H1139" s="34"/>
      <c r="I1139" s="34"/>
      <c r="J1139" s="34"/>
      <c r="K1139" s="34"/>
      <c r="L1139" s="34"/>
      <c r="N1139" s="34"/>
      <c r="O1139" s="35"/>
      <c r="P1139" s="35"/>
      <c r="Q1139" s="35"/>
      <c r="R1139" s="35"/>
      <c r="S1139" s="74"/>
    </row>
    <row r="1140" spans="1:19" ht="13.5" thickBot="1">
      <c r="A1140" s="103">
        <v>40303</v>
      </c>
      <c r="B1140" s="104">
        <v>3.5669999122619629</v>
      </c>
      <c r="C1140" s="105">
        <v>1165.9000244140625</v>
      </c>
      <c r="D1140" s="104">
        <v>1.5101000070571899</v>
      </c>
      <c r="E1140">
        <v>93.659271300461143</v>
      </c>
      <c r="F1140">
        <v>1172.6336669921875</v>
      </c>
      <c r="G1140" s="14"/>
      <c r="H1140" s="34"/>
      <c r="I1140" s="34"/>
      <c r="J1140" s="34"/>
      <c r="K1140" s="34"/>
      <c r="L1140" s="34"/>
      <c r="N1140" s="34"/>
      <c r="O1140" s="35"/>
      <c r="P1140" s="35"/>
      <c r="Q1140" s="35"/>
      <c r="R1140" s="35"/>
      <c r="S1140" s="74"/>
    </row>
    <row r="1141" spans="1:19" ht="13.5" thickBot="1">
      <c r="A1141" s="103">
        <v>40304</v>
      </c>
      <c r="B1141" s="104">
        <v>3.4360001087188721</v>
      </c>
      <c r="C1141" s="105">
        <v>1128.1500244140625</v>
      </c>
      <c r="D1141" s="104">
        <v>1.4794000387191772</v>
      </c>
      <c r="E1141">
        <v>89.023412485940625</v>
      </c>
      <c r="F1141">
        <v>1192.6668701171875</v>
      </c>
      <c r="G1141" s="14"/>
      <c r="H1141" s="34"/>
      <c r="I1141" s="34"/>
      <c r="J1141" s="34"/>
      <c r="K1141" s="34"/>
      <c r="L1141" s="34"/>
      <c r="N1141" s="34"/>
      <c r="O1141" s="35"/>
      <c r="P1141" s="35"/>
      <c r="Q1141" s="35"/>
      <c r="R1141" s="35"/>
      <c r="S1141" s="74"/>
    </row>
    <row r="1142" spans="1:19" ht="13.5" thickBot="1">
      <c r="A1142" s="103">
        <v>40305</v>
      </c>
      <c r="B1142" s="104">
        <v>3.4725000858306885</v>
      </c>
      <c r="C1142" s="105">
        <v>1110.8800048828125</v>
      </c>
      <c r="D1142" s="104">
        <v>1.4804999828338623</v>
      </c>
      <c r="E1142">
        <v>91.457838743888246</v>
      </c>
      <c r="F1142">
        <v>1209.516357421875</v>
      </c>
      <c r="G1142" s="14"/>
      <c r="H1142" s="34"/>
      <c r="I1142" s="34"/>
      <c r="J1142" s="34"/>
      <c r="K1142" s="34"/>
      <c r="L1142" s="34"/>
      <c r="N1142" s="34"/>
      <c r="O1142" s="35"/>
      <c r="P1142" s="35"/>
      <c r="Q1142" s="35"/>
      <c r="R1142" s="35"/>
      <c r="S1142" s="74"/>
    </row>
    <row r="1143" spans="1:19" ht="13.5" thickBot="1">
      <c r="A1143" s="103">
        <v>40308</v>
      </c>
      <c r="B1143" s="104">
        <v>3.5815000534057617</v>
      </c>
      <c r="C1143" s="105">
        <v>1159.72998046875</v>
      </c>
      <c r="D1143" s="104">
        <v>1.4880000352859497</v>
      </c>
      <c r="E1143">
        <v>93.135884968087652</v>
      </c>
      <c r="F1143">
        <v>1197.5799560546875</v>
      </c>
      <c r="G1143" s="14"/>
      <c r="H1143" s="34"/>
      <c r="I1143" s="34"/>
      <c r="J1143" s="34"/>
      <c r="K1143" s="34"/>
      <c r="L1143" s="34"/>
      <c r="N1143" s="34"/>
      <c r="O1143" s="35"/>
      <c r="P1143" s="35"/>
      <c r="Q1143" s="35"/>
      <c r="R1143" s="35"/>
      <c r="S1143" s="74"/>
    </row>
    <row r="1144" spans="1:19" ht="13.5" thickBot="1">
      <c r="A1144" s="103">
        <v>40309</v>
      </c>
      <c r="B1144" s="104">
        <v>3.5845000743865967</v>
      </c>
      <c r="C1144" s="105">
        <v>1155.7900390625</v>
      </c>
      <c r="D1144" s="104">
        <v>1.4955999851226807</v>
      </c>
      <c r="E1144">
        <v>92.755770878241222</v>
      </c>
      <c r="F1144">
        <v>1218.6297607421875</v>
      </c>
      <c r="G1144" s="14"/>
      <c r="H1144" s="34"/>
      <c r="I1144" s="34"/>
      <c r="J1144" s="34"/>
      <c r="K1144" s="34"/>
      <c r="L1144" s="34"/>
      <c r="N1144" s="34"/>
      <c r="O1144" s="35"/>
      <c r="P1144" s="35"/>
      <c r="Q1144" s="35"/>
      <c r="R1144" s="35"/>
      <c r="S1144" s="74"/>
    </row>
    <row r="1145" spans="1:19" ht="13.5" thickBot="1">
      <c r="A1145" s="103">
        <v>40310</v>
      </c>
      <c r="B1145" s="104">
        <v>3.6024999618530273</v>
      </c>
      <c r="C1145" s="105">
        <v>1171.6700439453125</v>
      </c>
      <c r="D1145" s="104">
        <v>1.4819999933242798</v>
      </c>
      <c r="E1145">
        <v>93.222705377803791</v>
      </c>
      <c r="F1145">
        <v>1240.6292724609375</v>
      </c>
      <c r="G1145" s="14"/>
      <c r="H1145" s="34"/>
      <c r="I1145" s="34"/>
      <c r="J1145" s="34"/>
      <c r="K1145" s="34"/>
      <c r="L1145" s="34"/>
      <c r="N1145" s="34"/>
      <c r="O1145" s="35"/>
      <c r="P1145" s="35"/>
      <c r="Q1145" s="35"/>
      <c r="R1145" s="35"/>
      <c r="S1145" s="74"/>
    </row>
    <row r="1146" spans="1:19" ht="13.5" thickBot="1">
      <c r="A1146" s="103">
        <v>40311</v>
      </c>
      <c r="B1146" s="104">
        <v>3.6019999980926514</v>
      </c>
      <c r="C1146" s="105">
        <v>1157.43994140625</v>
      </c>
      <c r="D1146" s="104">
        <v>1.4637000560760498</v>
      </c>
      <c r="E1146">
        <v>92.816041915222499</v>
      </c>
      <c r="F1146">
        <v>1236.65185546875</v>
      </c>
      <c r="G1146" s="14"/>
      <c r="H1146" s="34"/>
      <c r="I1146" s="34"/>
      <c r="J1146" s="34"/>
      <c r="K1146" s="34"/>
      <c r="L1146" s="34"/>
      <c r="N1146" s="34"/>
      <c r="O1146" s="35"/>
      <c r="P1146" s="35"/>
      <c r="Q1146" s="35"/>
      <c r="R1146" s="35"/>
      <c r="S1146" s="74"/>
    </row>
    <row r="1147" spans="1:19" ht="13.5" thickBot="1">
      <c r="A1147" s="103">
        <v>40312</v>
      </c>
      <c r="B1147" s="104">
        <v>3.4849998950958252</v>
      </c>
      <c r="C1147" s="105">
        <v>1135.6800537109375</v>
      </c>
      <c r="D1147" s="104">
        <v>1.4559999704360962</v>
      </c>
      <c r="E1147">
        <v>92.199887959646233</v>
      </c>
      <c r="F1147">
        <v>1231.652099609375</v>
      </c>
      <c r="G1147" s="14"/>
      <c r="H1147" s="34"/>
      <c r="I1147" s="34"/>
      <c r="J1147" s="34"/>
      <c r="K1147" s="34"/>
      <c r="L1147" s="34"/>
      <c r="N1147" s="34"/>
      <c r="O1147" s="35"/>
      <c r="P1147" s="35"/>
      <c r="Q1147" s="35"/>
      <c r="R1147" s="35"/>
      <c r="S1147" s="74"/>
    </row>
    <row r="1148" spans="1:19" ht="13.5" thickBot="1">
      <c r="A1148" s="103">
        <v>40315</v>
      </c>
      <c r="B1148" s="104">
        <v>3.5085000991821289</v>
      </c>
      <c r="C1148" s="105">
        <v>1136.93994140625</v>
      </c>
      <c r="D1148" s="104">
        <v>1.4483000040054321</v>
      </c>
      <c r="E1148">
        <v>92.541182022974695</v>
      </c>
      <c r="F1148">
        <v>1225.7281494140625</v>
      </c>
      <c r="G1148" s="14"/>
      <c r="H1148" s="34"/>
      <c r="I1148" s="34"/>
      <c r="J1148" s="34"/>
      <c r="K1148" s="34"/>
      <c r="L1148" s="34"/>
      <c r="N1148" s="34"/>
      <c r="O1148" s="35"/>
      <c r="P1148" s="35"/>
      <c r="Q1148" s="35"/>
      <c r="R1148" s="35"/>
      <c r="S1148" s="74"/>
    </row>
    <row r="1149" spans="1:19" ht="13.5" thickBot="1">
      <c r="A1149" s="103">
        <v>40316</v>
      </c>
      <c r="B1149" s="104">
        <v>3.4360001087188721</v>
      </c>
      <c r="C1149" s="105">
        <v>1120.800048828125</v>
      </c>
      <c r="D1149" s="104">
        <v>1.4322999715805054</v>
      </c>
      <c r="E1149">
        <v>92.302011558749783</v>
      </c>
      <c r="F1149">
        <v>1217.328369140625</v>
      </c>
      <c r="G1149" s="14"/>
      <c r="H1149" s="34"/>
      <c r="I1149" s="34"/>
      <c r="J1149" s="34"/>
      <c r="K1149" s="34"/>
      <c r="L1149" s="34"/>
      <c r="N1149" s="34"/>
      <c r="O1149" s="35"/>
      <c r="P1149" s="35"/>
      <c r="Q1149" s="35"/>
      <c r="R1149" s="35"/>
      <c r="S1149" s="74"/>
    </row>
    <row r="1150" spans="1:19" ht="13.5" thickBot="1">
      <c r="A1150" s="103">
        <v>40317</v>
      </c>
      <c r="B1150" s="104">
        <v>3.4175000190734863</v>
      </c>
      <c r="C1150" s="105">
        <v>1115.050048828125</v>
      </c>
      <c r="D1150" s="104">
        <v>1.4419000148773193</v>
      </c>
      <c r="E1150">
        <v>91.617040839625489</v>
      </c>
      <c r="F1150">
        <v>1189.828857421875</v>
      </c>
      <c r="G1150" s="14"/>
      <c r="H1150" s="34"/>
      <c r="I1150" s="34"/>
      <c r="J1150" s="34"/>
      <c r="K1150" s="34"/>
      <c r="L1150" s="34"/>
      <c r="N1150" s="34"/>
      <c r="O1150" s="35"/>
      <c r="P1150" s="35"/>
      <c r="Q1150" s="35"/>
      <c r="R1150" s="35"/>
      <c r="S1150" s="74"/>
    </row>
    <row r="1151" spans="1:19" ht="13.5" thickBot="1">
      <c r="A1151" s="103">
        <v>40318</v>
      </c>
      <c r="B1151" s="104">
        <v>3.3169999122619629</v>
      </c>
      <c r="C1151" s="105">
        <v>1071.5899658203125</v>
      </c>
      <c r="D1151" s="104">
        <v>1.4419000148773193</v>
      </c>
      <c r="E1151">
        <v>90.0819745078865</v>
      </c>
      <c r="F1151">
        <v>1190.857666015625</v>
      </c>
      <c r="G1151" s="14"/>
      <c r="H1151" s="34"/>
      <c r="I1151" s="34"/>
      <c r="J1151" s="34"/>
      <c r="K1151" s="34"/>
      <c r="L1151" s="34"/>
      <c r="N1151" s="34"/>
      <c r="O1151" s="35"/>
      <c r="P1151" s="35"/>
      <c r="Q1151" s="35"/>
      <c r="R1151" s="35"/>
      <c r="S1151" s="74"/>
    </row>
    <row r="1152" spans="1:19" ht="13.5" thickBot="1">
      <c r="A1152" s="103">
        <v>40319</v>
      </c>
      <c r="B1152" s="104">
        <v>3.2404999732971191</v>
      </c>
      <c r="C1152" s="105">
        <v>1087.68994140625</v>
      </c>
      <c r="D1152" s="104">
        <v>1.4464000463485718</v>
      </c>
      <c r="E1152">
        <v>89.823046539860243</v>
      </c>
      <c r="F1152">
        <v>1179.8580322265625</v>
      </c>
      <c r="G1152" s="14"/>
      <c r="H1152" s="34"/>
      <c r="I1152" s="34"/>
      <c r="J1152" s="34"/>
      <c r="K1152" s="34"/>
      <c r="L1152" s="34"/>
      <c r="N1152" s="34"/>
      <c r="O1152" s="35"/>
      <c r="P1152" s="35"/>
      <c r="Q1152" s="35"/>
      <c r="R1152" s="35"/>
      <c r="S1152" s="74"/>
    </row>
    <row r="1153" spans="1:19" ht="13.5" thickBot="1">
      <c r="A1153" s="103">
        <v>40322</v>
      </c>
      <c r="B1153" s="104">
        <v>3.2890000343322754</v>
      </c>
      <c r="C1153" s="105">
        <v>1073.6500244140625</v>
      </c>
      <c r="D1153" s="104">
        <v>1.444100022315979</v>
      </c>
      <c r="E1153">
        <v>90.481358086019256</v>
      </c>
      <c r="F1153">
        <v>1192.8787841796875</v>
      </c>
      <c r="G1153" s="14"/>
      <c r="H1153" s="34"/>
      <c r="I1153" s="34"/>
      <c r="J1153" s="34"/>
      <c r="K1153" s="34"/>
      <c r="L1153" s="34"/>
      <c r="N1153" s="34"/>
      <c r="O1153" s="35"/>
      <c r="P1153" s="35"/>
      <c r="Q1153" s="35"/>
      <c r="R1153" s="35"/>
      <c r="S1153" s="74"/>
    </row>
    <row r="1154" spans="1:19" ht="13.5" thickBot="1">
      <c r="A1154" s="103">
        <v>40323</v>
      </c>
      <c r="B1154" s="104">
        <v>3.2409999370574951</v>
      </c>
      <c r="C1154" s="105">
        <v>1074.030029296875</v>
      </c>
      <c r="D1154" s="104">
        <v>1.4372999668121338</v>
      </c>
      <c r="E1154">
        <v>90.203859670876682</v>
      </c>
      <c r="F1154">
        <v>1199.885986328125</v>
      </c>
      <c r="G1154" s="14"/>
      <c r="H1154" s="34"/>
      <c r="I1154" s="34"/>
      <c r="J1154" s="34"/>
      <c r="K1154" s="34"/>
      <c r="L1154" s="34"/>
      <c r="N1154" s="34"/>
      <c r="O1154" s="35"/>
      <c r="P1154" s="35"/>
      <c r="Q1154" s="35"/>
      <c r="R1154" s="35"/>
      <c r="S1154" s="74"/>
    </row>
    <row r="1155" spans="1:19" ht="13.5" thickBot="1">
      <c r="A1155" s="103">
        <v>40324</v>
      </c>
      <c r="B1155" s="104">
        <v>3.3004999160766602</v>
      </c>
      <c r="C1155" s="105">
        <v>1067.949951171875</v>
      </c>
      <c r="D1155" s="104">
        <v>1.4413000345230103</v>
      </c>
      <c r="E1155">
        <v>90.0819745078865</v>
      </c>
      <c r="F1155">
        <v>1212.8857421875</v>
      </c>
      <c r="G1155" s="14"/>
      <c r="H1155" s="34"/>
      <c r="I1155" s="34"/>
      <c r="J1155" s="34"/>
      <c r="K1155" s="34"/>
      <c r="L1155" s="34"/>
      <c r="N1155" s="34"/>
      <c r="O1155" s="35"/>
      <c r="P1155" s="35"/>
      <c r="Q1155" s="35"/>
      <c r="R1155" s="35"/>
      <c r="S1155" s="74"/>
    </row>
    <row r="1156" spans="1:19" ht="13.5" thickBot="1">
      <c r="A1156" s="103">
        <v>40325</v>
      </c>
      <c r="B1156" s="104">
        <v>3.4254999160766602</v>
      </c>
      <c r="C1156" s="105">
        <v>1103.06005859375</v>
      </c>
      <c r="D1156" s="104">
        <v>1.4585000276565552</v>
      </c>
      <c r="E1156">
        <v>90.859527435470625</v>
      </c>
      <c r="F1156">
        <v>1211.1646728515625</v>
      </c>
      <c r="G1156" s="14"/>
      <c r="H1156" s="34"/>
      <c r="I1156" s="34"/>
      <c r="J1156" s="34"/>
      <c r="K1156" s="34"/>
      <c r="L1156" s="34"/>
      <c r="N1156" s="34"/>
      <c r="O1156" s="35"/>
      <c r="P1156" s="35"/>
      <c r="Q1156" s="35"/>
      <c r="R1156" s="35"/>
      <c r="S1156" s="74"/>
    </row>
    <row r="1157" spans="1:19" ht="13.5" thickBot="1">
      <c r="A1157" s="103">
        <v>40326</v>
      </c>
      <c r="B1157" s="104">
        <v>3.3789999485015869</v>
      </c>
      <c r="C1157" s="105">
        <v>1089.4100341796875</v>
      </c>
      <c r="D1157" s="104">
        <v>1.4488500356674194</v>
      </c>
      <c r="E1157">
        <v>90.818274357604366</v>
      </c>
      <c r="F1157">
        <v>1213.196044921875</v>
      </c>
      <c r="G1157" s="14"/>
      <c r="H1157" s="34"/>
      <c r="I1157" s="34"/>
      <c r="J1157" s="34"/>
      <c r="K1157" s="34"/>
      <c r="L1157" s="34"/>
      <c r="N1157" s="34"/>
      <c r="O1157" s="35"/>
      <c r="P1157" s="35"/>
      <c r="Q1157" s="35"/>
      <c r="R1157" s="35"/>
      <c r="S1157" s="74"/>
    </row>
    <row r="1158" spans="1:19" ht="13.5" thickBot="1">
      <c r="A1158" s="103">
        <v>40329</v>
      </c>
      <c r="B1158" s="104">
        <v>3.3789999485015869</v>
      </c>
      <c r="C1158" s="105">
        <v>1089.4100341796875</v>
      </c>
      <c r="D1158" s="104">
        <v>1.4536999464035034</v>
      </c>
      <c r="E1158">
        <v>91.141088667903958</v>
      </c>
      <c r="F1158">
        <v>1213.196044921875</v>
      </c>
      <c r="G1158" s="14"/>
      <c r="H1158" s="34"/>
      <c r="I1158" s="34"/>
      <c r="J1158" s="34"/>
      <c r="K1158" s="34"/>
      <c r="L1158" s="34"/>
      <c r="N1158" s="34"/>
      <c r="O1158" s="35"/>
      <c r="P1158" s="35"/>
      <c r="Q1158" s="35"/>
      <c r="R1158" s="35"/>
      <c r="S1158" s="74"/>
    </row>
    <row r="1159" spans="1:19" ht="13.5" thickBot="1">
      <c r="A1159" s="103">
        <v>40330</v>
      </c>
      <c r="B1159" s="104">
        <v>3.3894999027252197</v>
      </c>
      <c r="C1159" s="105">
        <v>1070.7099609375</v>
      </c>
      <c r="D1159" s="104">
        <v>1.4657000303268433</v>
      </c>
      <c r="E1159">
        <v>91.21590508274609</v>
      </c>
      <c r="F1159">
        <v>1225.2281494140625</v>
      </c>
      <c r="G1159" s="14"/>
      <c r="H1159" s="34"/>
      <c r="I1159" s="34"/>
      <c r="J1159" s="34"/>
      <c r="K1159" s="34"/>
      <c r="L1159" s="34"/>
      <c r="N1159" s="34"/>
      <c r="O1159" s="35"/>
      <c r="P1159" s="35"/>
      <c r="Q1159" s="35"/>
      <c r="R1159" s="35"/>
      <c r="S1159" s="74"/>
    </row>
    <row r="1160" spans="1:19" ht="13.5" thickBot="1">
      <c r="A1160" s="103">
        <v>40331</v>
      </c>
      <c r="B1160" s="104">
        <v>3.4254999160766602</v>
      </c>
      <c r="C1160" s="105">
        <v>1098.3800048828125</v>
      </c>
      <c r="D1160" s="104">
        <v>1.4645999670028687</v>
      </c>
      <c r="E1160">
        <v>92.199887959646233</v>
      </c>
      <c r="F1160">
        <v>1223.2227783203125</v>
      </c>
      <c r="G1160" s="14"/>
      <c r="H1160" s="34"/>
      <c r="I1160" s="34"/>
      <c r="J1160" s="34"/>
      <c r="K1160" s="34"/>
      <c r="L1160" s="34"/>
      <c r="N1160" s="34"/>
      <c r="O1160" s="35"/>
      <c r="P1160" s="35"/>
      <c r="Q1160" s="35"/>
      <c r="R1160" s="35"/>
      <c r="S1160" s="74"/>
    </row>
    <row r="1161" spans="1:19" ht="13.5" thickBot="1">
      <c r="A1161" s="103">
        <v>40332</v>
      </c>
      <c r="B1161" s="104">
        <v>3.4744999408721924</v>
      </c>
      <c r="C1161" s="105">
        <v>1102.8299560546875</v>
      </c>
      <c r="D1161" s="104">
        <v>1.4636000394821167</v>
      </c>
      <c r="E1161">
        <v>92.704181402678685</v>
      </c>
      <c r="F1161">
        <v>1204.19384765625</v>
      </c>
      <c r="G1161" s="14"/>
      <c r="H1161" s="34"/>
      <c r="I1161" s="34"/>
      <c r="J1161" s="34"/>
      <c r="K1161" s="34"/>
      <c r="L1161" s="34"/>
      <c r="N1161" s="34"/>
      <c r="O1161" s="35"/>
      <c r="P1161" s="35"/>
      <c r="Q1161" s="35"/>
      <c r="R1161" s="35"/>
      <c r="S1161" s="74"/>
    </row>
    <row r="1162" spans="1:19" ht="13.5" thickBot="1">
      <c r="A1162" s="103">
        <v>40333</v>
      </c>
      <c r="B1162" s="104">
        <v>3.3055000305175781</v>
      </c>
      <c r="C1162" s="105">
        <v>1064.8800048828125</v>
      </c>
      <c r="D1162" s="104">
        <v>1.4457999467849731</v>
      </c>
      <c r="E1162">
        <v>91.457838743888246</v>
      </c>
      <c r="F1162">
        <v>1215.193359375</v>
      </c>
      <c r="G1162" s="14"/>
      <c r="H1162" s="34"/>
      <c r="I1162" s="34"/>
      <c r="J1162" s="34"/>
      <c r="K1162" s="34"/>
      <c r="L1162" s="34"/>
      <c r="N1162" s="34"/>
      <c r="O1162" s="35"/>
      <c r="P1162" s="35"/>
      <c r="Q1162" s="35"/>
      <c r="R1162" s="35"/>
      <c r="S1162" s="74"/>
    </row>
    <row r="1163" spans="1:19" ht="13.5" thickBot="1">
      <c r="A1163" s="103">
        <v>40336</v>
      </c>
      <c r="B1163" s="104">
        <v>3.2915000915527344</v>
      </c>
      <c r="C1163" s="105">
        <v>1050.469970703125</v>
      </c>
      <c r="D1163" s="104">
        <v>1.4471999406814575</v>
      </c>
      <c r="E1163">
        <v>91.74311833794637</v>
      </c>
      <c r="F1163">
        <v>1238.321044921875</v>
      </c>
      <c r="G1163" s="14"/>
      <c r="H1163" s="34"/>
      <c r="I1163" s="34"/>
      <c r="J1163" s="34"/>
      <c r="K1163" s="34"/>
      <c r="L1163" s="34"/>
      <c r="N1163" s="34"/>
      <c r="O1163" s="35"/>
      <c r="P1163" s="35"/>
      <c r="Q1163" s="35"/>
      <c r="R1163" s="35"/>
      <c r="S1163" s="74"/>
    </row>
    <row r="1164" spans="1:19" ht="13.5" thickBot="1">
      <c r="A1164" s="103">
        <v>40337</v>
      </c>
      <c r="B1164" s="104">
        <v>3.2760000228881836</v>
      </c>
      <c r="C1164" s="105">
        <v>1062</v>
      </c>
      <c r="D1164" s="104">
        <v>1.4386999607086182</v>
      </c>
      <c r="E1164">
        <v>91.315859348948464</v>
      </c>
      <c r="F1164">
        <v>1247.3209228515625</v>
      </c>
      <c r="G1164" s="14"/>
      <c r="H1164" s="34"/>
      <c r="I1164" s="34"/>
      <c r="J1164" s="34"/>
      <c r="K1164" s="34"/>
      <c r="L1164" s="34"/>
      <c r="N1164" s="34"/>
      <c r="O1164" s="35"/>
      <c r="P1164" s="35"/>
      <c r="Q1164" s="35"/>
      <c r="R1164" s="35"/>
      <c r="S1164" s="74"/>
    </row>
    <row r="1165" spans="1:19" ht="13.5" thickBot="1">
      <c r="A1165" s="103">
        <v>40338</v>
      </c>
      <c r="B1165" s="104">
        <v>3.2860000133514404</v>
      </c>
      <c r="C1165" s="105">
        <v>1055.68994140625</v>
      </c>
      <c r="D1165" s="104">
        <v>1.4532999992370605</v>
      </c>
      <c r="E1165">
        <v>91.141088667903958</v>
      </c>
      <c r="F1165">
        <v>1229.3193359375</v>
      </c>
      <c r="G1165" s="14"/>
      <c r="H1165" s="34"/>
      <c r="I1165" s="34"/>
      <c r="J1165" s="34"/>
      <c r="K1165" s="34"/>
      <c r="L1165" s="34"/>
      <c r="N1165" s="34"/>
      <c r="O1165" s="35"/>
      <c r="P1165" s="35"/>
      <c r="Q1165" s="35"/>
      <c r="R1165" s="35"/>
      <c r="S1165" s="74"/>
    </row>
    <row r="1166" spans="1:19" ht="13.5" thickBot="1">
      <c r="A1166" s="103">
        <v>40339</v>
      </c>
      <c r="B1166" s="104">
        <v>3.4179999828338623</v>
      </c>
      <c r="C1166" s="105">
        <v>1086.8399658203125</v>
      </c>
      <c r="D1166" s="104">
        <v>1.4702999591827393</v>
      </c>
      <c r="E1166">
        <v>91.21590508274609</v>
      </c>
      <c r="F1166">
        <v>1226.2886962890625</v>
      </c>
      <c r="G1166" s="14"/>
      <c r="H1166" s="34"/>
      <c r="I1166" s="34"/>
      <c r="J1166" s="34"/>
      <c r="K1166" s="34"/>
      <c r="L1166" s="34"/>
      <c r="N1166" s="34"/>
      <c r="O1166" s="35"/>
      <c r="P1166" s="35"/>
      <c r="Q1166" s="35"/>
      <c r="R1166" s="35"/>
      <c r="S1166" s="74"/>
    </row>
    <row r="1167" spans="1:19" ht="13.5" thickBot="1">
      <c r="A1167" s="103">
        <v>40340</v>
      </c>
      <c r="B1167" s="104">
        <v>3.3159999847412109</v>
      </c>
      <c r="C1167" s="105">
        <v>1091.5999755859375</v>
      </c>
      <c r="D1167" s="104">
        <v>1.4522000551223755</v>
      </c>
      <c r="E1167">
        <v>91.583478155031131</v>
      </c>
      <c r="F1167">
        <v>1226.2886962890625</v>
      </c>
      <c r="G1167" s="14"/>
      <c r="H1167" s="34"/>
      <c r="I1167" s="34"/>
      <c r="J1167" s="34"/>
      <c r="K1167" s="34"/>
      <c r="L1167" s="34"/>
      <c r="N1167" s="34"/>
      <c r="O1167" s="35"/>
      <c r="P1167" s="35"/>
      <c r="Q1167" s="35"/>
      <c r="R1167" s="35"/>
      <c r="S1167" s="74"/>
    </row>
    <row r="1168" spans="1:19" ht="13.5" thickBot="1">
      <c r="A1168" s="103">
        <v>40343</v>
      </c>
      <c r="B1168" s="104">
        <v>3.3559999465942383</v>
      </c>
      <c r="C1168" s="105">
        <v>1089.6300048828125</v>
      </c>
      <c r="D1168" s="104">
        <v>1.4765000343322754</v>
      </c>
      <c r="E1168">
        <v>91.541557412744353</v>
      </c>
      <c r="F1168">
        <v>1217.4696044921875</v>
      </c>
      <c r="G1168" s="14"/>
      <c r="H1168" s="34"/>
      <c r="I1168" s="34"/>
      <c r="J1168" s="34"/>
      <c r="K1168" s="34"/>
      <c r="L1168" s="34"/>
      <c r="N1168" s="34"/>
      <c r="O1168" s="35"/>
      <c r="P1168" s="35"/>
      <c r="Q1168" s="35"/>
      <c r="R1168" s="35"/>
      <c r="S1168" s="74"/>
    </row>
    <row r="1169" spans="1:19" ht="13.5" thickBot="1">
      <c r="A1169" s="103">
        <v>40344</v>
      </c>
      <c r="B1169" s="104">
        <v>3.3805000782012939</v>
      </c>
      <c r="C1169" s="105">
        <v>1115.22998046875</v>
      </c>
      <c r="D1169" s="104">
        <v>1.4807000160217285</v>
      </c>
      <c r="E1169">
        <v>91.357573585629353</v>
      </c>
      <c r="F1169">
        <v>1232.4698486328125</v>
      </c>
      <c r="G1169" s="14"/>
      <c r="H1169" s="34"/>
      <c r="I1169" s="34"/>
      <c r="J1169" s="34"/>
      <c r="K1169" s="34"/>
      <c r="L1169" s="34"/>
      <c r="N1169" s="34"/>
      <c r="O1169" s="35"/>
      <c r="P1169" s="35"/>
      <c r="Q1169" s="35"/>
      <c r="R1169" s="35"/>
      <c r="S1169" s="74"/>
    </row>
    <row r="1170" spans="1:19" ht="13.5" thickBot="1">
      <c r="A1170" s="103">
        <v>40345</v>
      </c>
      <c r="B1170" s="104">
        <v>3.3475000858306885</v>
      </c>
      <c r="C1170" s="105">
        <v>1114.6099853515625</v>
      </c>
      <c r="D1170" s="104">
        <v>1.4789999723434448</v>
      </c>
      <c r="E1170">
        <v>91.416032914960439</v>
      </c>
      <c r="F1170">
        <v>1231.4698486328125</v>
      </c>
      <c r="G1170" s="14"/>
      <c r="H1170" s="34"/>
      <c r="I1170" s="34"/>
      <c r="J1170" s="34"/>
      <c r="K1170" s="34"/>
      <c r="L1170" s="34"/>
      <c r="N1170" s="34"/>
      <c r="O1170" s="35"/>
      <c r="P1170" s="35"/>
      <c r="Q1170" s="35"/>
      <c r="R1170" s="35"/>
      <c r="S1170" s="74"/>
    </row>
    <row r="1171" spans="1:19" ht="13.5" thickBot="1">
      <c r="A1171" s="103">
        <v>40346</v>
      </c>
      <c r="B1171" s="104">
        <v>3.249000072479248</v>
      </c>
      <c r="C1171" s="105">
        <v>1116.0400390625</v>
      </c>
      <c r="D1171" s="104">
        <v>1.4811999797821045</v>
      </c>
      <c r="E1171">
        <v>90.818274357604366</v>
      </c>
      <c r="F1171">
        <v>1246.4432373046875</v>
      </c>
      <c r="G1171" s="14"/>
      <c r="H1171" s="34"/>
      <c r="I1171" s="34"/>
      <c r="J1171" s="34"/>
      <c r="K1171" s="34"/>
      <c r="L1171" s="34"/>
      <c r="N1171" s="34"/>
      <c r="O1171" s="35"/>
      <c r="P1171" s="35"/>
      <c r="Q1171" s="35"/>
      <c r="R1171" s="35"/>
      <c r="S1171" s="74"/>
    </row>
    <row r="1172" spans="1:19" ht="13.5" thickBot="1">
      <c r="A1172" s="103">
        <v>40347</v>
      </c>
      <c r="B1172" s="104">
        <v>3.2774999141693115</v>
      </c>
      <c r="C1172" s="105">
        <v>1117.510009765625</v>
      </c>
      <c r="D1172" s="104">
        <v>1.479699969291687</v>
      </c>
      <c r="E1172">
        <v>90.744100870178116</v>
      </c>
      <c r="F1172">
        <v>1259.7425537109375</v>
      </c>
      <c r="G1172" s="14"/>
      <c r="H1172" s="34"/>
      <c r="I1172" s="34"/>
      <c r="J1172" s="34"/>
      <c r="K1172" s="34"/>
      <c r="L1172" s="34"/>
      <c r="N1172" s="34"/>
      <c r="O1172" s="35"/>
      <c r="P1172" s="35"/>
      <c r="Q1172" s="35"/>
      <c r="R1172" s="35"/>
      <c r="S1172" s="74"/>
    </row>
    <row r="1173" spans="1:19" ht="13.5" thickBot="1">
      <c r="A1173" s="103">
        <v>40350</v>
      </c>
      <c r="B1173" s="104">
        <v>3.2679998874664307</v>
      </c>
      <c r="C1173" s="105">
        <v>1113.199951171875</v>
      </c>
      <c r="D1173" s="104">
        <v>1.476099967956543</v>
      </c>
      <c r="E1173">
        <v>91.000090259216847</v>
      </c>
      <c r="F1173">
        <v>1251.821533203125</v>
      </c>
      <c r="G1173" s="14"/>
      <c r="H1173" s="34"/>
      <c r="I1173" s="34"/>
      <c r="J1173" s="34"/>
      <c r="K1173" s="34"/>
      <c r="L1173" s="34"/>
      <c r="N1173" s="34"/>
      <c r="O1173" s="35"/>
      <c r="P1173" s="35"/>
      <c r="Q1173" s="35"/>
      <c r="R1173" s="35"/>
      <c r="S1173" s="74"/>
    </row>
    <row r="1174" spans="1:19" ht="13.5" thickBot="1">
      <c r="A1174" s="103">
        <v>40351</v>
      </c>
      <c r="B1174" s="104">
        <v>3.2130000591278076</v>
      </c>
      <c r="C1174" s="105">
        <v>1095.31005859375</v>
      </c>
      <c r="D1174" s="104">
        <v>1.4810999631881714</v>
      </c>
      <c r="E1174">
        <v>90.497738740331002</v>
      </c>
      <c r="F1174">
        <v>1238.9718017578125</v>
      </c>
      <c r="G1174" s="14"/>
      <c r="H1174" s="34"/>
      <c r="I1174" s="34"/>
      <c r="J1174" s="34"/>
      <c r="K1174" s="34"/>
      <c r="L1174" s="34"/>
      <c r="N1174" s="34"/>
      <c r="O1174" s="35"/>
      <c r="P1174" s="35"/>
      <c r="Q1174" s="35"/>
      <c r="R1174" s="35"/>
      <c r="S1174" s="74"/>
    </row>
    <row r="1175" spans="1:19" ht="13.5" thickBot="1">
      <c r="A1175" s="103">
        <v>40352</v>
      </c>
      <c r="B1175" s="104">
        <v>3.1724998950958252</v>
      </c>
      <c r="C1175" s="105">
        <v>1092.0400390625</v>
      </c>
      <c r="D1175" s="104">
        <v>1.4960999488830566</v>
      </c>
      <c r="E1175">
        <v>89.839189679898126</v>
      </c>
      <c r="F1175">
        <v>1232.96923828125</v>
      </c>
      <c r="G1175" s="14"/>
      <c r="H1175" s="34"/>
      <c r="I1175" s="34"/>
      <c r="J1175" s="34"/>
      <c r="K1175" s="34"/>
      <c r="L1175" s="34"/>
      <c r="N1175" s="34"/>
      <c r="O1175" s="35"/>
      <c r="P1175" s="35"/>
      <c r="Q1175" s="35"/>
      <c r="R1175" s="35"/>
      <c r="S1175" s="74"/>
    </row>
    <row r="1176" spans="1:19" ht="13.5" thickBot="1">
      <c r="A1176" s="103">
        <v>40353</v>
      </c>
      <c r="B1176" s="104">
        <v>3.1930000782012939</v>
      </c>
      <c r="C1176" s="105">
        <v>1073.68994140625</v>
      </c>
      <c r="D1176" s="104">
        <v>1.4934999942779541</v>
      </c>
      <c r="E1176">
        <v>89.58165353765753</v>
      </c>
      <c r="F1176">
        <v>1244.937744140625</v>
      </c>
      <c r="G1176" s="14"/>
      <c r="H1176" s="34"/>
      <c r="I1176" s="34"/>
      <c r="J1176" s="34"/>
      <c r="K1176" s="34"/>
      <c r="L1176" s="34"/>
      <c r="N1176" s="34"/>
      <c r="O1176" s="35"/>
      <c r="P1176" s="35"/>
      <c r="Q1176" s="35"/>
      <c r="R1176" s="35"/>
      <c r="S1176" s="74"/>
    </row>
    <row r="1177" spans="1:19" ht="13.5" thickBot="1">
      <c r="A1177" s="103">
        <v>40354</v>
      </c>
      <c r="B1177" s="104">
        <v>3.1805000305175781</v>
      </c>
      <c r="C1177" s="105">
        <v>1076.760009765625</v>
      </c>
      <c r="D1177" s="104">
        <v>1.503600001335144</v>
      </c>
      <c r="E1177">
        <v>89.381476637356258</v>
      </c>
      <c r="F1177">
        <v>1255.937255859375</v>
      </c>
      <c r="G1177" s="14"/>
      <c r="H1177" s="34"/>
      <c r="I1177" s="34"/>
      <c r="J1177" s="34"/>
      <c r="K1177" s="34"/>
      <c r="L1177" s="34"/>
      <c r="N1177" s="34"/>
      <c r="O1177" s="35"/>
      <c r="P1177" s="35"/>
      <c r="Q1177" s="35"/>
      <c r="R1177" s="35"/>
      <c r="S1177" s="74"/>
    </row>
    <row r="1178" spans="1:19" ht="13.5" thickBot="1">
      <c r="A1178" s="103">
        <v>40357</v>
      </c>
      <c r="B1178" s="104">
        <v>3.0894999504089355</v>
      </c>
      <c r="C1178" s="105">
        <v>1074.5699462890625</v>
      </c>
      <c r="D1178" s="104">
        <v>1.5109000205993652</v>
      </c>
      <c r="E1178">
        <v>89.397461434120203</v>
      </c>
      <c r="F1178">
        <v>1240.218994140625</v>
      </c>
      <c r="G1178" s="14"/>
      <c r="H1178" s="34"/>
      <c r="I1178" s="34"/>
      <c r="J1178" s="34"/>
      <c r="K1178" s="34"/>
      <c r="L1178" s="34"/>
      <c r="N1178" s="34"/>
      <c r="O1178" s="35"/>
      <c r="P1178" s="35"/>
      <c r="Q1178" s="35"/>
      <c r="R1178" s="35"/>
      <c r="S1178" s="74"/>
    </row>
    <row r="1179" spans="1:19" ht="13.5" thickBot="1">
      <c r="A1179" s="103">
        <v>40358</v>
      </c>
      <c r="B1179" s="104">
        <v>3.0225000381469727</v>
      </c>
      <c r="C1179" s="105">
        <v>1041.239990234375</v>
      </c>
      <c r="D1179" s="104">
        <v>1.5082000494003296</v>
      </c>
      <c r="E1179">
        <v>88.503406428293474</v>
      </c>
      <c r="F1179">
        <v>1244.216796875</v>
      </c>
      <c r="G1179" s="14"/>
      <c r="H1179" s="34"/>
      <c r="I1179" s="34"/>
      <c r="J1179" s="34"/>
      <c r="K1179" s="34"/>
      <c r="L1179" s="34"/>
      <c r="N1179" s="34"/>
      <c r="O1179" s="35"/>
      <c r="P1179" s="35"/>
      <c r="Q1179" s="35"/>
      <c r="R1179" s="35"/>
      <c r="S1179" s="74"/>
    </row>
    <row r="1180" spans="1:19" ht="13.5" thickBot="1">
      <c r="A1180" s="103">
        <v>40359</v>
      </c>
      <c r="B1180" s="104">
        <v>3.0160000324249268</v>
      </c>
      <c r="C1180" s="105">
        <v>1030.7099609375</v>
      </c>
      <c r="D1180" s="104">
        <v>1.4960000514984131</v>
      </c>
      <c r="E1180">
        <v>88.479915750822173</v>
      </c>
      <c r="F1180">
        <v>1245.166748046875</v>
      </c>
      <c r="G1180" s="14"/>
      <c r="H1180" s="34"/>
      <c r="I1180" s="34"/>
      <c r="J1180" s="34"/>
      <c r="K1180" s="34"/>
      <c r="L1180" s="34"/>
      <c r="N1180" s="34"/>
      <c r="O1180" s="35"/>
      <c r="P1180" s="35"/>
      <c r="Q1180" s="35"/>
      <c r="R1180" s="35"/>
      <c r="S1180" s="74"/>
    </row>
    <row r="1181" spans="1:19" ht="13.5" thickBot="1">
      <c r="A1181" s="103">
        <v>40360</v>
      </c>
      <c r="B1181" s="104">
        <v>3.000999927520752</v>
      </c>
      <c r="C1181" s="105">
        <v>1027.3699951171875</v>
      </c>
      <c r="D1181" s="104">
        <v>1.5151000022888184</v>
      </c>
      <c r="E1181">
        <v>87.519692508681118</v>
      </c>
      <c r="F1181">
        <v>1210.2354736328125</v>
      </c>
      <c r="G1181" s="14"/>
      <c r="H1181" s="34"/>
      <c r="I1181" s="34"/>
      <c r="J1181" s="34"/>
      <c r="K1181" s="34"/>
      <c r="L1181" s="34"/>
      <c r="N1181" s="34"/>
      <c r="O1181" s="35"/>
      <c r="P1181" s="35"/>
      <c r="Q1181" s="35"/>
      <c r="R1181" s="35"/>
      <c r="S1181" s="74"/>
    </row>
    <row r="1182" spans="1:19" ht="13.5" thickBot="1">
      <c r="A1182" s="103">
        <v>40361</v>
      </c>
      <c r="B1182" s="104">
        <v>3.061500072479248</v>
      </c>
      <c r="C1182" s="105">
        <v>1022.5800170898437</v>
      </c>
      <c r="D1182" s="104">
        <v>1.5194000005722046</v>
      </c>
      <c r="E1182">
        <v>87.742385251289562</v>
      </c>
      <c r="F1182">
        <v>1211.2353515625</v>
      </c>
      <c r="G1182" s="14"/>
      <c r="H1182" s="34"/>
      <c r="I1182" s="34"/>
      <c r="J1182" s="34"/>
      <c r="K1182" s="34"/>
      <c r="L1182" s="34"/>
      <c r="N1182" s="34"/>
      <c r="O1182" s="35"/>
      <c r="P1182" s="35"/>
      <c r="Q1182" s="35"/>
      <c r="R1182" s="35"/>
      <c r="S1182" s="74"/>
    </row>
    <row r="1183" spans="1:19" ht="13.5" thickBot="1">
      <c r="A1183" s="103">
        <v>40364</v>
      </c>
      <c r="B1183" s="104">
        <v>3.061500072479248</v>
      </c>
      <c r="C1183" s="105">
        <v>1022.5800170898437</v>
      </c>
      <c r="D1183" s="104">
        <v>1.5127999782562256</v>
      </c>
      <c r="E1183">
        <v>87.742385251289562</v>
      </c>
      <c r="F1183">
        <v>1211.3636474609375</v>
      </c>
      <c r="G1183" s="14"/>
      <c r="H1183" s="34"/>
      <c r="I1183" s="34"/>
      <c r="J1183" s="34"/>
      <c r="K1183" s="34"/>
      <c r="L1183" s="34"/>
      <c r="N1183" s="34"/>
      <c r="O1183" s="35"/>
      <c r="P1183" s="35"/>
      <c r="Q1183" s="35"/>
      <c r="R1183" s="35"/>
      <c r="S1183" s="74"/>
    </row>
    <row r="1184" spans="1:19" ht="13.5" thickBot="1">
      <c r="A1184" s="103">
        <v>40365</v>
      </c>
      <c r="B1184" s="104">
        <v>3.0074999332427979</v>
      </c>
      <c r="C1184" s="105">
        <v>1028.06005859375</v>
      </c>
      <c r="D1184" s="104">
        <v>1.514799952507019</v>
      </c>
      <c r="E1184">
        <v>87.458457344057635</v>
      </c>
      <c r="F1184">
        <v>1195.4180908203125</v>
      </c>
      <c r="G1184" s="14"/>
      <c r="H1184" s="34"/>
      <c r="I1184" s="34"/>
      <c r="J1184" s="34"/>
      <c r="K1184" s="34"/>
      <c r="L1184" s="34"/>
      <c r="N1184" s="34"/>
      <c r="O1184" s="35"/>
      <c r="P1184" s="35"/>
      <c r="Q1184" s="35"/>
      <c r="R1184" s="35"/>
      <c r="S1184" s="74"/>
    </row>
    <row r="1185" spans="1:19" ht="13.5" thickBot="1">
      <c r="A1185" s="103">
        <v>40366</v>
      </c>
      <c r="B1185" s="104">
        <v>3.0325000286102295</v>
      </c>
      <c r="C1185" s="105">
        <v>1060.27001953125</v>
      </c>
      <c r="D1185" s="104">
        <v>1.5204000473022461</v>
      </c>
      <c r="E1185">
        <v>87.420227081824251</v>
      </c>
      <c r="F1185">
        <v>1192.418212890625</v>
      </c>
      <c r="G1185" s="14"/>
      <c r="H1185" s="34"/>
      <c r="I1185" s="34"/>
      <c r="J1185" s="34"/>
      <c r="K1185" s="34"/>
      <c r="L1185" s="34"/>
      <c r="N1185" s="34"/>
      <c r="O1185" s="35"/>
      <c r="P1185" s="35"/>
      <c r="Q1185" s="35"/>
      <c r="R1185" s="35"/>
      <c r="S1185" s="74"/>
    </row>
    <row r="1186" spans="1:19" ht="13.5" thickBot="1">
      <c r="A1186" s="103">
        <v>40367</v>
      </c>
      <c r="B1186" s="104">
        <v>3.0669999122619629</v>
      </c>
      <c r="C1186" s="105">
        <v>1070.25</v>
      </c>
      <c r="D1186" s="104">
        <v>1.5151000022888184</v>
      </c>
      <c r="E1186">
        <v>88.378257046506619</v>
      </c>
      <c r="F1186">
        <v>1194.436279296875</v>
      </c>
      <c r="G1186" s="14"/>
      <c r="H1186" s="34"/>
      <c r="I1186" s="34"/>
      <c r="J1186" s="34"/>
      <c r="K1186" s="34"/>
      <c r="L1186" s="34"/>
      <c r="N1186" s="34"/>
      <c r="O1186" s="35"/>
      <c r="P1186" s="35"/>
      <c r="Q1186" s="35"/>
      <c r="R1186" s="35"/>
      <c r="S1186" s="74"/>
    </row>
    <row r="1187" spans="1:19" ht="13.5" thickBot="1">
      <c r="A1187" s="103">
        <v>40368</v>
      </c>
      <c r="B1187" s="104">
        <v>3.1089999675750732</v>
      </c>
      <c r="C1187" s="105">
        <v>1077.9599609375</v>
      </c>
      <c r="D1187" s="104">
        <v>1.506600022315979</v>
      </c>
      <c r="E1187">
        <v>88.558268980501197</v>
      </c>
      <c r="F1187">
        <v>1211.4300537109375</v>
      </c>
      <c r="G1187" s="14"/>
      <c r="H1187" s="34"/>
      <c r="I1187" s="34"/>
      <c r="J1187" s="34"/>
      <c r="K1187" s="34"/>
      <c r="L1187" s="34"/>
      <c r="N1187" s="34"/>
      <c r="O1187" s="35"/>
      <c r="P1187" s="35"/>
      <c r="Q1187" s="35"/>
      <c r="R1187" s="35"/>
      <c r="S1187" s="74"/>
    </row>
    <row r="1188" spans="1:19" ht="13.5" thickBot="1">
      <c r="A1188" s="103">
        <v>40371</v>
      </c>
      <c r="B1188" s="104">
        <v>3.1080000400543213</v>
      </c>
      <c r="C1188" s="105">
        <v>1078.75</v>
      </c>
      <c r="D1188" s="104">
        <v>1.5031000375747681</v>
      </c>
      <c r="E1188">
        <v>88.542590155390855</v>
      </c>
      <c r="F1188">
        <v>1199.5653076171875</v>
      </c>
      <c r="G1188" s="14"/>
      <c r="H1188" s="34"/>
      <c r="I1188" s="34"/>
      <c r="J1188" s="34"/>
      <c r="K1188" s="34"/>
      <c r="L1188" s="34"/>
      <c r="N1188" s="34"/>
      <c r="O1188" s="35"/>
      <c r="P1188" s="35"/>
      <c r="Q1188" s="35"/>
      <c r="R1188" s="35"/>
      <c r="S1188" s="74"/>
    </row>
    <row r="1189" spans="1:19" ht="13.5" thickBot="1">
      <c r="A1189" s="103">
        <v>40372</v>
      </c>
      <c r="B1189" s="104">
        <v>3.1500000953674316</v>
      </c>
      <c r="C1189" s="105">
        <v>1095.3399658203125</v>
      </c>
      <c r="D1189" s="104">
        <v>1.5154000520706177</v>
      </c>
      <c r="E1189">
        <v>88.581808594022959</v>
      </c>
      <c r="F1189">
        <v>1215.56494140625</v>
      </c>
      <c r="G1189" s="14"/>
      <c r="H1189" s="34"/>
      <c r="I1189" s="34"/>
      <c r="J1189" s="34"/>
      <c r="K1189" s="34"/>
      <c r="L1189" s="34"/>
      <c r="N1189" s="34"/>
      <c r="O1189" s="35"/>
      <c r="P1189" s="35"/>
      <c r="Q1189" s="35"/>
      <c r="R1189" s="35"/>
      <c r="S1189" s="74"/>
    </row>
    <row r="1190" spans="1:19" ht="13.5" thickBot="1">
      <c r="A1190" s="103">
        <v>40373</v>
      </c>
      <c r="B1190" s="104">
        <v>3.0834999084472656</v>
      </c>
      <c r="C1190" s="105">
        <v>1095.1700439453125</v>
      </c>
      <c r="D1190" s="104">
        <v>1.5254000425338745</v>
      </c>
      <c r="E1190">
        <v>88.276838932573412</v>
      </c>
      <c r="F1190">
        <v>1207.71435546875</v>
      </c>
      <c r="G1190" s="14"/>
      <c r="H1190" s="34"/>
      <c r="I1190" s="34"/>
      <c r="J1190" s="34"/>
      <c r="K1190" s="34"/>
      <c r="L1190" s="34"/>
      <c r="N1190" s="34"/>
      <c r="O1190" s="35"/>
      <c r="P1190" s="35"/>
      <c r="Q1190" s="35"/>
      <c r="R1190" s="35"/>
      <c r="S1190" s="74"/>
    </row>
    <row r="1191" spans="1:19" ht="13.5" thickBot="1">
      <c r="A1191" s="103">
        <v>40374</v>
      </c>
      <c r="B1191" s="104">
        <v>2.9960000514984131</v>
      </c>
      <c r="C1191" s="105">
        <v>1096.47998046875</v>
      </c>
      <c r="D1191" s="104">
        <v>1.541100025177002</v>
      </c>
      <c r="E1191">
        <v>87.481408704602913</v>
      </c>
      <c r="F1191">
        <v>1208.6788330078125</v>
      </c>
      <c r="G1191" s="14"/>
      <c r="H1191" s="34"/>
      <c r="I1191" s="34"/>
      <c r="J1191" s="34"/>
      <c r="K1191" s="34"/>
      <c r="L1191" s="34"/>
      <c r="N1191" s="34"/>
      <c r="O1191" s="35"/>
      <c r="P1191" s="35"/>
      <c r="Q1191" s="35"/>
      <c r="R1191" s="35"/>
      <c r="S1191" s="74"/>
    </row>
    <row r="1192" spans="1:19" ht="13.5" thickBot="1">
      <c r="A1192" s="103">
        <v>40375</v>
      </c>
      <c r="B1192" s="104">
        <v>2.9584999084472656</v>
      </c>
      <c r="C1192" s="105">
        <v>1064.8800048828125</v>
      </c>
      <c r="D1192" s="104">
        <v>1.5305999517440796</v>
      </c>
      <c r="E1192">
        <v>86.722747184326195</v>
      </c>
      <c r="F1192">
        <v>1188.72998046875</v>
      </c>
      <c r="G1192" s="14"/>
      <c r="H1192" s="34"/>
      <c r="I1192" s="34"/>
      <c r="J1192" s="34"/>
      <c r="K1192" s="34"/>
      <c r="L1192" s="34"/>
      <c r="N1192" s="34"/>
      <c r="O1192" s="35"/>
      <c r="P1192" s="35"/>
      <c r="Q1192" s="35"/>
      <c r="R1192" s="35"/>
      <c r="S1192" s="74"/>
    </row>
    <row r="1193" spans="1:19" ht="13.5" thickBot="1">
      <c r="A1193" s="103">
        <v>40378</v>
      </c>
      <c r="B1193" s="104">
        <v>2.9909999370574951</v>
      </c>
      <c r="C1193" s="105">
        <v>1071.25</v>
      </c>
      <c r="D1193" s="104">
        <v>1.5233000516891479</v>
      </c>
      <c r="E1193">
        <v>86.760369710667817</v>
      </c>
      <c r="F1193">
        <v>1179.765869140625</v>
      </c>
      <c r="G1193" s="14"/>
      <c r="H1193" s="34"/>
      <c r="I1193" s="34"/>
      <c r="J1193" s="34"/>
      <c r="K1193" s="34"/>
      <c r="L1193" s="34"/>
      <c r="N1193" s="34"/>
      <c r="O1193" s="35"/>
      <c r="P1193" s="35"/>
      <c r="Q1193" s="35"/>
      <c r="R1193" s="35"/>
      <c r="S1193" s="74"/>
    </row>
    <row r="1194" spans="1:19" ht="13.5" thickBot="1">
      <c r="A1194" s="103">
        <v>40379</v>
      </c>
      <c r="B1194" s="104">
        <v>2.9549999237060547</v>
      </c>
      <c r="C1194" s="105">
        <v>1083.47998046875</v>
      </c>
      <c r="D1194" s="104">
        <v>1.5262999534606934</v>
      </c>
      <c r="E1194">
        <v>87.221980025100621</v>
      </c>
      <c r="F1194">
        <v>1190.3656005859375</v>
      </c>
      <c r="G1194" s="14"/>
      <c r="H1194" s="34"/>
      <c r="I1194" s="34"/>
      <c r="J1194" s="34"/>
      <c r="K1194" s="34"/>
      <c r="L1194" s="34"/>
      <c r="N1194" s="34"/>
      <c r="O1194" s="35"/>
      <c r="P1194" s="35"/>
      <c r="Q1194" s="35"/>
      <c r="R1194" s="35"/>
      <c r="S1194" s="74"/>
    </row>
    <row r="1195" spans="1:19" ht="13.5" thickBot="1">
      <c r="A1195" s="103">
        <v>40380</v>
      </c>
      <c r="B1195" s="104">
        <v>2.8984999656677246</v>
      </c>
      <c r="C1195" s="105">
        <v>1069.5899658203125</v>
      </c>
      <c r="D1195" s="104">
        <v>1.5148999691009521</v>
      </c>
      <c r="E1195">
        <v>86.956521570119151</v>
      </c>
      <c r="F1195">
        <v>1192.9654541015625</v>
      </c>
      <c r="G1195" s="14"/>
      <c r="H1195" s="34"/>
      <c r="I1195" s="34"/>
      <c r="J1195" s="34"/>
      <c r="K1195" s="34"/>
      <c r="L1195" s="34"/>
      <c r="N1195" s="34"/>
      <c r="O1195" s="35"/>
      <c r="P1195" s="35"/>
      <c r="Q1195" s="35"/>
      <c r="R1195" s="35"/>
      <c r="S1195" s="74"/>
    </row>
    <row r="1196" spans="1:19" ht="13.5" thickBot="1">
      <c r="A1196" s="103">
        <v>40381</v>
      </c>
      <c r="B1196" s="104">
        <v>2.937000036239624</v>
      </c>
      <c r="C1196" s="105">
        <v>1093.6700439453125</v>
      </c>
      <c r="D1196" s="104">
        <v>1.526900053024292</v>
      </c>
      <c r="E1196">
        <v>87.017055634854117</v>
      </c>
      <c r="F1196">
        <v>1195.9295654296875</v>
      </c>
      <c r="G1196" s="14"/>
      <c r="H1196" s="34"/>
      <c r="I1196" s="34"/>
      <c r="J1196" s="34"/>
      <c r="K1196" s="34"/>
      <c r="L1196" s="34"/>
      <c r="N1196" s="34"/>
      <c r="O1196" s="35"/>
      <c r="P1196" s="35"/>
      <c r="Q1196" s="35"/>
      <c r="R1196" s="35"/>
      <c r="S1196" s="74"/>
    </row>
    <row r="1197" spans="1:19" ht="13.5" thickBot="1">
      <c r="A1197" s="103">
        <v>40382</v>
      </c>
      <c r="B1197" s="104">
        <v>3.0079998970031738</v>
      </c>
      <c r="C1197" s="105">
        <v>1102.6600341796875</v>
      </c>
      <c r="D1197" s="104">
        <v>1.5420000553131104</v>
      </c>
      <c r="E1197">
        <v>87.443165500083836</v>
      </c>
      <c r="F1197">
        <v>1191.0299072265625</v>
      </c>
      <c r="G1197" s="14"/>
      <c r="H1197" s="34"/>
      <c r="I1197" s="34"/>
      <c r="J1197" s="34"/>
      <c r="K1197" s="34"/>
      <c r="L1197" s="34"/>
      <c r="N1197" s="34"/>
      <c r="O1197" s="35"/>
      <c r="P1197" s="35"/>
      <c r="Q1197" s="35"/>
      <c r="R1197" s="35"/>
      <c r="S1197" s="74"/>
    </row>
    <row r="1198" spans="1:19" ht="13.5" thickBot="1">
      <c r="A1198" s="103">
        <v>40385</v>
      </c>
      <c r="B1198" s="104">
        <v>3.0034999847412109</v>
      </c>
      <c r="C1198" s="105">
        <v>1115.010009765625</v>
      </c>
      <c r="D1198" s="104">
        <v>1.5476000308990479</v>
      </c>
      <c r="E1198">
        <v>86.903625068157652</v>
      </c>
      <c r="F1198">
        <v>1185.266357421875</v>
      </c>
      <c r="G1198" s="14"/>
      <c r="H1198" s="34"/>
      <c r="I1198" s="34"/>
      <c r="J1198" s="34"/>
      <c r="K1198" s="34"/>
      <c r="L1198" s="34"/>
      <c r="N1198" s="34"/>
      <c r="O1198" s="35"/>
      <c r="P1198" s="35"/>
      <c r="Q1198" s="35"/>
      <c r="R1198" s="35"/>
      <c r="S1198" s="74"/>
    </row>
    <row r="1199" spans="1:19" ht="13.5" thickBot="1">
      <c r="A1199" s="103">
        <v>40386</v>
      </c>
      <c r="B1199" s="104">
        <v>3.0374999046325684</v>
      </c>
      <c r="C1199" s="105">
        <v>1113.8399658203125</v>
      </c>
      <c r="D1199" s="104">
        <v>1.5578999519348145</v>
      </c>
      <c r="E1199">
        <v>87.858024605998253</v>
      </c>
      <c r="F1199">
        <v>1160.26708984375</v>
      </c>
      <c r="G1199" s="14"/>
      <c r="H1199" s="34"/>
      <c r="I1199" s="34"/>
      <c r="J1199" s="34"/>
      <c r="K1199" s="34"/>
      <c r="L1199" s="34"/>
      <c r="N1199" s="34"/>
      <c r="O1199" s="35"/>
      <c r="P1199" s="35"/>
      <c r="Q1199" s="35"/>
      <c r="R1199" s="35"/>
      <c r="S1199" s="74"/>
    </row>
    <row r="1200" spans="1:19" ht="13.5" thickBot="1">
      <c r="A1200" s="103">
        <v>40387</v>
      </c>
      <c r="B1200" s="104">
        <v>2.9765000343322754</v>
      </c>
      <c r="C1200" s="105">
        <v>1106.1300048828125</v>
      </c>
      <c r="D1200" s="104">
        <v>1.5583000183105469</v>
      </c>
      <c r="E1200">
        <v>87.458457344057635</v>
      </c>
      <c r="F1200">
        <v>1161.4735107421875</v>
      </c>
      <c r="G1200" s="14"/>
      <c r="H1200" s="34"/>
      <c r="I1200" s="34"/>
      <c r="J1200" s="34"/>
      <c r="K1200" s="34"/>
      <c r="L1200" s="34"/>
      <c r="N1200" s="34"/>
      <c r="O1200" s="35"/>
      <c r="P1200" s="35"/>
      <c r="Q1200" s="35"/>
      <c r="R1200" s="35"/>
      <c r="S1200" s="74"/>
    </row>
    <row r="1201" spans="1:19" ht="13.5" thickBot="1">
      <c r="A1201" s="103">
        <v>40388</v>
      </c>
      <c r="B1201" s="104">
        <v>2.9644999504089355</v>
      </c>
      <c r="C1201" s="105">
        <v>1101.530029296875</v>
      </c>
      <c r="D1201" s="104">
        <v>1.562000036239624</v>
      </c>
      <c r="E1201">
        <v>86.956521570119151</v>
      </c>
      <c r="F1201">
        <v>1163.39697265625</v>
      </c>
      <c r="G1201" s="14"/>
      <c r="H1201" s="34"/>
      <c r="I1201" s="34"/>
      <c r="J1201" s="34"/>
      <c r="K1201" s="34"/>
      <c r="L1201" s="34"/>
      <c r="N1201" s="34"/>
      <c r="O1201" s="35"/>
      <c r="P1201" s="35"/>
      <c r="Q1201" s="35"/>
      <c r="R1201" s="35"/>
      <c r="S1201" s="74"/>
    </row>
    <row r="1202" spans="1:19" ht="13.5" thickBot="1">
      <c r="A1202" s="103">
        <v>40389</v>
      </c>
      <c r="B1202" s="104">
        <v>2.8880000114440918</v>
      </c>
      <c r="C1202" s="105">
        <v>1101.5999755859375</v>
      </c>
      <c r="D1202" s="104">
        <v>1.5695500373840332</v>
      </c>
      <c r="E1202">
        <v>86.348329602467359</v>
      </c>
      <c r="F1202">
        <v>1181.646240234375</v>
      </c>
      <c r="G1202" s="14"/>
      <c r="H1202" s="34"/>
      <c r="I1202" s="34"/>
      <c r="J1202" s="34"/>
      <c r="K1202" s="34"/>
      <c r="L1202" s="34"/>
      <c r="N1202" s="34"/>
      <c r="O1202" s="35"/>
      <c r="P1202" s="35"/>
      <c r="Q1202" s="35"/>
      <c r="R1202" s="35"/>
      <c r="S1202" s="74"/>
    </row>
    <row r="1203" spans="1:19" ht="13.5" thickBot="1">
      <c r="A1203" s="103">
        <v>40392</v>
      </c>
      <c r="B1203" s="104">
        <v>2.9254999160766602</v>
      </c>
      <c r="C1203" s="105">
        <v>1125.8599853515625</v>
      </c>
      <c r="D1203" s="104">
        <v>1.5892000198364258</v>
      </c>
      <c r="E1203">
        <v>86.520159209586097</v>
      </c>
      <c r="F1203">
        <v>1180.673095703125</v>
      </c>
      <c r="G1203" s="14"/>
      <c r="H1203" s="34"/>
      <c r="I1203" s="34"/>
      <c r="J1203" s="34"/>
      <c r="K1203" s="34"/>
      <c r="L1203" s="34"/>
      <c r="N1203" s="34"/>
      <c r="O1203" s="35"/>
      <c r="P1203" s="35"/>
      <c r="Q1203" s="35"/>
      <c r="R1203" s="35"/>
      <c r="S1203" s="74"/>
    </row>
    <row r="1204" spans="1:19" ht="13.5" thickBot="1">
      <c r="A1204" s="103">
        <v>40393</v>
      </c>
      <c r="B1204" s="104">
        <v>2.874500036239624</v>
      </c>
      <c r="C1204" s="105">
        <v>1120.4599609375</v>
      </c>
      <c r="D1204" s="104">
        <v>1.5944000482559204</v>
      </c>
      <c r="E1204">
        <v>85.836911583990272</v>
      </c>
      <c r="F1204">
        <v>1186.6729736328125</v>
      </c>
      <c r="G1204" s="14"/>
      <c r="H1204" s="34"/>
      <c r="I1204" s="34"/>
      <c r="J1204" s="34"/>
      <c r="K1204" s="34"/>
      <c r="L1204" s="34"/>
      <c r="N1204" s="34"/>
      <c r="O1204" s="35"/>
      <c r="P1204" s="35"/>
      <c r="Q1204" s="35"/>
      <c r="R1204" s="35"/>
      <c r="S1204" s="74"/>
    </row>
    <row r="1205" spans="1:19" ht="13.5" thickBot="1">
      <c r="A1205" s="103">
        <v>40394</v>
      </c>
      <c r="B1205" s="104">
        <v>2.9179999828338623</v>
      </c>
      <c r="C1205" s="105">
        <v>1127.239990234375</v>
      </c>
      <c r="D1205" s="104">
        <v>1.5896999835968018</v>
      </c>
      <c r="E1205">
        <v>86.258949127840069</v>
      </c>
      <c r="F1205">
        <v>1198.6754150390625</v>
      </c>
      <c r="G1205" s="14"/>
      <c r="H1205" s="34"/>
      <c r="I1205" s="34"/>
      <c r="J1205" s="34"/>
      <c r="K1205" s="34"/>
      <c r="L1205" s="34"/>
      <c r="N1205" s="34"/>
      <c r="O1205" s="35"/>
      <c r="P1205" s="35"/>
      <c r="Q1205" s="35"/>
      <c r="R1205" s="35"/>
      <c r="S1205" s="74"/>
    </row>
    <row r="1206" spans="1:19" ht="13.5" thickBot="1">
      <c r="A1206" s="103">
        <v>40395</v>
      </c>
      <c r="B1206" s="104">
        <v>2.9014999866485596</v>
      </c>
      <c r="C1206" s="105">
        <v>1125.81005859375</v>
      </c>
      <c r="D1206" s="104">
        <v>1.5878000259399414</v>
      </c>
      <c r="E1206">
        <v>85.88113911850688</v>
      </c>
      <c r="F1206">
        <v>1194.7021484375</v>
      </c>
      <c r="G1206" s="14"/>
      <c r="H1206" s="34"/>
      <c r="I1206" s="34"/>
      <c r="J1206" s="34"/>
      <c r="K1206" s="34"/>
      <c r="L1206" s="34"/>
      <c r="N1206" s="34"/>
      <c r="O1206" s="35"/>
      <c r="P1206" s="35"/>
      <c r="Q1206" s="35"/>
      <c r="R1206" s="35"/>
      <c r="S1206" s="74"/>
    </row>
    <row r="1207" spans="1:19" ht="13.5" thickBot="1">
      <c r="A1207" s="103">
        <v>40396</v>
      </c>
      <c r="B1207" s="104">
        <v>2.8364999294281006</v>
      </c>
      <c r="C1207" s="105">
        <v>1121.6400146484375</v>
      </c>
      <c r="D1207" s="104">
        <v>1.5960999727249146</v>
      </c>
      <c r="E1207">
        <v>85.440877009238591</v>
      </c>
      <c r="F1207">
        <v>1206.703125</v>
      </c>
      <c r="G1207" s="14"/>
      <c r="H1207" s="34"/>
      <c r="I1207" s="34"/>
      <c r="J1207" s="34"/>
      <c r="K1207" s="34"/>
      <c r="L1207" s="34"/>
      <c r="N1207" s="34"/>
      <c r="O1207" s="35"/>
      <c r="P1207" s="35"/>
      <c r="Q1207" s="35"/>
      <c r="R1207" s="35"/>
      <c r="S1207" s="74"/>
    </row>
    <row r="1208" spans="1:19" ht="13.5" thickBot="1">
      <c r="A1208" s="103">
        <v>40399</v>
      </c>
      <c r="B1208" s="104">
        <v>2.814500093460083</v>
      </c>
      <c r="C1208" s="105">
        <v>1127.7900390625</v>
      </c>
      <c r="D1208" s="104">
        <v>1.5895999670028687</v>
      </c>
      <c r="E1208">
        <v>85.88113911850688</v>
      </c>
      <c r="F1208">
        <v>1201.77734375</v>
      </c>
      <c r="G1208" s="14"/>
      <c r="H1208" s="34"/>
      <c r="I1208" s="34"/>
      <c r="J1208" s="34"/>
      <c r="K1208" s="34"/>
      <c r="L1208" s="34"/>
      <c r="N1208" s="34"/>
      <c r="O1208" s="35"/>
      <c r="P1208" s="35"/>
      <c r="Q1208" s="35"/>
      <c r="R1208" s="35"/>
      <c r="S1208" s="74"/>
    </row>
    <row r="1209" spans="1:19" ht="13.5" thickBot="1">
      <c r="A1209" s="103">
        <v>40400</v>
      </c>
      <c r="B1209" s="104">
        <v>2.7790000438690186</v>
      </c>
      <c r="C1209" s="105">
        <v>1121.06005859375</v>
      </c>
      <c r="D1209" s="104">
        <v>1.5877000093460083</v>
      </c>
      <c r="E1209">
        <v>85.2805705673006</v>
      </c>
      <c r="F1209">
        <v>1203.7799072265625</v>
      </c>
      <c r="G1209" s="14"/>
      <c r="H1209" s="34"/>
      <c r="I1209" s="34"/>
      <c r="J1209" s="34"/>
      <c r="K1209" s="34"/>
      <c r="L1209" s="34"/>
      <c r="N1209" s="34"/>
      <c r="O1209" s="35"/>
      <c r="P1209" s="35"/>
      <c r="Q1209" s="35"/>
      <c r="R1209" s="35"/>
      <c r="S1209" s="74"/>
    </row>
    <row r="1210" spans="1:19" ht="13.5" thickBot="1">
      <c r="A1210" s="103">
        <v>40401</v>
      </c>
      <c r="B1210" s="104">
        <v>2.6784999370574951</v>
      </c>
      <c r="C1210" s="105">
        <v>1089.469970703125</v>
      </c>
      <c r="D1210" s="104">
        <v>1.5673999786376953</v>
      </c>
      <c r="E1210">
        <v>85.258759347170596</v>
      </c>
      <c r="F1210">
        <v>1194.9300537109375</v>
      </c>
      <c r="G1210" s="14"/>
      <c r="H1210" s="34"/>
      <c r="I1210" s="34"/>
      <c r="J1210" s="34"/>
      <c r="K1210" s="34"/>
      <c r="L1210" s="34"/>
      <c r="N1210" s="34"/>
      <c r="O1210" s="35"/>
      <c r="P1210" s="35"/>
      <c r="Q1210" s="35"/>
      <c r="R1210" s="35"/>
      <c r="S1210" s="74"/>
    </row>
    <row r="1211" spans="1:19" ht="13.5" thickBot="1">
      <c r="A1211" s="103">
        <v>40402</v>
      </c>
      <c r="B1211" s="104">
        <v>2.7279999256134033</v>
      </c>
      <c r="C1211" s="105">
        <v>1083.6099853515625</v>
      </c>
      <c r="D1211" s="104">
        <v>1.5568000078201294</v>
      </c>
      <c r="E1211">
        <v>85.91803481093207</v>
      </c>
      <c r="F1211">
        <v>1212.910888671875</v>
      </c>
      <c r="G1211" s="14"/>
      <c r="H1211" s="34"/>
      <c r="I1211" s="34"/>
      <c r="J1211" s="34"/>
      <c r="K1211" s="34"/>
      <c r="L1211" s="34"/>
      <c r="N1211" s="34"/>
      <c r="O1211" s="35"/>
      <c r="P1211" s="35"/>
      <c r="Q1211" s="35"/>
      <c r="R1211" s="35"/>
      <c r="S1211" s="74"/>
    </row>
    <row r="1212" spans="1:19" ht="13.5" thickBot="1">
      <c r="A1212" s="103">
        <v>40403</v>
      </c>
      <c r="B1212" s="104">
        <v>2.6614999771118164</v>
      </c>
      <c r="C1212" s="105">
        <v>1079.25</v>
      </c>
      <c r="D1212" s="104">
        <v>1.5591000318527222</v>
      </c>
      <c r="E1212">
        <v>86.258949127840069</v>
      </c>
      <c r="F1212">
        <v>1213.96484375</v>
      </c>
      <c r="G1212" s="14"/>
      <c r="H1212" s="34"/>
      <c r="I1212" s="34"/>
      <c r="J1212" s="34"/>
      <c r="K1212" s="34"/>
      <c r="L1212" s="34"/>
      <c r="N1212" s="34"/>
      <c r="O1212" s="35"/>
      <c r="P1212" s="35"/>
      <c r="Q1212" s="35"/>
      <c r="R1212" s="35"/>
      <c r="S1212" s="74"/>
    </row>
    <row r="1213" spans="1:19" ht="13.5" thickBot="1">
      <c r="A1213" s="103">
        <v>40406</v>
      </c>
      <c r="B1213" s="104">
        <v>2.5699999332427979</v>
      </c>
      <c r="C1213" s="105">
        <v>1079.3800048828125</v>
      </c>
      <c r="D1213" s="104">
        <v>1.5645999908447266</v>
      </c>
      <c r="E1213">
        <v>85.316951930056973</v>
      </c>
      <c r="F1213">
        <v>1222.032958984375</v>
      </c>
      <c r="G1213" s="14"/>
      <c r="H1213" s="34"/>
      <c r="I1213" s="34"/>
      <c r="J1213" s="34"/>
      <c r="K1213" s="34"/>
      <c r="L1213" s="34"/>
      <c r="N1213" s="34"/>
      <c r="O1213" s="35"/>
      <c r="P1213" s="35"/>
      <c r="Q1213" s="35"/>
      <c r="R1213" s="35"/>
      <c r="S1213" s="74"/>
    </row>
    <row r="1214" spans="1:19" ht="13.5" thickBot="1">
      <c r="A1214" s="103">
        <v>40407</v>
      </c>
      <c r="B1214" s="104">
        <v>2.6335000991821289</v>
      </c>
      <c r="C1214" s="105">
        <v>1092.5400390625</v>
      </c>
      <c r="D1214" s="104">
        <v>1.5570000410079956</v>
      </c>
      <c r="E1214">
        <v>85.557840090123477</v>
      </c>
      <c r="F1214">
        <v>1226.03369140625</v>
      </c>
      <c r="G1214" s="14"/>
      <c r="H1214" s="34"/>
      <c r="I1214" s="34"/>
      <c r="J1214" s="34"/>
      <c r="K1214" s="34"/>
      <c r="L1214" s="34"/>
      <c r="N1214" s="34"/>
      <c r="O1214" s="35"/>
      <c r="P1214" s="35"/>
      <c r="Q1214" s="35"/>
      <c r="R1214" s="35"/>
      <c r="S1214" s="74"/>
    </row>
    <row r="1215" spans="1:19" ht="13.5" thickBot="1">
      <c r="A1215" s="103">
        <v>40408</v>
      </c>
      <c r="B1215" s="104">
        <v>2.6535000801086426</v>
      </c>
      <c r="C1215" s="105">
        <v>1094.1600341796875</v>
      </c>
      <c r="D1215" s="104">
        <v>1.5607000589370728</v>
      </c>
      <c r="E1215">
        <v>85.462781520923556</v>
      </c>
      <c r="F1215">
        <v>1231.5843505859375</v>
      </c>
      <c r="G1215" s="14"/>
      <c r="H1215" s="34"/>
      <c r="I1215" s="34"/>
      <c r="J1215" s="34"/>
      <c r="K1215" s="34"/>
      <c r="L1215" s="34"/>
      <c r="N1215" s="34"/>
      <c r="O1215" s="35"/>
      <c r="P1215" s="35"/>
      <c r="Q1215" s="35"/>
      <c r="R1215" s="35"/>
      <c r="S1215" s="74"/>
    </row>
    <row r="1216" spans="1:19" ht="13.5" thickBot="1">
      <c r="A1216" s="103">
        <v>40409</v>
      </c>
      <c r="B1216" s="104">
        <v>2.5924999713897705</v>
      </c>
      <c r="C1216" s="105">
        <v>1075.6300048828125</v>
      </c>
      <c r="D1216" s="104">
        <v>1.5590000152587891</v>
      </c>
      <c r="E1216">
        <v>85.302399726712466</v>
      </c>
      <c r="F1216">
        <v>1230.119140625</v>
      </c>
      <c r="G1216" s="14"/>
      <c r="H1216" s="34"/>
      <c r="I1216" s="34"/>
      <c r="J1216" s="34"/>
      <c r="K1216" s="34"/>
      <c r="L1216" s="34"/>
      <c r="N1216" s="34"/>
      <c r="O1216" s="35"/>
      <c r="P1216" s="35"/>
      <c r="Q1216" s="35"/>
      <c r="R1216" s="35"/>
      <c r="S1216" s="74"/>
    </row>
    <row r="1217" spans="1:19" ht="13.5" thickBot="1">
      <c r="A1217" s="103">
        <v>40410</v>
      </c>
      <c r="B1217" s="104">
        <v>2.6284999847412109</v>
      </c>
      <c r="C1217" s="105">
        <v>1071.68994140625</v>
      </c>
      <c r="D1217" s="104">
        <v>1.552899956703186</v>
      </c>
      <c r="E1217">
        <v>85.763291035101915</v>
      </c>
      <c r="F1217">
        <v>1228.1192626953125</v>
      </c>
      <c r="G1217" s="14"/>
      <c r="H1217" s="34"/>
      <c r="I1217" s="34"/>
      <c r="J1217" s="34"/>
      <c r="K1217" s="34"/>
      <c r="L1217" s="34"/>
      <c r="N1217" s="34"/>
      <c r="O1217" s="35"/>
      <c r="P1217" s="35"/>
      <c r="Q1217" s="35"/>
      <c r="R1217" s="35"/>
      <c r="S1217" s="74"/>
    </row>
    <row r="1218" spans="1:19" ht="13.5" thickBot="1">
      <c r="A1218" s="103">
        <v>40413</v>
      </c>
      <c r="B1218" s="104">
        <v>2.6154999732971191</v>
      </c>
      <c r="C1218" s="105">
        <v>1067.3599853515625</v>
      </c>
      <c r="D1218" s="104">
        <v>1.5533000230789185</v>
      </c>
      <c r="E1218">
        <v>85.2805705673006</v>
      </c>
      <c r="F1218">
        <v>1225.135009765625</v>
      </c>
      <c r="G1218" s="14"/>
      <c r="H1218" s="34"/>
      <c r="I1218" s="34"/>
      <c r="J1218" s="34"/>
      <c r="K1218" s="34"/>
      <c r="L1218" s="34"/>
      <c r="N1218" s="34"/>
      <c r="O1218" s="35"/>
      <c r="P1218" s="35"/>
      <c r="Q1218" s="35"/>
      <c r="R1218" s="35"/>
      <c r="S1218" s="74"/>
    </row>
    <row r="1219" spans="1:19" ht="13.5" thickBot="1">
      <c r="A1219" s="103">
        <v>40414</v>
      </c>
      <c r="B1219" s="104">
        <v>2.5174999237060547</v>
      </c>
      <c r="C1219" s="105">
        <v>1051.8699951171875</v>
      </c>
      <c r="D1219" s="104">
        <v>1.5443999767303467</v>
      </c>
      <c r="E1219">
        <v>84.238902798274864</v>
      </c>
      <c r="F1219">
        <v>1230.186279296875</v>
      </c>
      <c r="G1219" s="14"/>
      <c r="H1219" s="34"/>
      <c r="I1219" s="34"/>
      <c r="J1219" s="34"/>
      <c r="K1219" s="34"/>
      <c r="L1219" s="34"/>
      <c r="N1219" s="34"/>
      <c r="O1219" s="35"/>
      <c r="P1219" s="35"/>
      <c r="Q1219" s="35"/>
      <c r="R1219" s="35"/>
      <c r="S1219" s="74"/>
    </row>
    <row r="1220" spans="1:19" ht="13.5" thickBot="1">
      <c r="A1220" s="103">
        <v>40415</v>
      </c>
      <c r="B1220" s="104">
        <v>2.562999963760376</v>
      </c>
      <c r="C1220" s="105">
        <v>1055.3299560546875</v>
      </c>
      <c r="D1220" s="104">
        <v>1.5448000431060791</v>
      </c>
      <c r="E1220">
        <v>84.781685910972826</v>
      </c>
      <c r="F1220">
        <v>1239.28759765625</v>
      </c>
      <c r="G1220" s="14"/>
      <c r="H1220" s="34"/>
      <c r="I1220" s="34"/>
      <c r="J1220" s="34"/>
      <c r="K1220" s="34"/>
      <c r="L1220" s="34"/>
      <c r="N1220" s="34"/>
      <c r="O1220" s="35"/>
      <c r="P1220" s="35"/>
      <c r="Q1220" s="35"/>
      <c r="R1220" s="35"/>
      <c r="S1220" s="74"/>
    </row>
    <row r="1221" spans="1:19" ht="13.5" thickBot="1">
      <c r="A1221" s="103">
        <v>40416</v>
      </c>
      <c r="B1221" s="104">
        <v>2.5044999122619629</v>
      </c>
      <c r="C1221" s="105">
        <v>1047.219970703125</v>
      </c>
      <c r="D1221" s="104">
        <v>1.5525000095367432</v>
      </c>
      <c r="E1221">
        <v>84.338364245068306</v>
      </c>
      <c r="F1221">
        <v>1238.27587890625</v>
      </c>
      <c r="G1221" s="14"/>
      <c r="H1221" s="34"/>
      <c r="I1221" s="34"/>
      <c r="J1221" s="34"/>
      <c r="K1221" s="34"/>
      <c r="L1221" s="34"/>
      <c r="N1221" s="34"/>
      <c r="O1221" s="35"/>
      <c r="P1221" s="35"/>
      <c r="Q1221" s="35"/>
      <c r="R1221" s="35"/>
      <c r="S1221" s="74"/>
    </row>
    <row r="1222" spans="1:19" ht="13.5" thickBot="1">
      <c r="A1222" s="103">
        <v>40417</v>
      </c>
      <c r="B1222" s="104">
        <v>2.6809999942779541</v>
      </c>
      <c r="C1222" s="105">
        <v>1064.5899658203125</v>
      </c>
      <c r="D1222" s="104">
        <v>1.5507999658584595</v>
      </c>
      <c r="E1222">
        <v>85.382515308933193</v>
      </c>
      <c r="F1222">
        <v>1240.27587890625</v>
      </c>
      <c r="G1222" s="14"/>
      <c r="H1222" s="34"/>
      <c r="I1222" s="34"/>
      <c r="J1222" s="34"/>
      <c r="K1222" s="34"/>
      <c r="L1222" s="34"/>
      <c r="N1222" s="34"/>
      <c r="O1222" s="35"/>
      <c r="P1222" s="35"/>
      <c r="Q1222" s="35"/>
      <c r="R1222" s="35"/>
      <c r="S1222" s="74"/>
    </row>
    <row r="1223" spans="1:19" ht="13.5" thickBot="1">
      <c r="A1223" s="103">
        <v>40420</v>
      </c>
      <c r="B1223" s="104">
        <v>2.5559999942779541</v>
      </c>
      <c r="C1223" s="105">
        <v>1048.9200439453125</v>
      </c>
      <c r="D1223" s="104">
        <v>1.5470999479293823</v>
      </c>
      <c r="E1223">
        <v>84.702693372889698</v>
      </c>
      <c r="F1223">
        <v>1237.28564453125</v>
      </c>
      <c r="G1223" s="14"/>
      <c r="H1223" s="34"/>
      <c r="I1223" s="34"/>
      <c r="J1223" s="34"/>
      <c r="K1223" s="34"/>
      <c r="L1223" s="34"/>
      <c r="N1223" s="34"/>
      <c r="O1223" s="35"/>
      <c r="P1223" s="35"/>
      <c r="Q1223" s="35"/>
      <c r="R1223" s="35"/>
      <c r="S1223" s="74"/>
    </row>
    <row r="1224" spans="1:19" ht="13.5" thickBot="1">
      <c r="A1224" s="103">
        <v>40421</v>
      </c>
      <c r="B1224" s="104">
        <v>2.4825000762939453</v>
      </c>
      <c r="C1224" s="105">
        <v>1049.3299560546875</v>
      </c>
      <c r="D1224" s="104">
        <v>1.5336500406265259</v>
      </c>
      <c r="E1224">
        <v>84.068936504783565</v>
      </c>
      <c r="F1224">
        <v>1248.291015625</v>
      </c>
      <c r="G1224" s="14"/>
      <c r="H1224" s="34"/>
      <c r="I1224" s="34"/>
      <c r="J1224" s="34"/>
      <c r="K1224" s="34"/>
      <c r="L1224" s="34"/>
      <c r="N1224" s="34"/>
      <c r="O1224" s="35"/>
      <c r="P1224" s="35"/>
      <c r="Q1224" s="35"/>
      <c r="R1224" s="35"/>
      <c r="S1224" s="74"/>
    </row>
    <row r="1225" spans="1:19" ht="13.5" thickBot="1">
      <c r="A1225" s="103">
        <v>40422</v>
      </c>
      <c r="B1225" s="104">
        <v>2.5845000743865967</v>
      </c>
      <c r="C1225" s="105">
        <v>1080.2900390625</v>
      </c>
      <c r="D1225" s="104">
        <v>1.5446000099182129</v>
      </c>
      <c r="E1225">
        <v>84.480864889225572</v>
      </c>
      <c r="F1225">
        <v>1245.2840576171875</v>
      </c>
      <c r="G1225" s="14"/>
      <c r="H1225" s="34"/>
      <c r="I1225" s="34"/>
      <c r="J1225" s="34"/>
      <c r="K1225" s="34"/>
      <c r="L1225" s="34"/>
      <c r="N1225" s="34"/>
      <c r="O1225" s="35"/>
      <c r="P1225" s="35"/>
      <c r="Q1225" s="35"/>
      <c r="R1225" s="35"/>
      <c r="S1225" s="74"/>
    </row>
    <row r="1226" spans="1:19" ht="13.5" thickBot="1">
      <c r="A1226" s="103">
        <v>40423</v>
      </c>
      <c r="B1226" s="104">
        <v>2.625499963760376</v>
      </c>
      <c r="C1226" s="105">
        <v>1090.0999755859375</v>
      </c>
      <c r="D1226" s="104">
        <v>1.5386999845504761</v>
      </c>
      <c r="E1226">
        <v>84.217621088017594</v>
      </c>
      <c r="F1226">
        <v>1249.318115234375</v>
      </c>
      <c r="G1226" s="14"/>
      <c r="H1226" s="34"/>
      <c r="I1226" s="34"/>
      <c r="J1226" s="34"/>
      <c r="K1226" s="34"/>
      <c r="L1226" s="34"/>
      <c r="N1226" s="34"/>
      <c r="O1226" s="35"/>
      <c r="P1226" s="35"/>
      <c r="Q1226" s="35"/>
      <c r="R1226" s="35"/>
      <c r="S1226" s="74"/>
    </row>
    <row r="1227" spans="1:19" ht="13.5" thickBot="1">
      <c r="A1227" s="103">
        <v>40424</v>
      </c>
      <c r="B1227" s="104">
        <v>2.687000036239624</v>
      </c>
      <c r="C1227" s="105">
        <v>1104.510009765625</v>
      </c>
      <c r="D1227" s="104">
        <v>1.5456000566482544</v>
      </c>
      <c r="E1227">
        <v>84.438067479249511</v>
      </c>
      <c r="F1227">
        <v>1248.818115234375</v>
      </c>
      <c r="G1227" s="14"/>
      <c r="H1227" s="34"/>
      <c r="I1227" s="34"/>
      <c r="J1227" s="34"/>
      <c r="K1227" s="34"/>
      <c r="L1227" s="34"/>
      <c r="N1227" s="34"/>
      <c r="O1227" s="35"/>
      <c r="P1227" s="35"/>
      <c r="Q1227" s="35"/>
      <c r="R1227" s="35"/>
      <c r="S1227" s="74"/>
    </row>
    <row r="1228" spans="1:19" ht="13.5" thickBot="1">
      <c r="A1228" s="103">
        <v>40427</v>
      </c>
      <c r="B1228" s="104">
        <v>2.687000036239624</v>
      </c>
      <c r="C1228" s="105">
        <v>1104.510009765625</v>
      </c>
      <c r="D1228" s="104">
        <v>1.5402499437332153</v>
      </c>
      <c r="E1228">
        <v>84.18217105649488</v>
      </c>
      <c r="F1228">
        <v>1249.333984375</v>
      </c>
      <c r="G1228" s="14"/>
      <c r="H1228" s="34"/>
      <c r="I1228" s="34"/>
      <c r="J1228" s="34"/>
      <c r="K1228" s="34"/>
      <c r="L1228" s="34"/>
      <c r="N1228" s="34"/>
      <c r="O1228" s="35"/>
      <c r="P1228" s="35"/>
      <c r="Q1228" s="35"/>
      <c r="R1228" s="35"/>
      <c r="S1228" s="74"/>
    </row>
    <row r="1229" spans="1:19" ht="13.5" thickBot="1">
      <c r="A1229" s="103">
        <v>40428</v>
      </c>
      <c r="B1229" s="104">
        <v>2.5625</v>
      </c>
      <c r="C1229" s="105">
        <v>1091.8399658203125</v>
      </c>
      <c r="D1229" s="104">
        <v>1.5341999530792236</v>
      </c>
      <c r="E1229">
        <v>83.8012247130074</v>
      </c>
      <c r="F1229">
        <v>1255.333984375</v>
      </c>
      <c r="G1229" s="14"/>
      <c r="H1229" s="34"/>
      <c r="I1229" s="34"/>
      <c r="J1229" s="34"/>
      <c r="K1229" s="34"/>
      <c r="L1229" s="34"/>
      <c r="N1229" s="34"/>
      <c r="O1229" s="35"/>
      <c r="P1229" s="35"/>
      <c r="Q1229" s="35"/>
      <c r="R1229" s="35"/>
      <c r="S1229" s="74"/>
    </row>
    <row r="1230" spans="1:19" ht="13.5" thickBot="1">
      <c r="A1230" s="103">
        <v>40429</v>
      </c>
      <c r="B1230" s="104">
        <v>2.6189999580383301</v>
      </c>
      <c r="C1230" s="105">
        <v>1098.8699951171875</v>
      </c>
      <c r="D1230" s="104">
        <v>1.54830002784729</v>
      </c>
      <c r="E1230">
        <v>83.963057068335701</v>
      </c>
      <c r="F1230">
        <v>1256.3839111328125</v>
      </c>
      <c r="G1230" s="14"/>
      <c r="H1230" s="34"/>
      <c r="I1230" s="34"/>
      <c r="J1230" s="34"/>
      <c r="K1230" s="34"/>
      <c r="L1230" s="34"/>
      <c r="N1230" s="34"/>
      <c r="O1230" s="35"/>
      <c r="P1230" s="35"/>
      <c r="Q1230" s="35"/>
      <c r="R1230" s="35"/>
      <c r="S1230" s="74"/>
    </row>
    <row r="1231" spans="1:19" ht="13.5" thickBot="1">
      <c r="A1231" s="103">
        <v>40430</v>
      </c>
      <c r="B1231" s="104">
        <v>2.7385001182556152</v>
      </c>
      <c r="C1231" s="105">
        <v>1104.1800537109375</v>
      </c>
      <c r="D1231" s="104">
        <v>1.5427999496459961</v>
      </c>
      <c r="E1231">
        <v>83.920775995825778</v>
      </c>
      <c r="F1231">
        <v>1244.418212890625</v>
      </c>
      <c r="G1231" s="14"/>
      <c r="H1231" s="34"/>
      <c r="I1231" s="34"/>
      <c r="J1231" s="34"/>
      <c r="K1231" s="34"/>
      <c r="L1231" s="34"/>
      <c r="N1231" s="34"/>
      <c r="O1231" s="35"/>
      <c r="P1231" s="35"/>
      <c r="Q1231" s="35"/>
      <c r="R1231" s="35"/>
      <c r="S1231" s="74"/>
    </row>
    <row r="1232" spans="1:19" ht="13.5" thickBot="1">
      <c r="A1232" s="103">
        <v>40431</v>
      </c>
      <c r="B1232" s="104">
        <v>2.7774999141693115</v>
      </c>
      <c r="C1232" s="105">
        <v>1109.550048828125</v>
      </c>
      <c r="D1232" s="104">
        <v>1.5351999998092651</v>
      </c>
      <c r="E1232">
        <v>84.139669074496553</v>
      </c>
      <c r="F1232">
        <v>1247.4681396484375</v>
      </c>
      <c r="G1232" s="14"/>
      <c r="H1232" s="34"/>
      <c r="I1232" s="34"/>
      <c r="J1232" s="34"/>
      <c r="K1232" s="34"/>
      <c r="L1232" s="34"/>
      <c r="N1232" s="34"/>
      <c r="O1232" s="35"/>
      <c r="P1232" s="35"/>
      <c r="Q1232" s="35"/>
      <c r="R1232" s="35"/>
      <c r="S1232" s="74"/>
    </row>
    <row r="1233" spans="1:19" ht="13.5" thickBot="1">
      <c r="A1233" s="103">
        <v>40434</v>
      </c>
      <c r="B1233" s="104">
        <v>2.7214999198913574</v>
      </c>
      <c r="C1233" s="105">
        <v>1121.9000244140625</v>
      </c>
      <c r="D1233" s="104">
        <v>1.5406999588012695</v>
      </c>
      <c r="E1233">
        <v>83.640014996505982</v>
      </c>
      <c r="F1233">
        <v>1243.484130859375</v>
      </c>
      <c r="G1233" s="14"/>
      <c r="H1233" s="34"/>
      <c r="I1233" s="34"/>
      <c r="J1233" s="34"/>
      <c r="K1233" s="34"/>
      <c r="L1233" s="34"/>
      <c r="N1233" s="34"/>
      <c r="O1233" s="35"/>
      <c r="P1233" s="35"/>
      <c r="Q1233" s="35"/>
      <c r="R1233" s="35"/>
      <c r="S1233" s="74"/>
    </row>
    <row r="1234" spans="1:19" ht="13.5" thickBot="1">
      <c r="A1234" s="103">
        <v>40435</v>
      </c>
      <c r="B1234" s="104">
        <v>2.6435000896453857</v>
      </c>
      <c r="C1234" s="105">
        <v>1121.0999755859375</v>
      </c>
      <c r="D1234" s="104">
        <v>1.5564999580383301</v>
      </c>
      <c r="E1234">
        <v>83.077180855467432</v>
      </c>
      <c r="F1234">
        <v>1272.082275390625</v>
      </c>
      <c r="G1234" s="14"/>
      <c r="H1234" s="34"/>
      <c r="I1234" s="34"/>
      <c r="J1234" s="34"/>
      <c r="K1234" s="34"/>
      <c r="L1234" s="34"/>
      <c r="N1234" s="34"/>
      <c r="O1234" s="35"/>
      <c r="P1234" s="35"/>
      <c r="Q1234" s="35"/>
      <c r="R1234" s="35"/>
      <c r="S1234" s="74"/>
    </row>
    <row r="1235" spans="1:19" ht="13.5" thickBot="1">
      <c r="A1235" s="103">
        <v>40436</v>
      </c>
      <c r="B1235" s="104">
        <v>2.7109999656677246</v>
      </c>
      <c r="C1235" s="105">
        <v>1125.0699462890625</v>
      </c>
      <c r="D1235" s="104">
        <v>1.5621000528335571</v>
      </c>
      <c r="E1235">
        <v>85.638436434022651</v>
      </c>
      <c r="F1235">
        <v>1265.57958984375</v>
      </c>
      <c r="G1235" s="14"/>
      <c r="H1235" s="34"/>
      <c r="I1235" s="34"/>
      <c r="J1235" s="34"/>
      <c r="K1235" s="34"/>
      <c r="L1235" s="34"/>
      <c r="N1235" s="34"/>
      <c r="O1235" s="35"/>
      <c r="P1235" s="35"/>
      <c r="Q1235" s="35"/>
      <c r="R1235" s="35"/>
      <c r="S1235" s="74"/>
    </row>
    <row r="1236" spans="1:19" ht="13.5" thickBot="1">
      <c r="A1236" s="103">
        <v>40437</v>
      </c>
      <c r="B1236" s="104">
        <v>2.7685000896453857</v>
      </c>
      <c r="C1236" s="105">
        <v>1124.6600341796875</v>
      </c>
      <c r="D1236" s="104">
        <v>1.5640000104904175</v>
      </c>
      <c r="E1236">
        <v>85.778007781312866</v>
      </c>
      <c r="F1236">
        <v>1274.5589599609375</v>
      </c>
      <c r="G1236" s="14"/>
      <c r="H1236" s="34"/>
      <c r="I1236" s="34"/>
      <c r="J1236" s="34"/>
      <c r="K1236" s="34"/>
      <c r="L1236" s="34"/>
      <c r="N1236" s="34"/>
      <c r="O1236" s="35"/>
      <c r="P1236" s="35"/>
      <c r="Q1236" s="35"/>
      <c r="R1236" s="35"/>
      <c r="S1236" s="74"/>
    </row>
    <row r="1237" spans="1:19" ht="13.5" thickBot="1">
      <c r="A1237" s="103">
        <v>40438</v>
      </c>
      <c r="B1237" s="104">
        <v>2.7604999542236328</v>
      </c>
      <c r="C1237" s="105">
        <v>1125.5899658203125</v>
      </c>
      <c r="D1237" s="104">
        <v>1.5621999502182007</v>
      </c>
      <c r="E1237">
        <v>85.800085517067018</v>
      </c>
      <c r="F1237">
        <v>1276.5589599609375</v>
      </c>
      <c r="G1237" s="14"/>
      <c r="H1237" s="34"/>
      <c r="I1237" s="34"/>
      <c r="J1237" s="34"/>
      <c r="K1237" s="34"/>
      <c r="L1237" s="34"/>
      <c r="N1237" s="34"/>
      <c r="O1237" s="35"/>
      <c r="P1237" s="35"/>
      <c r="Q1237" s="35"/>
      <c r="R1237" s="35"/>
      <c r="S1237" s="74"/>
    </row>
    <row r="1238" spans="1:19" ht="13.5" thickBot="1">
      <c r="A1238" s="103">
        <v>40441</v>
      </c>
      <c r="B1238" s="104">
        <v>2.7209999561309814</v>
      </c>
      <c r="C1238" s="105">
        <v>1142.7099609375</v>
      </c>
      <c r="D1238" s="104">
        <v>1.5543999671936035</v>
      </c>
      <c r="E1238">
        <v>85.778007781312866</v>
      </c>
      <c r="F1238">
        <v>1278.580078125</v>
      </c>
      <c r="G1238" s="14"/>
      <c r="H1238" s="34"/>
      <c r="I1238" s="34"/>
      <c r="J1238" s="34"/>
      <c r="K1238" s="34"/>
      <c r="L1238" s="34"/>
      <c r="N1238" s="34"/>
      <c r="O1238" s="35"/>
      <c r="P1238" s="35"/>
      <c r="Q1238" s="35"/>
      <c r="R1238" s="35"/>
      <c r="S1238" s="74"/>
    </row>
    <row r="1239" spans="1:19" ht="13.5" thickBot="1">
      <c r="A1239" s="103">
        <v>40442</v>
      </c>
      <c r="B1239" s="104">
        <v>2.6094999313354492</v>
      </c>
      <c r="C1239" s="105">
        <v>1139.780029296875</v>
      </c>
      <c r="D1239" s="104">
        <v>1.562999963760376</v>
      </c>
      <c r="E1239">
        <v>85.06294579165548</v>
      </c>
      <c r="F1239">
        <v>1274.6302490234375</v>
      </c>
      <c r="G1239" s="14"/>
      <c r="H1239" s="34"/>
      <c r="I1239" s="34"/>
      <c r="J1239" s="34"/>
      <c r="K1239" s="34"/>
      <c r="L1239" s="34"/>
      <c r="N1239" s="34"/>
      <c r="O1239" s="35"/>
      <c r="P1239" s="35"/>
      <c r="Q1239" s="35"/>
      <c r="R1239" s="35"/>
      <c r="S1239" s="74"/>
    </row>
    <row r="1240" spans="1:19" ht="13.5" thickBot="1">
      <c r="A1240" s="103">
        <v>40443</v>
      </c>
      <c r="B1240" s="104">
        <v>2.5864999294281006</v>
      </c>
      <c r="C1240" s="105">
        <v>1134.280029296875</v>
      </c>
      <c r="D1240" s="104">
        <v>1.5670000314712524</v>
      </c>
      <c r="E1240">
        <v>84.55944402893951</v>
      </c>
      <c r="F1240">
        <v>1288.6300048828125</v>
      </c>
      <c r="G1240" s="14"/>
      <c r="H1240" s="34"/>
      <c r="I1240" s="34"/>
      <c r="J1240" s="34"/>
      <c r="K1240" s="34"/>
      <c r="L1240" s="34"/>
      <c r="N1240" s="34"/>
      <c r="O1240" s="35"/>
      <c r="P1240" s="35"/>
      <c r="Q1240" s="35"/>
      <c r="R1240" s="35"/>
      <c r="S1240" s="74"/>
    </row>
    <row r="1241" spans="1:19" ht="13.5" thickBot="1">
      <c r="A1241" s="103">
        <v>40444</v>
      </c>
      <c r="B1241" s="104">
        <v>2.5929999351501465</v>
      </c>
      <c r="C1241" s="105">
        <v>1124.8299560546875</v>
      </c>
      <c r="D1241" s="104">
        <v>1.569599986076355</v>
      </c>
      <c r="E1241">
        <v>84.359707030157438</v>
      </c>
      <c r="F1241">
        <v>1293.6097412109375</v>
      </c>
      <c r="G1241" s="14"/>
      <c r="H1241" s="34"/>
      <c r="I1241" s="34"/>
      <c r="J1241" s="34"/>
      <c r="K1241" s="34"/>
      <c r="L1241" s="34"/>
      <c r="N1241" s="34"/>
      <c r="O1241" s="35"/>
      <c r="P1241" s="35"/>
      <c r="Q1241" s="35"/>
      <c r="R1241" s="35"/>
      <c r="S1241" s="74"/>
    </row>
    <row r="1242" spans="1:19" ht="13.5" thickBot="1">
      <c r="A1242" s="103">
        <v>40445</v>
      </c>
      <c r="B1242" s="104">
        <v>2.6449999809265137</v>
      </c>
      <c r="C1242" s="105">
        <v>1148.6700439453125</v>
      </c>
      <c r="D1242" s="104">
        <v>1.5812000036239624</v>
      </c>
      <c r="E1242">
        <v>84.402431657484584</v>
      </c>
      <c r="F1242">
        <v>1295.6097412109375</v>
      </c>
      <c r="G1242" s="14"/>
      <c r="H1242" s="34"/>
      <c r="I1242" s="34"/>
      <c r="J1242" s="34"/>
      <c r="K1242" s="34"/>
      <c r="L1242" s="34"/>
      <c r="N1242" s="34"/>
      <c r="O1242" s="35"/>
      <c r="P1242" s="35"/>
      <c r="Q1242" s="35"/>
      <c r="R1242" s="35"/>
      <c r="S1242" s="74"/>
    </row>
    <row r="1243" spans="1:19" ht="13.5" thickBot="1">
      <c r="A1243" s="103">
        <v>40448</v>
      </c>
      <c r="B1243" s="104">
        <v>2.5474998950958252</v>
      </c>
      <c r="C1243" s="105">
        <v>1142.1600341796875</v>
      </c>
      <c r="D1243" s="104">
        <v>1.5851999521255493</v>
      </c>
      <c r="E1243">
        <v>84.238902798274864</v>
      </c>
      <c r="F1243">
        <v>1296.6297607421875</v>
      </c>
      <c r="G1243" s="14"/>
      <c r="H1243" s="34"/>
      <c r="I1243" s="34"/>
      <c r="J1243" s="34"/>
      <c r="K1243" s="34"/>
      <c r="L1243" s="34"/>
      <c r="N1243" s="34"/>
      <c r="O1243" s="35"/>
      <c r="P1243" s="35"/>
      <c r="Q1243" s="35"/>
      <c r="R1243" s="35"/>
      <c r="S1243" s="74"/>
    </row>
    <row r="1244" spans="1:19" ht="13.5" thickBot="1">
      <c r="A1244" s="103">
        <v>40449</v>
      </c>
      <c r="B1244" s="104">
        <v>2.4779999256134033</v>
      </c>
      <c r="C1244" s="105">
        <v>1147.699951171875</v>
      </c>
      <c r="D1244" s="104">
        <v>1.5791000127792358</v>
      </c>
      <c r="E1244">
        <v>83.941914489059357</v>
      </c>
      <c r="F1244">
        <v>1306.6796875</v>
      </c>
      <c r="G1244" s="14"/>
      <c r="H1244" s="34"/>
      <c r="I1244" s="34"/>
      <c r="J1244" s="34"/>
      <c r="K1244" s="34"/>
      <c r="L1244" s="34"/>
      <c r="N1244" s="34"/>
      <c r="O1244" s="35"/>
      <c r="P1244" s="35"/>
      <c r="Q1244" s="35"/>
      <c r="R1244" s="35"/>
      <c r="S1244" s="74"/>
    </row>
    <row r="1245" spans="1:19" ht="13.5" thickBot="1">
      <c r="A1245" s="103">
        <v>40450</v>
      </c>
      <c r="B1245" s="104">
        <v>2.5399999618530273</v>
      </c>
      <c r="C1245" s="105">
        <v>1144.72998046875</v>
      </c>
      <c r="D1245" s="104">
        <v>1.5793000459671021</v>
      </c>
      <c r="E1245">
        <v>83.619034773167385</v>
      </c>
      <c r="F1245">
        <v>1311.6795654296875</v>
      </c>
      <c r="G1245" s="14"/>
      <c r="H1245" s="34"/>
      <c r="I1245" s="34"/>
      <c r="J1245" s="34"/>
      <c r="K1245" s="34"/>
      <c r="L1245" s="34"/>
      <c r="N1245" s="34"/>
      <c r="O1245" s="35"/>
      <c r="P1245" s="35"/>
      <c r="Q1245" s="35"/>
      <c r="R1245" s="35"/>
      <c r="S1245" s="74"/>
    </row>
    <row r="1246" spans="1:19" ht="13.5" thickBot="1">
      <c r="A1246" s="103">
        <v>40451</v>
      </c>
      <c r="B1246" s="104">
        <v>2.5704998970031738</v>
      </c>
      <c r="C1246" s="105">
        <v>1141.199951171875</v>
      </c>
      <c r="D1246" s="104">
        <v>1.5715999603271484</v>
      </c>
      <c r="E1246">
        <v>83.402838739664958</v>
      </c>
      <c r="F1246">
        <v>1307.75927734375</v>
      </c>
      <c r="G1246" s="14"/>
      <c r="H1246" s="34"/>
      <c r="I1246" s="34"/>
      <c r="J1246" s="34"/>
      <c r="K1246" s="34"/>
      <c r="L1246" s="34"/>
      <c r="N1246" s="34"/>
      <c r="O1246" s="35"/>
      <c r="P1246" s="35"/>
      <c r="Q1246" s="35"/>
      <c r="R1246" s="35"/>
      <c r="S1246" s="74"/>
    </row>
    <row r="1247" spans="1:19" ht="13.5" thickBot="1">
      <c r="A1247" s="103">
        <v>40452</v>
      </c>
      <c r="B1247" s="104">
        <v>2.5989999771118164</v>
      </c>
      <c r="C1247" s="105">
        <v>1146.239990234375</v>
      </c>
      <c r="D1247" s="104">
        <v>1.583299994468689</v>
      </c>
      <c r="E1247">
        <v>83.361119860267451</v>
      </c>
      <c r="F1247">
        <v>1316.759033203125</v>
      </c>
      <c r="G1247" s="14"/>
      <c r="H1247" s="34"/>
      <c r="I1247" s="34"/>
      <c r="J1247" s="34"/>
      <c r="K1247" s="34"/>
      <c r="L1247" s="34"/>
      <c r="N1247" s="34"/>
      <c r="O1247" s="35"/>
      <c r="P1247" s="35"/>
      <c r="Q1247" s="35"/>
      <c r="R1247" s="35"/>
      <c r="S1247" s="74"/>
    </row>
    <row r="1248" spans="1:19" ht="13.5" thickBot="1">
      <c r="A1248" s="103">
        <v>40455</v>
      </c>
      <c r="B1248" s="104">
        <v>2.5504999160766602</v>
      </c>
      <c r="C1248" s="105">
        <v>1137.030029296875</v>
      </c>
      <c r="D1248" s="104">
        <v>1.583299994468689</v>
      </c>
      <c r="E1248">
        <v>83.381970844082801</v>
      </c>
      <c r="F1248">
        <v>1314.7802734375</v>
      </c>
      <c r="G1248" s="14"/>
      <c r="H1248" s="34"/>
      <c r="I1248" s="34"/>
      <c r="J1248" s="34"/>
      <c r="K1248" s="34"/>
      <c r="L1248" s="34"/>
      <c r="N1248" s="34"/>
      <c r="O1248" s="35"/>
      <c r="P1248" s="35"/>
      <c r="Q1248" s="35"/>
      <c r="R1248" s="35"/>
      <c r="S1248" s="74"/>
    </row>
    <row r="1249" spans="1:19" ht="13.5" thickBot="1">
      <c r="A1249" s="103">
        <v>40456</v>
      </c>
      <c r="B1249" s="104">
        <v>2.5669999122619629</v>
      </c>
      <c r="C1249" s="105">
        <v>1160.75</v>
      </c>
      <c r="D1249" s="104">
        <v>1.5903999805450439</v>
      </c>
      <c r="E1249">
        <v>83.201597358853178</v>
      </c>
      <c r="F1249">
        <v>1337.8798828125</v>
      </c>
      <c r="G1249" s="14"/>
      <c r="H1249" s="34"/>
      <c r="I1249" s="34"/>
      <c r="J1249" s="34"/>
      <c r="K1249" s="34"/>
      <c r="L1249" s="34"/>
      <c r="N1249" s="34"/>
      <c r="O1249" s="35"/>
      <c r="P1249" s="35"/>
      <c r="Q1249" s="35"/>
      <c r="R1249" s="35"/>
      <c r="S1249" s="74"/>
    </row>
    <row r="1250" spans="1:19" ht="13.5" thickBot="1">
      <c r="A1250" s="103">
        <v>40457</v>
      </c>
      <c r="B1250" s="104">
        <v>2.5039999485015869</v>
      </c>
      <c r="C1250" s="105">
        <v>1159.969970703125</v>
      </c>
      <c r="D1250" s="104">
        <v>1.5894999504089355</v>
      </c>
      <c r="E1250">
        <v>82.939372421280382</v>
      </c>
      <c r="F1250">
        <v>1345.8797607421875</v>
      </c>
      <c r="G1250" s="14"/>
      <c r="H1250" s="34"/>
      <c r="I1250" s="34"/>
      <c r="J1250" s="34"/>
      <c r="K1250" s="34"/>
      <c r="L1250" s="34"/>
      <c r="N1250" s="34"/>
      <c r="O1250" s="35"/>
      <c r="P1250" s="35"/>
      <c r="Q1250" s="35"/>
      <c r="R1250" s="35"/>
      <c r="S1250" s="74"/>
    </row>
    <row r="1251" spans="1:19" ht="13.5" thickBot="1">
      <c r="A1251" s="103">
        <v>40458</v>
      </c>
      <c r="B1251" s="104">
        <v>2.4914999008178711</v>
      </c>
      <c r="C1251" s="105">
        <v>1158.06005859375</v>
      </c>
      <c r="D1251" s="104">
        <v>1.5878000259399414</v>
      </c>
      <c r="E1251">
        <v>82.358756169667004</v>
      </c>
      <c r="F1251">
        <v>1334.9100341796875</v>
      </c>
      <c r="G1251" s="14"/>
      <c r="H1251" s="34"/>
      <c r="I1251" s="34"/>
      <c r="J1251" s="34"/>
      <c r="K1251" s="34"/>
      <c r="L1251" s="34"/>
      <c r="N1251" s="34"/>
      <c r="O1251" s="35"/>
      <c r="P1251" s="35"/>
      <c r="Q1251" s="35"/>
      <c r="R1251" s="35"/>
      <c r="S1251" s="74"/>
    </row>
    <row r="1252" spans="1:19" ht="13.5" thickBot="1">
      <c r="A1252" s="103">
        <v>40459</v>
      </c>
      <c r="B1252" s="104">
        <v>2.4879999160766602</v>
      </c>
      <c r="C1252" s="105">
        <v>1165.1500244140625</v>
      </c>
      <c r="D1252" s="104">
        <v>1.5945999622344971</v>
      </c>
      <c r="E1252">
        <v>82.081586851924143</v>
      </c>
      <c r="F1252">
        <v>1345.9095458984375</v>
      </c>
      <c r="G1252" s="14"/>
      <c r="H1252" s="34"/>
      <c r="I1252" s="34"/>
      <c r="J1252" s="34"/>
      <c r="K1252" s="34"/>
      <c r="L1252" s="34"/>
      <c r="N1252" s="34"/>
      <c r="O1252" s="35"/>
      <c r="P1252" s="35"/>
      <c r="Q1252" s="35"/>
      <c r="R1252" s="35"/>
      <c r="S1252" s="74"/>
    </row>
    <row r="1253" spans="1:19" ht="13.5" thickBot="1">
      <c r="A1253" s="103">
        <v>40462</v>
      </c>
      <c r="B1253" s="104">
        <v>2.4879999160766602</v>
      </c>
      <c r="C1253" s="105">
        <v>1165.3199462890625</v>
      </c>
      <c r="D1253" s="104">
        <v>1.5885000228881836</v>
      </c>
      <c r="E1253">
        <v>82.081586851924143</v>
      </c>
      <c r="F1253">
        <v>1347.9798583984375</v>
      </c>
      <c r="G1253" s="14"/>
      <c r="H1253" s="34"/>
      <c r="I1253" s="34"/>
      <c r="J1253" s="34"/>
      <c r="K1253" s="34"/>
      <c r="L1253" s="34"/>
      <c r="N1253" s="34"/>
      <c r="O1253" s="35"/>
      <c r="P1253" s="35"/>
      <c r="Q1253" s="35"/>
      <c r="R1253" s="35"/>
      <c r="S1253" s="74"/>
    </row>
    <row r="1254" spans="1:19" ht="13.5" thickBot="1">
      <c r="A1254" s="103">
        <v>40463</v>
      </c>
      <c r="B1254" s="104">
        <v>2.5065000057220459</v>
      </c>
      <c r="C1254" s="105">
        <v>1169.77001953125</v>
      </c>
      <c r="D1254" s="104">
        <v>1.5778000354766846</v>
      </c>
      <c r="E1254">
        <v>81.879963326647911</v>
      </c>
      <c r="F1254">
        <v>1345.9798583984375</v>
      </c>
      <c r="G1254" s="14"/>
      <c r="H1254" s="34"/>
      <c r="I1254" s="34"/>
      <c r="J1254" s="34"/>
      <c r="K1254" s="34"/>
      <c r="L1254" s="34"/>
      <c r="N1254" s="34"/>
      <c r="O1254" s="35"/>
      <c r="P1254" s="35"/>
      <c r="Q1254" s="35"/>
      <c r="R1254" s="35"/>
      <c r="S1254" s="74"/>
    </row>
    <row r="1255" spans="1:19" ht="13.5" thickBot="1">
      <c r="A1255" s="103">
        <v>40464</v>
      </c>
      <c r="B1255" s="104">
        <v>2.5014998912811279</v>
      </c>
      <c r="C1255" s="105">
        <v>1178.0999755859375</v>
      </c>
      <c r="D1255" s="104">
        <v>1.5893000364303589</v>
      </c>
      <c r="E1255">
        <v>81.779522556277882</v>
      </c>
      <c r="F1255">
        <v>1370.4771728515625</v>
      </c>
      <c r="G1255" s="14"/>
      <c r="H1255" s="34"/>
      <c r="I1255" s="34"/>
      <c r="J1255" s="34"/>
      <c r="K1255" s="34"/>
      <c r="L1255" s="34"/>
      <c r="N1255" s="34"/>
      <c r="O1255" s="35"/>
      <c r="P1255" s="35"/>
      <c r="Q1255" s="35"/>
      <c r="R1255" s="35"/>
      <c r="S1255" s="74"/>
    </row>
    <row r="1256" spans="1:19" ht="13.5" thickBot="1">
      <c r="A1256" s="103">
        <v>40465</v>
      </c>
      <c r="B1256" s="104">
        <v>2.5829999446868896</v>
      </c>
      <c r="C1256" s="105">
        <v>1173.81005859375</v>
      </c>
      <c r="D1256" s="104">
        <v>1.5986000299453735</v>
      </c>
      <c r="E1256">
        <v>81.439855781905933</v>
      </c>
      <c r="F1256">
        <v>1373.9542236328125</v>
      </c>
      <c r="G1256" s="14"/>
      <c r="H1256" s="34"/>
      <c r="I1256" s="34"/>
      <c r="J1256" s="34"/>
      <c r="K1256" s="34"/>
      <c r="L1256" s="34"/>
      <c r="N1256" s="34"/>
      <c r="O1256" s="35"/>
      <c r="P1256" s="35"/>
      <c r="Q1256" s="35"/>
      <c r="R1256" s="35"/>
      <c r="S1256" s="74"/>
    </row>
    <row r="1257" spans="1:19" ht="13.5" thickBot="1">
      <c r="A1257" s="103">
        <v>40466</v>
      </c>
      <c r="B1257" s="104">
        <v>2.6454999446868896</v>
      </c>
      <c r="C1257" s="105">
        <v>1176.18994140625</v>
      </c>
      <c r="D1257" s="104">
        <v>1.5981999635696411</v>
      </c>
      <c r="E1257">
        <v>81.439855781905933</v>
      </c>
      <c r="F1257">
        <v>1369.107421875</v>
      </c>
      <c r="G1257" s="14"/>
      <c r="H1257" s="34"/>
      <c r="I1257" s="34"/>
      <c r="J1257" s="34"/>
      <c r="K1257" s="34"/>
      <c r="L1257" s="34"/>
      <c r="N1257" s="34"/>
      <c r="O1257" s="35"/>
      <c r="P1257" s="35"/>
      <c r="Q1257" s="35"/>
      <c r="R1257" s="35"/>
      <c r="S1257" s="74"/>
    </row>
    <row r="1258" spans="1:19" ht="13.5" thickBot="1">
      <c r="A1258" s="103">
        <v>40469</v>
      </c>
      <c r="B1258" s="104">
        <v>2.559999942779541</v>
      </c>
      <c r="C1258" s="105">
        <v>1184.7099609375</v>
      </c>
      <c r="D1258" s="104">
        <v>1.5937000513076782</v>
      </c>
      <c r="E1258">
        <v>81.221574520671808</v>
      </c>
      <c r="F1258">
        <v>1371.128662109375</v>
      </c>
      <c r="G1258" s="14"/>
      <c r="H1258" s="34"/>
      <c r="I1258" s="34"/>
      <c r="J1258" s="34"/>
      <c r="K1258" s="34"/>
      <c r="L1258" s="34"/>
      <c r="N1258" s="34"/>
      <c r="O1258" s="35"/>
      <c r="P1258" s="35"/>
      <c r="Q1258" s="35"/>
      <c r="R1258" s="35"/>
      <c r="S1258" s="74"/>
    </row>
    <row r="1259" spans="1:19" ht="13.5" thickBot="1">
      <c r="A1259" s="103">
        <v>40470</v>
      </c>
      <c r="B1259" s="104">
        <v>2.5355000495910645</v>
      </c>
      <c r="C1259" s="105">
        <v>1165.9000244140625</v>
      </c>
      <c r="D1259" s="104">
        <v>1.5699000358581543</v>
      </c>
      <c r="E1259">
        <v>81.479673332127788</v>
      </c>
      <c r="F1259">
        <v>1342.2305908203125</v>
      </c>
      <c r="G1259" s="14"/>
      <c r="H1259" s="34"/>
      <c r="I1259" s="34"/>
      <c r="J1259" s="34"/>
      <c r="K1259" s="34"/>
      <c r="L1259" s="34"/>
      <c r="N1259" s="34"/>
      <c r="O1259" s="35"/>
      <c r="P1259" s="35"/>
      <c r="Q1259" s="35"/>
      <c r="R1259" s="35"/>
      <c r="S1259" s="74"/>
    </row>
    <row r="1260" spans="1:19" ht="13.5" thickBot="1">
      <c r="A1260" s="103">
        <v>40471</v>
      </c>
      <c r="B1260" s="104">
        <v>2.5225000381469727</v>
      </c>
      <c r="C1260" s="105">
        <v>1178.1700439453125</v>
      </c>
      <c r="D1260" s="104">
        <v>1.5856000185012817</v>
      </c>
      <c r="E1260">
        <v>81.182008765531108</v>
      </c>
      <c r="F1260">
        <v>1343.4305419921875</v>
      </c>
      <c r="G1260" s="14"/>
      <c r="H1260" s="34"/>
      <c r="I1260" s="34"/>
      <c r="J1260" s="34"/>
      <c r="K1260" s="34"/>
      <c r="L1260" s="34"/>
      <c r="N1260" s="34"/>
      <c r="O1260" s="35"/>
      <c r="P1260" s="35"/>
      <c r="Q1260" s="35"/>
      <c r="R1260" s="35"/>
      <c r="S1260" s="74"/>
    </row>
    <row r="1261" spans="1:19" ht="13.5" thickBot="1">
      <c r="A1261" s="103">
        <v>40472</v>
      </c>
      <c r="B1261" s="104">
        <v>2.5929999351501465</v>
      </c>
      <c r="C1261" s="105">
        <v>1180.260009765625</v>
      </c>
      <c r="D1261" s="104">
        <v>1.5713000297546387</v>
      </c>
      <c r="E1261">
        <v>81.280986288975996</v>
      </c>
      <c r="F1261">
        <v>1322.4117431640625</v>
      </c>
      <c r="G1261" s="14"/>
      <c r="H1261" s="34"/>
      <c r="I1261" s="34"/>
      <c r="J1261" s="34"/>
      <c r="K1261" s="34"/>
      <c r="L1261" s="34"/>
      <c r="N1261" s="34"/>
      <c r="O1261" s="35"/>
      <c r="P1261" s="35"/>
      <c r="Q1261" s="35"/>
      <c r="R1261" s="35"/>
      <c r="S1261" s="74"/>
    </row>
    <row r="1262" spans="1:19" ht="13.5" thickBot="1">
      <c r="A1262" s="103">
        <v>40473</v>
      </c>
      <c r="B1262" s="104">
        <v>2.6284999847412109</v>
      </c>
      <c r="C1262" s="105">
        <v>1183.0799560546875</v>
      </c>
      <c r="D1262" s="104">
        <v>1.5671000480651855</v>
      </c>
      <c r="E1262">
        <v>81.380205454845864</v>
      </c>
      <c r="F1262">
        <v>1323.4617919921875</v>
      </c>
      <c r="G1262" s="14"/>
      <c r="H1262" s="34"/>
      <c r="I1262" s="34"/>
      <c r="J1262" s="34"/>
      <c r="K1262" s="34"/>
      <c r="L1262" s="34"/>
      <c r="N1262" s="34"/>
      <c r="O1262" s="35"/>
      <c r="P1262" s="35"/>
      <c r="Q1262" s="35"/>
      <c r="R1262" s="35"/>
      <c r="S1262" s="74"/>
    </row>
    <row r="1263" spans="1:19" ht="13.5" thickBot="1">
      <c r="A1263" s="103">
        <v>40476</v>
      </c>
      <c r="B1263" s="104">
        <v>2.6319999694824219</v>
      </c>
      <c r="C1263" s="105">
        <v>1185.6199951171875</v>
      </c>
      <c r="D1263" s="104">
        <v>1.5750999450683594</v>
      </c>
      <c r="E1263">
        <v>80.860355005077579</v>
      </c>
      <c r="F1263">
        <v>1335.5806884765625</v>
      </c>
      <c r="G1263" s="14"/>
      <c r="H1263" s="34"/>
      <c r="I1263" s="34"/>
      <c r="J1263" s="34"/>
      <c r="K1263" s="34"/>
      <c r="L1263" s="34"/>
      <c r="N1263" s="34"/>
      <c r="O1263" s="35"/>
      <c r="P1263" s="35"/>
      <c r="Q1263" s="35"/>
      <c r="R1263" s="35"/>
      <c r="S1263" s="74"/>
    </row>
    <row r="1264" spans="1:19" ht="13.5" thickBot="1">
      <c r="A1264" s="103">
        <v>40477</v>
      </c>
      <c r="B1264" s="104">
        <v>2.7235000133514404</v>
      </c>
      <c r="C1264" s="105">
        <v>1185.6400146484375</v>
      </c>
      <c r="D1264" s="104">
        <v>1.5831999778747559</v>
      </c>
      <c r="E1264">
        <v>81.539463426376997</v>
      </c>
      <c r="F1264">
        <v>1338.6307373046875</v>
      </c>
      <c r="G1264" s="14"/>
      <c r="H1264" s="34"/>
      <c r="I1264" s="34"/>
      <c r="J1264" s="34"/>
      <c r="K1264" s="34"/>
      <c r="L1264" s="34"/>
      <c r="N1264" s="34"/>
      <c r="O1264" s="35"/>
      <c r="P1264" s="35"/>
      <c r="Q1264" s="35"/>
      <c r="R1264" s="35"/>
      <c r="S1264" s="74"/>
    </row>
    <row r="1265" spans="1:19" ht="13.5" thickBot="1">
      <c r="A1265" s="103">
        <v>40478</v>
      </c>
      <c r="B1265" s="104">
        <v>2.7985000610351563</v>
      </c>
      <c r="C1265" s="105">
        <v>1182.449951171875</v>
      </c>
      <c r="D1265" s="104">
        <v>1.5763000249862671</v>
      </c>
      <c r="E1265">
        <v>81.719373799933777</v>
      </c>
      <c r="F1265">
        <v>1322.680908203125</v>
      </c>
      <c r="G1265" s="14"/>
      <c r="H1265" s="34"/>
      <c r="I1265" s="34"/>
      <c r="J1265" s="34"/>
      <c r="K1265" s="34"/>
      <c r="L1265" s="34"/>
      <c r="N1265" s="34"/>
      <c r="O1265" s="35"/>
      <c r="P1265" s="35"/>
      <c r="Q1265" s="35"/>
      <c r="R1265" s="35"/>
      <c r="S1265" s="74"/>
    </row>
    <row r="1266" spans="1:19" ht="13.5" thickBot="1">
      <c r="A1266" s="103">
        <v>40479</v>
      </c>
      <c r="B1266" s="104">
        <v>2.7390000820159912</v>
      </c>
      <c r="C1266" s="105">
        <v>1183.780029296875</v>
      </c>
      <c r="D1266" s="104">
        <v>1.5927000045776367</v>
      </c>
      <c r="E1266">
        <v>81.083272002826064</v>
      </c>
      <c r="F1266">
        <v>1341.76123046875</v>
      </c>
      <c r="G1266" s="14"/>
      <c r="H1266" s="34"/>
      <c r="I1266" s="34"/>
      <c r="J1266" s="34"/>
      <c r="K1266" s="34"/>
      <c r="L1266" s="34"/>
      <c r="N1266" s="34"/>
      <c r="O1266" s="35"/>
      <c r="P1266" s="35"/>
      <c r="Q1266" s="35"/>
      <c r="R1266" s="35"/>
      <c r="S1266" s="74"/>
    </row>
    <row r="1267" spans="1:19" ht="13.5" thickBot="1">
      <c r="A1267" s="103">
        <v>40480</v>
      </c>
      <c r="B1267" s="104">
        <v>2.6949999332427979</v>
      </c>
      <c r="C1267" s="105">
        <v>1183.260009765625</v>
      </c>
      <c r="D1267" s="104">
        <v>1.6020499467849731</v>
      </c>
      <c r="E1267">
        <v>80.495852529725596</v>
      </c>
      <c r="F1267">
        <v>1357.9107666015625</v>
      </c>
      <c r="G1267" s="14"/>
      <c r="H1267" s="34"/>
      <c r="I1267" s="34"/>
      <c r="J1267" s="34"/>
      <c r="K1267" s="34"/>
      <c r="L1267" s="34"/>
      <c r="N1267" s="34"/>
      <c r="O1267" s="35"/>
      <c r="P1267" s="35"/>
      <c r="Q1267" s="35"/>
      <c r="R1267" s="35"/>
      <c r="S1267" s="74"/>
    </row>
    <row r="1268" spans="1:19" ht="13.5" thickBot="1">
      <c r="A1268" s="103">
        <v>40483</v>
      </c>
      <c r="B1268" s="104">
        <v>2.7155001163482666</v>
      </c>
      <c r="C1268" s="105">
        <v>1184.3800048828125</v>
      </c>
      <c r="D1268" s="104">
        <v>1.6032999753952026</v>
      </c>
      <c r="E1268">
        <v>80.560704068776076</v>
      </c>
      <c r="F1268">
        <v>1353.930419921875</v>
      </c>
      <c r="G1268" s="14"/>
      <c r="H1268" s="34"/>
      <c r="I1268" s="34"/>
      <c r="J1268" s="34"/>
      <c r="K1268" s="34"/>
      <c r="L1268" s="34"/>
      <c r="N1268" s="34"/>
      <c r="O1268" s="35"/>
      <c r="P1268" s="35"/>
      <c r="Q1268" s="35"/>
      <c r="R1268" s="35"/>
      <c r="S1268" s="74"/>
    </row>
    <row r="1269" spans="1:19" ht="13.5" thickBot="1">
      <c r="A1269" s="103">
        <v>40484</v>
      </c>
      <c r="B1269" s="104">
        <v>2.6949999332427979</v>
      </c>
      <c r="C1269" s="105">
        <v>1193.5699462890625</v>
      </c>
      <c r="D1269" s="104">
        <v>1.6023999452590942</v>
      </c>
      <c r="E1269">
        <v>80.677692063208212</v>
      </c>
      <c r="F1269">
        <v>1351.9305419921875</v>
      </c>
      <c r="G1269" s="14"/>
      <c r="H1269" s="34"/>
      <c r="I1269" s="34"/>
      <c r="J1269" s="34"/>
      <c r="K1269" s="34"/>
      <c r="L1269" s="34"/>
      <c r="N1269" s="34"/>
      <c r="O1269" s="35"/>
      <c r="P1269" s="35"/>
      <c r="Q1269" s="35"/>
      <c r="R1269" s="35"/>
      <c r="S1269" s="74"/>
    </row>
    <row r="1270" spans="1:19" ht="13.5" thickBot="1">
      <c r="A1270" s="103">
        <v>40485</v>
      </c>
      <c r="B1270" s="104">
        <v>2.7179999351501465</v>
      </c>
      <c r="C1270" s="105">
        <v>1197.9599609375</v>
      </c>
      <c r="D1270" s="104">
        <v>1.6109999418258667</v>
      </c>
      <c r="E1270">
        <v>81.30081568716767</v>
      </c>
      <c r="F1270">
        <v>1337.931396484375</v>
      </c>
      <c r="G1270" s="14"/>
      <c r="H1270" s="34"/>
      <c r="I1270" s="34"/>
      <c r="J1270" s="34"/>
      <c r="K1270" s="34"/>
      <c r="L1270" s="34"/>
      <c r="N1270" s="34"/>
      <c r="O1270" s="35"/>
      <c r="P1270" s="35"/>
      <c r="Q1270" s="35"/>
      <c r="R1270" s="35"/>
      <c r="S1270" s="74"/>
    </row>
    <row r="1271" spans="1:19" ht="13.5" thickBot="1">
      <c r="A1271" s="103">
        <v>40486</v>
      </c>
      <c r="B1271" s="104">
        <v>2.622499942779541</v>
      </c>
      <c r="C1271" s="105">
        <v>1221.06005859375</v>
      </c>
      <c r="D1271" s="104">
        <v>1.6283999681472778</v>
      </c>
      <c r="E1271">
        <v>80.677692063208212</v>
      </c>
      <c r="F1271">
        <v>1377.9117431640625</v>
      </c>
      <c r="G1271" s="14"/>
      <c r="H1271" s="34"/>
      <c r="I1271" s="34"/>
      <c r="J1271" s="34"/>
      <c r="K1271" s="34"/>
      <c r="L1271" s="34"/>
      <c r="N1271" s="34"/>
      <c r="O1271" s="35"/>
      <c r="P1271" s="35"/>
      <c r="Q1271" s="35"/>
      <c r="R1271" s="35"/>
      <c r="S1271" s="74"/>
    </row>
    <row r="1272" spans="1:19" ht="13.5" thickBot="1">
      <c r="A1272" s="103">
        <v>40487</v>
      </c>
      <c r="B1272" s="104">
        <v>2.6684999465942383</v>
      </c>
      <c r="C1272" s="105">
        <v>1225.8499755859375</v>
      </c>
      <c r="D1272" s="104">
        <v>1.6189999580383301</v>
      </c>
      <c r="E1272">
        <v>81.340491199554691</v>
      </c>
      <c r="F1272">
        <v>1391.9112548828125</v>
      </c>
      <c r="G1272" s="14"/>
      <c r="H1272" s="34"/>
      <c r="I1272" s="34"/>
      <c r="J1272" s="34"/>
      <c r="K1272" s="34"/>
      <c r="L1272" s="34"/>
      <c r="N1272" s="34"/>
      <c r="O1272" s="35"/>
      <c r="P1272" s="35"/>
      <c r="Q1272" s="35"/>
      <c r="R1272" s="35"/>
      <c r="S1272" s="74"/>
    </row>
    <row r="1273" spans="1:19" ht="13.5" thickBot="1">
      <c r="A1273" s="103">
        <v>40490</v>
      </c>
      <c r="B1273" s="104">
        <v>2.6989998817443848</v>
      </c>
      <c r="C1273" s="105">
        <v>1223.25</v>
      </c>
      <c r="D1273" s="104">
        <v>1.6131999492645264</v>
      </c>
      <c r="E1273">
        <v>81.201783753030952</v>
      </c>
      <c r="F1273">
        <v>1404.030517578125</v>
      </c>
      <c r="G1273" s="14"/>
      <c r="H1273" s="34"/>
      <c r="I1273" s="34"/>
      <c r="J1273" s="34"/>
      <c r="K1273" s="34"/>
      <c r="L1273" s="34"/>
      <c r="N1273" s="34"/>
      <c r="O1273" s="35"/>
      <c r="P1273" s="35"/>
      <c r="Q1273" s="35"/>
      <c r="R1273" s="35"/>
      <c r="S1273" s="74"/>
    </row>
    <row r="1274" spans="1:19" ht="13.5" thickBot="1">
      <c r="A1274" s="103">
        <v>40491</v>
      </c>
      <c r="B1274" s="104">
        <v>2.8359999656677246</v>
      </c>
      <c r="C1274" s="105">
        <v>1213.4000244140625</v>
      </c>
      <c r="D1274" s="104">
        <v>1.6033999919891357</v>
      </c>
      <c r="E1274">
        <v>81.639315025914925</v>
      </c>
      <c r="F1274">
        <v>1407.0811767578125</v>
      </c>
      <c r="G1274" s="14"/>
      <c r="H1274" s="34"/>
      <c r="I1274" s="34"/>
      <c r="J1274" s="34"/>
      <c r="K1274" s="34"/>
      <c r="L1274" s="34"/>
      <c r="N1274" s="34"/>
      <c r="O1274" s="35"/>
      <c r="P1274" s="35"/>
      <c r="Q1274" s="35"/>
      <c r="R1274" s="35"/>
      <c r="S1274" s="74"/>
    </row>
    <row r="1275" spans="1:19" ht="13.5" thickBot="1">
      <c r="A1275" s="103">
        <v>40492</v>
      </c>
      <c r="B1275" s="104">
        <v>2.807499885559082</v>
      </c>
      <c r="C1275" s="105">
        <v>1218.7099609375</v>
      </c>
      <c r="D1275" s="104">
        <v>1.611799955368042</v>
      </c>
      <c r="E1275">
        <v>82.142270194778305</v>
      </c>
      <c r="F1275">
        <v>1399.081298828125</v>
      </c>
      <c r="G1275" s="14"/>
      <c r="H1275" s="34"/>
      <c r="I1275" s="34"/>
      <c r="J1275" s="34"/>
      <c r="K1275" s="34"/>
      <c r="L1275" s="34"/>
      <c r="N1275" s="34"/>
      <c r="O1275" s="35"/>
      <c r="P1275" s="35"/>
      <c r="Q1275" s="35"/>
      <c r="R1275" s="35"/>
      <c r="S1275" s="74"/>
    </row>
    <row r="1276" spans="1:19" ht="13.5" thickBot="1">
      <c r="A1276" s="103">
        <v>40493</v>
      </c>
      <c r="B1276" s="104">
        <v>2.807499885559082</v>
      </c>
      <c r="C1276" s="105">
        <v>1213.5400390625</v>
      </c>
      <c r="D1276" s="104">
        <v>1.6110999584197998</v>
      </c>
      <c r="E1276">
        <v>82.440232890536663</v>
      </c>
      <c r="F1276">
        <v>1405.1640625</v>
      </c>
      <c r="G1276" s="14"/>
      <c r="H1276" s="34"/>
      <c r="I1276" s="34"/>
      <c r="J1276" s="34"/>
      <c r="K1276" s="34"/>
      <c r="L1276" s="34"/>
      <c r="N1276" s="34"/>
      <c r="O1276" s="35"/>
      <c r="P1276" s="35"/>
      <c r="Q1276" s="35"/>
      <c r="R1276" s="35"/>
      <c r="S1276" s="74"/>
    </row>
    <row r="1277" spans="1:19" ht="13.5" thickBot="1">
      <c r="A1277" s="103">
        <v>40494</v>
      </c>
      <c r="B1277" s="104">
        <v>2.8984999656677246</v>
      </c>
      <c r="C1277" s="105">
        <v>1199.2099609375</v>
      </c>
      <c r="D1277" s="104">
        <v>1.6141999959945679</v>
      </c>
      <c r="E1277">
        <v>82.440232890536663</v>
      </c>
      <c r="F1277">
        <v>1369.2650146484375</v>
      </c>
      <c r="G1277" s="14"/>
      <c r="H1277" s="34"/>
      <c r="I1277" s="34"/>
      <c r="J1277" s="34"/>
      <c r="K1277" s="34"/>
      <c r="L1277" s="34"/>
      <c r="N1277" s="34"/>
      <c r="O1277" s="35"/>
      <c r="P1277" s="35"/>
      <c r="Q1277" s="35"/>
      <c r="R1277" s="35"/>
      <c r="S1277" s="74"/>
    </row>
    <row r="1278" spans="1:19" ht="13.5" thickBot="1">
      <c r="A1278" s="103">
        <v>40497</v>
      </c>
      <c r="B1278" s="104">
        <v>3.0360000133514404</v>
      </c>
      <c r="C1278" s="105">
        <v>1197.75</v>
      </c>
      <c r="D1278" s="104">
        <v>1.6066000461578369</v>
      </c>
      <c r="E1278">
        <v>83.063376194748599</v>
      </c>
      <c r="F1278">
        <v>1375.3824462890625</v>
      </c>
      <c r="G1278" s="14"/>
      <c r="H1278" s="34"/>
      <c r="I1278" s="34"/>
      <c r="J1278" s="34"/>
      <c r="K1278" s="34"/>
      <c r="L1278" s="34"/>
      <c r="N1278" s="34"/>
      <c r="O1278" s="35"/>
      <c r="P1278" s="35"/>
      <c r="Q1278" s="35"/>
      <c r="R1278" s="35"/>
      <c r="S1278" s="74"/>
    </row>
    <row r="1279" spans="1:19" ht="13.5" thickBot="1">
      <c r="A1279" s="103">
        <v>40498</v>
      </c>
      <c r="B1279" s="104">
        <v>3.002000093460083</v>
      </c>
      <c r="C1279" s="105">
        <v>1178.3399658203125</v>
      </c>
      <c r="D1279" s="104">
        <v>1.5880000591278076</v>
      </c>
      <c r="E1279">
        <v>83.298622969214534</v>
      </c>
      <c r="F1279">
        <v>1334.3829345703125</v>
      </c>
      <c r="G1279" s="14"/>
      <c r="H1279" s="34"/>
      <c r="I1279" s="34"/>
      <c r="J1279" s="34"/>
      <c r="K1279" s="34"/>
      <c r="L1279" s="34"/>
      <c r="N1279" s="34"/>
      <c r="O1279" s="35"/>
      <c r="P1279" s="35"/>
      <c r="Q1279" s="35"/>
      <c r="R1279" s="35"/>
      <c r="S1279" s="74"/>
    </row>
    <row r="1280" spans="1:19" ht="13.5" thickBot="1">
      <c r="A1280" s="103">
        <v>40499</v>
      </c>
      <c r="B1280" s="104">
        <v>3.0209999084472656</v>
      </c>
      <c r="C1280" s="105">
        <v>1178.5899658203125</v>
      </c>
      <c r="D1280" s="104">
        <v>1.589900016784668</v>
      </c>
      <c r="E1280">
        <v>83.257014713749157</v>
      </c>
      <c r="F1280">
        <v>1339.3829345703125</v>
      </c>
      <c r="G1280" s="14"/>
      <c r="H1280" s="34"/>
      <c r="I1280" s="34"/>
      <c r="J1280" s="34"/>
      <c r="K1280" s="34"/>
      <c r="L1280" s="34"/>
      <c r="N1280" s="34"/>
      <c r="O1280" s="35"/>
      <c r="P1280" s="35"/>
      <c r="Q1280" s="35"/>
      <c r="R1280" s="35"/>
      <c r="S1280" s="74"/>
    </row>
    <row r="1281" spans="1:19" ht="13.5" thickBot="1">
      <c r="A1281" s="103">
        <v>40500</v>
      </c>
      <c r="B1281" s="104">
        <v>3.0469999313354492</v>
      </c>
      <c r="C1281" s="105">
        <v>1196.68994140625</v>
      </c>
      <c r="D1281" s="104">
        <v>1.604699969291687</v>
      </c>
      <c r="E1281">
        <v>83.43762881935497</v>
      </c>
      <c r="F1281">
        <v>1351.365478515625</v>
      </c>
      <c r="G1281" s="14"/>
      <c r="H1281" s="34"/>
      <c r="I1281" s="34"/>
      <c r="J1281" s="34"/>
      <c r="K1281" s="34"/>
      <c r="L1281" s="34"/>
      <c r="N1281" s="34"/>
      <c r="O1281" s="35"/>
      <c r="P1281" s="35"/>
      <c r="Q1281" s="35"/>
      <c r="R1281" s="35"/>
      <c r="S1281" s="74"/>
    </row>
    <row r="1282" spans="1:19" ht="13.5" thickBot="1">
      <c r="A1282" s="103">
        <v>40501</v>
      </c>
      <c r="B1282" s="104">
        <v>3.0325000286102295</v>
      </c>
      <c r="C1282" s="105">
        <v>1199.72998046875</v>
      </c>
      <c r="D1282" s="104">
        <v>1.5973999500274658</v>
      </c>
      <c r="E1282">
        <v>83.521255242043907</v>
      </c>
      <c r="F1282">
        <v>1350.365478515625</v>
      </c>
      <c r="G1282" s="14"/>
      <c r="H1282" s="34"/>
      <c r="I1282" s="34"/>
      <c r="J1282" s="34"/>
      <c r="K1282" s="34"/>
      <c r="L1282" s="34"/>
      <c r="N1282" s="34"/>
      <c r="O1282" s="35"/>
      <c r="P1282" s="35"/>
      <c r="Q1282" s="35"/>
      <c r="R1282" s="35"/>
      <c r="S1282" s="74"/>
    </row>
    <row r="1283" spans="1:19" ht="13.5" thickBot="1">
      <c r="A1283" s="103">
        <v>40504</v>
      </c>
      <c r="B1283" s="104">
        <v>2.9560000896453857</v>
      </c>
      <c r="C1283" s="105">
        <v>1197.8399658203125</v>
      </c>
      <c r="D1283" s="104">
        <v>1.5945999622344971</v>
      </c>
      <c r="E1283">
        <v>83.298622969214534</v>
      </c>
      <c r="F1283">
        <v>1353.3826904296875</v>
      </c>
      <c r="G1283" s="14"/>
      <c r="H1283" s="34"/>
      <c r="I1283" s="34"/>
      <c r="J1283" s="34"/>
      <c r="K1283" s="34"/>
      <c r="L1283" s="34"/>
      <c r="N1283" s="34"/>
      <c r="O1283" s="35"/>
      <c r="P1283" s="35"/>
      <c r="Q1283" s="35"/>
      <c r="R1283" s="35"/>
      <c r="S1283" s="74"/>
    </row>
    <row r="1284" spans="1:19" ht="13.5" thickBot="1">
      <c r="A1284" s="103">
        <v>40505</v>
      </c>
      <c r="B1284" s="104">
        <v>2.8954999446868896</v>
      </c>
      <c r="C1284" s="105">
        <v>1180.72998046875</v>
      </c>
      <c r="D1284" s="104">
        <v>1.5779999494552612</v>
      </c>
      <c r="E1284">
        <v>83.201597358853178</v>
      </c>
      <c r="F1284">
        <v>1374.432373046875</v>
      </c>
      <c r="G1284" s="14"/>
      <c r="H1284" s="34"/>
      <c r="I1284" s="34"/>
      <c r="J1284" s="34"/>
      <c r="K1284" s="34"/>
      <c r="L1284" s="34"/>
      <c r="N1284" s="34"/>
      <c r="O1284" s="35"/>
      <c r="P1284" s="35"/>
      <c r="Q1284" s="35"/>
      <c r="R1284" s="35"/>
      <c r="S1284" s="74"/>
    </row>
    <row r="1285" spans="1:19" ht="13.5" thickBot="1">
      <c r="A1285" s="103">
        <v>40506</v>
      </c>
      <c r="B1285" s="104">
        <v>3.0520000457763672</v>
      </c>
      <c r="C1285" s="105">
        <v>1198.3499755859375</v>
      </c>
      <c r="D1285" s="104">
        <v>1.5763000249862671</v>
      </c>
      <c r="E1285">
        <v>83.619034773167385</v>
      </c>
      <c r="F1285">
        <v>1373.482421875</v>
      </c>
      <c r="G1285" s="14"/>
      <c r="H1285" s="34"/>
      <c r="I1285" s="34"/>
      <c r="J1285" s="34"/>
      <c r="K1285" s="34"/>
      <c r="L1285" s="34"/>
      <c r="N1285" s="34"/>
      <c r="O1285" s="35"/>
      <c r="P1285" s="35"/>
      <c r="Q1285" s="35"/>
      <c r="R1285" s="35"/>
      <c r="S1285" s="74"/>
    </row>
    <row r="1286" spans="1:19" ht="13.5" thickBot="1">
      <c r="A1286" s="103">
        <v>40507</v>
      </c>
      <c r="B1286" s="104">
        <v>3.0520000457763672</v>
      </c>
      <c r="C1286" s="105">
        <v>1198.3499755859375</v>
      </c>
      <c r="D1286" s="104">
        <v>1.5760749578475952</v>
      </c>
      <c r="E1286">
        <v>83.626022669347392</v>
      </c>
      <c r="F1286">
        <v>1371.4649658203125</v>
      </c>
      <c r="G1286" s="14"/>
      <c r="H1286" s="34"/>
      <c r="I1286" s="34"/>
      <c r="J1286" s="34"/>
      <c r="K1286" s="34"/>
      <c r="L1286" s="34"/>
      <c r="N1286" s="34"/>
      <c r="O1286" s="35"/>
      <c r="P1286" s="35"/>
      <c r="Q1286" s="35"/>
      <c r="R1286" s="35"/>
      <c r="S1286" s="74"/>
    </row>
    <row r="1287" spans="1:19" ht="13.5" thickBot="1">
      <c r="A1287" s="103">
        <v>40508</v>
      </c>
      <c r="B1287" s="104">
        <v>3.0179998874664307</v>
      </c>
      <c r="C1287" s="105">
        <v>1189.4000244140625</v>
      </c>
      <c r="D1287" s="104">
        <v>1.5601999759674072</v>
      </c>
      <c r="E1287">
        <v>84.040675448759103</v>
      </c>
      <c r="F1287">
        <v>1356.4774169921875</v>
      </c>
      <c r="G1287" s="14"/>
      <c r="H1287" s="34"/>
      <c r="I1287" s="34"/>
      <c r="J1287" s="34"/>
      <c r="K1287" s="34"/>
      <c r="L1287" s="34"/>
      <c r="N1287" s="34"/>
      <c r="O1287" s="35"/>
      <c r="P1287" s="35"/>
      <c r="Q1287" s="35"/>
      <c r="R1287" s="35"/>
      <c r="S1287" s="74"/>
    </row>
    <row r="1288" spans="1:19" ht="13.5" thickBot="1">
      <c r="A1288" s="103">
        <v>40511</v>
      </c>
      <c r="B1288" s="104">
        <v>2.9719998836517334</v>
      </c>
      <c r="C1288" s="105">
        <v>1187.760009765625</v>
      </c>
      <c r="D1288" s="104">
        <v>1.5565999746322632</v>
      </c>
      <c r="E1288">
        <v>84.26019526698542</v>
      </c>
      <c r="F1288">
        <v>1365.7469482421875</v>
      </c>
      <c r="G1288" s="14"/>
      <c r="H1288" s="34"/>
      <c r="I1288" s="34"/>
      <c r="J1288" s="34"/>
      <c r="K1288" s="34"/>
      <c r="L1288" s="34"/>
      <c r="N1288" s="34"/>
      <c r="O1288" s="35"/>
      <c r="P1288" s="35"/>
      <c r="Q1288" s="35"/>
      <c r="R1288" s="35"/>
      <c r="S1288" s="74"/>
    </row>
    <row r="1289" spans="1:19" ht="13.5" thickBot="1">
      <c r="A1289" s="103">
        <v>40512</v>
      </c>
      <c r="B1289" s="104">
        <v>2.9500000476837158</v>
      </c>
      <c r="C1289" s="105">
        <v>1180.550048828125</v>
      </c>
      <c r="D1289" s="104">
        <v>1.5569499731063843</v>
      </c>
      <c r="E1289">
        <v>83.640014996505982</v>
      </c>
      <c r="F1289">
        <v>1387.6136474609375</v>
      </c>
      <c r="G1289" s="14"/>
      <c r="H1289" s="34"/>
      <c r="I1289" s="34"/>
      <c r="J1289" s="34"/>
      <c r="K1289" s="34"/>
      <c r="L1289" s="34"/>
      <c r="N1289" s="34"/>
      <c r="O1289" s="35"/>
      <c r="P1289" s="35"/>
      <c r="Q1289" s="35"/>
      <c r="R1289" s="35"/>
      <c r="S1289" s="74"/>
    </row>
    <row r="1290" spans="1:19" ht="13.5" thickBot="1">
      <c r="A1290" s="103">
        <v>40513</v>
      </c>
      <c r="B1290" s="104">
        <v>3.1319999694824219</v>
      </c>
      <c r="C1290" s="105">
        <v>1206.0699462890625</v>
      </c>
      <c r="D1290" s="104">
        <v>1.5619000196456909</v>
      </c>
      <c r="E1290">
        <v>84.203434851884737</v>
      </c>
      <c r="F1290">
        <v>1390.81494140625</v>
      </c>
      <c r="G1290" s="14"/>
      <c r="H1290" s="34"/>
      <c r="I1290" s="34"/>
      <c r="J1290" s="34"/>
      <c r="K1290" s="34"/>
      <c r="L1290" s="34"/>
      <c r="N1290" s="34"/>
      <c r="O1290" s="35"/>
      <c r="P1290" s="35"/>
      <c r="Q1290" s="35"/>
      <c r="R1290" s="35"/>
      <c r="S1290" s="74"/>
    </row>
    <row r="1291" spans="1:19" ht="13.5" thickBot="1">
      <c r="A1291" s="103">
        <v>40514</v>
      </c>
      <c r="B1291" s="104">
        <v>3.1684999465942383</v>
      </c>
      <c r="C1291" s="105">
        <v>1221.530029296875</v>
      </c>
      <c r="D1291" s="104">
        <v>1.5583000183105469</v>
      </c>
      <c r="E1291">
        <v>83.941914489059357</v>
      </c>
      <c r="F1291">
        <v>1397.795654296875</v>
      </c>
      <c r="G1291" s="14"/>
      <c r="H1291" s="34"/>
      <c r="I1291" s="34"/>
      <c r="J1291" s="34"/>
      <c r="K1291" s="34"/>
      <c r="L1291" s="34"/>
      <c r="N1291" s="34"/>
      <c r="O1291" s="35"/>
      <c r="P1291" s="35"/>
      <c r="Q1291" s="35"/>
      <c r="R1291" s="35"/>
      <c r="S1291" s="74"/>
    </row>
    <row r="1292" spans="1:19" ht="13.5" thickBot="1">
      <c r="A1292" s="103">
        <v>40515</v>
      </c>
      <c r="B1292" s="104">
        <v>3.1749999523162842</v>
      </c>
      <c r="C1292" s="105">
        <v>1224.7099609375</v>
      </c>
      <c r="D1292" s="104">
        <v>1.5746999979019165</v>
      </c>
      <c r="E1292">
        <v>82.898115799300641</v>
      </c>
      <c r="F1292">
        <v>1405.84619140625</v>
      </c>
      <c r="G1292" s="14"/>
      <c r="H1292" s="34"/>
      <c r="I1292" s="34"/>
      <c r="J1292" s="34"/>
      <c r="K1292" s="34"/>
      <c r="L1292" s="34"/>
      <c r="N1292" s="34"/>
      <c r="O1292" s="35"/>
      <c r="P1292" s="35"/>
      <c r="Q1292" s="35"/>
      <c r="R1292" s="35"/>
      <c r="S1292" s="74"/>
    </row>
    <row r="1293" spans="1:19" ht="13.5" thickBot="1">
      <c r="A1293" s="103">
        <v>40518</v>
      </c>
      <c r="B1293" s="104">
        <v>3.0945000648498535</v>
      </c>
      <c r="C1293" s="105">
        <v>1223.1199951171875</v>
      </c>
      <c r="D1293" s="104">
        <v>1.5717999935150146</v>
      </c>
      <c r="E1293">
        <v>82.596846472620484</v>
      </c>
      <c r="F1293">
        <v>1414.97265625</v>
      </c>
      <c r="G1293" s="14"/>
      <c r="H1293" s="34"/>
      <c r="I1293" s="34"/>
      <c r="J1293" s="34"/>
      <c r="K1293" s="34"/>
      <c r="L1293" s="34"/>
      <c r="N1293" s="34"/>
      <c r="O1293" s="35"/>
      <c r="P1293" s="35"/>
      <c r="Q1293" s="35"/>
      <c r="R1293" s="35"/>
      <c r="S1293" s="74"/>
    </row>
    <row r="1294" spans="1:19" ht="13.5" thickBot="1">
      <c r="A1294" s="103">
        <v>40519</v>
      </c>
      <c r="B1294" s="104">
        <v>3.3259999752044678</v>
      </c>
      <c r="C1294" s="105">
        <v>1223.75</v>
      </c>
      <c r="D1294" s="104">
        <v>1.5765999555587769</v>
      </c>
      <c r="E1294">
        <v>83.458518099657425</v>
      </c>
      <c r="F1294">
        <v>1407.9727783203125</v>
      </c>
      <c r="G1294" s="14"/>
      <c r="H1294" s="34"/>
      <c r="I1294" s="34"/>
      <c r="J1294" s="34"/>
      <c r="K1294" s="34"/>
      <c r="L1294" s="34"/>
      <c r="N1294" s="34"/>
      <c r="O1294" s="35"/>
      <c r="P1294" s="35"/>
      <c r="Q1294" s="35"/>
      <c r="R1294" s="35"/>
      <c r="S1294" s="74"/>
    </row>
    <row r="1295" spans="1:19" ht="13.5" thickBot="1">
      <c r="A1295" s="103">
        <v>40520</v>
      </c>
      <c r="B1295" s="104">
        <v>3.3570001125335693</v>
      </c>
      <c r="C1295" s="105">
        <v>1228.280029296875</v>
      </c>
      <c r="D1295" s="104">
        <v>1.5803999900817871</v>
      </c>
      <c r="E1295">
        <v>84.019493766469026</v>
      </c>
      <c r="F1295">
        <v>1382.2232666015625</v>
      </c>
      <c r="G1295" s="14"/>
      <c r="H1295" s="34"/>
      <c r="I1295" s="34"/>
      <c r="J1295" s="34"/>
      <c r="K1295" s="34"/>
      <c r="L1295" s="34"/>
      <c r="N1295" s="34"/>
      <c r="O1295" s="35"/>
      <c r="P1295" s="35"/>
      <c r="Q1295" s="35"/>
      <c r="R1295" s="35"/>
      <c r="S1295" s="74"/>
    </row>
    <row r="1296" spans="1:19" ht="13.5" thickBot="1">
      <c r="A1296" s="103">
        <v>40521</v>
      </c>
      <c r="B1296" s="104">
        <v>3.3180000782012939</v>
      </c>
      <c r="C1296" s="105">
        <v>1233</v>
      </c>
      <c r="D1296" s="104">
        <v>1.5752999782562256</v>
      </c>
      <c r="E1296">
        <v>83.682007042980729</v>
      </c>
      <c r="F1296">
        <v>1391.795654296875</v>
      </c>
      <c r="G1296" s="14"/>
      <c r="H1296" s="34"/>
      <c r="I1296" s="34"/>
      <c r="J1296" s="34"/>
      <c r="K1296" s="34"/>
      <c r="L1296" s="34"/>
      <c r="N1296" s="34"/>
      <c r="O1296" s="35"/>
      <c r="P1296" s="35"/>
      <c r="Q1296" s="35"/>
      <c r="R1296" s="35"/>
      <c r="S1296" s="74"/>
    </row>
    <row r="1297" spans="1:19" ht="13.5" thickBot="1">
      <c r="A1297" s="103">
        <v>40522</v>
      </c>
      <c r="B1297" s="104">
        <v>3.3989999294281006</v>
      </c>
      <c r="C1297" s="105">
        <v>1240.4000244140625</v>
      </c>
      <c r="D1297" s="104">
        <v>1.5801000595092773</v>
      </c>
      <c r="E1297">
        <v>83.899654701944357</v>
      </c>
      <c r="F1297">
        <v>1383.9974365234375</v>
      </c>
      <c r="G1297" s="14"/>
      <c r="H1297" s="34"/>
      <c r="I1297" s="34"/>
      <c r="J1297" s="34"/>
      <c r="K1297" s="34"/>
      <c r="L1297" s="34"/>
      <c r="N1297" s="34"/>
      <c r="O1297" s="35"/>
      <c r="P1297" s="35"/>
      <c r="Q1297" s="35"/>
      <c r="R1297" s="35"/>
      <c r="S1297" s="74"/>
    </row>
    <row r="1298" spans="1:19" ht="13.5" thickBot="1">
      <c r="A1298" s="103">
        <v>40525</v>
      </c>
      <c r="B1298" s="104">
        <v>3.3835000991821289</v>
      </c>
      <c r="C1298" s="105">
        <v>1240.4599609375</v>
      </c>
      <c r="D1298" s="104">
        <v>1.5870000123977661</v>
      </c>
      <c r="E1298">
        <v>83.340279302083204</v>
      </c>
      <c r="F1298">
        <v>1397.173095703125</v>
      </c>
      <c r="G1298" s="14"/>
      <c r="H1298" s="34"/>
      <c r="I1298" s="34"/>
      <c r="J1298" s="34"/>
      <c r="K1298" s="34"/>
      <c r="L1298" s="34"/>
      <c r="N1298" s="34"/>
      <c r="O1298" s="35"/>
      <c r="P1298" s="35"/>
      <c r="Q1298" s="35"/>
      <c r="R1298" s="35"/>
      <c r="S1298" s="74"/>
    </row>
    <row r="1299" spans="1:19" ht="13.5" thickBot="1">
      <c r="A1299" s="103">
        <v>40526</v>
      </c>
      <c r="B1299" s="104">
        <v>3.562000036239624</v>
      </c>
      <c r="C1299" s="105">
        <v>1241.5899658203125</v>
      </c>
      <c r="D1299" s="104">
        <v>1.5776000022888184</v>
      </c>
      <c r="E1299">
        <v>83.640014996505982</v>
      </c>
      <c r="F1299">
        <v>1400.173095703125</v>
      </c>
      <c r="G1299" s="14"/>
      <c r="H1299" s="34"/>
      <c r="I1299" s="34"/>
      <c r="J1299" s="34"/>
      <c r="K1299" s="34"/>
      <c r="L1299" s="34"/>
      <c r="N1299" s="34"/>
      <c r="O1299" s="35"/>
      <c r="P1299" s="35"/>
      <c r="Q1299" s="35"/>
      <c r="R1299" s="35"/>
      <c r="S1299" s="74"/>
    </row>
    <row r="1300" spans="1:19" ht="13.5" thickBot="1">
      <c r="A1300" s="103">
        <v>40527</v>
      </c>
      <c r="B1300" s="104">
        <v>3.6410000324249268</v>
      </c>
      <c r="C1300" s="105">
        <v>1235.22998046875</v>
      </c>
      <c r="D1300" s="104">
        <v>1.5540000200271606</v>
      </c>
      <c r="E1300">
        <v>84.438067479249511</v>
      </c>
      <c r="F1300">
        <v>1387.7733154296875</v>
      </c>
      <c r="G1300" s="14"/>
      <c r="H1300" s="34"/>
      <c r="I1300" s="34"/>
      <c r="J1300" s="34"/>
      <c r="K1300" s="34"/>
      <c r="L1300" s="34"/>
      <c r="N1300" s="34"/>
      <c r="O1300" s="35"/>
      <c r="P1300" s="35"/>
      <c r="Q1300" s="35"/>
      <c r="R1300" s="35"/>
      <c r="S1300" s="74"/>
    </row>
    <row r="1301" spans="1:19" ht="13.5" thickBot="1">
      <c r="A1301" s="103">
        <v>40528</v>
      </c>
      <c r="B1301" s="104">
        <v>3.6080000400543213</v>
      </c>
      <c r="C1301" s="105">
        <v>1242.8699951171875</v>
      </c>
      <c r="D1301" s="104">
        <v>1.5606000423431396</v>
      </c>
      <c r="E1301">
        <v>84.139669074496553</v>
      </c>
      <c r="F1301">
        <v>1368.1485595703125</v>
      </c>
      <c r="G1301" s="14"/>
      <c r="H1301" s="34"/>
      <c r="I1301" s="34"/>
      <c r="J1301" s="34"/>
      <c r="K1301" s="34"/>
      <c r="L1301" s="34"/>
      <c r="N1301" s="34"/>
      <c r="O1301" s="35"/>
      <c r="P1301" s="35"/>
      <c r="Q1301" s="35"/>
      <c r="R1301" s="35"/>
      <c r="S1301" s="74"/>
    </row>
    <row r="1302" spans="1:19" ht="13.5" thickBot="1">
      <c r="A1302" s="103">
        <v>40529</v>
      </c>
      <c r="B1302" s="104">
        <v>3.4275000095367432</v>
      </c>
      <c r="C1302" s="105">
        <v>1243.9100341796875</v>
      </c>
      <c r="D1302" s="104">
        <v>1.5512000322341919</v>
      </c>
      <c r="E1302">
        <v>83.878544037059172</v>
      </c>
      <c r="F1302">
        <v>1370.8409423828125</v>
      </c>
      <c r="G1302" s="14"/>
      <c r="H1302" s="34"/>
      <c r="I1302" s="34"/>
      <c r="J1302" s="34"/>
      <c r="K1302" s="34"/>
      <c r="L1302" s="34"/>
      <c r="N1302" s="34"/>
      <c r="O1302" s="35"/>
      <c r="P1302" s="35"/>
      <c r="Q1302" s="35"/>
      <c r="R1302" s="35"/>
      <c r="S1302" s="74"/>
    </row>
    <row r="1303" spans="1:19" ht="13.5" thickBot="1">
      <c r="A1303" s="103">
        <v>40532</v>
      </c>
      <c r="B1303" s="104">
        <v>3.436500072479248</v>
      </c>
      <c r="C1303" s="105">
        <v>1247.0799560546875</v>
      </c>
      <c r="D1303" s="104">
        <v>1.5506999492645264</v>
      </c>
      <c r="E1303">
        <v>83.8012247130074</v>
      </c>
      <c r="F1303">
        <v>1383.3199462890625</v>
      </c>
      <c r="G1303" s="14"/>
      <c r="H1303" s="34"/>
      <c r="I1303" s="34"/>
      <c r="J1303" s="34"/>
      <c r="K1303" s="34"/>
      <c r="L1303" s="34"/>
      <c r="N1303" s="34"/>
      <c r="O1303" s="35"/>
      <c r="P1303" s="35"/>
      <c r="Q1303" s="35"/>
      <c r="R1303" s="35"/>
      <c r="S1303" s="74"/>
    </row>
    <row r="1304" spans="1:19" ht="13.5" thickBot="1">
      <c r="A1304" s="103">
        <v>40533</v>
      </c>
      <c r="B1304" s="104">
        <v>3.4065001010894775</v>
      </c>
      <c r="C1304" s="105">
        <v>1254.5999755859375</v>
      </c>
      <c r="D1304" s="104">
        <v>1.5464999675750732</v>
      </c>
      <c r="E1304">
        <v>83.780163546366623</v>
      </c>
      <c r="F1304">
        <v>1383.9698486328125</v>
      </c>
      <c r="G1304" s="14"/>
      <c r="H1304" s="34"/>
      <c r="I1304" s="34"/>
      <c r="J1304" s="34"/>
      <c r="K1304" s="34"/>
      <c r="L1304" s="34"/>
      <c r="N1304" s="34"/>
      <c r="O1304" s="35"/>
      <c r="P1304" s="35"/>
      <c r="Q1304" s="35"/>
      <c r="R1304" s="35"/>
      <c r="S1304" s="74"/>
    </row>
    <row r="1305" spans="1:19" ht="13.5" thickBot="1">
      <c r="A1305" s="103">
        <v>40534</v>
      </c>
      <c r="B1305" s="104">
        <v>3.4307999610900879</v>
      </c>
      <c r="C1305" s="105">
        <v>1258.8399658203125</v>
      </c>
      <c r="D1305" s="104">
        <v>1.5369999408721924</v>
      </c>
      <c r="E1305">
        <v>83.598058563854224</v>
      </c>
      <c r="F1305">
        <v>1386.77001953125</v>
      </c>
      <c r="G1305" s="14"/>
      <c r="H1305" s="34"/>
      <c r="I1305" s="34"/>
      <c r="J1305" s="34"/>
      <c r="K1305" s="34"/>
      <c r="L1305" s="34"/>
      <c r="N1305" s="34"/>
      <c r="O1305" s="35"/>
      <c r="P1305" s="35"/>
      <c r="Q1305" s="35"/>
      <c r="R1305" s="35"/>
      <c r="S1305" s="74"/>
    </row>
    <row r="1306" spans="1:19" ht="13.5" thickBot="1">
      <c r="A1306" s="103">
        <v>40535</v>
      </c>
      <c r="B1306" s="104">
        <v>3.4767000675201416</v>
      </c>
      <c r="C1306" s="105">
        <v>1256.77001953125</v>
      </c>
      <c r="D1306" s="104">
        <v>1.5427999496459961</v>
      </c>
      <c r="E1306">
        <v>82.898115799300641</v>
      </c>
      <c r="F1306">
        <v>1379.9100341796875</v>
      </c>
      <c r="G1306" s="14"/>
      <c r="H1306" s="34"/>
      <c r="I1306" s="34"/>
      <c r="J1306" s="34"/>
      <c r="K1306" s="34"/>
      <c r="L1306" s="34"/>
      <c r="N1306" s="34"/>
      <c r="O1306" s="35"/>
      <c r="P1306" s="35"/>
      <c r="Q1306" s="35"/>
      <c r="R1306" s="35"/>
      <c r="S1306" s="74"/>
    </row>
    <row r="1307" spans="1:19" ht="13.5" thickBot="1">
      <c r="A1307" s="103">
        <v>40536</v>
      </c>
      <c r="B1307" s="104">
        <v>3.4767000675201416</v>
      </c>
      <c r="C1307" s="105">
        <v>1256.77001953125</v>
      </c>
      <c r="D1307" s="104">
        <v>1.5444999933242798</v>
      </c>
      <c r="E1307">
        <v>82.918742180094938</v>
      </c>
      <c r="F1307">
        <v>1379.81005859375</v>
      </c>
      <c r="G1307" s="14"/>
      <c r="H1307" s="34"/>
      <c r="I1307" s="34"/>
      <c r="J1307" s="34"/>
      <c r="K1307" s="34"/>
      <c r="L1307" s="34"/>
      <c r="N1307" s="34"/>
      <c r="O1307" s="35"/>
      <c r="P1307" s="35"/>
      <c r="Q1307" s="35"/>
      <c r="R1307" s="35"/>
      <c r="S1307" s="74"/>
    </row>
    <row r="1308" spans="1:19" ht="13.5" thickBot="1">
      <c r="A1308" s="103">
        <v>40539</v>
      </c>
      <c r="B1308" s="104">
        <v>3.4286000728607178</v>
      </c>
      <c r="C1308" s="105">
        <v>1257.5400390625</v>
      </c>
      <c r="D1308" s="104">
        <v>1.5404000282287598</v>
      </c>
      <c r="E1308">
        <v>82.843175036019218</v>
      </c>
      <c r="F1308">
        <v>1383.6849365234375</v>
      </c>
      <c r="G1308" s="14"/>
      <c r="H1308" s="34"/>
      <c r="I1308" s="34"/>
      <c r="J1308" s="34"/>
      <c r="K1308" s="34"/>
      <c r="L1308" s="34"/>
      <c r="N1308" s="34"/>
      <c r="O1308" s="35"/>
      <c r="P1308" s="35"/>
      <c r="Q1308" s="35"/>
      <c r="R1308" s="35"/>
      <c r="S1308" s="74"/>
    </row>
    <row r="1309" spans="1:19" ht="13.5" thickBot="1">
      <c r="A1309" s="103">
        <v>40540</v>
      </c>
      <c r="B1309" s="104">
        <v>3.547529935836792</v>
      </c>
      <c r="C1309" s="105">
        <v>1258.510009765625</v>
      </c>
      <c r="D1309" s="104">
        <v>1.5372999906539917</v>
      </c>
      <c r="E1309">
        <v>82.399471227343625</v>
      </c>
      <c r="F1309">
        <v>1404.499267578125</v>
      </c>
      <c r="G1309" s="14"/>
      <c r="H1309" s="34"/>
      <c r="I1309" s="34"/>
      <c r="J1309" s="34"/>
      <c r="K1309" s="34"/>
      <c r="L1309" s="34"/>
      <c r="N1309" s="34"/>
      <c r="O1309" s="35"/>
      <c r="P1309" s="35"/>
      <c r="Q1309" s="35"/>
      <c r="R1309" s="35"/>
      <c r="S1309" s="74"/>
    </row>
    <row r="1310" spans="1:19" ht="13.5" thickBot="1">
      <c r="A1310" s="103">
        <v>40541</v>
      </c>
      <c r="B1310" s="104">
        <v>3.4098200798034668</v>
      </c>
      <c r="C1310" s="105">
        <v>1259.780029296875</v>
      </c>
      <c r="D1310" s="104">
        <v>1.5508999824523926</v>
      </c>
      <c r="E1310">
        <v>81.639315025914925</v>
      </c>
      <c r="F1310">
        <v>1411.9189453125</v>
      </c>
      <c r="G1310" s="14"/>
      <c r="H1310" s="34"/>
      <c r="I1310" s="34"/>
      <c r="J1310" s="34"/>
      <c r="K1310" s="34"/>
      <c r="L1310" s="34"/>
      <c r="N1310" s="34"/>
      <c r="O1310" s="35"/>
      <c r="P1310" s="35"/>
      <c r="Q1310" s="35"/>
      <c r="R1310" s="35"/>
      <c r="S1310" s="74"/>
    </row>
    <row r="1311" spans="1:19" ht="13.5" thickBot="1">
      <c r="A1311" s="103">
        <v>40542</v>
      </c>
      <c r="B1311" s="104">
        <v>3.4465899467468262</v>
      </c>
      <c r="C1311" s="105">
        <v>1257.8800048828125</v>
      </c>
      <c r="D1311" s="104">
        <v>1.5418000221252441</v>
      </c>
      <c r="E1311">
        <v>81.499593618489584</v>
      </c>
      <c r="F1311">
        <v>1405.4725341796875</v>
      </c>
      <c r="G1311" s="14"/>
      <c r="H1311" s="34"/>
      <c r="I1311" s="34"/>
      <c r="J1311" s="34"/>
      <c r="K1311" s="34"/>
      <c r="L1311" s="34"/>
      <c r="N1311" s="34"/>
      <c r="O1311" s="35"/>
      <c r="P1311" s="35"/>
      <c r="Q1311" s="35"/>
      <c r="R1311" s="35"/>
      <c r="S1311" s="74"/>
    </row>
    <row r="1312" spans="1:19" ht="13.5" thickBot="1">
      <c r="A1312" s="103">
        <v>40543</v>
      </c>
      <c r="B1312" s="104">
        <v>3.3859999179840088</v>
      </c>
      <c r="C1312" s="105">
        <v>1257.6400146484375</v>
      </c>
      <c r="D1312" s="104">
        <v>1.5579500198364258</v>
      </c>
      <c r="E1312">
        <v>81.228167442277069</v>
      </c>
      <c r="F1312">
        <v>1420.970703125</v>
      </c>
      <c r="G1312" s="14"/>
      <c r="H1312" s="34"/>
      <c r="I1312" s="34"/>
      <c r="J1312" s="34"/>
      <c r="K1312" s="34"/>
      <c r="L1312" s="34"/>
      <c r="N1312" s="34"/>
      <c r="O1312" s="35"/>
      <c r="P1312" s="35"/>
      <c r="Q1312" s="35"/>
      <c r="R1312" s="35"/>
      <c r="S1312" s="74"/>
    </row>
    <row r="1313" spans="1:19" ht="13.5" thickBot="1">
      <c r="A1313" s="103">
        <v>40546</v>
      </c>
      <c r="B1313" s="104">
        <v>3.4151101112365723</v>
      </c>
      <c r="C1313" s="105">
        <v>1271.8699951171875</v>
      </c>
      <c r="D1313" s="104">
        <v>1.5492000579833984</v>
      </c>
      <c r="E1313">
        <v>81.639315025914925</v>
      </c>
      <c r="F1313">
        <v>1421.09033203125</v>
      </c>
      <c r="G1313" s="14"/>
      <c r="H1313" s="34"/>
      <c r="I1313" s="34"/>
      <c r="J1313" s="34"/>
      <c r="K1313" s="34"/>
      <c r="L1313" s="34"/>
      <c r="N1313" s="34"/>
      <c r="O1313" s="35"/>
      <c r="P1313" s="35"/>
      <c r="Q1313" s="35"/>
      <c r="R1313" s="35"/>
      <c r="S1313" s="74"/>
    </row>
    <row r="1314" spans="1:19" ht="13.5" thickBot="1">
      <c r="A1314" s="103">
        <v>40547</v>
      </c>
      <c r="B1314" s="104">
        <v>3.4136099815368652</v>
      </c>
      <c r="C1314" s="105">
        <v>1270.199951171875</v>
      </c>
      <c r="D1314" s="104">
        <v>1.5583000183105469</v>
      </c>
      <c r="E1314">
        <v>82.041185256022786</v>
      </c>
      <c r="F1314">
        <v>1379.0196533203125</v>
      </c>
      <c r="G1314" s="14"/>
      <c r="H1314" s="34"/>
      <c r="I1314" s="34"/>
      <c r="J1314" s="34"/>
      <c r="K1314" s="34"/>
      <c r="L1314" s="34"/>
      <c r="N1314" s="34"/>
      <c r="O1314" s="35"/>
      <c r="P1314" s="35"/>
      <c r="Q1314" s="35"/>
      <c r="R1314" s="35"/>
      <c r="S1314" s="74"/>
    </row>
    <row r="1315" spans="1:19" ht="13.5" thickBot="1">
      <c r="A1315" s="103">
        <v>40548</v>
      </c>
      <c r="B1315" s="104">
        <v>3.5656099319458008</v>
      </c>
      <c r="C1315" s="105">
        <v>1276.56005859375</v>
      </c>
      <c r="D1315" s="104">
        <v>1.5494999885559082</v>
      </c>
      <c r="E1315">
        <v>83.340279302083204</v>
      </c>
      <c r="F1315">
        <v>1374.119873046875</v>
      </c>
      <c r="G1315" s="14"/>
      <c r="H1315" s="34"/>
      <c r="I1315" s="34"/>
      <c r="J1315" s="34"/>
      <c r="K1315" s="34"/>
      <c r="L1315" s="34"/>
      <c r="N1315" s="34"/>
      <c r="O1315" s="35"/>
      <c r="P1315" s="35"/>
      <c r="Q1315" s="35"/>
      <c r="R1315" s="35"/>
      <c r="S1315" s="74"/>
    </row>
    <row r="1316" spans="1:19" ht="13.5" thickBot="1">
      <c r="A1316" s="103">
        <v>40549</v>
      </c>
      <c r="B1316" s="104">
        <v>3.4960699081420898</v>
      </c>
      <c r="C1316" s="105">
        <v>1273.8499755859375</v>
      </c>
      <c r="D1316" s="104">
        <v>1.5475499629974365</v>
      </c>
      <c r="E1316">
        <v>83.125520452943277</v>
      </c>
      <c r="F1316">
        <v>1371.989990234375</v>
      </c>
      <c r="G1316" s="14"/>
      <c r="H1316" s="34"/>
      <c r="I1316" s="34"/>
      <c r="J1316" s="34"/>
      <c r="K1316" s="34"/>
      <c r="L1316" s="34"/>
      <c r="N1316" s="34"/>
      <c r="O1316" s="35"/>
      <c r="P1316" s="35"/>
      <c r="Q1316" s="35"/>
      <c r="R1316" s="35"/>
      <c r="S1316" s="74"/>
    </row>
    <row r="1317" spans="1:19" ht="13.5" thickBot="1">
      <c r="A1317" s="103">
        <v>40550</v>
      </c>
      <c r="B1317" s="104">
        <v>3.4075601100921631</v>
      </c>
      <c r="C1317" s="105">
        <v>1271.5</v>
      </c>
      <c r="D1317" s="104">
        <v>1.554900050163269</v>
      </c>
      <c r="E1317">
        <v>83.042684226039</v>
      </c>
      <c r="F1317">
        <v>1372.540283203125</v>
      </c>
      <c r="G1317" s="14"/>
      <c r="H1317" s="34"/>
      <c r="I1317" s="34"/>
      <c r="J1317" s="34"/>
      <c r="K1317" s="34"/>
      <c r="L1317" s="34"/>
      <c r="N1317" s="34"/>
      <c r="O1317" s="35"/>
      <c r="P1317" s="35"/>
      <c r="Q1317" s="35"/>
      <c r="R1317" s="35"/>
      <c r="S1317" s="74"/>
    </row>
    <row r="1318" spans="1:19" ht="13.5" thickBot="1">
      <c r="A1318" s="103">
        <v>40553</v>
      </c>
      <c r="B1318" s="104">
        <v>3.3819699287414551</v>
      </c>
      <c r="C1318" s="105">
        <v>1269.75</v>
      </c>
      <c r="D1318" s="104">
        <v>1.5582000017166138</v>
      </c>
      <c r="E1318">
        <v>82.802020423240108</v>
      </c>
      <c r="F1318">
        <v>1372.2701416015625</v>
      </c>
      <c r="G1318" s="14"/>
      <c r="H1318" s="34"/>
      <c r="I1318" s="34"/>
      <c r="J1318" s="34"/>
      <c r="K1318" s="34"/>
      <c r="L1318" s="34"/>
      <c r="N1318" s="34"/>
      <c r="O1318" s="35"/>
      <c r="P1318" s="35"/>
      <c r="Q1318" s="35"/>
      <c r="R1318" s="35"/>
      <c r="S1318" s="74"/>
    </row>
    <row r="1319" spans="1:19" ht="13.5" thickBot="1">
      <c r="A1319" s="103">
        <v>40554</v>
      </c>
      <c r="B1319" s="104">
        <v>3.4114999771118164</v>
      </c>
      <c r="C1319" s="105">
        <v>1274.47998046875</v>
      </c>
      <c r="D1319" s="104">
        <v>1.5598000288009644</v>
      </c>
      <c r="E1319">
        <v>83.243150228535683</v>
      </c>
      <c r="F1319">
        <v>1378.070068359375</v>
      </c>
      <c r="G1319" s="14"/>
      <c r="H1319" s="34"/>
      <c r="I1319" s="34"/>
      <c r="J1319" s="34"/>
      <c r="K1319" s="34"/>
      <c r="L1319" s="34"/>
      <c r="N1319" s="34"/>
      <c r="O1319" s="35"/>
      <c r="P1319" s="35"/>
      <c r="Q1319" s="35"/>
      <c r="R1319" s="35"/>
      <c r="S1319" s="74"/>
    </row>
    <row r="1320" spans="1:19" ht="13.5" thickBot="1">
      <c r="A1320" s="103">
        <v>40555</v>
      </c>
      <c r="B1320" s="104">
        <v>3.4208400249481201</v>
      </c>
      <c r="C1320" s="105">
        <v>1285.9599609375</v>
      </c>
      <c r="D1320" s="104">
        <v>1.5767999887466431</v>
      </c>
      <c r="E1320">
        <v>82.898115799300641</v>
      </c>
      <c r="F1320">
        <v>1381.7701416015625</v>
      </c>
      <c r="G1320" s="14"/>
      <c r="H1320" s="34"/>
      <c r="I1320" s="34"/>
      <c r="J1320" s="34"/>
      <c r="K1320" s="34"/>
      <c r="L1320" s="34"/>
      <c r="N1320" s="34"/>
      <c r="O1320" s="35"/>
      <c r="P1320" s="35"/>
      <c r="Q1320" s="35"/>
      <c r="R1320" s="35"/>
      <c r="S1320" s="74"/>
    </row>
    <row r="1321" spans="1:19" ht="13.5" thickBot="1">
      <c r="A1321" s="103">
        <v>40556</v>
      </c>
      <c r="B1321" s="104">
        <v>3.3666601181030273</v>
      </c>
      <c r="C1321" s="105">
        <v>1283.760009765625</v>
      </c>
      <c r="D1321" s="104">
        <v>1.5841000080108643</v>
      </c>
      <c r="E1321">
        <v>82.719827371361504</v>
      </c>
      <c r="F1321">
        <v>1383.4400634765625</v>
      </c>
      <c r="G1321" s="14"/>
      <c r="H1321" s="34"/>
      <c r="I1321" s="34"/>
      <c r="J1321" s="34"/>
      <c r="K1321" s="34"/>
      <c r="L1321" s="34"/>
      <c r="N1321" s="34"/>
      <c r="O1321" s="35"/>
      <c r="P1321" s="35"/>
      <c r="Q1321" s="35"/>
      <c r="R1321" s="35"/>
      <c r="S1321" s="74"/>
    </row>
    <row r="1322" spans="1:19" ht="13.5" thickBot="1">
      <c r="A1322" s="103">
        <v>40557</v>
      </c>
      <c r="B1322" s="104">
        <v>3.4008700847625732</v>
      </c>
      <c r="C1322" s="105">
        <v>1293.239990234375</v>
      </c>
      <c r="D1322" s="104">
        <v>1.5878000259399414</v>
      </c>
      <c r="E1322">
        <v>83.001331200752972</v>
      </c>
      <c r="F1322">
        <v>1359.641357421875</v>
      </c>
      <c r="G1322" s="14"/>
      <c r="H1322" s="34"/>
      <c r="I1322" s="34"/>
      <c r="J1322" s="34"/>
      <c r="K1322" s="34"/>
      <c r="L1322" s="34"/>
      <c r="N1322" s="34"/>
      <c r="O1322" s="35"/>
      <c r="P1322" s="35"/>
      <c r="Q1322" s="35"/>
      <c r="R1322" s="35"/>
      <c r="S1322" s="74"/>
    </row>
    <row r="1323" spans="1:19" ht="13.5" thickBot="1">
      <c r="A1323" s="103">
        <v>40560</v>
      </c>
      <c r="B1323" s="104">
        <v>3.4008700847625732</v>
      </c>
      <c r="C1323" s="105">
        <v>1293.239990234375</v>
      </c>
      <c r="D1323" s="104">
        <v>1.5879499912261963</v>
      </c>
      <c r="E1323">
        <v>82.726672152799779</v>
      </c>
      <c r="F1323">
        <v>1358.770751953125</v>
      </c>
      <c r="G1323" s="14"/>
      <c r="H1323" s="34"/>
      <c r="I1323" s="34"/>
      <c r="J1323" s="34"/>
      <c r="K1323" s="34"/>
      <c r="L1323" s="34"/>
      <c r="N1323" s="34"/>
      <c r="O1323" s="35"/>
      <c r="P1323" s="35"/>
      <c r="Q1323" s="35"/>
      <c r="R1323" s="35"/>
      <c r="S1323" s="74"/>
    </row>
    <row r="1324" spans="1:19" ht="13.5" thickBot="1">
      <c r="A1324" s="103">
        <v>40561</v>
      </c>
      <c r="B1324" s="104">
        <v>3.4321999549865723</v>
      </c>
      <c r="C1324" s="105">
        <v>1295.02001953125</v>
      </c>
      <c r="D1324" s="104">
        <v>1.5974999666213989</v>
      </c>
      <c r="E1324">
        <v>82.56274751231453</v>
      </c>
      <c r="F1324">
        <v>1366.67041015625</v>
      </c>
      <c r="G1324" s="14"/>
      <c r="H1324" s="34"/>
      <c r="I1324" s="34"/>
      <c r="J1324" s="34"/>
      <c r="K1324" s="34"/>
      <c r="L1324" s="34"/>
      <c r="N1324" s="34"/>
      <c r="O1324" s="35"/>
      <c r="P1324" s="35"/>
      <c r="Q1324" s="35"/>
      <c r="R1324" s="35"/>
      <c r="S1324" s="74"/>
    </row>
    <row r="1325" spans="1:19" ht="13.5" thickBot="1">
      <c r="A1325" s="103">
        <v>40562</v>
      </c>
      <c r="B1325" s="104">
        <v>3.4026000499725342</v>
      </c>
      <c r="C1325" s="105">
        <v>1281.9200439453125</v>
      </c>
      <c r="D1325" s="104">
        <v>1.5987999439239502</v>
      </c>
      <c r="E1325">
        <v>82.101808853299488</v>
      </c>
      <c r="F1325">
        <v>1371.570556640625</v>
      </c>
      <c r="G1325" s="14"/>
      <c r="H1325" s="34"/>
      <c r="I1325" s="34"/>
      <c r="J1325" s="34"/>
      <c r="K1325" s="34"/>
      <c r="L1325" s="34"/>
      <c r="N1325" s="34"/>
      <c r="O1325" s="35"/>
      <c r="P1325" s="35"/>
      <c r="Q1325" s="35"/>
      <c r="R1325" s="35"/>
      <c r="S1325" s="74"/>
    </row>
    <row r="1326" spans="1:19" ht="13.5" thickBot="1">
      <c r="A1326" s="103">
        <v>40563</v>
      </c>
      <c r="B1326" s="104">
        <v>3.5286200046539307</v>
      </c>
      <c r="C1326" s="105">
        <v>1280.260009765625</v>
      </c>
      <c r="D1326" s="104">
        <v>1.5910999774932861</v>
      </c>
      <c r="E1326">
        <v>83.042684226039</v>
      </c>
      <c r="F1326">
        <v>1350.94189453125</v>
      </c>
      <c r="G1326" s="14"/>
      <c r="H1326" s="34"/>
      <c r="I1326" s="34"/>
      <c r="J1326" s="34"/>
      <c r="K1326" s="34"/>
      <c r="L1326" s="34"/>
      <c r="N1326" s="34"/>
      <c r="O1326" s="35"/>
      <c r="P1326" s="35"/>
      <c r="Q1326" s="35"/>
      <c r="R1326" s="35"/>
      <c r="S1326" s="74"/>
    </row>
    <row r="1327" spans="1:19" ht="13.5" thickBot="1">
      <c r="A1327" s="103">
        <v>40564</v>
      </c>
      <c r="B1327" s="104">
        <v>3.4859600067138672</v>
      </c>
      <c r="C1327" s="105">
        <v>1283.3499755859375</v>
      </c>
      <c r="D1327" s="104">
        <v>1.6002000570297241</v>
      </c>
      <c r="E1327">
        <v>82.617316829185171</v>
      </c>
      <c r="F1327">
        <v>1343.0423583984375</v>
      </c>
      <c r="G1327" s="14"/>
      <c r="H1327" s="34"/>
      <c r="I1327" s="34"/>
      <c r="J1327" s="34"/>
      <c r="K1327" s="34"/>
      <c r="L1327" s="34"/>
      <c r="N1327" s="34"/>
      <c r="O1327" s="35"/>
      <c r="P1327" s="35"/>
      <c r="Q1327" s="35"/>
      <c r="R1327" s="35"/>
      <c r="S1327" s="74"/>
    </row>
    <row r="1328" spans="1:19" ht="13.5" thickBot="1">
      <c r="A1328" s="103">
        <v>40567</v>
      </c>
      <c r="B1328" s="104">
        <v>3.4838399887084961</v>
      </c>
      <c r="C1328" s="105">
        <v>1290.8399658203125</v>
      </c>
      <c r="D1328" s="104">
        <v>1.5994000434875488</v>
      </c>
      <c r="E1328">
        <v>82.521870979309782</v>
      </c>
      <c r="F1328">
        <v>1344.2210693359375</v>
      </c>
      <c r="G1328" s="14"/>
      <c r="H1328" s="34"/>
      <c r="I1328" s="34"/>
      <c r="J1328" s="34"/>
      <c r="K1328" s="34"/>
      <c r="L1328" s="34"/>
      <c r="N1328" s="34"/>
      <c r="O1328" s="35"/>
      <c r="P1328" s="35"/>
      <c r="Q1328" s="35"/>
      <c r="R1328" s="35"/>
      <c r="S1328" s="74"/>
    </row>
    <row r="1329" spans="1:19" ht="13.5" thickBot="1">
      <c r="A1329" s="103">
        <v>40568</v>
      </c>
      <c r="B1329" s="104">
        <v>3.4016799926757813</v>
      </c>
      <c r="C1329" s="105">
        <v>1291.1800537109375</v>
      </c>
      <c r="D1329" s="104">
        <v>1.5795999765396118</v>
      </c>
      <c r="E1329">
        <v>82.182771436166249</v>
      </c>
      <c r="F1329">
        <v>1331.5213623046875</v>
      </c>
      <c r="G1329" s="14"/>
      <c r="H1329" s="34"/>
      <c r="I1329" s="34"/>
      <c r="J1329" s="34"/>
      <c r="K1329" s="34"/>
      <c r="L1329" s="34"/>
      <c r="N1329" s="34"/>
      <c r="O1329" s="35"/>
      <c r="P1329" s="35"/>
      <c r="Q1329" s="35"/>
      <c r="R1329" s="35"/>
      <c r="S1329" s="74"/>
    </row>
    <row r="1330" spans="1:19" ht="13.5" thickBot="1">
      <c r="A1330" s="103">
        <v>40569</v>
      </c>
      <c r="B1330" s="104">
        <v>3.5088698863983154</v>
      </c>
      <c r="C1330" s="105">
        <v>1296.6300048828125</v>
      </c>
      <c r="D1330" s="104">
        <v>1.5884000062942505</v>
      </c>
      <c r="E1330">
        <v>82.46062568258526</v>
      </c>
      <c r="F1330">
        <v>1331.3214111328125</v>
      </c>
      <c r="G1330" s="14"/>
      <c r="H1330" s="34"/>
      <c r="I1330" s="34"/>
      <c r="J1330" s="34"/>
      <c r="K1330" s="34"/>
      <c r="L1330" s="34"/>
      <c r="N1330" s="34"/>
      <c r="O1330" s="35"/>
      <c r="P1330" s="35"/>
      <c r="Q1330" s="35"/>
      <c r="R1330" s="35"/>
      <c r="S1330" s="74"/>
    </row>
    <row r="1331" spans="1:19" ht="13.5" thickBot="1">
      <c r="A1331" s="103">
        <v>40570</v>
      </c>
      <c r="B1331" s="104">
        <v>3.4683899879455566</v>
      </c>
      <c r="C1331" s="105">
        <v>1299.5400390625</v>
      </c>
      <c r="D1331" s="104">
        <v>1.5934000015258789</v>
      </c>
      <c r="E1331">
        <v>82.843175036019218</v>
      </c>
      <c r="F1331">
        <v>1321.5433349609375</v>
      </c>
      <c r="G1331" s="14"/>
      <c r="H1331" s="34"/>
      <c r="I1331" s="34"/>
      <c r="J1331" s="34"/>
      <c r="K1331" s="34"/>
      <c r="L1331" s="34"/>
      <c r="N1331" s="34"/>
      <c r="O1331" s="35"/>
      <c r="P1331" s="35"/>
      <c r="Q1331" s="35"/>
      <c r="R1331" s="35"/>
      <c r="S1331" s="74"/>
    </row>
    <row r="1332" spans="1:19" ht="13.5" thickBot="1">
      <c r="A1332" s="103">
        <v>40571</v>
      </c>
      <c r="B1332" s="104">
        <v>3.424220085144043</v>
      </c>
      <c r="C1332" s="105">
        <v>1276.3399658203125</v>
      </c>
      <c r="D1332" s="104">
        <v>1.586899995803833</v>
      </c>
      <c r="E1332">
        <v>82.182771436166249</v>
      </c>
      <c r="F1332">
        <v>1335.8927001953125</v>
      </c>
      <c r="G1332" s="14"/>
      <c r="H1332" s="34"/>
      <c r="I1332" s="34"/>
      <c r="J1332" s="34"/>
      <c r="K1332" s="34"/>
      <c r="L1332" s="34"/>
      <c r="N1332" s="34"/>
      <c r="O1332" s="35"/>
      <c r="P1332" s="35"/>
      <c r="Q1332" s="35"/>
      <c r="R1332" s="35"/>
      <c r="S1332" s="74"/>
    </row>
    <row r="1333" spans="1:19" ht="13.5" thickBot="1">
      <c r="A1333" s="103">
        <v>40574</v>
      </c>
      <c r="B1333" s="104">
        <v>3.4757599830627441</v>
      </c>
      <c r="C1333" s="105">
        <v>1286.1199951171875</v>
      </c>
      <c r="D1333" s="104">
        <v>1.6022000312805176</v>
      </c>
      <c r="E1333">
        <v>82.027722716607741</v>
      </c>
      <c r="F1333">
        <v>1333.8214111328125</v>
      </c>
      <c r="G1333" s="14"/>
      <c r="H1333" s="34"/>
      <c r="I1333" s="34"/>
      <c r="J1333" s="34"/>
      <c r="K1333" s="34"/>
      <c r="L1333" s="34"/>
      <c r="N1333" s="34"/>
      <c r="O1333" s="35"/>
      <c r="P1333" s="35"/>
      <c r="Q1333" s="35"/>
      <c r="R1333" s="35"/>
      <c r="S1333" s="74"/>
    </row>
    <row r="1334" spans="1:19" ht="13.5" thickBot="1">
      <c r="A1334" s="103">
        <v>40575</v>
      </c>
      <c r="B1334" s="104">
        <v>3.5458199977874756</v>
      </c>
      <c r="C1334" s="105">
        <v>1307.5899658203125</v>
      </c>
      <c r="D1334" s="104">
        <v>1.613800048828125</v>
      </c>
      <c r="E1334">
        <v>81.426596028414551</v>
      </c>
      <c r="F1334">
        <v>1341.72119140625</v>
      </c>
      <c r="G1334" s="14"/>
      <c r="H1334" s="34"/>
      <c r="I1334" s="34"/>
      <c r="J1334" s="34"/>
      <c r="K1334" s="34"/>
      <c r="L1334" s="34"/>
      <c r="N1334" s="34"/>
      <c r="O1334" s="35"/>
      <c r="P1334" s="35"/>
      <c r="Q1334" s="35"/>
      <c r="R1334" s="35"/>
      <c r="S1334" s="74"/>
    </row>
    <row r="1335" spans="1:19" ht="13.5" thickBot="1">
      <c r="A1335" s="103">
        <v>40576</v>
      </c>
      <c r="B1335" s="104">
        <v>3.5920100212097168</v>
      </c>
      <c r="C1335" s="105">
        <v>1304.030029296875</v>
      </c>
      <c r="D1335" s="104">
        <v>1.618649959564209</v>
      </c>
      <c r="E1335">
        <v>81.539463426376997</v>
      </c>
      <c r="F1335">
        <v>1329.0216064453125</v>
      </c>
      <c r="G1335" s="14"/>
      <c r="H1335" s="34"/>
      <c r="I1335" s="34"/>
      <c r="J1335" s="34"/>
      <c r="K1335" s="34"/>
      <c r="L1335" s="34"/>
      <c r="N1335" s="34"/>
      <c r="O1335" s="35"/>
      <c r="P1335" s="35"/>
      <c r="Q1335" s="35"/>
      <c r="R1335" s="35"/>
      <c r="S1335" s="74"/>
    </row>
    <row r="1336" spans="1:19" ht="13.5" thickBot="1">
      <c r="A1336" s="103">
        <v>40577</v>
      </c>
      <c r="B1336" s="104">
        <v>3.6583600044250488</v>
      </c>
      <c r="C1336" s="105">
        <v>1307.0999755859375</v>
      </c>
      <c r="D1336" s="104">
        <v>1.614799976348877</v>
      </c>
      <c r="E1336">
        <v>81.659319667546882</v>
      </c>
      <c r="F1336">
        <v>1353.391845703125</v>
      </c>
      <c r="G1336" s="14"/>
      <c r="H1336" s="34"/>
      <c r="I1336" s="34"/>
      <c r="J1336" s="34"/>
      <c r="K1336" s="34"/>
      <c r="L1336" s="34"/>
      <c r="N1336" s="34"/>
      <c r="O1336" s="35"/>
      <c r="P1336" s="35"/>
      <c r="Q1336" s="35"/>
      <c r="R1336" s="35"/>
      <c r="S1336" s="74"/>
    </row>
    <row r="1337" spans="1:19" ht="13.5" thickBot="1">
      <c r="A1337" s="103">
        <v>40578</v>
      </c>
      <c r="B1337" s="104">
        <v>3.7522299289703369</v>
      </c>
      <c r="C1337" s="105">
        <v>1310.8699951171875</v>
      </c>
      <c r="D1337" s="104">
        <v>1.6097999811172485</v>
      </c>
      <c r="E1337">
        <v>82.257138039598487</v>
      </c>
      <c r="F1337">
        <v>1349.6920166015625</v>
      </c>
      <c r="G1337" s="14"/>
      <c r="H1337" s="34"/>
      <c r="I1337" s="34"/>
      <c r="J1337" s="34"/>
      <c r="K1337" s="34"/>
      <c r="L1337" s="34"/>
      <c r="N1337" s="34"/>
      <c r="O1337" s="35"/>
      <c r="P1337" s="35"/>
      <c r="Q1337" s="35"/>
      <c r="R1337" s="35"/>
      <c r="S1337" s="74"/>
    </row>
    <row r="1338" spans="1:19" ht="13.5" thickBot="1">
      <c r="A1338" s="103">
        <v>40581</v>
      </c>
      <c r="B1338" s="104">
        <v>3.7539401054382324</v>
      </c>
      <c r="C1338" s="105">
        <v>1319.050048828125</v>
      </c>
      <c r="D1338" s="104">
        <v>1.611799955368042</v>
      </c>
      <c r="E1338">
        <v>82.318075017310889</v>
      </c>
      <c r="F1338">
        <v>1349.6209716796875</v>
      </c>
      <c r="G1338" s="14"/>
      <c r="H1338" s="34"/>
      <c r="I1338" s="34"/>
      <c r="J1338" s="34"/>
      <c r="K1338" s="34"/>
      <c r="L1338" s="34"/>
      <c r="N1338" s="34"/>
      <c r="O1338" s="35"/>
      <c r="P1338" s="35"/>
      <c r="Q1338" s="35"/>
      <c r="R1338" s="35"/>
      <c r="S1338" s="74"/>
    </row>
    <row r="1339" spans="1:19" ht="13.5" thickBot="1">
      <c r="A1339" s="103">
        <v>40582</v>
      </c>
      <c r="B1339" s="104">
        <v>3.8305399417877197</v>
      </c>
      <c r="C1339" s="105">
        <v>1324.5699462890625</v>
      </c>
      <c r="D1339" s="104">
        <v>1.6057000160217285</v>
      </c>
      <c r="E1339">
        <v>82.399471227343625</v>
      </c>
      <c r="F1339">
        <v>1365.1207275390625</v>
      </c>
      <c r="G1339" s="14"/>
      <c r="H1339" s="34"/>
      <c r="I1339" s="34"/>
      <c r="J1339" s="34"/>
      <c r="K1339" s="34"/>
      <c r="L1339" s="34"/>
      <c r="N1339" s="34"/>
      <c r="O1339" s="35"/>
      <c r="P1339" s="35"/>
      <c r="Q1339" s="35"/>
      <c r="R1339" s="35"/>
      <c r="S1339" s="74"/>
    </row>
    <row r="1340" spans="1:19" ht="13.5" thickBot="1">
      <c r="A1340" s="103">
        <v>40583</v>
      </c>
      <c r="B1340" s="104">
        <v>3.7604200839996338</v>
      </c>
      <c r="C1340" s="105">
        <v>1320.8800048828125</v>
      </c>
      <c r="D1340" s="104">
        <v>1.6096999645233154</v>
      </c>
      <c r="E1340">
        <v>82.37910866775222</v>
      </c>
      <c r="F1340">
        <v>1363.0745849609375</v>
      </c>
      <c r="G1340" s="14"/>
      <c r="H1340" s="34"/>
      <c r="I1340" s="34"/>
      <c r="J1340" s="34"/>
      <c r="K1340" s="34"/>
      <c r="L1340" s="34"/>
      <c r="N1340" s="34"/>
      <c r="O1340" s="35"/>
      <c r="P1340" s="35"/>
      <c r="Q1340" s="35"/>
      <c r="R1340" s="35"/>
      <c r="S1340" s="74"/>
    </row>
    <row r="1341" spans="1:19" ht="13.5" thickBot="1">
      <c r="A1341" s="103">
        <v>40584</v>
      </c>
      <c r="B1341" s="104">
        <v>3.8204100131988525</v>
      </c>
      <c r="C1341" s="105">
        <v>1321.8699951171875</v>
      </c>
      <c r="D1341" s="104">
        <v>1.6092000007629395</v>
      </c>
      <c r="E1341">
        <v>83.319449161712669</v>
      </c>
      <c r="F1341">
        <v>1363.099365234375</v>
      </c>
      <c r="G1341" s="14"/>
      <c r="H1341" s="34"/>
      <c r="I1341" s="34"/>
      <c r="J1341" s="34"/>
      <c r="K1341" s="34"/>
      <c r="L1341" s="34"/>
      <c r="N1341" s="34"/>
      <c r="O1341" s="35"/>
      <c r="P1341" s="35"/>
      <c r="Q1341" s="35"/>
      <c r="R1341" s="35"/>
      <c r="S1341" s="74"/>
    </row>
    <row r="1342" spans="1:19" ht="13.5" thickBot="1">
      <c r="A1342" s="103">
        <v>40585</v>
      </c>
      <c r="B1342" s="104">
        <v>3.7631700038909912</v>
      </c>
      <c r="C1342" s="105">
        <v>1329.1500244140625</v>
      </c>
      <c r="D1342" s="104">
        <v>1.6023000478744507</v>
      </c>
      <c r="E1342">
        <v>83.500334548241668</v>
      </c>
      <c r="F1342">
        <v>1355.3497314453125</v>
      </c>
      <c r="G1342" s="14"/>
      <c r="H1342" s="34"/>
      <c r="I1342" s="34"/>
      <c r="J1342" s="34"/>
      <c r="K1342" s="34"/>
      <c r="L1342" s="34"/>
      <c r="N1342" s="34"/>
      <c r="O1342" s="35"/>
      <c r="P1342" s="35"/>
      <c r="Q1342" s="35"/>
      <c r="R1342" s="35"/>
      <c r="S1342" s="74"/>
    </row>
    <row r="1343" spans="1:19" ht="13.5" thickBot="1">
      <c r="A1343" s="103">
        <v>40588</v>
      </c>
      <c r="B1343" s="104">
        <v>3.724370002746582</v>
      </c>
      <c r="C1343" s="105">
        <v>1332.3199462890625</v>
      </c>
      <c r="D1343" s="104">
        <v>1.6033999919891357</v>
      </c>
      <c r="E1343">
        <v>83.340279302083204</v>
      </c>
      <c r="F1343">
        <v>1364.7747802734375</v>
      </c>
      <c r="G1343" s="14"/>
      <c r="H1343" s="34"/>
      <c r="I1343" s="34"/>
      <c r="J1343" s="34"/>
      <c r="K1343" s="34"/>
      <c r="L1343" s="34"/>
      <c r="N1343" s="34"/>
      <c r="O1343" s="35"/>
      <c r="P1343" s="35"/>
      <c r="Q1343" s="35"/>
      <c r="R1343" s="35"/>
      <c r="S1343" s="74"/>
    </row>
    <row r="1344" spans="1:19" ht="13.5" thickBot="1">
      <c r="A1344" s="103">
        <v>40589</v>
      </c>
      <c r="B1344" s="104">
        <v>3.7162299156188965</v>
      </c>
      <c r="C1344" s="105">
        <v>1328.010009765625</v>
      </c>
      <c r="D1344" s="104">
        <v>1.6130000352859497</v>
      </c>
      <c r="E1344">
        <v>83.857443993148905</v>
      </c>
      <c r="F1344">
        <v>1372.2745361328125</v>
      </c>
      <c r="G1344" s="14"/>
      <c r="H1344" s="34"/>
      <c r="I1344" s="34"/>
      <c r="J1344" s="34"/>
      <c r="K1344" s="34"/>
      <c r="L1344" s="34"/>
      <c r="N1344" s="34"/>
      <c r="O1344" s="35"/>
      <c r="P1344" s="35"/>
      <c r="Q1344" s="35"/>
      <c r="R1344" s="35"/>
      <c r="S1344" s="74"/>
    </row>
    <row r="1345" spans="1:19" ht="13.5" thickBot="1">
      <c r="A1345" s="103">
        <v>40590</v>
      </c>
      <c r="B1345" s="104">
        <v>3.7237200736999512</v>
      </c>
      <c r="C1345" s="105">
        <v>1336.3199462890625</v>
      </c>
      <c r="D1345" s="104">
        <v>1.6094000339508057</v>
      </c>
      <c r="E1345">
        <v>83.563134598257292</v>
      </c>
      <c r="F1345">
        <v>1374.4744873046875</v>
      </c>
      <c r="G1345" s="14"/>
      <c r="H1345" s="34"/>
      <c r="I1345" s="34"/>
      <c r="J1345" s="34"/>
      <c r="K1345" s="34"/>
      <c r="L1345" s="34"/>
      <c r="N1345" s="34"/>
      <c r="O1345" s="35"/>
      <c r="P1345" s="35"/>
      <c r="Q1345" s="35"/>
      <c r="R1345" s="35"/>
      <c r="S1345" s="74"/>
    </row>
    <row r="1346" spans="1:19" ht="13.5" thickBot="1">
      <c r="A1346" s="103">
        <v>40591</v>
      </c>
      <c r="B1346" s="104">
        <v>3.6743900775909424</v>
      </c>
      <c r="C1346" s="105">
        <v>1340.4300537109375</v>
      </c>
      <c r="D1346" s="104">
        <v>1.6171000003814697</v>
      </c>
      <c r="E1346">
        <v>83.340279302083204</v>
      </c>
      <c r="F1346">
        <v>1382.7491455078125</v>
      </c>
      <c r="G1346" s="14"/>
      <c r="H1346" s="34"/>
      <c r="I1346" s="34"/>
      <c r="J1346" s="34"/>
      <c r="K1346" s="34"/>
      <c r="L1346" s="34"/>
      <c r="N1346" s="34"/>
      <c r="O1346" s="35"/>
      <c r="P1346" s="35"/>
      <c r="Q1346" s="35"/>
      <c r="R1346" s="35"/>
      <c r="S1346" s="74"/>
    </row>
    <row r="1347" spans="1:19" ht="13.5" thickBot="1">
      <c r="A1347" s="103">
        <v>40592</v>
      </c>
      <c r="B1347" s="104">
        <v>3.6898999214172363</v>
      </c>
      <c r="C1347" s="105">
        <v>1343.010009765625</v>
      </c>
      <c r="D1347" s="104">
        <v>1.6246000528335571</v>
      </c>
      <c r="E1347">
        <v>83.118609513965893</v>
      </c>
      <c r="F1347">
        <v>1390.049072265625</v>
      </c>
      <c r="G1347" s="14"/>
      <c r="H1347" s="34"/>
      <c r="I1347" s="34"/>
      <c r="J1347" s="34"/>
      <c r="K1347" s="34"/>
      <c r="L1347" s="34"/>
      <c r="N1347" s="34"/>
      <c r="O1347" s="35"/>
      <c r="P1347" s="35"/>
      <c r="Q1347" s="35"/>
      <c r="R1347" s="35"/>
      <c r="S1347" s="74"/>
    </row>
    <row r="1348" spans="1:19" ht="13.5" thickBot="1">
      <c r="A1348" s="103">
        <v>40595</v>
      </c>
      <c r="B1348" s="104">
        <v>3.6898999214172363</v>
      </c>
      <c r="C1348" s="105">
        <v>1343.010009765625</v>
      </c>
      <c r="D1348" s="104">
        <v>1.6222800016403198</v>
      </c>
      <c r="E1348">
        <v>83.173916337286414</v>
      </c>
      <c r="F1348">
        <v>1396.974365234375</v>
      </c>
      <c r="G1348" s="14"/>
      <c r="H1348" s="34"/>
      <c r="I1348" s="34"/>
      <c r="J1348" s="34"/>
      <c r="K1348" s="34"/>
      <c r="L1348" s="34"/>
      <c r="N1348" s="34"/>
      <c r="O1348" s="35"/>
      <c r="P1348" s="35"/>
      <c r="Q1348" s="35"/>
      <c r="R1348" s="35"/>
      <c r="S1348" s="74"/>
    </row>
    <row r="1349" spans="1:19" ht="13.5" thickBot="1">
      <c r="A1349" s="103">
        <v>40596</v>
      </c>
      <c r="B1349" s="104">
        <v>3.578279972076416</v>
      </c>
      <c r="C1349" s="105">
        <v>1315.43994140625</v>
      </c>
      <c r="D1349" s="104">
        <v>1.6145000457763672</v>
      </c>
      <c r="E1349">
        <v>82.740358738727579</v>
      </c>
      <c r="F1349">
        <v>1399.074462890625</v>
      </c>
      <c r="G1349" s="14"/>
      <c r="H1349" s="34"/>
      <c r="I1349" s="34"/>
      <c r="J1349" s="34"/>
      <c r="K1349" s="34"/>
      <c r="L1349" s="34"/>
      <c r="N1349" s="34"/>
      <c r="O1349" s="35"/>
      <c r="P1349" s="35"/>
      <c r="Q1349" s="35"/>
      <c r="R1349" s="35"/>
      <c r="S1349" s="74"/>
    </row>
    <row r="1350" spans="1:19" ht="13.5" thickBot="1">
      <c r="A1350" s="103">
        <v>40597</v>
      </c>
      <c r="B1350" s="104">
        <v>3.6035299301147461</v>
      </c>
      <c r="C1350" s="105">
        <v>1307.4000244140625</v>
      </c>
      <c r="D1350" s="104">
        <v>1.6200000047683716</v>
      </c>
      <c r="E1350">
        <v>82.521870979309782</v>
      </c>
      <c r="F1350">
        <v>1414.7742919921875</v>
      </c>
      <c r="G1350" s="14"/>
      <c r="H1350" s="34"/>
      <c r="I1350" s="34"/>
      <c r="J1350" s="34"/>
      <c r="K1350" s="34"/>
      <c r="L1350" s="34"/>
      <c r="N1350" s="34"/>
      <c r="O1350" s="35"/>
      <c r="P1350" s="35"/>
      <c r="Q1350" s="35"/>
      <c r="R1350" s="35"/>
      <c r="S1350" s="74"/>
    </row>
    <row r="1351" spans="1:19" ht="13.5" thickBot="1">
      <c r="A1351" s="103">
        <v>40598</v>
      </c>
      <c r="B1351" s="104">
        <v>3.5559999942779541</v>
      </c>
      <c r="C1351" s="105">
        <v>1306.0999755859375</v>
      </c>
      <c r="D1351" s="104">
        <v>1.6138999462127686</v>
      </c>
      <c r="E1351">
        <v>81.779522556277882</v>
      </c>
      <c r="F1351">
        <v>1414.2489013671875</v>
      </c>
      <c r="G1351" s="14"/>
      <c r="H1351" s="34"/>
      <c r="I1351" s="34"/>
      <c r="J1351" s="34"/>
      <c r="K1351" s="34"/>
      <c r="L1351" s="34"/>
      <c r="N1351" s="34"/>
      <c r="O1351" s="35"/>
      <c r="P1351" s="35"/>
      <c r="Q1351" s="35"/>
      <c r="R1351" s="35"/>
      <c r="S1351" s="74"/>
    </row>
    <row r="1352" spans="1:19" ht="13.5" thickBot="1">
      <c r="A1352" s="103">
        <v>40599</v>
      </c>
      <c r="B1352" s="104">
        <v>3.547260046005249</v>
      </c>
      <c r="C1352" s="105">
        <v>1319.8800048828125</v>
      </c>
      <c r="D1352" s="104">
        <v>1.6096999645233154</v>
      </c>
      <c r="E1352">
        <v>81.719373799933777</v>
      </c>
      <c r="F1352">
        <v>1407.049072265625</v>
      </c>
      <c r="G1352" s="14"/>
      <c r="H1352" s="34"/>
      <c r="I1352" s="34"/>
      <c r="J1352" s="34"/>
      <c r="K1352" s="34"/>
      <c r="L1352" s="34"/>
      <c r="N1352" s="34"/>
      <c r="O1352" s="35"/>
      <c r="P1352" s="35"/>
      <c r="Q1352" s="35"/>
      <c r="R1352" s="35"/>
      <c r="S1352" s="74"/>
    </row>
    <row r="1353" spans="1:19" ht="13.5" thickBot="1">
      <c r="A1353" s="103">
        <v>40602</v>
      </c>
      <c r="B1353" s="104">
        <v>3.527440071105957</v>
      </c>
      <c r="C1353" s="105">
        <v>1327.219970703125</v>
      </c>
      <c r="D1353" s="104">
        <v>1.6267999410629272</v>
      </c>
      <c r="E1353">
        <v>81.746094962163923</v>
      </c>
      <c r="F1353">
        <v>1412.7744140625</v>
      </c>
      <c r="G1353" s="14"/>
      <c r="H1353" s="34"/>
      <c r="I1353" s="34"/>
      <c r="J1353" s="34"/>
      <c r="K1353" s="34"/>
      <c r="L1353" s="34"/>
      <c r="N1353" s="34"/>
      <c r="O1353" s="35"/>
      <c r="P1353" s="35"/>
      <c r="Q1353" s="35"/>
      <c r="R1353" s="35"/>
      <c r="S1353" s="74"/>
    </row>
    <row r="1354" spans="1:19" ht="13.5" thickBot="1">
      <c r="A1354" s="103">
        <v>40603</v>
      </c>
      <c r="B1354" s="104">
        <v>3.5280299186706543</v>
      </c>
      <c r="C1354" s="105">
        <v>1306.3299560546875</v>
      </c>
      <c r="D1354" s="104">
        <v>1.6252000331878662</v>
      </c>
      <c r="E1354">
        <v>81.940348803356542</v>
      </c>
      <c r="F1354">
        <v>1429.6741943359375</v>
      </c>
      <c r="G1354" s="14"/>
      <c r="H1354" s="34"/>
      <c r="I1354" s="34"/>
      <c r="J1354" s="34"/>
      <c r="K1354" s="34"/>
      <c r="L1354" s="34"/>
      <c r="N1354" s="34"/>
      <c r="O1354" s="35"/>
      <c r="P1354" s="35"/>
      <c r="Q1354" s="35"/>
      <c r="R1354" s="35"/>
      <c r="S1354" s="74"/>
    </row>
    <row r="1355" spans="1:19" ht="13.5" thickBot="1">
      <c r="A1355" s="103">
        <v>40604</v>
      </c>
      <c r="B1355" s="104">
        <v>3.5891199111938477</v>
      </c>
      <c r="C1355" s="105">
        <v>1308.43994140625</v>
      </c>
      <c r="D1355" s="104">
        <v>1.6328999996185303</v>
      </c>
      <c r="E1355">
        <v>81.900079845081621</v>
      </c>
      <c r="F1355">
        <v>1438.6741943359375</v>
      </c>
      <c r="G1355" s="14"/>
      <c r="H1355" s="34"/>
      <c r="I1355" s="34"/>
      <c r="J1355" s="34"/>
      <c r="K1355" s="34"/>
      <c r="L1355" s="34"/>
      <c r="N1355" s="34"/>
      <c r="O1355" s="35"/>
      <c r="P1355" s="35"/>
      <c r="Q1355" s="35"/>
      <c r="R1355" s="35"/>
      <c r="S1355" s="74"/>
    </row>
    <row r="1356" spans="1:19" ht="13.5" thickBot="1">
      <c r="A1356" s="103">
        <v>40605</v>
      </c>
      <c r="B1356" s="104">
        <v>3.7053399085998535</v>
      </c>
      <c r="C1356" s="105">
        <v>1330.969970703125</v>
      </c>
      <c r="D1356" s="104">
        <v>1.6274000406265259</v>
      </c>
      <c r="E1356">
        <v>82.37910866775222</v>
      </c>
      <c r="F1356">
        <v>1416.349365234375</v>
      </c>
      <c r="G1356" s="14"/>
      <c r="H1356" s="34"/>
      <c r="I1356" s="34"/>
      <c r="J1356" s="34"/>
      <c r="K1356" s="34"/>
      <c r="L1356" s="34"/>
      <c r="N1356" s="34"/>
      <c r="O1356" s="35"/>
      <c r="P1356" s="35"/>
      <c r="Q1356" s="35"/>
      <c r="R1356" s="35"/>
      <c r="S1356" s="74"/>
    </row>
    <row r="1357" spans="1:19" ht="13.5" thickBot="1">
      <c r="A1357" s="103">
        <v>40606</v>
      </c>
      <c r="B1357" s="104">
        <v>3.6105899810791016</v>
      </c>
      <c r="C1357" s="105">
        <v>1321.1500244140625</v>
      </c>
      <c r="D1357" s="104">
        <v>1.6260999441146851</v>
      </c>
      <c r="E1357">
        <v>82.358756169667004</v>
      </c>
      <c r="F1357">
        <v>1428.4410400390625</v>
      </c>
      <c r="G1357" s="14"/>
      <c r="H1357" s="34"/>
      <c r="I1357" s="34"/>
      <c r="J1357" s="34"/>
      <c r="K1357" s="34"/>
      <c r="L1357" s="34"/>
      <c r="N1357" s="34"/>
      <c r="O1357" s="35"/>
      <c r="P1357" s="35"/>
      <c r="Q1357" s="35"/>
      <c r="R1357" s="35"/>
      <c r="S1357" s="74"/>
    </row>
    <row r="1358" spans="1:19" ht="13.5" thickBot="1">
      <c r="A1358" s="103">
        <v>40609</v>
      </c>
      <c r="B1358" s="104">
        <v>3.6073598861694336</v>
      </c>
      <c r="C1358" s="105">
        <v>1310.1300048828125</v>
      </c>
      <c r="D1358" s="104">
        <v>1.6201000213623047</v>
      </c>
      <c r="E1358">
        <v>82.297752662156171</v>
      </c>
      <c r="F1358">
        <v>1432.070556640625</v>
      </c>
      <c r="G1358" s="14"/>
      <c r="H1358" s="34"/>
      <c r="I1358" s="34"/>
      <c r="J1358" s="34"/>
      <c r="K1358" s="34"/>
      <c r="L1358" s="34"/>
      <c r="N1358" s="34"/>
      <c r="O1358" s="35"/>
      <c r="P1358" s="35"/>
      <c r="Q1358" s="35"/>
      <c r="R1358" s="35"/>
      <c r="S1358" s="74"/>
    </row>
    <row r="1359" spans="1:19" ht="13.5" thickBot="1">
      <c r="A1359" s="103">
        <v>40610</v>
      </c>
      <c r="B1359" s="104">
        <v>3.6458799839019775</v>
      </c>
      <c r="C1359" s="105">
        <v>1321.8199462890625</v>
      </c>
      <c r="D1359" s="104">
        <v>1.6159000396728516</v>
      </c>
      <c r="E1359">
        <v>82.658287996986019</v>
      </c>
      <c r="F1359">
        <v>1428.0706787109375</v>
      </c>
      <c r="G1359" s="14"/>
      <c r="H1359" s="34"/>
      <c r="I1359" s="34"/>
      <c r="J1359" s="34"/>
      <c r="K1359" s="34"/>
      <c r="L1359" s="34"/>
      <c r="N1359" s="34"/>
      <c r="O1359" s="35"/>
      <c r="P1359" s="35"/>
      <c r="Q1359" s="35"/>
      <c r="R1359" s="35"/>
      <c r="S1359" s="74"/>
    </row>
    <row r="1360" spans="1:19" ht="13.5" thickBot="1">
      <c r="A1360" s="103">
        <v>40611</v>
      </c>
      <c r="B1360" s="104">
        <v>3.5718700885772705</v>
      </c>
      <c r="C1360" s="105">
        <v>1320.02001953125</v>
      </c>
      <c r="D1360" s="104">
        <v>1.6191999912261963</v>
      </c>
      <c r="E1360">
        <v>82.699306190861364</v>
      </c>
      <c r="F1360">
        <v>1428.120849609375</v>
      </c>
      <c r="G1360" s="14"/>
      <c r="H1360" s="34"/>
      <c r="I1360" s="34"/>
      <c r="J1360" s="34"/>
      <c r="K1360" s="34"/>
      <c r="L1360" s="34"/>
      <c r="N1360" s="34"/>
      <c r="O1360" s="35"/>
      <c r="P1360" s="35"/>
      <c r="Q1360" s="35"/>
      <c r="R1360" s="35"/>
      <c r="S1360" s="74"/>
    </row>
    <row r="1361" spans="1:19" ht="13.5" thickBot="1">
      <c r="A1361" s="103">
        <v>40612</v>
      </c>
      <c r="B1361" s="104">
        <v>3.5022099018096924</v>
      </c>
      <c r="C1361" s="105">
        <v>1295.1099853515625</v>
      </c>
      <c r="D1361" s="104">
        <v>1.6052000522613525</v>
      </c>
      <c r="E1361">
        <v>83.022002563939992</v>
      </c>
      <c r="F1361">
        <v>1406.5927734375</v>
      </c>
      <c r="G1361" s="14"/>
      <c r="H1361" s="34"/>
      <c r="I1361" s="34"/>
      <c r="J1361" s="34"/>
      <c r="K1361" s="34"/>
      <c r="L1361" s="34"/>
      <c r="N1361" s="34"/>
      <c r="O1361" s="35"/>
      <c r="P1361" s="35"/>
      <c r="Q1361" s="35"/>
      <c r="R1361" s="35"/>
      <c r="S1361" s="74"/>
    </row>
    <row r="1362" spans="1:19" ht="13.5" thickBot="1">
      <c r="A1362" s="103">
        <v>40613</v>
      </c>
      <c r="B1362" s="104">
        <v>3.5075600147247314</v>
      </c>
      <c r="C1362" s="105">
        <v>1304.280029296875</v>
      </c>
      <c r="D1362" s="104">
        <v>1.6073000431060791</v>
      </c>
      <c r="E1362">
        <v>81.879963326647911</v>
      </c>
      <c r="F1362">
        <v>1419.9923095703125</v>
      </c>
      <c r="G1362" s="14"/>
      <c r="H1362" s="34"/>
      <c r="I1362" s="34"/>
      <c r="J1362" s="34"/>
      <c r="K1362" s="34"/>
      <c r="L1362" s="34"/>
      <c r="N1362" s="34"/>
      <c r="O1362" s="35"/>
      <c r="P1362" s="35"/>
      <c r="Q1362" s="35"/>
      <c r="R1362" s="35"/>
      <c r="S1362" s="74"/>
    </row>
    <row r="1363" spans="1:19" ht="13.5" thickBot="1">
      <c r="A1363" s="103">
        <v>40616</v>
      </c>
      <c r="B1363" s="104">
        <v>3.4645800590515137</v>
      </c>
      <c r="C1363" s="105">
        <v>1296.3900146484375</v>
      </c>
      <c r="D1363" s="104">
        <v>1.6172000169754028</v>
      </c>
      <c r="E1363">
        <v>81.659319667546882</v>
      </c>
      <c r="F1363">
        <v>1423.3212890625</v>
      </c>
      <c r="G1363" s="14"/>
      <c r="H1363" s="34"/>
      <c r="I1363" s="34"/>
      <c r="J1363" s="34"/>
      <c r="K1363" s="34"/>
      <c r="L1363" s="34"/>
      <c r="N1363" s="34"/>
      <c r="O1363" s="35"/>
      <c r="P1363" s="35"/>
      <c r="Q1363" s="35"/>
      <c r="R1363" s="35"/>
      <c r="S1363" s="74"/>
    </row>
    <row r="1364" spans="1:19" ht="13.5" thickBot="1">
      <c r="A1364" s="103">
        <v>40617</v>
      </c>
      <c r="B1364" s="104">
        <v>3.4394600391387939</v>
      </c>
      <c r="C1364" s="105">
        <v>1281.8699951171875</v>
      </c>
      <c r="D1364" s="104">
        <v>1.6094000339508057</v>
      </c>
      <c r="E1364">
        <v>80.860355005077579</v>
      </c>
      <c r="F1364">
        <v>1393.322021484375</v>
      </c>
      <c r="G1364" s="14"/>
      <c r="H1364" s="34"/>
      <c r="I1364" s="34"/>
      <c r="J1364" s="34"/>
      <c r="K1364" s="34"/>
      <c r="L1364" s="34"/>
      <c r="N1364" s="34"/>
      <c r="O1364" s="35"/>
      <c r="P1364" s="35"/>
      <c r="Q1364" s="35"/>
      <c r="R1364" s="35"/>
      <c r="S1364" s="74"/>
    </row>
    <row r="1365" spans="1:19" ht="13.5" thickBot="1">
      <c r="A1365" s="103">
        <v>40618</v>
      </c>
      <c r="B1365" s="104">
        <v>3.3260200023651123</v>
      </c>
      <c r="C1365" s="105">
        <v>1256.8800048828125</v>
      </c>
      <c r="D1365" s="104">
        <v>1.5989999771118164</v>
      </c>
      <c r="E1365">
        <v>77.82101414581193</v>
      </c>
      <c r="F1365">
        <v>1395.9219970703125</v>
      </c>
      <c r="G1365" s="14"/>
      <c r="H1365" s="34"/>
      <c r="I1365" s="34"/>
      <c r="J1365" s="34"/>
      <c r="K1365" s="34"/>
      <c r="L1365" s="34"/>
      <c r="N1365" s="34"/>
      <c r="O1365" s="35"/>
      <c r="P1365" s="35"/>
      <c r="Q1365" s="35"/>
      <c r="R1365" s="35"/>
      <c r="S1365" s="74"/>
    </row>
    <row r="1366" spans="1:19" ht="13.5" thickBot="1">
      <c r="A1366" s="103">
        <v>40619</v>
      </c>
      <c r="B1366" s="104">
        <v>3.3586699962615967</v>
      </c>
      <c r="C1366" s="105">
        <v>1273.719970703125</v>
      </c>
      <c r="D1366" s="104">
        <v>1.6131000518798828</v>
      </c>
      <c r="E1366">
        <v>79.057634945691873</v>
      </c>
      <c r="F1366">
        <v>1403.79443359375</v>
      </c>
      <c r="G1366" s="14"/>
      <c r="H1366" s="34"/>
      <c r="I1366" s="34"/>
      <c r="J1366" s="34"/>
      <c r="K1366" s="34"/>
      <c r="L1366" s="34"/>
      <c r="N1366" s="34"/>
      <c r="O1366" s="35"/>
      <c r="P1366" s="35"/>
      <c r="Q1366" s="35"/>
      <c r="R1366" s="35"/>
      <c r="S1366" s="74"/>
    </row>
    <row r="1367" spans="1:19" ht="13.5" thickBot="1">
      <c r="A1367" s="103">
        <v>40620</v>
      </c>
      <c r="B1367" s="104">
        <v>3.375770092010498</v>
      </c>
      <c r="C1367" s="105">
        <v>1279.199951171875</v>
      </c>
      <c r="D1367" s="104">
        <v>1.6217999458312988</v>
      </c>
      <c r="E1367">
        <v>80.958549284132474</v>
      </c>
      <c r="F1367">
        <v>1415.89404296875</v>
      </c>
      <c r="G1367" s="14"/>
      <c r="H1367" s="34"/>
      <c r="I1367" s="34"/>
      <c r="J1367" s="34"/>
      <c r="K1367" s="34"/>
      <c r="L1367" s="34"/>
      <c r="N1367" s="34"/>
      <c r="O1367" s="35"/>
      <c r="P1367" s="35"/>
      <c r="Q1367" s="35"/>
      <c r="R1367" s="35"/>
      <c r="S1367" s="74"/>
    </row>
    <row r="1368" spans="1:19" ht="13.5" thickBot="1">
      <c r="A1368" s="103">
        <v>40623</v>
      </c>
      <c r="B1368" s="104">
        <v>3.4289999008178711</v>
      </c>
      <c r="C1368" s="105">
        <v>1298.3800048828125</v>
      </c>
      <c r="D1368" s="104">
        <v>1.6315000057220459</v>
      </c>
      <c r="E1368">
        <v>81.083272002826064</v>
      </c>
      <c r="F1368">
        <v>1427.921875</v>
      </c>
      <c r="G1368" s="14"/>
      <c r="H1368" s="34"/>
      <c r="I1368" s="34"/>
      <c r="J1368" s="34"/>
      <c r="K1368" s="34"/>
      <c r="L1368" s="34"/>
      <c r="N1368" s="34"/>
      <c r="O1368" s="35"/>
      <c r="P1368" s="35"/>
      <c r="Q1368" s="35"/>
      <c r="R1368" s="35"/>
      <c r="S1368" s="74"/>
    </row>
    <row r="1369" spans="1:19" ht="13.5" thickBot="1">
      <c r="A1369" s="103">
        <v>40624</v>
      </c>
      <c r="B1369" s="104">
        <v>3.4461300373077393</v>
      </c>
      <c r="C1369" s="105">
        <v>1293.77001953125</v>
      </c>
      <c r="D1369" s="104">
        <v>1.638200044631958</v>
      </c>
      <c r="E1369">
        <v>80.938892574143978</v>
      </c>
      <c r="F1369">
        <v>1425.0220947265625</v>
      </c>
      <c r="G1369" s="14"/>
      <c r="H1369" s="34"/>
      <c r="I1369" s="34"/>
      <c r="J1369" s="34"/>
      <c r="K1369" s="34"/>
      <c r="L1369" s="34"/>
      <c r="N1369" s="34"/>
      <c r="O1369" s="35"/>
      <c r="P1369" s="35"/>
      <c r="Q1369" s="35"/>
      <c r="R1369" s="35"/>
      <c r="S1369" s="74"/>
    </row>
    <row r="1370" spans="1:19" ht="13.5" thickBot="1">
      <c r="A1370" s="103">
        <v>40625</v>
      </c>
      <c r="B1370" s="104">
        <v>3.4614500999450684</v>
      </c>
      <c r="C1370" s="105">
        <v>1297.5400390625</v>
      </c>
      <c r="D1370" s="104">
        <v>1.6246999502182007</v>
      </c>
      <c r="E1370">
        <v>80.860355005077579</v>
      </c>
      <c r="F1370">
        <v>1437.922119140625</v>
      </c>
      <c r="G1370" s="14"/>
      <c r="H1370" s="34"/>
      <c r="I1370" s="34"/>
      <c r="J1370" s="34"/>
      <c r="K1370" s="34"/>
      <c r="L1370" s="34"/>
      <c r="N1370" s="34"/>
      <c r="O1370" s="35"/>
      <c r="P1370" s="35"/>
      <c r="Q1370" s="35"/>
      <c r="R1370" s="35"/>
      <c r="S1370" s="74"/>
    </row>
    <row r="1371" spans="1:19" ht="13.5" thickBot="1">
      <c r="A1371" s="103">
        <v>40626</v>
      </c>
      <c r="B1371" s="104">
        <v>3.5168099403381348</v>
      </c>
      <c r="C1371" s="105">
        <v>1309.6600341796875</v>
      </c>
      <c r="D1371" s="104">
        <v>1.6109999418258667</v>
      </c>
      <c r="E1371">
        <v>80.938892574143978</v>
      </c>
      <c r="F1371">
        <v>1433.6949462890625</v>
      </c>
      <c r="G1371" s="14"/>
      <c r="H1371" s="34"/>
      <c r="I1371" s="34"/>
      <c r="J1371" s="34"/>
      <c r="K1371" s="34"/>
      <c r="L1371" s="34"/>
      <c r="N1371" s="34"/>
      <c r="O1371" s="35"/>
      <c r="P1371" s="35"/>
      <c r="Q1371" s="35"/>
      <c r="R1371" s="35"/>
      <c r="S1371" s="74"/>
    </row>
    <row r="1372" spans="1:19" ht="13.5" thickBot="1">
      <c r="A1372" s="103">
        <v>40627</v>
      </c>
      <c r="B1372" s="104">
        <v>3.5543699264526367</v>
      </c>
      <c r="C1372" s="105">
        <v>1313.800048828125</v>
      </c>
      <c r="D1372" s="104">
        <v>1.6030999422073364</v>
      </c>
      <c r="E1372">
        <v>81.433222277417329</v>
      </c>
      <c r="F1372">
        <v>1427.1954345703125</v>
      </c>
      <c r="G1372" s="14"/>
      <c r="H1372" s="34"/>
      <c r="I1372" s="34"/>
      <c r="J1372" s="34"/>
      <c r="K1372" s="34"/>
      <c r="L1372" s="34"/>
      <c r="N1372" s="34"/>
      <c r="O1372" s="35"/>
      <c r="P1372" s="35"/>
      <c r="Q1372" s="35"/>
      <c r="R1372" s="35"/>
      <c r="S1372" s="74"/>
    </row>
    <row r="1373" spans="1:19" ht="13.5" thickBot="1">
      <c r="A1373" s="103">
        <v>40630</v>
      </c>
      <c r="B1373" s="104">
        <v>3.558690071105957</v>
      </c>
      <c r="C1373" s="105">
        <v>1310.18994140625</v>
      </c>
      <c r="D1373" s="104">
        <v>1.6000000238418579</v>
      </c>
      <c r="E1373">
        <v>81.659319667546882</v>
      </c>
      <c r="F1373">
        <v>1422.7230224609375</v>
      </c>
      <c r="G1373" s="14"/>
      <c r="H1373" s="34"/>
      <c r="I1373" s="34"/>
      <c r="J1373" s="34"/>
      <c r="K1373" s="34"/>
      <c r="L1373" s="34"/>
      <c r="N1373" s="34"/>
      <c r="O1373" s="35"/>
      <c r="P1373" s="35"/>
      <c r="Q1373" s="35"/>
      <c r="R1373" s="35"/>
      <c r="S1373" s="74"/>
    </row>
    <row r="1374" spans="1:19" ht="13.5" thickBot="1">
      <c r="A1374" s="103">
        <v>40631</v>
      </c>
      <c r="B1374" s="104">
        <v>3.6009500026702881</v>
      </c>
      <c r="C1374" s="105">
        <v>1319.43994140625</v>
      </c>
      <c r="D1374" s="104">
        <v>1.5990999937057495</v>
      </c>
      <c r="E1374">
        <v>82.46062568258526</v>
      </c>
      <c r="F1374">
        <v>1416.5233154296875</v>
      </c>
      <c r="G1374" s="14"/>
      <c r="H1374" s="34"/>
      <c r="I1374" s="34"/>
      <c r="J1374" s="34"/>
      <c r="K1374" s="34"/>
      <c r="L1374" s="34"/>
      <c r="N1374" s="34"/>
      <c r="O1374" s="35"/>
      <c r="P1374" s="35"/>
      <c r="Q1374" s="35"/>
      <c r="R1374" s="35"/>
      <c r="S1374" s="74"/>
    </row>
    <row r="1375" spans="1:19" ht="13.5" thickBot="1">
      <c r="A1375" s="103">
        <v>40632</v>
      </c>
      <c r="B1375" s="104">
        <v>3.5579099655151367</v>
      </c>
      <c r="C1375" s="105">
        <v>1328.260009765625</v>
      </c>
      <c r="D1375" s="104">
        <v>1.6068999767303467</v>
      </c>
      <c r="E1375">
        <v>82.898115799300641</v>
      </c>
      <c r="F1375">
        <v>1424.573486328125</v>
      </c>
      <c r="G1375" s="14"/>
      <c r="H1375" s="34"/>
      <c r="I1375" s="34"/>
      <c r="J1375" s="34"/>
      <c r="K1375" s="34"/>
      <c r="L1375" s="34"/>
      <c r="N1375" s="34"/>
      <c r="O1375" s="35"/>
      <c r="P1375" s="35"/>
      <c r="Q1375" s="35"/>
      <c r="R1375" s="35"/>
      <c r="S1375" s="74"/>
    </row>
    <row r="1376" spans="1:19" ht="13.5" thickBot="1">
      <c r="A1376" s="103">
        <v>40633</v>
      </c>
      <c r="B1376" s="104">
        <v>3.5566399097442627</v>
      </c>
      <c r="C1376" s="105">
        <v>1325.8299560546875</v>
      </c>
      <c r="D1376" s="104">
        <v>1.6066999435424805</v>
      </c>
      <c r="E1376">
        <v>83.097890021126958</v>
      </c>
      <c r="F1376">
        <v>1436.546630859375</v>
      </c>
      <c r="G1376" s="14"/>
      <c r="H1376" s="34"/>
      <c r="I1376" s="34"/>
      <c r="J1376" s="34"/>
      <c r="K1376" s="34"/>
      <c r="L1376" s="34"/>
      <c r="N1376" s="34"/>
      <c r="O1376" s="35"/>
      <c r="P1376" s="35"/>
      <c r="Q1376" s="35"/>
      <c r="R1376" s="35"/>
      <c r="S1376" s="74"/>
    </row>
    <row r="1377" spans="1:19" ht="13.5" thickBot="1">
      <c r="A1377" s="103">
        <v>40634</v>
      </c>
      <c r="B1377" s="104">
        <v>3.5502700805664062</v>
      </c>
      <c r="C1377" s="105">
        <v>1332.4100341796875</v>
      </c>
      <c r="D1377" s="104">
        <v>1.6119999885559082</v>
      </c>
      <c r="E1377">
        <v>84.097216574362008</v>
      </c>
      <c r="F1377">
        <v>1423.9471435546875</v>
      </c>
      <c r="G1377" s="14"/>
      <c r="H1377" s="34"/>
      <c r="I1377" s="34"/>
      <c r="J1377" s="34"/>
      <c r="K1377" s="34"/>
      <c r="L1377" s="34"/>
      <c r="N1377" s="34"/>
      <c r="O1377" s="35"/>
      <c r="P1377" s="35"/>
      <c r="Q1377" s="35"/>
      <c r="R1377" s="35"/>
      <c r="S1377" s="74"/>
    </row>
    <row r="1378" spans="1:19" ht="13.5" thickBot="1">
      <c r="A1378" s="103">
        <v>40637</v>
      </c>
      <c r="B1378" s="104">
        <v>3.5315799713134766</v>
      </c>
      <c r="C1378" s="105">
        <v>1332.8699951171875</v>
      </c>
      <c r="D1378" s="104">
        <v>1.6124999523162842</v>
      </c>
      <c r="E1378">
        <v>84.054806891270644</v>
      </c>
      <c r="F1378">
        <v>1432.673828125</v>
      </c>
      <c r="G1378" s="14"/>
      <c r="H1378" s="34"/>
      <c r="I1378" s="34"/>
      <c r="J1378" s="34"/>
      <c r="K1378" s="34"/>
      <c r="L1378" s="34"/>
      <c r="N1378" s="34"/>
      <c r="O1378" s="35"/>
      <c r="P1378" s="35"/>
      <c r="Q1378" s="35"/>
      <c r="R1378" s="35"/>
      <c r="S1378" s="74"/>
    </row>
    <row r="1379" spans="1:19" ht="13.5" thickBot="1">
      <c r="A1379" s="103">
        <v>40638</v>
      </c>
      <c r="B1379" s="104">
        <v>3.5994400978088379</v>
      </c>
      <c r="C1379" s="105">
        <v>1332.6300048828125</v>
      </c>
      <c r="D1379" s="104">
        <v>1.6281000375747681</v>
      </c>
      <c r="E1379">
        <v>84.839228851957486</v>
      </c>
      <c r="F1379">
        <v>1448.57421875</v>
      </c>
      <c r="G1379" s="14"/>
      <c r="H1379" s="34"/>
      <c r="I1379" s="34"/>
      <c r="J1379" s="34"/>
      <c r="K1379" s="34"/>
      <c r="L1379" s="34"/>
      <c r="N1379" s="34"/>
      <c r="O1379" s="35"/>
      <c r="P1379" s="35"/>
      <c r="Q1379" s="35"/>
      <c r="R1379" s="35"/>
      <c r="S1379" s="74"/>
    </row>
    <row r="1380" spans="1:19" ht="13.5" thickBot="1">
      <c r="A1380" s="103">
        <v>40639</v>
      </c>
      <c r="B1380" s="104">
        <v>3.6501600742340088</v>
      </c>
      <c r="C1380" s="105">
        <v>1335.5400390625</v>
      </c>
      <c r="D1380" s="104">
        <v>1.6332000494003296</v>
      </c>
      <c r="E1380">
        <v>85.440877009238591</v>
      </c>
      <c r="F1380">
        <v>1456.1746826171875</v>
      </c>
      <c r="G1380" s="14"/>
      <c r="H1380" s="34"/>
      <c r="I1380" s="34"/>
      <c r="J1380" s="34"/>
      <c r="K1380" s="34"/>
      <c r="L1380" s="34"/>
      <c r="N1380" s="34"/>
      <c r="O1380" s="35"/>
      <c r="P1380" s="35"/>
      <c r="Q1380" s="35"/>
      <c r="R1380" s="35"/>
      <c r="S1380" s="74"/>
    </row>
    <row r="1381" spans="1:19" ht="13.5" thickBot="1">
      <c r="A1381" s="103">
        <v>40640</v>
      </c>
      <c r="B1381" s="104">
        <v>3.6520600318908691</v>
      </c>
      <c r="C1381" s="105">
        <v>1333.510009765625</v>
      </c>
      <c r="D1381" s="104">
        <v>1.6313999891281128</v>
      </c>
      <c r="E1381">
        <v>84.918476376547886</v>
      </c>
      <c r="F1381">
        <v>1457.9503173828125</v>
      </c>
      <c r="G1381" s="14"/>
      <c r="H1381" s="34"/>
      <c r="I1381" s="34"/>
      <c r="J1381" s="34"/>
      <c r="K1381" s="34"/>
      <c r="L1381" s="34"/>
      <c r="N1381" s="34"/>
      <c r="O1381" s="35"/>
      <c r="P1381" s="35"/>
      <c r="Q1381" s="35"/>
      <c r="R1381" s="35"/>
      <c r="S1381" s="74"/>
    </row>
    <row r="1382" spans="1:19" ht="13.5" thickBot="1">
      <c r="A1382" s="103">
        <v>40641</v>
      </c>
      <c r="B1382" s="104">
        <v>3.6671099662780762</v>
      </c>
      <c r="C1382" s="105">
        <v>1328.1700439453125</v>
      </c>
      <c r="D1382" s="104">
        <v>1.6351000070571899</v>
      </c>
      <c r="E1382">
        <v>84.817642772778783</v>
      </c>
      <c r="F1382">
        <v>1472.150146484375</v>
      </c>
      <c r="G1382" s="14"/>
      <c r="H1382" s="34"/>
      <c r="I1382" s="34"/>
      <c r="J1382" s="34"/>
      <c r="K1382" s="34"/>
      <c r="L1382" s="34"/>
      <c r="N1382" s="34"/>
      <c r="O1382" s="35"/>
      <c r="P1382" s="35"/>
      <c r="Q1382" s="35"/>
      <c r="R1382" s="35"/>
      <c r="S1382" s="74"/>
    </row>
    <row r="1383" spans="1:19" ht="13.5" thickBot="1">
      <c r="A1383" s="103">
        <v>40644</v>
      </c>
      <c r="B1383" s="104">
        <v>3.6608099937438965</v>
      </c>
      <c r="C1383" s="105">
        <v>1324.4599609375</v>
      </c>
      <c r="D1383" s="104">
        <v>1.6345000267028809</v>
      </c>
      <c r="E1383">
        <v>84.681176707834197</v>
      </c>
      <c r="F1383">
        <v>1465.87548828125</v>
      </c>
      <c r="G1383" s="14"/>
      <c r="H1383" s="34"/>
      <c r="I1383" s="34"/>
      <c r="J1383" s="34"/>
      <c r="K1383" s="34"/>
      <c r="L1383" s="34"/>
      <c r="N1383" s="34"/>
      <c r="O1383" s="35"/>
      <c r="P1383" s="35"/>
      <c r="Q1383" s="35"/>
      <c r="R1383" s="35"/>
      <c r="S1383" s="74"/>
    </row>
    <row r="1384" spans="1:19" ht="13.5" thickBot="1">
      <c r="A1384" s="103">
        <v>40645</v>
      </c>
      <c r="B1384" s="104">
        <v>3.5879499912261963</v>
      </c>
      <c r="C1384" s="105">
        <v>1314.1600341796875</v>
      </c>
      <c r="D1384" s="104">
        <v>1.6256999969482422</v>
      </c>
      <c r="E1384">
        <v>83.717036989216936</v>
      </c>
      <c r="F1384">
        <v>1449.7763671875</v>
      </c>
      <c r="G1384" s="14"/>
      <c r="H1384" s="34"/>
      <c r="I1384" s="34"/>
      <c r="J1384" s="34"/>
      <c r="K1384" s="34"/>
      <c r="L1384" s="34"/>
      <c r="N1384" s="34"/>
      <c r="O1384" s="35"/>
      <c r="P1384" s="35"/>
      <c r="Q1384" s="35"/>
      <c r="R1384" s="35"/>
      <c r="S1384" s="74"/>
    </row>
    <row r="1385" spans="1:19" ht="13.5" thickBot="1">
      <c r="A1385" s="103">
        <v>40646</v>
      </c>
      <c r="B1385" s="104">
        <v>3.5472800731658936</v>
      </c>
      <c r="C1385" s="105">
        <v>1314.4100341796875</v>
      </c>
      <c r="D1385" s="104">
        <v>1.6273000240325928</v>
      </c>
      <c r="E1385">
        <v>83.843378829172863</v>
      </c>
      <c r="F1385">
        <v>1451.676513671875</v>
      </c>
      <c r="G1385" s="14"/>
      <c r="H1385" s="34"/>
      <c r="I1385" s="34"/>
      <c r="J1385" s="34"/>
      <c r="K1385" s="34"/>
      <c r="L1385" s="34"/>
      <c r="N1385" s="34"/>
      <c r="O1385" s="35"/>
      <c r="P1385" s="35"/>
      <c r="Q1385" s="35"/>
      <c r="R1385" s="35"/>
      <c r="S1385" s="74"/>
    </row>
    <row r="1386" spans="1:19" ht="13.5" thickBot="1">
      <c r="A1386" s="103">
        <v>40647</v>
      </c>
      <c r="B1386" s="104">
        <v>3.577239990234375</v>
      </c>
      <c r="C1386" s="105">
        <v>1314.52001953125</v>
      </c>
      <c r="D1386" s="104">
        <v>1.6353000402450562</v>
      </c>
      <c r="E1386">
        <v>83.43762881935497</v>
      </c>
      <c r="F1386">
        <v>1471.952880859375</v>
      </c>
      <c r="G1386" s="14"/>
      <c r="H1386" s="34"/>
      <c r="I1386" s="34"/>
      <c r="J1386" s="34"/>
      <c r="K1386" s="34"/>
      <c r="L1386" s="34"/>
      <c r="N1386" s="34"/>
      <c r="O1386" s="35"/>
      <c r="P1386" s="35"/>
      <c r="Q1386" s="35"/>
      <c r="R1386" s="35"/>
      <c r="S1386" s="74"/>
    </row>
    <row r="1387" spans="1:19" ht="13.5" thickBot="1">
      <c r="A1387" s="103">
        <v>40648</v>
      </c>
      <c r="B1387" s="104">
        <v>3.4960401058197021</v>
      </c>
      <c r="C1387" s="105">
        <v>1319.6800537109375</v>
      </c>
      <c r="D1387" s="104">
        <v>1.6308000087738037</v>
      </c>
      <c r="E1387">
        <v>83.13933934171105</v>
      </c>
      <c r="F1387">
        <v>1484.4527587890625</v>
      </c>
      <c r="G1387" s="14"/>
      <c r="H1387" s="34"/>
      <c r="I1387" s="34"/>
      <c r="J1387" s="34"/>
      <c r="K1387" s="34"/>
      <c r="L1387" s="34"/>
      <c r="N1387" s="34"/>
      <c r="O1387" s="35"/>
      <c r="P1387" s="35"/>
      <c r="Q1387" s="35"/>
      <c r="R1387" s="35"/>
      <c r="S1387" s="74"/>
    </row>
    <row r="1388" spans="1:19" ht="13.5" thickBot="1">
      <c r="A1388" s="103">
        <v>40651</v>
      </c>
      <c r="B1388" s="104">
        <v>3.4399800300598145</v>
      </c>
      <c r="C1388" s="105">
        <v>1305.1400146484375</v>
      </c>
      <c r="D1388" s="104">
        <v>1.6248999834060669</v>
      </c>
      <c r="E1388">
        <v>82.624144655644955</v>
      </c>
      <c r="F1388">
        <v>1493.6763916015625</v>
      </c>
      <c r="G1388" s="14"/>
      <c r="H1388" s="34"/>
      <c r="I1388" s="34"/>
      <c r="J1388" s="34"/>
      <c r="K1388" s="34"/>
      <c r="L1388" s="34"/>
      <c r="N1388" s="34"/>
      <c r="O1388" s="35"/>
      <c r="P1388" s="35"/>
      <c r="Q1388" s="35"/>
      <c r="R1388" s="35"/>
      <c r="S1388" s="74"/>
    </row>
    <row r="1389" spans="1:19" ht="13.5" thickBot="1">
      <c r="A1389" s="103">
        <v>40652</v>
      </c>
      <c r="B1389" s="104">
        <v>3.4307000637054443</v>
      </c>
      <c r="C1389" s="105">
        <v>1312.6199951171875</v>
      </c>
      <c r="D1389" s="104">
        <v>1.6317000389099121</v>
      </c>
      <c r="E1389">
        <v>82.399471227343625</v>
      </c>
      <c r="F1389">
        <v>1496.4764404296875</v>
      </c>
      <c r="G1389" s="14"/>
      <c r="H1389" s="34"/>
      <c r="I1389" s="34"/>
      <c r="J1389" s="34"/>
      <c r="K1389" s="34"/>
      <c r="L1389" s="34"/>
      <c r="N1389" s="34"/>
      <c r="O1389" s="35"/>
      <c r="P1389" s="35"/>
      <c r="Q1389" s="35"/>
      <c r="R1389" s="35"/>
      <c r="S1389" s="74"/>
    </row>
    <row r="1390" spans="1:19" ht="13.5" thickBot="1">
      <c r="A1390" s="103">
        <v>40653</v>
      </c>
      <c r="B1390" s="104">
        <v>3.4784200191497803</v>
      </c>
      <c r="C1390" s="105">
        <v>1330.3599853515625</v>
      </c>
      <c r="D1390" s="104">
        <v>1.6406999826431274</v>
      </c>
      <c r="E1390">
        <v>82.399471227343625</v>
      </c>
      <c r="F1390">
        <v>1501.2291259765625</v>
      </c>
      <c r="G1390" s="14"/>
      <c r="H1390" s="34"/>
      <c r="I1390" s="34"/>
      <c r="J1390" s="34"/>
      <c r="K1390" s="34"/>
      <c r="L1390" s="34"/>
      <c r="N1390" s="34"/>
      <c r="O1390" s="35"/>
      <c r="P1390" s="35"/>
      <c r="Q1390" s="35"/>
      <c r="R1390" s="35"/>
      <c r="S1390" s="74"/>
    </row>
    <row r="1391" spans="1:19" ht="13.5" thickBot="1">
      <c r="A1391" s="103">
        <v>40654</v>
      </c>
      <c r="B1391" s="104">
        <v>3.4781899452209473</v>
      </c>
      <c r="C1391" s="105">
        <v>1337.3800048828125</v>
      </c>
      <c r="D1391" s="104">
        <v>1.6517000198364258</v>
      </c>
      <c r="E1391">
        <v>81.819666785869657</v>
      </c>
      <c r="F1391">
        <v>1505.37841796875</v>
      </c>
      <c r="G1391" s="14"/>
      <c r="H1391" s="34"/>
      <c r="I1391" s="34"/>
      <c r="J1391" s="34"/>
      <c r="K1391" s="34"/>
      <c r="L1391" s="34"/>
      <c r="N1391" s="34"/>
      <c r="O1391" s="35"/>
      <c r="P1391" s="35"/>
      <c r="Q1391" s="35"/>
      <c r="R1391" s="35"/>
      <c r="S1391" s="74"/>
    </row>
    <row r="1392" spans="1:19" ht="13.5" thickBot="1">
      <c r="A1392" s="103">
        <v>40655</v>
      </c>
      <c r="B1392" s="104">
        <v>3.4781899452209473</v>
      </c>
      <c r="C1392" s="105">
        <v>1337.3800048828125</v>
      </c>
      <c r="D1392" s="104">
        <v>1.6511919498443604</v>
      </c>
      <c r="E1392">
        <v>81.900079845081621</v>
      </c>
      <c r="F1392">
        <v>1505.37841796875</v>
      </c>
      <c r="G1392" s="14"/>
      <c r="H1392" s="34"/>
      <c r="I1392" s="34"/>
      <c r="J1392" s="34"/>
      <c r="K1392" s="34"/>
      <c r="L1392" s="34"/>
      <c r="N1392" s="34"/>
      <c r="O1392" s="35"/>
      <c r="P1392" s="35"/>
      <c r="Q1392" s="35"/>
      <c r="R1392" s="35"/>
      <c r="S1392" s="74"/>
    </row>
    <row r="1393" spans="1:19" ht="13.5" thickBot="1">
      <c r="A1393" s="103">
        <v>40658</v>
      </c>
      <c r="B1393" s="104">
        <v>3.4408800601959229</v>
      </c>
      <c r="C1393" s="105">
        <v>1335.25</v>
      </c>
      <c r="D1393" s="104">
        <v>1.6506999731063843</v>
      </c>
      <c r="E1393">
        <v>81.799589745746275</v>
      </c>
      <c r="F1393">
        <v>1504.8138427734375</v>
      </c>
      <c r="G1393" s="14"/>
      <c r="H1393" s="34"/>
      <c r="I1393" s="34"/>
      <c r="J1393" s="34"/>
      <c r="K1393" s="34"/>
      <c r="L1393" s="34"/>
      <c r="N1393" s="34"/>
      <c r="O1393" s="35"/>
      <c r="P1393" s="35"/>
      <c r="Q1393" s="35"/>
      <c r="R1393" s="35"/>
      <c r="S1393" s="74"/>
    </row>
    <row r="1394" spans="1:19" ht="13.5" thickBot="1">
      <c r="A1394" s="103">
        <v>40659</v>
      </c>
      <c r="B1394" s="104">
        <v>3.3906199932098389</v>
      </c>
      <c r="C1394" s="105">
        <v>1347.239990234375</v>
      </c>
      <c r="D1394" s="104">
        <v>1.6475000381469727</v>
      </c>
      <c r="E1394">
        <v>81.619326387434597</v>
      </c>
      <c r="F1394">
        <v>1500.0262451171875</v>
      </c>
      <c r="G1394" s="14"/>
      <c r="H1394" s="34"/>
      <c r="I1394" s="34"/>
      <c r="J1394" s="34"/>
      <c r="K1394" s="34"/>
      <c r="L1394" s="34"/>
      <c r="N1394" s="34"/>
      <c r="O1394" s="35"/>
      <c r="P1394" s="35"/>
      <c r="Q1394" s="35"/>
      <c r="R1394" s="35"/>
      <c r="S1394" s="74"/>
    </row>
    <row r="1395" spans="1:19" ht="13.5" thickBot="1">
      <c r="A1395" s="103">
        <v>40660</v>
      </c>
      <c r="B1395" s="104">
        <v>3.4456899166107178</v>
      </c>
      <c r="C1395" s="105">
        <v>1355.6600341796875</v>
      </c>
      <c r="D1395" s="104">
        <v>1.6576000452041626</v>
      </c>
      <c r="E1395">
        <v>82.236839458910794</v>
      </c>
      <c r="F1395">
        <v>1512.7781982421875</v>
      </c>
      <c r="G1395" s="14"/>
      <c r="H1395" s="34"/>
      <c r="I1395" s="34"/>
      <c r="J1395" s="34"/>
      <c r="K1395" s="34"/>
      <c r="L1395" s="34"/>
      <c r="N1395" s="34"/>
      <c r="O1395" s="35"/>
      <c r="P1395" s="35"/>
      <c r="Q1395" s="35"/>
      <c r="R1395" s="35"/>
      <c r="S1395" s="74"/>
    </row>
    <row r="1396" spans="1:19" ht="13.5" thickBot="1">
      <c r="A1396" s="103">
        <v>40661</v>
      </c>
      <c r="B1396" s="104">
        <v>3.3842599391937256</v>
      </c>
      <c r="C1396" s="105">
        <v>1360.47998046875</v>
      </c>
      <c r="D1396" s="104">
        <v>1.6642999649047852</v>
      </c>
      <c r="E1396">
        <v>81.519523647522917</v>
      </c>
      <c r="F1396">
        <v>1532.3275146484375</v>
      </c>
      <c r="G1396" s="14"/>
      <c r="H1396" s="34"/>
      <c r="I1396" s="34"/>
      <c r="J1396" s="34"/>
      <c r="K1396" s="34"/>
      <c r="L1396" s="34"/>
      <c r="N1396" s="34"/>
      <c r="O1396" s="35"/>
      <c r="P1396" s="35"/>
      <c r="Q1396" s="35"/>
      <c r="R1396" s="35"/>
      <c r="S1396" s="74"/>
    </row>
    <row r="1397" spans="1:19" ht="13.5" thickBot="1">
      <c r="A1397" s="103">
        <v>40662</v>
      </c>
      <c r="B1397" s="104">
        <v>3.3736701011657715</v>
      </c>
      <c r="C1397" s="105">
        <v>1363.6099853515625</v>
      </c>
      <c r="D1397" s="104">
        <v>1.6711000204086304</v>
      </c>
      <c r="E1397">
        <v>81.109578723271497</v>
      </c>
      <c r="F1397">
        <v>1532.4091796875</v>
      </c>
      <c r="G1397" s="14"/>
      <c r="H1397" s="34"/>
      <c r="I1397" s="34"/>
      <c r="J1397" s="34"/>
      <c r="K1397" s="34"/>
      <c r="L1397" s="34"/>
      <c r="N1397" s="34"/>
      <c r="O1397" s="35"/>
      <c r="P1397" s="35"/>
      <c r="Q1397" s="35"/>
      <c r="R1397" s="35"/>
      <c r="S1397" s="74"/>
    </row>
    <row r="1398" spans="1:19" ht="13.5" thickBot="1">
      <c r="A1398" s="103">
        <v>40665</v>
      </c>
      <c r="B1398" s="104">
        <v>3.3586800098419189</v>
      </c>
      <c r="C1398" s="105">
        <v>1361.219970703125</v>
      </c>
      <c r="D1398" s="104">
        <v>1.6682000160217285</v>
      </c>
      <c r="E1398">
        <v>81.261172711143871</v>
      </c>
      <c r="F1398">
        <v>1532.4091796875</v>
      </c>
      <c r="G1398" s="14"/>
      <c r="H1398" s="34"/>
      <c r="I1398" s="34"/>
      <c r="J1398" s="34"/>
      <c r="K1398" s="34"/>
      <c r="L1398" s="34"/>
      <c r="N1398" s="34"/>
      <c r="O1398" s="35"/>
      <c r="P1398" s="35"/>
      <c r="Q1398" s="35"/>
      <c r="R1398" s="35"/>
      <c r="S1398" s="74"/>
    </row>
    <row r="1399" spans="1:19" ht="13.5" thickBot="1">
      <c r="A1399" s="103">
        <v>40666</v>
      </c>
      <c r="B1399" s="104">
        <v>3.332859992980957</v>
      </c>
      <c r="C1399" s="105">
        <v>1356.6199951171875</v>
      </c>
      <c r="D1399" s="104">
        <v>1.6469000577926636</v>
      </c>
      <c r="E1399">
        <v>80.938892574143978</v>
      </c>
      <c r="F1399">
        <v>1535.2757568359375</v>
      </c>
      <c r="G1399" s="14"/>
      <c r="H1399" s="34"/>
      <c r="I1399" s="34"/>
      <c r="J1399" s="34"/>
      <c r="K1399" s="34"/>
      <c r="L1399" s="34"/>
      <c r="N1399" s="34"/>
      <c r="O1399" s="35"/>
      <c r="P1399" s="35"/>
      <c r="Q1399" s="35"/>
      <c r="R1399" s="35"/>
      <c r="S1399" s="74"/>
    </row>
    <row r="1400" spans="1:19" ht="13.5" thickBot="1">
      <c r="A1400" s="103">
        <v>40667</v>
      </c>
      <c r="B1400" s="104">
        <v>3.3032999038696289</v>
      </c>
      <c r="C1400" s="105">
        <v>1347.3199462890625</v>
      </c>
      <c r="D1400" s="104">
        <v>1.6513999700546265</v>
      </c>
      <c r="E1400">
        <v>80.638660349404063</v>
      </c>
      <c r="F1400">
        <v>1507.67626953125</v>
      </c>
      <c r="G1400" s="14"/>
      <c r="H1400" s="34"/>
      <c r="I1400" s="34"/>
      <c r="J1400" s="34"/>
      <c r="K1400" s="34"/>
      <c r="L1400" s="34"/>
      <c r="N1400" s="34"/>
      <c r="O1400" s="35"/>
      <c r="P1400" s="35"/>
      <c r="Q1400" s="35"/>
      <c r="R1400" s="35"/>
      <c r="S1400" s="74"/>
    </row>
    <row r="1401" spans="1:19" ht="13.5" thickBot="1">
      <c r="A1401" s="103">
        <v>40668</v>
      </c>
      <c r="B1401" s="104">
        <v>3.2556500434875488</v>
      </c>
      <c r="C1401" s="105">
        <v>1335.0999755859375</v>
      </c>
      <c r="D1401" s="104">
        <v>1.6394000053405762</v>
      </c>
      <c r="E1401">
        <v>80.237505122535836</v>
      </c>
      <c r="F1401">
        <v>1477.853759765625</v>
      </c>
      <c r="G1401" s="14"/>
      <c r="H1401" s="34"/>
      <c r="I1401" s="34"/>
      <c r="J1401" s="34"/>
      <c r="K1401" s="34"/>
      <c r="L1401" s="34"/>
      <c r="N1401" s="34"/>
      <c r="O1401" s="35"/>
      <c r="P1401" s="35"/>
      <c r="Q1401" s="35"/>
      <c r="R1401" s="35"/>
      <c r="S1401" s="74"/>
    </row>
    <row r="1402" spans="1:19" ht="13.5" thickBot="1">
      <c r="A1402" s="103">
        <v>40669</v>
      </c>
      <c r="B1402" s="104">
        <v>3.2493400573730469</v>
      </c>
      <c r="C1402" s="105">
        <v>1340.199951171875</v>
      </c>
      <c r="D1402" s="104">
        <v>1.6368999481201172</v>
      </c>
      <c r="E1402">
        <v>80.482898368832522</v>
      </c>
      <c r="F1402">
        <v>1488.1533203125</v>
      </c>
      <c r="G1402" s="14"/>
      <c r="H1402" s="34"/>
      <c r="I1402" s="34"/>
      <c r="J1402" s="34"/>
      <c r="K1402" s="34"/>
      <c r="L1402" s="34"/>
      <c r="N1402" s="34"/>
      <c r="O1402" s="35"/>
      <c r="P1402" s="35"/>
      <c r="Q1402" s="35"/>
      <c r="R1402" s="35"/>
      <c r="S1402" s="74"/>
    </row>
    <row r="1403" spans="1:19" ht="13.5" thickBot="1">
      <c r="A1403" s="103">
        <v>40672</v>
      </c>
      <c r="B1403" s="104">
        <v>3.2270998954772949</v>
      </c>
      <c r="C1403" s="105">
        <v>1346.2900390625</v>
      </c>
      <c r="D1403" s="104">
        <v>1.6385999917984009</v>
      </c>
      <c r="E1403">
        <v>80.340647237412966</v>
      </c>
      <c r="F1403">
        <v>1510.7763671875</v>
      </c>
      <c r="G1403" s="14"/>
      <c r="H1403" s="34"/>
      <c r="I1403" s="34"/>
      <c r="J1403" s="34"/>
      <c r="K1403" s="34"/>
      <c r="L1403" s="34"/>
      <c r="N1403" s="34"/>
      <c r="O1403" s="35"/>
      <c r="P1403" s="35"/>
      <c r="Q1403" s="35"/>
      <c r="R1403" s="35"/>
      <c r="S1403" s="74"/>
    </row>
    <row r="1404" spans="1:19" ht="13.5" thickBot="1">
      <c r="A1404" s="103">
        <v>40673</v>
      </c>
      <c r="B1404" s="104">
        <v>3.2807900905609131</v>
      </c>
      <c r="C1404" s="105">
        <v>1357.1600341796875</v>
      </c>
      <c r="D1404" s="104">
        <v>1.6351000070571899</v>
      </c>
      <c r="E1404">
        <v>80.781969703239199</v>
      </c>
      <c r="F1404">
        <v>1516.076171875</v>
      </c>
      <c r="G1404" s="14"/>
      <c r="H1404" s="34"/>
      <c r="I1404" s="34"/>
      <c r="J1404" s="34"/>
      <c r="K1404" s="34"/>
      <c r="L1404" s="34"/>
      <c r="N1404" s="34"/>
      <c r="O1404" s="35"/>
      <c r="P1404" s="35"/>
      <c r="Q1404" s="35"/>
      <c r="R1404" s="35"/>
      <c r="S1404" s="74"/>
    </row>
    <row r="1405" spans="1:19" ht="13.5" thickBot="1">
      <c r="A1405" s="103">
        <v>40674</v>
      </c>
      <c r="B1405" s="104">
        <v>3.2446799278259277</v>
      </c>
      <c r="C1405" s="105">
        <v>1342.0799560546875</v>
      </c>
      <c r="D1405" s="104">
        <v>1.6346999406814575</v>
      </c>
      <c r="E1405">
        <v>80.938892574143978</v>
      </c>
      <c r="F1405">
        <v>1499.7264404296875</v>
      </c>
      <c r="G1405" s="14"/>
      <c r="H1405" s="34"/>
      <c r="I1405" s="34"/>
      <c r="J1405" s="34"/>
      <c r="K1405" s="34"/>
      <c r="L1405" s="34"/>
      <c r="N1405" s="34"/>
      <c r="O1405" s="35"/>
      <c r="P1405" s="35"/>
      <c r="Q1405" s="35"/>
      <c r="R1405" s="35"/>
      <c r="S1405" s="74"/>
    </row>
    <row r="1406" spans="1:19" ht="13.5" thickBot="1">
      <c r="A1406" s="103">
        <v>40675</v>
      </c>
      <c r="B1406" s="104">
        <v>3.3006000518798828</v>
      </c>
      <c r="C1406" s="105">
        <v>1348.6500244140625</v>
      </c>
      <c r="D1406" s="104">
        <v>1.6284999847412109</v>
      </c>
      <c r="E1406">
        <v>80.919245407124308</v>
      </c>
      <c r="F1406">
        <v>1494.9031982421875</v>
      </c>
      <c r="G1406" s="14"/>
      <c r="H1406" s="34"/>
      <c r="I1406" s="34"/>
      <c r="J1406" s="34"/>
      <c r="K1406" s="34"/>
      <c r="L1406" s="34"/>
      <c r="N1406" s="34"/>
      <c r="O1406" s="35"/>
      <c r="P1406" s="35"/>
      <c r="Q1406" s="35"/>
      <c r="R1406" s="35"/>
      <c r="S1406" s="74"/>
    </row>
    <row r="1407" spans="1:19" ht="13.5" thickBot="1">
      <c r="A1407" s="103">
        <v>40676</v>
      </c>
      <c r="B1407" s="104">
        <v>3.2612800598144531</v>
      </c>
      <c r="C1407" s="105">
        <v>1337.77001953125</v>
      </c>
      <c r="D1407" s="104">
        <v>1.6174999475479126</v>
      </c>
      <c r="E1407">
        <v>80.860355005077579</v>
      </c>
      <c r="F1407">
        <v>1485.0035400390625</v>
      </c>
      <c r="G1407" s="14"/>
      <c r="H1407" s="34"/>
      <c r="I1407" s="34"/>
      <c r="J1407" s="34"/>
      <c r="K1407" s="34"/>
      <c r="L1407" s="34"/>
      <c r="N1407" s="34"/>
      <c r="O1407" s="35"/>
      <c r="P1407" s="35"/>
      <c r="Q1407" s="35"/>
      <c r="R1407" s="35"/>
      <c r="S1407" s="74"/>
    </row>
    <row r="1408" spans="1:19" ht="13.5" thickBot="1">
      <c r="A1408" s="103">
        <v>40679</v>
      </c>
      <c r="B1408" s="104">
        <v>3.223829984664917</v>
      </c>
      <c r="C1408" s="105">
        <v>1329.469970703125</v>
      </c>
      <c r="D1408" s="104">
        <v>1.6210999488830566</v>
      </c>
      <c r="E1408">
        <v>80.781969703239199</v>
      </c>
      <c r="F1408">
        <v>1497.2265625</v>
      </c>
      <c r="G1408" s="14"/>
      <c r="H1408" s="34"/>
      <c r="I1408" s="34"/>
      <c r="J1408" s="34"/>
      <c r="K1408" s="34"/>
      <c r="L1408" s="34"/>
      <c r="N1408" s="34"/>
      <c r="O1408" s="35"/>
      <c r="P1408" s="35"/>
      <c r="Q1408" s="35"/>
      <c r="R1408" s="35"/>
      <c r="S1408" s="74"/>
    </row>
    <row r="1409" spans="1:19" ht="13.5" thickBot="1">
      <c r="A1409" s="103">
        <v>40680</v>
      </c>
      <c r="B1409" s="104">
        <v>3.1894800662994385</v>
      </c>
      <c r="C1409" s="105">
        <v>1328.97998046875</v>
      </c>
      <c r="D1409" s="104">
        <v>1.6251000165939331</v>
      </c>
      <c r="E1409">
        <v>81.479673332127788</v>
      </c>
      <c r="F1409">
        <v>1478.826904296875</v>
      </c>
      <c r="G1409" s="14"/>
      <c r="H1409" s="34"/>
      <c r="I1409" s="34"/>
      <c r="J1409" s="34"/>
      <c r="K1409" s="34"/>
      <c r="L1409" s="34"/>
      <c r="N1409" s="34"/>
      <c r="O1409" s="35"/>
      <c r="P1409" s="35"/>
      <c r="Q1409" s="35"/>
      <c r="R1409" s="35"/>
      <c r="S1409" s="74"/>
    </row>
    <row r="1410" spans="1:19" ht="13.5" thickBot="1">
      <c r="A1410" s="103">
        <v>40681</v>
      </c>
      <c r="B1410" s="104">
        <v>3.2534000873565674</v>
      </c>
      <c r="C1410" s="105">
        <v>1340.6800537109375</v>
      </c>
      <c r="D1410" s="104">
        <v>1.6141999959945679</v>
      </c>
      <c r="E1410">
        <v>81.579378460312086</v>
      </c>
      <c r="F1410">
        <v>1498.2266845703125</v>
      </c>
      <c r="G1410" s="14"/>
      <c r="H1410" s="34"/>
      <c r="I1410" s="34"/>
      <c r="J1410" s="34"/>
      <c r="K1410" s="34"/>
      <c r="L1410" s="34"/>
      <c r="N1410" s="34"/>
      <c r="O1410" s="35"/>
      <c r="P1410" s="35"/>
      <c r="Q1410" s="35"/>
      <c r="R1410" s="35"/>
      <c r="S1410" s="74"/>
    </row>
    <row r="1411" spans="1:19" ht="13.5" thickBot="1">
      <c r="A1411" s="103">
        <v>40682</v>
      </c>
      <c r="B1411" s="104">
        <v>3.2634000778198242</v>
      </c>
      <c r="C1411" s="105">
        <v>1343.5999755859375</v>
      </c>
      <c r="D1411" s="104">
        <v>1.6216000318527222</v>
      </c>
      <c r="E1411">
        <v>81.599347534628407</v>
      </c>
      <c r="F1411">
        <v>1495.50341796875</v>
      </c>
      <c r="G1411" s="14"/>
      <c r="H1411" s="34"/>
      <c r="I1411" s="34"/>
      <c r="J1411" s="34"/>
      <c r="K1411" s="34"/>
      <c r="L1411" s="34"/>
      <c r="N1411" s="34"/>
      <c r="O1411" s="35"/>
      <c r="P1411" s="35"/>
      <c r="Q1411" s="35"/>
      <c r="R1411" s="35"/>
      <c r="S1411" s="74"/>
    </row>
    <row r="1412" spans="1:19" ht="13.5" thickBot="1">
      <c r="A1412" s="103">
        <v>40683</v>
      </c>
      <c r="B1412" s="104">
        <v>3.2431600093841553</v>
      </c>
      <c r="C1412" s="105">
        <v>1333.27001953125</v>
      </c>
      <c r="D1412" s="104">
        <v>1.6274000406265259</v>
      </c>
      <c r="E1412">
        <v>81.592688023659974</v>
      </c>
      <c r="F1412">
        <v>1514.5029296875</v>
      </c>
      <c r="G1412" s="14"/>
      <c r="H1412" s="34"/>
      <c r="I1412" s="34"/>
      <c r="J1412" s="34"/>
      <c r="K1412" s="34"/>
      <c r="L1412" s="34"/>
      <c r="N1412" s="34"/>
      <c r="O1412" s="35"/>
      <c r="P1412" s="35"/>
      <c r="Q1412" s="35"/>
      <c r="R1412" s="35"/>
      <c r="S1412" s="74"/>
    </row>
    <row r="1413" spans="1:19" ht="13.5" thickBot="1">
      <c r="A1413" s="103">
        <v>40686</v>
      </c>
      <c r="B1413" s="104">
        <v>3.2291100025177002</v>
      </c>
      <c r="C1413" s="105">
        <v>1317.3699951171875</v>
      </c>
      <c r="D1413" s="104">
        <v>1.611799955368042</v>
      </c>
      <c r="E1413">
        <v>81.940348803356542</v>
      </c>
      <c r="F1413">
        <v>1514.326416015625</v>
      </c>
      <c r="G1413" s="14"/>
      <c r="H1413" s="34"/>
      <c r="I1413" s="34"/>
      <c r="J1413" s="34"/>
      <c r="K1413" s="34"/>
      <c r="L1413" s="34"/>
      <c r="N1413" s="34"/>
      <c r="O1413" s="35"/>
      <c r="P1413" s="35"/>
      <c r="Q1413" s="35"/>
      <c r="R1413" s="35"/>
      <c r="S1413" s="74"/>
    </row>
    <row r="1414" spans="1:19" ht="13.5" thickBot="1">
      <c r="A1414" s="103">
        <v>40687</v>
      </c>
      <c r="B1414" s="104">
        <v>3.2130899429321289</v>
      </c>
      <c r="C1414" s="105">
        <v>1316.280029296875</v>
      </c>
      <c r="D1414" s="104">
        <v>1.6182999610900879</v>
      </c>
      <c r="E1414">
        <v>81.92021250055123</v>
      </c>
      <c r="F1414">
        <v>1523.3763427734375</v>
      </c>
      <c r="G1414" s="14"/>
      <c r="H1414" s="34"/>
      <c r="I1414" s="34"/>
      <c r="J1414" s="34"/>
      <c r="K1414" s="34"/>
      <c r="L1414" s="34"/>
      <c r="N1414" s="34"/>
      <c r="O1414" s="35"/>
      <c r="P1414" s="35"/>
      <c r="Q1414" s="35"/>
      <c r="R1414" s="35"/>
      <c r="S1414" s="74"/>
    </row>
    <row r="1415" spans="1:19" ht="13.5" thickBot="1">
      <c r="A1415" s="103">
        <v>40688</v>
      </c>
      <c r="B1415" s="104">
        <v>3.2185900211334229</v>
      </c>
      <c r="C1415" s="105">
        <v>1320.469970703125</v>
      </c>
      <c r="D1415" s="104">
        <v>1.628000020980835</v>
      </c>
      <c r="E1415">
        <v>82.000817150570001</v>
      </c>
      <c r="F1415">
        <v>1525.476318359375</v>
      </c>
      <c r="G1415" s="14"/>
      <c r="H1415" s="34"/>
      <c r="I1415" s="34"/>
      <c r="J1415" s="34"/>
      <c r="K1415" s="34"/>
      <c r="L1415" s="34"/>
      <c r="N1415" s="34"/>
      <c r="O1415" s="35"/>
      <c r="P1415" s="35"/>
      <c r="Q1415" s="35"/>
      <c r="R1415" s="35"/>
      <c r="S1415" s="74"/>
    </row>
    <row r="1416" spans="1:19" ht="13.5" thickBot="1">
      <c r="A1416" s="103">
        <v>40689</v>
      </c>
      <c r="B1416" s="104">
        <v>3.144010066986084</v>
      </c>
      <c r="C1416" s="105">
        <v>1325.68994140625</v>
      </c>
      <c r="D1416" s="104">
        <v>1.6390000581741333</v>
      </c>
      <c r="E1416">
        <v>81.320648604042333</v>
      </c>
      <c r="F1416">
        <v>1521.9410400390625</v>
      </c>
      <c r="G1416" s="14"/>
      <c r="H1416" s="34"/>
      <c r="I1416" s="34"/>
      <c r="J1416" s="34"/>
      <c r="K1416" s="34"/>
      <c r="L1416" s="34"/>
      <c r="N1416" s="34"/>
      <c r="O1416" s="35"/>
      <c r="P1416" s="35"/>
      <c r="Q1416" s="35"/>
      <c r="R1416" s="35"/>
      <c r="S1416" s="74"/>
    </row>
    <row r="1417" spans="1:19" ht="13.5" thickBot="1">
      <c r="A1417" s="103">
        <v>40690</v>
      </c>
      <c r="B1417" s="104">
        <v>3.1619100570678711</v>
      </c>
      <c r="C1417" s="105">
        <v>1331.0999755859375</v>
      </c>
      <c r="D1417" s="104">
        <v>1.6473000049591064</v>
      </c>
      <c r="E1417">
        <v>80.860355005077579</v>
      </c>
      <c r="F1417">
        <v>1536.9908447265625</v>
      </c>
      <c r="G1417" s="14"/>
      <c r="H1417" s="34"/>
      <c r="I1417" s="34"/>
      <c r="J1417" s="34"/>
      <c r="K1417" s="34"/>
      <c r="L1417" s="34"/>
      <c r="N1417" s="34"/>
      <c r="O1417" s="35"/>
      <c r="P1417" s="35"/>
      <c r="Q1417" s="35"/>
      <c r="R1417" s="35"/>
      <c r="S1417" s="74"/>
    </row>
    <row r="1418" spans="1:19" ht="13.5" thickBot="1">
      <c r="A1418" s="103">
        <v>40693</v>
      </c>
      <c r="B1418" s="104">
        <v>3.1619100570678711</v>
      </c>
      <c r="C1418" s="105">
        <v>1331.0999755859375</v>
      </c>
      <c r="D1418" s="104">
        <v>1.6465500593185425</v>
      </c>
      <c r="E1418">
        <v>80.945445784193382</v>
      </c>
      <c r="F1418">
        <v>1536.9908447265625</v>
      </c>
      <c r="G1418" s="14"/>
      <c r="H1418" s="34"/>
      <c r="I1418" s="34"/>
      <c r="J1418" s="34"/>
      <c r="K1418" s="34"/>
      <c r="L1418" s="34"/>
      <c r="N1418" s="34"/>
      <c r="O1418" s="35"/>
      <c r="P1418" s="35"/>
      <c r="Q1418" s="35"/>
      <c r="R1418" s="35"/>
      <c r="S1418" s="74"/>
    </row>
    <row r="1419" spans="1:19" ht="13.5" thickBot="1">
      <c r="A1419" s="103">
        <v>40694</v>
      </c>
      <c r="B1419" s="104">
        <v>3.1479499340057373</v>
      </c>
      <c r="C1419" s="105">
        <v>1345.199951171875</v>
      </c>
      <c r="D1419" s="104">
        <v>1.645300030708313</v>
      </c>
      <c r="E1419">
        <v>81.479673332127788</v>
      </c>
      <c r="F1419">
        <v>1534.67626953125</v>
      </c>
      <c r="G1419" s="14"/>
      <c r="H1419" s="34"/>
      <c r="I1419" s="34"/>
      <c r="J1419" s="34"/>
      <c r="K1419" s="34"/>
      <c r="L1419" s="34"/>
      <c r="N1419" s="34"/>
      <c r="O1419" s="35"/>
      <c r="P1419" s="35"/>
      <c r="Q1419" s="35"/>
      <c r="R1419" s="35"/>
      <c r="S1419" s="74"/>
    </row>
    <row r="1420" spans="1:19" ht="13.5" thickBot="1">
      <c r="A1420" s="103">
        <v>40695</v>
      </c>
      <c r="B1420" s="104">
        <v>3.0786199569702148</v>
      </c>
      <c r="C1420" s="105">
        <v>1314.550048828125</v>
      </c>
      <c r="D1420" s="104">
        <v>1.636199951171875</v>
      </c>
      <c r="E1420">
        <v>80.899601680856009</v>
      </c>
      <c r="F1420">
        <v>1546.17626953125</v>
      </c>
      <c r="G1420" s="14"/>
      <c r="H1420" s="34"/>
      <c r="I1420" s="34"/>
      <c r="J1420" s="34"/>
      <c r="K1420" s="34"/>
      <c r="L1420" s="34"/>
      <c r="N1420" s="34"/>
      <c r="O1420" s="35"/>
      <c r="P1420" s="35"/>
      <c r="Q1420" s="35"/>
      <c r="R1420" s="35"/>
      <c r="S1420" s="74"/>
    </row>
    <row r="1421" spans="1:19" ht="13.5" thickBot="1">
      <c r="A1421" s="103">
        <v>40696</v>
      </c>
      <c r="B1421" s="104">
        <v>3.1471600532531738</v>
      </c>
      <c r="C1421" s="105">
        <v>1312.93994140625</v>
      </c>
      <c r="D1421" s="104">
        <v>1.6361000537872314</v>
      </c>
      <c r="E1421">
        <v>80.879973581894916</v>
      </c>
      <c r="F1421">
        <v>1527.0531005859375</v>
      </c>
      <c r="G1421" s="14"/>
      <c r="H1421" s="34"/>
      <c r="I1421" s="34"/>
      <c r="J1421" s="34"/>
      <c r="K1421" s="34"/>
      <c r="L1421" s="34"/>
      <c r="N1421" s="34"/>
      <c r="O1421" s="35"/>
      <c r="P1421" s="35"/>
      <c r="Q1421" s="35"/>
      <c r="R1421" s="35"/>
      <c r="S1421" s="74"/>
    </row>
    <row r="1422" spans="1:19" ht="13.5" thickBot="1">
      <c r="A1422" s="103">
        <v>40697</v>
      </c>
      <c r="B1422" s="104">
        <v>3.1174900531768799</v>
      </c>
      <c r="C1422" s="105">
        <v>1300.1600341796875</v>
      </c>
      <c r="D1422" s="104">
        <v>1.6390000581741333</v>
      </c>
      <c r="E1422">
        <v>80.385853838651201</v>
      </c>
      <c r="F1422">
        <v>1542.3526611328125</v>
      </c>
      <c r="G1422" s="14"/>
      <c r="H1422" s="34"/>
      <c r="I1422" s="34"/>
      <c r="J1422" s="34"/>
      <c r="K1422" s="34"/>
      <c r="L1422" s="34"/>
      <c r="N1422" s="34"/>
      <c r="O1422" s="35"/>
      <c r="P1422" s="35"/>
      <c r="Q1422" s="35"/>
      <c r="R1422" s="35"/>
      <c r="S1422" s="74"/>
    </row>
    <row r="1423" spans="1:19" ht="13.5" thickBot="1">
      <c r="A1423" s="103">
        <v>40700</v>
      </c>
      <c r="B1423" s="104">
        <v>3.1272299289703369</v>
      </c>
      <c r="C1423" s="105">
        <v>1286.1700439453125</v>
      </c>
      <c r="D1423" s="104">
        <v>1.6351000070571899</v>
      </c>
      <c r="E1423">
        <v>80.076873190379402</v>
      </c>
      <c r="F1423">
        <v>1552.4761962890625</v>
      </c>
      <c r="G1423" s="14"/>
      <c r="H1423" s="34"/>
      <c r="I1423" s="34"/>
      <c r="J1423" s="34"/>
      <c r="K1423" s="34"/>
      <c r="L1423" s="34"/>
      <c r="N1423" s="34"/>
      <c r="O1423" s="35"/>
      <c r="P1423" s="35"/>
      <c r="Q1423" s="35"/>
      <c r="R1423" s="35"/>
      <c r="S1423" s="74"/>
    </row>
    <row r="1424" spans="1:19" ht="13.5" thickBot="1">
      <c r="A1424" s="103">
        <v>40701</v>
      </c>
      <c r="B1424" s="104">
        <v>3.1344699859619141</v>
      </c>
      <c r="C1424" s="105">
        <v>1284.93994140625</v>
      </c>
      <c r="D1424" s="104">
        <v>1.645300030708313</v>
      </c>
      <c r="E1424">
        <v>80.102530826560724</v>
      </c>
      <c r="F1424">
        <v>1541.8763427734375</v>
      </c>
      <c r="G1424" s="14"/>
      <c r="H1424" s="34"/>
      <c r="I1424" s="34"/>
      <c r="J1424" s="34"/>
      <c r="K1424" s="34"/>
      <c r="L1424" s="34"/>
      <c r="N1424" s="34"/>
      <c r="O1424" s="35"/>
      <c r="P1424" s="35"/>
      <c r="Q1424" s="35"/>
      <c r="R1424" s="35"/>
      <c r="S1424" s="74"/>
    </row>
    <row r="1425" spans="1:19" ht="13.5" thickBot="1">
      <c r="A1425" s="103">
        <v>40702</v>
      </c>
      <c r="B1425" s="104">
        <v>3.0778799057006836</v>
      </c>
      <c r="C1425" s="105">
        <v>1279.56005859375</v>
      </c>
      <c r="D1425" s="104">
        <v>1.6388000249862671</v>
      </c>
      <c r="E1425">
        <v>79.96161991746483</v>
      </c>
      <c r="F1425">
        <v>1538.1263427734375</v>
      </c>
      <c r="G1425" s="14"/>
      <c r="H1425" s="34"/>
      <c r="I1425" s="34"/>
      <c r="J1425" s="34"/>
      <c r="K1425" s="34"/>
      <c r="L1425" s="34"/>
      <c r="N1425" s="34"/>
      <c r="O1425" s="35"/>
      <c r="P1425" s="35"/>
      <c r="Q1425" s="35"/>
      <c r="R1425" s="35"/>
      <c r="S1425" s="74"/>
    </row>
    <row r="1426" spans="1:19" ht="13.5" thickBot="1">
      <c r="A1426" s="103">
        <v>40703</v>
      </c>
      <c r="B1426" s="104">
        <v>3.1034901142120361</v>
      </c>
      <c r="C1426" s="105">
        <v>1289</v>
      </c>
      <c r="D1426" s="104">
        <v>1.6369999647140503</v>
      </c>
      <c r="E1426">
        <v>80.301934881907954</v>
      </c>
      <c r="F1426">
        <v>1546.00244140625</v>
      </c>
      <c r="G1426" s="14"/>
      <c r="H1426" s="34"/>
      <c r="I1426" s="34"/>
      <c r="J1426" s="34"/>
      <c r="K1426" s="34"/>
      <c r="L1426" s="34"/>
      <c r="N1426" s="34"/>
      <c r="O1426" s="35"/>
      <c r="P1426" s="35"/>
      <c r="Q1426" s="35"/>
      <c r="R1426" s="35"/>
      <c r="S1426" s="74"/>
    </row>
    <row r="1427" spans="1:19" ht="13.5" thickBot="1">
      <c r="A1427" s="103">
        <v>40704</v>
      </c>
      <c r="B1427" s="104">
        <v>3.0761001110076904</v>
      </c>
      <c r="C1427" s="105">
        <v>1270.97998046875</v>
      </c>
      <c r="D1427" s="104">
        <v>1.6239000558853149</v>
      </c>
      <c r="E1427">
        <v>80.340647237412966</v>
      </c>
      <c r="F1427">
        <v>1534.802734375</v>
      </c>
      <c r="G1427" s="14"/>
      <c r="H1427" s="34"/>
      <c r="I1427" s="34"/>
      <c r="J1427" s="34"/>
      <c r="K1427" s="34"/>
      <c r="L1427" s="34"/>
      <c r="N1427" s="34"/>
      <c r="O1427" s="35"/>
      <c r="P1427" s="35"/>
      <c r="Q1427" s="35"/>
      <c r="R1427" s="35"/>
      <c r="S1427" s="74"/>
    </row>
    <row r="1428" spans="1:19" ht="13.5" thickBot="1">
      <c r="A1428" s="103">
        <v>40707</v>
      </c>
      <c r="B1428" s="104">
        <v>3.098560094833374</v>
      </c>
      <c r="C1428" s="105">
        <v>1271.8299560546875</v>
      </c>
      <c r="D1428" s="104">
        <v>1.6370999813079834</v>
      </c>
      <c r="E1428">
        <v>80.198892077947264</v>
      </c>
      <c r="F1428">
        <v>1524.3265380859375</v>
      </c>
      <c r="G1428" s="14"/>
      <c r="H1428" s="34"/>
      <c r="I1428" s="34"/>
      <c r="J1428" s="34"/>
      <c r="K1428" s="34"/>
      <c r="L1428" s="34"/>
      <c r="N1428" s="34"/>
      <c r="O1428" s="35"/>
      <c r="P1428" s="35"/>
      <c r="Q1428" s="35"/>
      <c r="R1428" s="35"/>
      <c r="S1428" s="74"/>
    </row>
    <row r="1429" spans="1:19" ht="13.5" thickBot="1">
      <c r="A1429" s="103">
        <v>40708</v>
      </c>
      <c r="B1429" s="104">
        <v>3.2021698951721191</v>
      </c>
      <c r="C1429" s="105">
        <v>1287.8699951171875</v>
      </c>
      <c r="D1429" s="104">
        <v>1.638700008392334</v>
      </c>
      <c r="E1429">
        <v>80.502334191856491</v>
      </c>
      <c r="F1429">
        <v>1518.4266357421875</v>
      </c>
      <c r="G1429" s="14"/>
      <c r="H1429" s="34"/>
      <c r="I1429" s="34"/>
      <c r="J1429" s="34"/>
      <c r="K1429" s="34"/>
      <c r="L1429" s="34"/>
      <c r="N1429" s="34"/>
      <c r="O1429" s="35"/>
      <c r="P1429" s="35"/>
      <c r="Q1429" s="35"/>
      <c r="R1429" s="35"/>
      <c r="S1429" s="74"/>
    </row>
    <row r="1430" spans="1:19" ht="13.5" thickBot="1">
      <c r="A1430" s="103">
        <v>40709</v>
      </c>
      <c r="B1430" s="104">
        <v>3.0984799861907959</v>
      </c>
      <c r="C1430" s="105">
        <v>1265.4200439453125</v>
      </c>
      <c r="D1430" s="104">
        <v>1.6180000305175781</v>
      </c>
      <c r="E1430">
        <v>80.958549284132474</v>
      </c>
      <c r="F1430">
        <v>1525.4263916015625</v>
      </c>
      <c r="G1430" s="14"/>
      <c r="H1430" s="34"/>
      <c r="I1430" s="34"/>
      <c r="J1430" s="34"/>
      <c r="K1430" s="34"/>
      <c r="L1430" s="34"/>
      <c r="N1430" s="34"/>
      <c r="O1430" s="35"/>
      <c r="P1430" s="35"/>
      <c r="Q1430" s="35"/>
      <c r="R1430" s="35"/>
      <c r="S1430" s="74"/>
    </row>
    <row r="1431" spans="1:19" ht="13.5" thickBot="1">
      <c r="A1431" s="103">
        <v>40710</v>
      </c>
      <c r="B1431" s="104">
        <v>3.0650100708007812</v>
      </c>
      <c r="C1431" s="105">
        <v>1267.6400146484375</v>
      </c>
      <c r="D1431" s="104">
        <v>1.6107000112533569</v>
      </c>
      <c r="E1431">
        <v>80.697222092997123</v>
      </c>
      <c r="F1431">
        <v>1530.252685546875</v>
      </c>
      <c r="G1431" s="14"/>
      <c r="H1431" s="34"/>
      <c r="I1431" s="34"/>
      <c r="J1431" s="34"/>
      <c r="K1431" s="34"/>
      <c r="L1431" s="34"/>
      <c r="N1431" s="34"/>
      <c r="O1431" s="35"/>
      <c r="P1431" s="35"/>
      <c r="Q1431" s="35"/>
      <c r="R1431" s="35"/>
      <c r="S1431" s="74"/>
    </row>
    <row r="1432" spans="1:19" ht="13.5" thickBot="1">
      <c r="A1432" s="103">
        <v>40711</v>
      </c>
      <c r="B1432" s="104">
        <v>3.0903799533843994</v>
      </c>
      <c r="C1432" s="105">
        <v>1271.5</v>
      </c>
      <c r="D1432" s="104">
        <v>1.6175999641418457</v>
      </c>
      <c r="E1432">
        <v>80.038420523386307</v>
      </c>
      <c r="F1432">
        <v>1538.052490234375</v>
      </c>
      <c r="G1432" s="14"/>
      <c r="H1432" s="34"/>
      <c r="I1432" s="34"/>
      <c r="J1432" s="34"/>
      <c r="K1432" s="34"/>
      <c r="L1432" s="34"/>
      <c r="N1432" s="34"/>
      <c r="O1432" s="35"/>
      <c r="P1432" s="35"/>
      <c r="Q1432" s="35"/>
      <c r="R1432" s="35"/>
      <c r="S1432" s="74"/>
    </row>
    <row r="1433" spans="1:19" ht="13.5" thickBot="1">
      <c r="A1433" s="103">
        <v>40714</v>
      </c>
      <c r="B1433" s="104">
        <v>3.1041800975799561</v>
      </c>
      <c r="C1433" s="105">
        <v>1278.3599853515625</v>
      </c>
      <c r="D1433" s="104">
        <v>1.6182999610900879</v>
      </c>
      <c r="E1433">
        <v>80.301934881907954</v>
      </c>
      <c r="F1433">
        <v>1539.076171875</v>
      </c>
      <c r="G1433" s="14"/>
      <c r="H1433" s="34"/>
      <c r="I1433" s="34"/>
      <c r="J1433" s="34"/>
      <c r="K1433" s="34"/>
      <c r="L1433" s="34"/>
      <c r="N1433" s="34"/>
      <c r="O1433" s="35"/>
      <c r="P1433" s="35"/>
      <c r="Q1433" s="35"/>
      <c r="R1433" s="35"/>
      <c r="S1433" s="74"/>
    </row>
    <row r="1434" spans="1:19" ht="13.5" thickBot="1">
      <c r="A1434" s="103">
        <v>40715</v>
      </c>
      <c r="B1434" s="104">
        <v>3.1234800815582275</v>
      </c>
      <c r="C1434" s="105">
        <v>1295.52001953125</v>
      </c>
      <c r="D1434" s="104">
        <v>1.6241999864578247</v>
      </c>
      <c r="E1434">
        <v>80.121783351734436</v>
      </c>
      <c r="F1434">
        <v>1546.076171875</v>
      </c>
      <c r="G1434" s="14"/>
      <c r="H1434" s="34"/>
      <c r="I1434" s="34"/>
      <c r="J1434" s="34"/>
      <c r="K1434" s="34"/>
      <c r="L1434" s="34"/>
      <c r="N1434" s="34"/>
      <c r="O1434" s="35"/>
      <c r="P1434" s="35"/>
      <c r="Q1434" s="35"/>
      <c r="R1434" s="35"/>
      <c r="S1434" s="74"/>
    </row>
    <row r="1435" spans="1:19" ht="13.5" thickBot="1">
      <c r="A1435" s="103">
        <v>40716</v>
      </c>
      <c r="B1435" s="104">
        <v>3.1139099597930908</v>
      </c>
      <c r="C1435" s="105">
        <v>1287.1400146484375</v>
      </c>
      <c r="D1435" s="104">
        <v>1.6087000370025635</v>
      </c>
      <c r="E1435">
        <v>80.340647237412966</v>
      </c>
      <c r="F1435">
        <v>1554.8759765625</v>
      </c>
      <c r="G1435" s="14"/>
      <c r="H1435" s="34"/>
      <c r="I1435" s="34"/>
      <c r="J1435" s="34"/>
      <c r="K1435" s="34"/>
      <c r="L1435" s="34"/>
      <c r="N1435" s="34"/>
      <c r="O1435" s="35"/>
      <c r="P1435" s="35"/>
      <c r="Q1435" s="35"/>
      <c r="R1435" s="35"/>
      <c r="S1435" s="74"/>
    </row>
    <row r="1436" spans="1:19" ht="13.5" thickBot="1">
      <c r="A1436" s="103">
        <v>40717</v>
      </c>
      <c r="B1436" s="104">
        <v>3.0364298820495605</v>
      </c>
      <c r="C1436" s="105">
        <v>1283.5</v>
      </c>
      <c r="D1436" s="104">
        <v>1.600600004196167</v>
      </c>
      <c r="E1436">
        <v>80.541240054253137</v>
      </c>
      <c r="F1436">
        <v>1519.5533447265625</v>
      </c>
      <c r="G1436" s="14"/>
      <c r="H1436" s="34"/>
      <c r="I1436" s="34"/>
      <c r="J1436" s="34"/>
      <c r="K1436" s="34"/>
      <c r="L1436" s="34"/>
      <c r="N1436" s="34"/>
      <c r="O1436" s="35"/>
      <c r="P1436" s="35"/>
      <c r="Q1436" s="35"/>
      <c r="R1436" s="35"/>
      <c r="S1436" s="74"/>
    </row>
    <row r="1437" spans="1:19" ht="13.5" thickBot="1">
      <c r="A1437" s="103">
        <v>40718</v>
      </c>
      <c r="B1437" s="104">
        <v>3.0090000629425049</v>
      </c>
      <c r="C1437" s="105">
        <v>1268.449951171875</v>
      </c>
      <c r="D1437" s="104">
        <v>1.5973999500274658</v>
      </c>
      <c r="E1437">
        <v>80.456996522507865</v>
      </c>
      <c r="F1437">
        <v>1508.0035400390625</v>
      </c>
      <c r="G1437" s="14"/>
      <c r="H1437" s="34"/>
      <c r="I1437" s="34"/>
      <c r="J1437" s="34"/>
      <c r="K1437" s="34"/>
      <c r="L1437" s="34"/>
      <c r="N1437" s="34"/>
      <c r="O1437" s="35"/>
      <c r="P1437" s="35"/>
      <c r="Q1437" s="35"/>
      <c r="R1437" s="35"/>
      <c r="S1437" s="74"/>
    </row>
    <row r="1438" spans="1:19" ht="13.5" thickBot="1">
      <c r="A1438" s="103">
        <v>40721</v>
      </c>
      <c r="B1438" s="104">
        <v>3.0568399429321289</v>
      </c>
      <c r="C1438" s="105">
        <v>1280.0999755859375</v>
      </c>
      <c r="D1438" s="104">
        <v>1.5979000329971313</v>
      </c>
      <c r="E1438">
        <v>80.899601680856009</v>
      </c>
      <c r="F1438">
        <v>1495.97705078125</v>
      </c>
      <c r="G1438" s="14"/>
      <c r="H1438" s="34"/>
      <c r="I1438" s="34"/>
      <c r="J1438" s="34"/>
      <c r="K1438" s="34"/>
      <c r="L1438" s="34"/>
      <c r="N1438" s="34"/>
      <c r="O1438" s="35"/>
      <c r="P1438" s="35"/>
      <c r="Q1438" s="35"/>
      <c r="R1438" s="35"/>
      <c r="S1438" s="74"/>
    </row>
    <row r="1439" spans="1:19" ht="13.5" thickBot="1">
      <c r="A1439" s="103">
        <v>40722</v>
      </c>
      <c r="B1439" s="104">
        <v>3.1617999076843262</v>
      </c>
      <c r="C1439" s="105">
        <v>1296.6700439453125</v>
      </c>
      <c r="D1439" s="104">
        <v>1.5992000102996826</v>
      </c>
      <c r="E1439">
        <v>81.142487671159998</v>
      </c>
      <c r="F1439">
        <v>1501.4268798828125</v>
      </c>
      <c r="G1439" s="14"/>
      <c r="H1439" s="34"/>
      <c r="I1439" s="34"/>
      <c r="J1439" s="34"/>
      <c r="K1439" s="34"/>
      <c r="L1439" s="34"/>
      <c r="N1439" s="34"/>
      <c r="O1439" s="35"/>
      <c r="P1439" s="35"/>
      <c r="Q1439" s="35"/>
      <c r="R1439" s="35"/>
      <c r="S1439" s="74"/>
    </row>
    <row r="1440" spans="1:19" ht="13.5" thickBot="1">
      <c r="A1440" s="103">
        <v>40723</v>
      </c>
      <c r="B1440" s="104">
        <v>3.2224299907684326</v>
      </c>
      <c r="C1440" s="105">
        <v>1307.4100341796875</v>
      </c>
      <c r="D1440" s="104">
        <v>1.6058000326156616</v>
      </c>
      <c r="E1440">
        <v>80.899601680856009</v>
      </c>
      <c r="F1440">
        <v>1509.77685546875</v>
      </c>
      <c r="G1440" s="14"/>
      <c r="H1440" s="34"/>
      <c r="I1440" s="34"/>
      <c r="J1440" s="34"/>
      <c r="K1440" s="34"/>
      <c r="L1440" s="34"/>
      <c r="N1440" s="34"/>
      <c r="O1440" s="35"/>
      <c r="P1440" s="35"/>
      <c r="Q1440" s="35"/>
      <c r="R1440" s="35"/>
      <c r="S1440" s="74"/>
    </row>
    <row r="1441" spans="1:19" ht="13.5" thickBot="1">
      <c r="A1441" s="103">
        <v>40724</v>
      </c>
      <c r="B1441" s="104">
        <v>3.2674698829650879</v>
      </c>
      <c r="C1441" s="105">
        <v>1320.6400146484375</v>
      </c>
      <c r="D1441" s="104">
        <v>1.6067999601364136</v>
      </c>
      <c r="E1441">
        <v>80.482898368832522</v>
      </c>
      <c r="F1441">
        <v>1503.8035888671875</v>
      </c>
      <c r="G1441" s="14"/>
      <c r="H1441" s="34"/>
      <c r="I1441" s="34"/>
      <c r="J1441" s="34"/>
      <c r="K1441" s="34"/>
      <c r="L1441" s="34"/>
      <c r="N1441" s="34"/>
      <c r="O1441" s="35"/>
      <c r="P1441" s="35"/>
      <c r="Q1441" s="35"/>
      <c r="R1441" s="35"/>
      <c r="S1441" s="74"/>
    </row>
    <row r="1442" spans="1:19" ht="13.5" thickBot="1">
      <c r="A1442" s="103">
        <v>40725</v>
      </c>
      <c r="B1442" s="104">
        <v>3.3191099166870117</v>
      </c>
      <c r="C1442" s="105">
        <v>1339.6700439453125</v>
      </c>
      <c r="D1442" s="104">
        <v>1.6068999767303467</v>
      </c>
      <c r="E1442">
        <v>80.879973581894916</v>
      </c>
      <c r="F1442">
        <v>1484.904541015625</v>
      </c>
      <c r="G1442" s="14"/>
      <c r="H1442" s="34"/>
      <c r="I1442" s="34"/>
      <c r="J1442" s="34"/>
      <c r="K1442" s="34"/>
      <c r="L1442" s="34"/>
      <c r="N1442" s="34"/>
      <c r="O1442" s="35"/>
      <c r="P1442" s="35"/>
      <c r="Q1442" s="35"/>
      <c r="R1442" s="35"/>
      <c r="S1442" s="74"/>
    </row>
    <row r="1443" spans="1:19" ht="13.5" thickBot="1">
      <c r="A1443" s="103">
        <v>40728</v>
      </c>
      <c r="B1443" s="104">
        <v>3.3191099166870117</v>
      </c>
      <c r="C1443" s="105">
        <v>1339.6700439453125</v>
      </c>
      <c r="D1443" s="104">
        <v>1.6094000339508057</v>
      </c>
      <c r="E1443">
        <v>80.768917221139944</v>
      </c>
      <c r="F1443">
        <v>1495.3271484375</v>
      </c>
      <c r="G1443" s="14"/>
      <c r="H1443" s="34"/>
      <c r="I1443" s="34"/>
      <c r="J1443" s="34"/>
      <c r="K1443" s="34"/>
      <c r="L1443" s="34"/>
      <c r="N1443" s="34"/>
      <c r="O1443" s="35"/>
      <c r="P1443" s="35"/>
      <c r="Q1443" s="35"/>
      <c r="R1443" s="35"/>
      <c r="S1443" s="74"/>
    </row>
    <row r="1444" spans="1:19" ht="13.5" thickBot="1">
      <c r="A1444" s="103">
        <v>40729</v>
      </c>
      <c r="B1444" s="104">
        <v>3.2589800357818604</v>
      </c>
      <c r="C1444" s="105">
        <v>1337.8800048828125</v>
      </c>
      <c r="D1444" s="104">
        <v>1.6039999723434448</v>
      </c>
      <c r="E1444">
        <v>81.056982341257509</v>
      </c>
      <c r="F1444">
        <v>1510.326904296875</v>
      </c>
      <c r="G1444" s="14"/>
      <c r="H1444" s="34"/>
      <c r="I1444" s="34"/>
      <c r="J1444" s="34"/>
      <c r="K1444" s="34"/>
      <c r="L1444" s="34"/>
      <c r="N1444" s="34"/>
      <c r="O1444" s="35"/>
      <c r="P1444" s="35"/>
      <c r="Q1444" s="35"/>
      <c r="R1444" s="35"/>
      <c r="S1444" s="74"/>
    </row>
    <row r="1445" spans="1:19" ht="13.5" thickBot="1">
      <c r="A1445" s="103">
        <v>40730</v>
      </c>
      <c r="B1445" s="104">
        <v>3.2325799465179443</v>
      </c>
      <c r="C1445" s="105">
        <v>1339.219970703125</v>
      </c>
      <c r="D1445" s="104">
        <v>1.5982999801635742</v>
      </c>
      <c r="E1445">
        <v>80.919245407124308</v>
      </c>
      <c r="F1445">
        <v>1529.626708984375</v>
      </c>
      <c r="G1445" s="14"/>
      <c r="H1445" s="34"/>
      <c r="I1445" s="34"/>
      <c r="J1445" s="34"/>
      <c r="K1445" s="34"/>
      <c r="L1445" s="34"/>
      <c r="N1445" s="34"/>
      <c r="O1445" s="35"/>
      <c r="P1445" s="35"/>
      <c r="Q1445" s="35"/>
      <c r="R1445" s="35"/>
      <c r="S1445" s="74"/>
    </row>
    <row r="1446" spans="1:19" ht="13.5" thickBot="1">
      <c r="A1446" s="103">
        <v>40731</v>
      </c>
      <c r="B1446" s="104">
        <v>3.2869799137115479</v>
      </c>
      <c r="C1446" s="105">
        <v>1353.219970703125</v>
      </c>
      <c r="D1446" s="104">
        <v>1.5960999727249146</v>
      </c>
      <c r="E1446">
        <v>81.241368790728814</v>
      </c>
      <c r="F1446">
        <v>1529.4033203125</v>
      </c>
      <c r="G1446" s="14"/>
      <c r="H1446" s="34"/>
      <c r="I1446" s="34"/>
      <c r="J1446" s="34"/>
      <c r="K1446" s="34"/>
      <c r="L1446" s="34"/>
      <c r="N1446" s="34"/>
      <c r="O1446" s="35"/>
      <c r="P1446" s="35"/>
      <c r="Q1446" s="35"/>
      <c r="R1446" s="35"/>
      <c r="S1446" s="74"/>
    </row>
    <row r="1447" spans="1:19" ht="13.5" thickBot="1">
      <c r="A1447" s="103">
        <v>40732</v>
      </c>
      <c r="B1447" s="104">
        <v>3.1564400196075439</v>
      </c>
      <c r="C1447" s="105">
        <v>1343.800048828125</v>
      </c>
      <c r="D1447" s="104">
        <v>1.6031999588012695</v>
      </c>
      <c r="E1447">
        <v>80.638660349404063</v>
      </c>
      <c r="F1447">
        <v>1542.302978515625</v>
      </c>
      <c r="G1447" s="14"/>
      <c r="H1447" s="34"/>
      <c r="I1447" s="34"/>
      <c r="J1447" s="34"/>
      <c r="K1447" s="34"/>
      <c r="L1447" s="34"/>
      <c r="N1447" s="34"/>
      <c r="O1447" s="35"/>
      <c r="P1447" s="35"/>
      <c r="Q1447" s="35"/>
      <c r="R1447" s="35"/>
      <c r="S1447" s="74"/>
    </row>
    <row r="1448" spans="1:19" ht="13.5" thickBot="1">
      <c r="A1448" s="103">
        <v>40735</v>
      </c>
      <c r="B1448" s="104">
        <v>3.0795400142669678</v>
      </c>
      <c r="C1448" s="105">
        <v>1319.489990234375</v>
      </c>
      <c r="D1448" s="104">
        <v>1.5911999940872192</v>
      </c>
      <c r="E1448">
        <v>80.198892077947264</v>
      </c>
      <c r="F1448">
        <v>1551.3763427734375</v>
      </c>
      <c r="G1448" s="14"/>
      <c r="H1448" s="34"/>
      <c r="I1448" s="34"/>
      <c r="J1448" s="34"/>
      <c r="K1448" s="34"/>
      <c r="L1448" s="34"/>
      <c r="N1448" s="34"/>
      <c r="O1448" s="35"/>
      <c r="P1448" s="35"/>
      <c r="Q1448" s="35"/>
      <c r="R1448" s="35"/>
      <c r="S1448" s="74"/>
    </row>
    <row r="1449" spans="1:19" ht="13.5" thickBot="1">
      <c r="A1449" s="103">
        <v>40736</v>
      </c>
      <c r="B1449" s="104">
        <v>3.0653998851776123</v>
      </c>
      <c r="C1449" s="105">
        <v>1313.6400146484375</v>
      </c>
      <c r="D1449" s="104">
        <v>1.593999981880188</v>
      </c>
      <c r="E1449">
        <v>79.421811026353595</v>
      </c>
      <c r="F1449">
        <v>1552.67626953125</v>
      </c>
      <c r="G1449" s="14"/>
      <c r="H1449" s="34"/>
      <c r="I1449" s="34"/>
      <c r="J1449" s="34"/>
      <c r="K1449" s="34"/>
      <c r="L1449" s="34"/>
      <c r="N1449" s="34"/>
      <c r="O1449" s="35"/>
      <c r="P1449" s="35"/>
      <c r="Q1449" s="35"/>
      <c r="R1449" s="35"/>
      <c r="S1449" s="74"/>
    </row>
    <row r="1450" spans="1:19" ht="13.5" thickBot="1">
      <c r="A1450" s="103">
        <v>40737</v>
      </c>
      <c r="B1450" s="104">
        <v>3.039680004119873</v>
      </c>
      <c r="C1450" s="105">
        <v>1317.719970703125</v>
      </c>
      <c r="D1450" s="104">
        <v>1.61080002784729</v>
      </c>
      <c r="E1450">
        <v>79.020148874726118</v>
      </c>
      <c r="F1450">
        <v>1586.1759033203125</v>
      </c>
      <c r="G1450" s="14"/>
      <c r="H1450" s="34"/>
      <c r="I1450" s="34"/>
      <c r="J1450" s="34"/>
      <c r="K1450" s="34"/>
      <c r="L1450" s="34"/>
      <c r="N1450" s="34"/>
      <c r="O1450" s="35"/>
      <c r="P1450" s="35"/>
      <c r="Q1450" s="35"/>
      <c r="R1450" s="35"/>
      <c r="S1450" s="74"/>
    </row>
    <row r="1451" spans="1:19" ht="13.5" thickBot="1">
      <c r="A1451" s="103">
        <v>40738</v>
      </c>
      <c r="B1451" s="104">
        <v>3.0842299461364746</v>
      </c>
      <c r="C1451" s="105">
        <v>1308.8699951171875</v>
      </c>
      <c r="D1451" s="104">
        <v>1.6125999689102173</v>
      </c>
      <c r="E1451">
        <v>79.157764118019131</v>
      </c>
      <c r="F1451">
        <v>1589.601806640625</v>
      </c>
      <c r="G1451" s="14"/>
      <c r="H1451" s="34"/>
      <c r="I1451" s="34"/>
      <c r="J1451" s="34"/>
      <c r="K1451" s="34"/>
      <c r="L1451" s="34"/>
      <c r="N1451" s="34"/>
      <c r="O1451" s="35"/>
      <c r="P1451" s="35"/>
      <c r="Q1451" s="35"/>
      <c r="R1451" s="35"/>
      <c r="S1451" s="74"/>
    </row>
    <row r="1452" spans="1:19" ht="13.5" thickBot="1">
      <c r="A1452" s="103">
        <v>40739</v>
      </c>
      <c r="B1452" s="104">
        <v>3.0458099842071533</v>
      </c>
      <c r="C1452" s="105">
        <v>1316.1400146484375</v>
      </c>
      <c r="D1452" s="104">
        <v>1.6121000051498413</v>
      </c>
      <c r="E1452">
        <v>79.082643483153888</v>
      </c>
      <c r="F1452">
        <v>1589.201904296875</v>
      </c>
      <c r="G1452" s="14"/>
      <c r="H1452" s="34"/>
      <c r="I1452" s="34"/>
      <c r="J1452" s="34"/>
      <c r="K1452" s="34"/>
      <c r="L1452" s="34"/>
      <c r="N1452" s="34"/>
      <c r="O1452" s="35"/>
      <c r="P1452" s="35"/>
      <c r="Q1452" s="35"/>
      <c r="R1452" s="35"/>
      <c r="S1452" s="74"/>
    </row>
    <row r="1453" spans="1:19" ht="13.5" thickBot="1">
      <c r="A1453" s="103">
        <v>40742</v>
      </c>
      <c r="B1453" s="104">
        <v>3.0250799655914307</v>
      </c>
      <c r="C1453" s="105">
        <v>1305.43994140625</v>
      </c>
      <c r="D1453" s="104">
        <v>1.6047999858856201</v>
      </c>
      <c r="E1453">
        <v>79.082643483153888</v>
      </c>
      <c r="F1453">
        <v>1603.625732421875</v>
      </c>
      <c r="G1453" s="14"/>
      <c r="H1453" s="34"/>
      <c r="I1453" s="34"/>
      <c r="J1453" s="34"/>
      <c r="K1453" s="34"/>
      <c r="L1453" s="34"/>
      <c r="N1453" s="34"/>
      <c r="O1453" s="35"/>
      <c r="P1453" s="35"/>
      <c r="Q1453" s="35"/>
      <c r="R1453" s="35"/>
      <c r="S1453" s="74"/>
    </row>
    <row r="1454" spans="1:19" ht="13.5" thickBot="1">
      <c r="A1454" s="103">
        <v>40743</v>
      </c>
      <c r="B1454" s="104">
        <v>3.0275099277496338</v>
      </c>
      <c r="C1454" s="105">
        <v>1326.72998046875</v>
      </c>
      <c r="D1454" s="104">
        <v>1.6121000051498413</v>
      </c>
      <c r="E1454">
        <v>79.201648970603074</v>
      </c>
      <c r="F1454">
        <v>1599.6258544921875</v>
      </c>
      <c r="G1454" s="14"/>
      <c r="H1454" s="34"/>
      <c r="I1454" s="34"/>
      <c r="J1454" s="34"/>
      <c r="K1454" s="34"/>
      <c r="L1454" s="34"/>
      <c r="N1454" s="34"/>
      <c r="O1454" s="35"/>
      <c r="P1454" s="35"/>
      <c r="Q1454" s="35"/>
      <c r="R1454" s="35"/>
      <c r="S1454" s="74"/>
    </row>
    <row r="1455" spans="1:19" ht="13.5" thickBot="1">
      <c r="A1455" s="103">
        <v>40744</v>
      </c>
      <c r="B1455" s="104">
        <v>3.0680000782012939</v>
      </c>
      <c r="C1455" s="105">
        <v>1325.8399658203125</v>
      </c>
      <c r="D1455" s="104">
        <v>1.6164000034332275</v>
      </c>
      <c r="E1455">
        <v>78.777373484042172</v>
      </c>
      <c r="F1455">
        <v>1597.3258056640625</v>
      </c>
      <c r="G1455" s="14"/>
      <c r="H1455" s="34"/>
      <c r="I1455" s="34"/>
      <c r="J1455" s="34"/>
      <c r="K1455" s="34"/>
      <c r="L1455" s="34"/>
      <c r="N1455" s="34"/>
      <c r="O1455" s="35"/>
      <c r="P1455" s="35"/>
      <c r="Q1455" s="35"/>
      <c r="R1455" s="35"/>
      <c r="S1455" s="74"/>
    </row>
    <row r="1456" spans="1:19" ht="13.5" thickBot="1">
      <c r="A1456" s="103">
        <v>40745</v>
      </c>
      <c r="B1456" s="104">
        <v>3.1306099891662598</v>
      </c>
      <c r="C1456" s="105">
        <v>1343.800048828125</v>
      </c>
      <c r="D1456" s="104">
        <v>1.631100058555603</v>
      </c>
      <c r="E1456">
        <v>78.462139418509821</v>
      </c>
      <c r="F1456">
        <v>1597.6016845703125</v>
      </c>
      <c r="G1456" s="14"/>
      <c r="H1456" s="34"/>
      <c r="I1456" s="34"/>
      <c r="J1456" s="34"/>
      <c r="K1456" s="34"/>
      <c r="L1456" s="34"/>
      <c r="N1456" s="34"/>
      <c r="O1456" s="35"/>
      <c r="P1456" s="35"/>
      <c r="Q1456" s="35"/>
      <c r="R1456" s="35"/>
      <c r="S1456" s="74"/>
    </row>
    <row r="1457" spans="1:19" ht="13.5" thickBot="1">
      <c r="A1457" s="103">
        <v>40746</v>
      </c>
      <c r="B1457" s="104">
        <v>3.0620999336242676</v>
      </c>
      <c r="C1457" s="105">
        <v>1345.02001953125</v>
      </c>
      <c r="D1457" s="104">
        <v>1.6306999921798706</v>
      </c>
      <c r="E1457">
        <v>78.43752172799816</v>
      </c>
      <c r="F1457">
        <v>1600.1015625</v>
      </c>
      <c r="G1457" s="14"/>
      <c r="H1457" s="34"/>
      <c r="I1457" s="34"/>
      <c r="J1457" s="34"/>
      <c r="K1457" s="34"/>
      <c r="L1457" s="34"/>
      <c r="N1457" s="34"/>
      <c r="O1457" s="35"/>
      <c r="P1457" s="35"/>
      <c r="Q1457" s="35"/>
      <c r="R1457" s="35"/>
      <c r="S1457" s="74"/>
    </row>
    <row r="1458" spans="1:19" ht="13.5" thickBot="1">
      <c r="A1458" s="103">
        <v>40749</v>
      </c>
      <c r="B1458" s="104">
        <v>3.0924699306488037</v>
      </c>
      <c r="C1458" s="105">
        <v>1337.4300537109375</v>
      </c>
      <c r="D1458" s="104">
        <v>1.6297999620437622</v>
      </c>
      <c r="E1458">
        <v>78.277885364872859</v>
      </c>
      <c r="F1458">
        <v>1611.4256591796875</v>
      </c>
      <c r="G1458" s="14"/>
      <c r="H1458" s="34"/>
      <c r="I1458" s="34"/>
      <c r="J1458" s="34"/>
      <c r="K1458" s="34"/>
      <c r="L1458" s="34"/>
      <c r="N1458" s="34"/>
      <c r="O1458" s="35"/>
      <c r="P1458" s="35"/>
      <c r="Q1458" s="35"/>
      <c r="R1458" s="35"/>
      <c r="S1458" s="74"/>
    </row>
    <row r="1459" spans="1:19" ht="13.5" thickBot="1">
      <c r="A1459" s="103">
        <v>40750</v>
      </c>
      <c r="B1459" s="104">
        <v>3.0460200309753418</v>
      </c>
      <c r="C1459" s="105">
        <v>1331.93994140625</v>
      </c>
      <c r="D1459" s="104">
        <v>1.6421999931335449</v>
      </c>
      <c r="E1459">
        <v>77.899819670066449</v>
      </c>
      <c r="F1459">
        <v>1613.78564453125</v>
      </c>
      <c r="G1459" s="14"/>
      <c r="H1459" s="34"/>
      <c r="I1459" s="34"/>
      <c r="J1459" s="34"/>
      <c r="K1459" s="34"/>
      <c r="L1459" s="34"/>
      <c r="N1459" s="34"/>
      <c r="O1459" s="35"/>
      <c r="P1459" s="35"/>
      <c r="Q1459" s="35"/>
      <c r="R1459" s="35"/>
      <c r="S1459" s="74"/>
    </row>
    <row r="1460" spans="1:19" ht="13.5" thickBot="1">
      <c r="A1460" s="103">
        <v>40751</v>
      </c>
      <c r="B1460" s="104">
        <v>3.0710000991821289</v>
      </c>
      <c r="C1460" s="105">
        <v>1304.8900146484375</v>
      </c>
      <c r="D1460" s="104">
        <v>1.632599949836731</v>
      </c>
      <c r="E1460">
        <v>78.03964262332066</v>
      </c>
      <c r="F1460">
        <v>1611.3856201171875</v>
      </c>
      <c r="G1460" s="14"/>
      <c r="H1460" s="34"/>
      <c r="I1460" s="34"/>
      <c r="J1460" s="34"/>
      <c r="K1460" s="34"/>
      <c r="L1460" s="34"/>
      <c r="N1460" s="34"/>
      <c r="O1460" s="35"/>
      <c r="P1460" s="35"/>
      <c r="Q1460" s="35"/>
      <c r="R1460" s="35"/>
      <c r="S1460" s="74"/>
    </row>
    <row r="1461" spans="1:19" ht="13.5" thickBot="1">
      <c r="A1461" s="103">
        <v>40752</v>
      </c>
      <c r="B1461" s="104">
        <v>3.0590999126434326</v>
      </c>
      <c r="C1461" s="105">
        <v>1300.6700439453125</v>
      </c>
      <c r="D1461" s="104">
        <v>1.6342999935150146</v>
      </c>
      <c r="E1461">
        <v>77.802845689280133</v>
      </c>
      <c r="F1461">
        <v>1615.5509033203125</v>
      </c>
      <c r="G1461" s="14"/>
      <c r="H1461" s="34"/>
      <c r="I1461" s="34"/>
      <c r="J1461" s="34"/>
      <c r="K1461" s="34"/>
      <c r="L1461" s="34"/>
      <c r="N1461" s="34"/>
      <c r="O1461" s="35"/>
      <c r="P1461" s="35"/>
      <c r="Q1461" s="35"/>
      <c r="R1461" s="35"/>
      <c r="S1461" s="74"/>
    </row>
    <row r="1462" spans="1:19" ht="13.5" thickBot="1">
      <c r="A1462" s="103">
        <v>40753</v>
      </c>
      <c r="B1462" s="104">
        <v>2.9233100414276123</v>
      </c>
      <c r="C1462" s="105">
        <v>1292.280029296875</v>
      </c>
      <c r="D1462" s="104">
        <v>1.6430000066757202</v>
      </c>
      <c r="E1462">
        <v>77.077233734982656</v>
      </c>
      <c r="F1462">
        <v>1623.3438720703125</v>
      </c>
      <c r="G1462" s="14"/>
      <c r="H1462" s="34"/>
      <c r="I1462" s="34"/>
      <c r="J1462" s="34"/>
      <c r="K1462" s="34"/>
      <c r="L1462" s="34"/>
      <c r="N1462" s="34"/>
      <c r="O1462" s="35"/>
      <c r="P1462" s="35"/>
      <c r="Q1462" s="35"/>
      <c r="R1462" s="35"/>
      <c r="S1462" s="74"/>
    </row>
    <row r="1463" spans="1:19" ht="13.5" thickBot="1">
      <c r="A1463" s="103">
        <v>40756</v>
      </c>
      <c r="B1463" s="104">
        <v>2.8608300685882568</v>
      </c>
      <c r="C1463" s="105">
        <v>1286.93994140625</v>
      </c>
      <c r="D1463" s="104">
        <v>1.6297999620437622</v>
      </c>
      <c r="E1463">
        <v>77.101004844672701</v>
      </c>
      <c r="F1463">
        <v>1630.2720947265625</v>
      </c>
      <c r="G1463" s="14"/>
      <c r="H1463" s="34"/>
      <c r="I1463" s="34"/>
      <c r="J1463" s="34"/>
      <c r="K1463" s="34"/>
      <c r="L1463" s="34"/>
      <c r="N1463" s="34"/>
      <c r="O1463" s="35"/>
      <c r="P1463" s="35"/>
      <c r="Q1463" s="35"/>
      <c r="R1463" s="35"/>
      <c r="S1463" s="74"/>
    </row>
    <row r="1464" spans="1:19" ht="13.5" thickBot="1">
      <c r="A1464" s="103">
        <v>40757</v>
      </c>
      <c r="B1464" s="104">
        <v>2.7463300228118896</v>
      </c>
      <c r="C1464" s="105">
        <v>1254.050048828125</v>
      </c>
      <c r="D1464" s="104">
        <v>1.6296999454498291</v>
      </c>
      <c r="E1464">
        <v>77.237972382583905</v>
      </c>
      <c r="F1464">
        <v>1638.637939453125</v>
      </c>
      <c r="G1464" s="14"/>
      <c r="H1464" s="34"/>
      <c r="I1464" s="34"/>
      <c r="J1464" s="34"/>
      <c r="K1464" s="34"/>
      <c r="L1464" s="34"/>
      <c r="N1464" s="34"/>
      <c r="O1464" s="35"/>
      <c r="P1464" s="35"/>
      <c r="Q1464" s="35"/>
      <c r="R1464" s="35"/>
      <c r="S1464" s="74"/>
    </row>
    <row r="1465" spans="1:19" ht="13.5" thickBot="1">
      <c r="A1465" s="103">
        <v>40758</v>
      </c>
      <c r="B1465" s="104">
        <v>2.7188498973846436</v>
      </c>
      <c r="C1465" s="105">
        <v>1260.3399658203125</v>
      </c>
      <c r="D1465" s="104">
        <v>1.6420999765396118</v>
      </c>
      <c r="E1465">
        <v>76.917162718986347</v>
      </c>
      <c r="F1465">
        <v>1666.716796875</v>
      </c>
      <c r="G1465" s="14"/>
      <c r="H1465" s="34"/>
      <c r="I1465" s="34"/>
      <c r="J1465" s="34"/>
      <c r="K1465" s="34"/>
      <c r="L1465" s="34"/>
      <c r="N1465" s="34"/>
      <c r="O1465" s="35"/>
      <c r="P1465" s="35"/>
      <c r="Q1465" s="35"/>
      <c r="R1465" s="35"/>
      <c r="S1465" s="74"/>
    </row>
    <row r="1466" spans="1:19" ht="13.5" thickBot="1">
      <c r="A1466" s="103">
        <v>40759</v>
      </c>
      <c r="B1466" s="104">
        <v>2.6027400493621826</v>
      </c>
      <c r="C1466" s="105">
        <v>1200.0699462890625</v>
      </c>
      <c r="D1466" s="104">
        <v>1.6283999681472778</v>
      </c>
      <c r="E1466">
        <v>79.038884556490402</v>
      </c>
      <c r="F1466">
        <v>1652.2889404296875</v>
      </c>
      <c r="G1466" s="14"/>
      <c r="H1466" s="34"/>
      <c r="I1466" s="34"/>
      <c r="J1466" s="34"/>
      <c r="K1466" s="34"/>
      <c r="L1466" s="34"/>
      <c r="N1466" s="34"/>
      <c r="O1466" s="35"/>
      <c r="P1466" s="35"/>
      <c r="Q1466" s="35"/>
      <c r="R1466" s="35"/>
      <c r="S1466" s="74"/>
    </row>
    <row r="1467" spans="1:19" ht="13.5" thickBot="1">
      <c r="A1467" s="103">
        <v>40760</v>
      </c>
      <c r="B1467" s="104">
        <v>2.71875</v>
      </c>
      <c r="C1467" s="105">
        <v>1199.3800048828125</v>
      </c>
      <c r="D1467" s="104">
        <v>1.6359000205993652</v>
      </c>
      <c r="E1467">
        <v>78.419070027101256</v>
      </c>
      <c r="F1467">
        <v>1655.591796875</v>
      </c>
      <c r="G1467" s="14"/>
      <c r="H1467" s="34"/>
      <c r="I1467" s="34"/>
      <c r="J1467" s="34"/>
      <c r="K1467" s="34"/>
      <c r="L1467" s="34"/>
      <c r="N1467" s="34"/>
      <c r="O1467" s="35"/>
      <c r="P1467" s="35"/>
      <c r="Q1467" s="35"/>
      <c r="R1467" s="35"/>
      <c r="S1467" s="74"/>
    </row>
    <row r="1468" spans="1:19" ht="13.5" thickBot="1">
      <c r="A1468" s="103">
        <v>40763</v>
      </c>
      <c r="B1468" s="104">
        <v>2.558650016784668</v>
      </c>
      <c r="C1468" s="105">
        <v>1119.4599609375</v>
      </c>
      <c r="D1468" s="104">
        <v>1.6361000537872314</v>
      </c>
      <c r="E1468">
        <v>77.742362275143662</v>
      </c>
      <c r="F1468">
        <v>1715.2198486328125</v>
      </c>
      <c r="G1468" s="14"/>
      <c r="H1468" s="34"/>
      <c r="I1468" s="34"/>
      <c r="J1468" s="34"/>
      <c r="K1468" s="34"/>
      <c r="L1468" s="34"/>
      <c r="N1468" s="34"/>
      <c r="O1468" s="35"/>
      <c r="P1468" s="35"/>
      <c r="Q1468" s="35"/>
      <c r="R1468" s="35"/>
      <c r="S1468" s="74"/>
    </row>
    <row r="1469" spans="1:19" ht="13.5" thickBot="1">
      <c r="A1469" s="103">
        <v>40764</v>
      </c>
      <c r="B1469" s="104">
        <v>2.3970000743865967</v>
      </c>
      <c r="C1469" s="105">
        <v>1172.530029296875</v>
      </c>
      <c r="D1469" s="104">
        <v>1.624500036239624</v>
      </c>
      <c r="E1469">
        <v>76.899413798198211</v>
      </c>
      <c r="F1469">
        <v>1742.6494140625</v>
      </c>
      <c r="G1469" s="14"/>
      <c r="H1469" s="34"/>
      <c r="I1469" s="34"/>
      <c r="J1469" s="34"/>
      <c r="K1469" s="34"/>
      <c r="L1469" s="34"/>
      <c r="N1469" s="34"/>
      <c r="O1469" s="35"/>
      <c r="P1469" s="35"/>
      <c r="Q1469" s="35"/>
      <c r="R1469" s="35"/>
      <c r="S1469" s="74"/>
    </row>
    <row r="1470" spans="1:19" ht="13.5" thickBot="1">
      <c r="A1470" s="103">
        <v>40765</v>
      </c>
      <c r="B1470" s="104">
        <v>2.3391900062561035</v>
      </c>
      <c r="C1470" s="105">
        <v>1120.760009765625</v>
      </c>
      <c r="D1470" s="104">
        <v>1.6157000064849854</v>
      </c>
      <c r="E1470">
        <v>76.799018567229467</v>
      </c>
      <c r="F1470">
        <v>1774.048828125</v>
      </c>
      <c r="G1470" s="14"/>
      <c r="H1470" s="34"/>
      <c r="I1470" s="34"/>
      <c r="J1470" s="34"/>
      <c r="K1470" s="34"/>
      <c r="L1470" s="34"/>
      <c r="N1470" s="34"/>
      <c r="O1470" s="35"/>
      <c r="P1470" s="35"/>
      <c r="Q1470" s="35"/>
      <c r="R1470" s="35"/>
      <c r="S1470" s="74"/>
    </row>
    <row r="1471" spans="1:19" ht="13.5" thickBot="1">
      <c r="A1471" s="103">
        <v>40766</v>
      </c>
      <c r="B1471" s="104">
        <v>2.4938399791717529</v>
      </c>
      <c r="C1471" s="105">
        <v>1172.6400146484375</v>
      </c>
      <c r="D1471" s="104">
        <v>1.6211999654769897</v>
      </c>
      <c r="E1471">
        <v>76.881678571633145</v>
      </c>
      <c r="F1471">
        <v>1763.8173828125</v>
      </c>
      <c r="G1471" s="14"/>
      <c r="H1471" s="34"/>
      <c r="I1471" s="34"/>
      <c r="J1471" s="34"/>
      <c r="K1471" s="34"/>
      <c r="L1471" s="34"/>
      <c r="N1471" s="34"/>
      <c r="O1471" s="35"/>
      <c r="P1471" s="35"/>
      <c r="Q1471" s="35"/>
      <c r="R1471" s="35"/>
      <c r="S1471" s="74"/>
    </row>
    <row r="1472" spans="1:19" ht="13.5" thickBot="1">
      <c r="A1472" s="103">
        <v>40767</v>
      </c>
      <c r="B1472" s="104">
        <v>2.4011299610137939</v>
      </c>
      <c r="C1472" s="105">
        <v>1178.81005859375</v>
      </c>
      <c r="D1472" s="104">
        <v>1.6281000375747681</v>
      </c>
      <c r="E1472">
        <v>76.799018567229467</v>
      </c>
      <c r="F1472">
        <v>1735.2177734375</v>
      </c>
      <c r="G1472" s="14"/>
      <c r="H1472" s="34"/>
      <c r="I1472" s="34"/>
      <c r="J1472" s="34"/>
      <c r="K1472" s="34"/>
      <c r="L1472" s="34"/>
      <c r="N1472" s="34"/>
      <c r="O1472" s="35"/>
      <c r="P1472" s="35"/>
      <c r="Q1472" s="35"/>
      <c r="R1472" s="35"/>
      <c r="S1472" s="74"/>
    </row>
    <row r="1473" spans="1:19" ht="13.5" thickBot="1">
      <c r="A1473" s="103">
        <v>40770</v>
      </c>
      <c r="B1473" s="104">
        <v>2.4281198978424072</v>
      </c>
      <c r="C1473" s="105">
        <v>1204.489990234375</v>
      </c>
      <c r="D1473" s="104">
        <v>1.6389000415802002</v>
      </c>
      <c r="E1473">
        <v>76.757755183681013</v>
      </c>
      <c r="F1473">
        <v>1753.848388671875</v>
      </c>
      <c r="G1473" s="14"/>
      <c r="H1473" s="34"/>
      <c r="I1473" s="34"/>
      <c r="J1473" s="34"/>
      <c r="K1473" s="34"/>
      <c r="L1473" s="34"/>
      <c r="N1473" s="34"/>
      <c r="O1473" s="35"/>
      <c r="P1473" s="35"/>
      <c r="Q1473" s="35"/>
      <c r="R1473" s="35"/>
      <c r="S1473" s="74"/>
    </row>
    <row r="1474" spans="1:19" ht="13.5" thickBot="1">
      <c r="A1474" s="103">
        <v>40771</v>
      </c>
      <c r="B1474" s="104">
        <v>2.3443100452423096</v>
      </c>
      <c r="C1474" s="105">
        <v>1192.760009765625</v>
      </c>
      <c r="D1474" s="104">
        <v>1.645799994468689</v>
      </c>
      <c r="E1474">
        <v>76.740079745967861</v>
      </c>
      <c r="F1474">
        <v>1780.548095703125</v>
      </c>
      <c r="G1474" s="14"/>
      <c r="H1474" s="34"/>
      <c r="I1474" s="34"/>
      <c r="J1474" s="34"/>
      <c r="K1474" s="34"/>
      <c r="L1474" s="34"/>
      <c r="N1474" s="34"/>
      <c r="O1474" s="35"/>
      <c r="P1474" s="35"/>
      <c r="Q1474" s="35"/>
      <c r="R1474" s="35"/>
      <c r="S1474" s="74"/>
    </row>
    <row r="1475" spans="1:19" ht="13.5" thickBot="1">
      <c r="A1475" s="103">
        <v>40772</v>
      </c>
      <c r="B1475" s="104">
        <v>2.2734301090240479</v>
      </c>
      <c r="C1475" s="105">
        <v>1193.8900146484375</v>
      </c>
      <c r="D1475" s="104">
        <v>1.6567000150680542</v>
      </c>
      <c r="E1475">
        <v>76.49938867706382</v>
      </c>
      <c r="F1475">
        <v>1785.1981201171875</v>
      </c>
      <c r="G1475" s="14"/>
      <c r="H1475" s="34"/>
      <c r="I1475" s="34"/>
      <c r="J1475" s="34"/>
      <c r="K1475" s="34"/>
      <c r="L1475" s="34"/>
      <c r="N1475" s="34"/>
      <c r="O1475" s="35"/>
      <c r="P1475" s="35"/>
      <c r="Q1475" s="35"/>
      <c r="R1475" s="35"/>
      <c r="S1475" s="74"/>
    </row>
    <row r="1476" spans="1:19" ht="13.5" thickBot="1">
      <c r="A1476" s="103">
        <v>40773</v>
      </c>
      <c r="B1476" s="104">
        <v>2.1979999542236328</v>
      </c>
      <c r="C1476" s="105">
        <v>1140.6500244140625</v>
      </c>
      <c r="D1476" s="104">
        <v>1.6500999927520752</v>
      </c>
      <c r="E1476">
        <v>76.540374668967047</v>
      </c>
      <c r="F1476">
        <v>1817.9649658203125</v>
      </c>
      <c r="G1476" s="14"/>
      <c r="H1476" s="34"/>
      <c r="I1476" s="34"/>
      <c r="J1476" s="34"/>
      <c r="K1476" s="34"/>
      <c r="L1476" s="34"/>
      <c r="N1476" s="34"/>
      <c r="O1476" s="35"/>
      <c r="P1476" s="35"/>
      <c r="Q1476" s="35"/>
      <c r="R1476" s="35"/>
      <c r="S1476" s="74"/>
    </row>
    <row r="1477" spans="1:19" ht="13.5" thickBot="1">
      <c r="A1477" s="103">
        <v>40774</v>
      </c>
      <c r="B1477" s="104">
        <v>2.2092700004577637</v>
      </c>
      <c r="C1477" s="105">
        <v>1123.530029296875</v>
      </c>
      <c r="D1477" s="104">
        <v>1.6482000350952148</v>
      </c>
      <c r="E1477">
        <v>76.522804646464451</v>
      </c>
      <c r="F1477">
        <v>1848.98388671875</v>
      </c>
      <c r="G1477" s="14"/>
      <c r="H1477" s="34"/>
      <c r="I1477" s="34"/>
      <c r="J1477" s="34"/>
      <c r="K1477" s="34"/>
      <c r="L1477" s="34"/>
      <c r="N1477" s="34"/>
      <c r="O1477" s="35"/>
      <c r="P1477" s="35"/>
      <c r="Q1477" s="35"/>
      <c r="R1477" s="35"/>
      <c r="S1477" s="74"/>
    </row>
    <row r="1478" spans="1:19" ht="13.5" thickBot="1">
      <c r="A1478" s="103">
        <v>40777</v>
      </c>
      <c r="B1478" s="104">
        <v>2.242609977722168</v>
      </c>
      <c r="C1478" s="105">
        <v>1123.8199462890625</v>
      </c>
      <c r="D1478" s="104">
        <v>1.6484999656677246</v>
      </c>
      <c r="E1478">
        <v>76.757755183681013</v>
      </c>
      <c r="F1478">
        <v>1886.816162109375</v>
      </c>
      <c r="G1478" s="14"/>
      <c r="H1478" s="34"/>
      <c r="I1478" s="34"/>
      <c r="J1478" s="34"/>
      <c r="K1478" s="34"/>
      <c r="L1478" s="34"/>
      <c r="N1478" s="34"/>
      <c r="O1478" s="35"/>
      <c r="P1478" s="35"/>
      <c r="Q1478" s="35"/>
      <c r="R1478" s="35"/>
      <c r="S1478" s="74"/>
    </row>
    <row r="1479" spans="1:19" ht="13.5" thickBot="1">
      <c r="A1479" s="103">
        <v>40778</v>
      </c>
      <c r="B1479" s="104">
        <v>2.293950080871582</v>
      </c>
      <c r="C1479" s="105">
        <v>1162.3499755859375</v>
      </c>
      <c r="D1479" s="104">
        <v>1.6500999927520752</v>
      </c>
      <c r="E1479">
        <v>76.72241792889551</v>
      </c>
      <c r="F1479">
        <v>1863.516357421875</v>
      </c>
      <c r="G1479" s="14"/>
      <c r="H1479" s="34"/>
      <c r="I1479" s="34"/>
      <c r="J1479" s="34"/>
      <c r="K1479" s="34"/>
      <c r="L1479" s="34"/>
      <c r="N1479" s="34"/>
      <c r="O1479" s="35"/>
      <c r="P1479" s="35"/>
      <c r="Q1479" s="35"/>
      <c r="R1479" s="35"/>
      <c r="S1479" s="74"/>
    </row>
    <row r="1480" spans="1:19" ht="13.5" thickBot="1">
      <c r="A1480" s="103">
        <v>40779</v>
      </c>
      <c r="B1480" s="104">
        <v>2.4128899574279785</v>
      </c>
      <c r="C1480" s="105">
        <v>1177.5999755859375</v>
      </c>
      <c r="D1480" s="104">
        <v>1.6375000476837158</v>
      </c>
      <c r="E1480">
        <v>76.982295693704842</v>
      </c>
      <c r="F1480">
        <v>1769.7181396484375</v>
      </c>
      <c r="G1480" s="14"/>
      <c r="H1480" s="34"/>
      <c r="I1480" s="34"/>
      <c r="J1480" s="34"/>
      <c r="K1480" s="34"/>
      <c r="L1480" s="34"/>
      <c r="N1480" s="34"/>
      <c r="O1480" s="35"/>
      <c r="P1480" s="35"/>
      <c r="Q1480" s="35"/>
      <c r="R1480" s="35"/>
      <c r="S1480" s="74"/>
    </row>
    <row r="1481" spans="1:19" ht="13.5" thickBot="1">
      <c r="A1481" s="103">
        <v>40780</v>
      </c>
      <c r="B1481" s="104">
        <v>2.4085900783538818</v>
      </c>
      <c r="C1481" s="105">
        <v>1159.27001953125</v>
      </c>
      <c r="D1481" s="104">
        <v>1.6283999681472778</v>
      </c>
      <c r="E1481">
        <v>77.561469350110485</v>
      </c>
      <c r="F1481">
        <v>1766.220458984375</v>
      </c>
      <c r="G1481" s="14"/>
      <c r="H1481" s="34"/>
      <c r="I1481" s="34"/>
      <c r="J1481" s="34"/>
      <c r="K1481" s="34"/>
      <c r="L1481" s="34"/>
      <c r="N1481" s="34"/>
      <c r="O1481" s="35"/>
      <c r="P1481" s="35"/>
      <c r="Q1481" s="35"/>
      <c r="R1481" s="35"/>
      <c r="S1481" s="74"/>
    </row>
    <row r="1482" spans="1:19" ht="13.5" thickBot="1">
      <c r="A1482" s="103">
        <v>40781</v>
      </c>
      <c r="B1482" s="104">
        <v>2.3513400554656982</v>
      </c>
      <c r="C1482" s="105">
        <v>1176.800048828125</v>
      </c>
      <c r="D1482" s="104">
        <v>1.6337000131607056</v>
      </c>
      <c r="E1482">
        <v>76.72241792889551</v>
      </c>
      <c r="F1482">
        <v>1788.8197021484375</v>
      </c>
      <c r="G1482" s="14"/>
      <c r="H1482" s="34"/>
      <c r="I1482" s="34"/>
      <c r="J1482" s="34"/>
      <c r="K1482" s="34"/>
      <c r="L1482" s="34"/>
      <c r="N1482" s="34"/>
      <c r="O1482" s="35"/>
      <c r="P1482" s="35"/>
      <c r="Q1482" s="35"/>
      <c r="R1482" s="35"/>
      <c r="S1482" s="74"/>
    </row>
    <row r="1483" spans="1:19" ht="13.5" thickBot="1">
      <c r="A1483" s="103">
        <v>40784</v>
      </c>
      <c r="B1483" s="104">
        <v>2.4286899566650391</v>
      </c>
      <c r="C1483" s="105">
        <v>1210.0799560546875</v>
      </c>
      <c r="D1483" s="104">
        <v>1.6409000158309937</v>
      </c>
      <c r="E1483">
        <v>76.917162718986347</v>
      </c>
      <c r="F1483">
        <v>1789.451416015625</v>
      </c>
      <c r="G1483" s="14"/>
      <c r="H1483" s="34"/>
      <c r="I1483" s="34"/>
      <c r="J1483" s="34"/>
      <c r="K1483" s="34"/>
      <c r="L1483" s="34"/>
      <c r="N1483" s="34"/>
      <c r="O1483" s="35"/>
      <c r="P1483" s="35"/>
      <c r="Q1483" s="35"/>
      <c r="R1483" s="35"/>
      <c r="S1483" s="74"/>
    </row>
    <row r="1484" spans="1:19" ht="13.5" thickBot="1">
      <c r="A1484" s="103">
        <v>40785</v>
      </c>
      <c r="B1484" s="104">
        <v>2.3547999858856201</v>
      </c>
      <c r="C1484" s="105">
        <v>1212.9200439453125</v>
      </c>
      <c r="D1484" s="104">
        <v>1.6312999725341797</v>
      </c>
      <c r="E1484">
        <v>76.681236795818961</v>
      </c>
      <c r="F1484">
        <v>1824.0672607421875</v>
      </c>
      <c r="G1484" s="14"/>
      <c r="H1484" s="34"/>
      <c r="I1484" s="34"/>
      <c r="J1484" s="34"/>
      <c r="K1484" s="34"/>
      <c r="L1484" s="34"/>
      <c r="N1484" s="34"/>
      <c r="O1484" s="35"/>
      <c r="P1484" s="35"/>
      <c r="Q1484" s="35"/>
      <c r="R1484" s="35"/>
      <c r="S1484" s="74"/>
    </row>
    <row r="1485" spans="1:19" ht="13.5" thickBot="1">
      <c r="A1485" s="103">
        <v>40786</v>
      </c>
      <c r="B1485" s="104">
        <v>2.398859977722168</v>
      </c>
      <c r="C1485" s="105">
        <v>1218.8900146484375</v>
      </c>
      <c r="D1485" s="104">
        <v>1.6241999864578247</v>
      </c>
      <c r="E1485">
        <v>76.587271173501392</v>
      </c>
      <c r="F1485">
        <v>1826.966796875</v>
      </c>
      <c r="G1485" s="14"/>
      <c r="H1485" s="34"/>
      <c r="I1485" s="34"/>
      <c r="J1485" s="34"/>
      <c r="K1485" s="34"/>
      <c r="L1485" s="34"/>
      <c r="N1485" s="34"/>
      <c r="O1485" s="35"/>
      <c r="P1485" s="35"/>
      <c r="Q1485" s="35"/>
      <c r="R1485" s="35"/>
      <c r="S1485" s="74"/>
    </row>
    <row r="1486" spans="1:19" ht="13.5" thickBot="1">
      <c r="A1486" s="103">
        <v>40787</v>
      </c>
      <c r="B1486" s="104">
        <v>2.3324599266052246</v>
      </c>
      <c r="C1486" s="105">
        <v>1204.4200439453125</v>
      </c>
      <c r="D1486" s="104">
        <v>1.6175500154495239</v>
      </c>
      <c r="E1486">
        <v>76.816715673540884</v>
      </c>
      <c r="F1486">
        <v>1829.5345458984375</v>
      </c>
      <c r="G1486" s="14"/>
      <c r="H1486" s="34"/>
      <c r="I1486" s="34"/>
      <c r="J1486" s="34"/>
      <c r="K1486" s="34"/>
      <c r="L1486" s="34"/>
      <c r="N1486" s="34"/>
      <c r="O1486" s="35"/>
      <c r="P1486" s="35"/>
      <c r="Q1486" s="35"/>
      <c r="R1486" s="35"/>
      <c r="S1486" s="74"/>
    </row>
    <row r="1487" spans="1:19" ht="13.5" thickBot="1">
      <c r="A1487" s="103">
        <v>40788</v>
      </c>
      <c r="B1487" s="104">
        <v>2.1918900012969971</v>
      </c>
      <c r="C1487" s="105">
        <v>1173.969970703125</v>
      </c>
      <c r="D1487" s="104">
        <v>1.6210999488830566</v>
      </c>
      <c r="E1487">
        <v>76.757755183681013</v>
      </c>
      <c r="F1487">
        <v>1874.43310546875</v>
      </c>
      <c r="G1487" s="14"/>
      <c r="H1487" s="34"/>
      <c r="I1487" s="34"/>
      <c r="J1487" s="34"/>
      <c r="K1487" s="34"/>
      <c r="L1487" s="34"/>
      <c r="N1487" s="34"/>
      <c r="O1487" s="35"/>
      <c r="P1487" s="35"/>
      <c r="Q1487" s="35"/>
      <c r="R1487" s="35"/>
      <c r="S1487" s="74"/>
    </row>
    <row r="1488" spans="1:19" ht="13.5" thickBot="1">
      <c r="A1488" s="103">
        <v>40791</v>
      </c>
      <c r="B1488" s="104">
        <v>2.1918900012969971</v>
      </c>
      <c r="C1488" s="105">
        <v>1144.030029296875</v>
      </c>
      <c r="D1488" s="104">
        <v>1.611050009727478</v>
      </c>
      <c r="E1488">
        <v>76.923075335971035</v>
      </c>
      <c r="F1488">
        <v>1901.76611328125</v>
      </c>
      <c r="G1488" s="14"/>
      <c r="H1488" s="34"/>
      <c r="I1488" s="34"/>
      <c r="J1488" s="34"/>
      <c r="K1488" s="34"/>
      <c r="L1488" s="34"/>
      <c r="N1488" s="34"/>
      <c r="O1488" s="35"/>
      <c r="P1488" s="35"/>
      <c r="Q1488" s="35"/>
      <c r="R1488" s="35"/>
      <c r="S1488" s="74"/>
    </row>
    <row r="1489" spans="1:19" ht="13.5" thickBot="1">
      <c r="A1489" s="103">
        <v>40792</v>
      </c>
      <c r="B1489" s="104">
        <v>2.1853499412536621</v>
      </c>
      <c r="C1489" s="105">
        <v>1165.239990234375</v>
      </c>
      <c r="D1489" s="104">
        <v>1.5934000015258789</v>
      </c>
      <c r="E1489">
        <v>77.639749829986627</v>
      </c>
      <c r="F1489">
        <v>1877.466552734375</v>
      </c>
      <c r="G1489" s="14"/>
      <c r="H1489" s="34"/>
      <c r="I1489" s="34"/>
      <c r="J1489" s="34"/>
      <c r="K1489" s="34"/>
      <c r="L1489" s="34"/>
      <c r="N1489" s="34"/>
      <c r="O1489" s="35"/>
      <c r="P1489" s="35"/>
      <c r="Q1489" s="35"/>
      <c r="R1489" s="35"/>
      <c r="S1489" s="74"/>
    </row>
    <row r="1490" spans="1:19" ht="13.5" thickBot="1">
      <c r="A1490" s="103">
        <v>40793</v>
      </c>
      <c r="B1490" s="104">
        <v>2.2334299087524414</v>
      </c>
      <c r="C1490" s="105">
        <v>1198.6199951171875</v>
      </c>
      <c r="D1490" s="104">
        <v>1.5980000495910645</v>
      </c>
      <c r="E1490">
        <v>77.339519293502889</v>
      </c>
      <c r="F1490">
        <v>1821.46728515625</v>
      </c>
      <c r="G1490" s="14"/>
      <c r="H1490" s="34"/>
      <c r="I1490" s="34"/>
      <c r="J1490" s="34"/>
      <c r="K1490" s="34"/>
      <c r="L1490" s="34"/>
      <c r="N1490" s="34"/>
      <c r="O1490" s="35"/>
      <c r="P1490" s="35"/>
      <c r="Q1490" s="35"/>
      <c r="R1490" s="35"/>
      <c r="S1490" s="74"/>
    </row>
    <row r="1491" spans="1:19" ht="13.5" thickBot="1">
      <c r="A1491" s="103">
        <v>40794</v>
      </c>
      <c r="B1491" s="104">
        <v>2.1756401062011719</v>
      </c>
      <c r="C1491" s="105">
        <v>1185.9000244140625</v>
      </c>
      <c r="D1491" s="104">
        <v>1.5967999696731567</v>
      </c>
      <c r="E1491">
        <v>77.47733632657291</v>
      </c>
      <c r="F1491">
        <v>1854.283203125</v>
      </c>
      <c r="G1491" s="14"/>
      <c r="H1491" s="34"/>
      <c r="I1491" s="34"/>
      <c r="J1491" s="34"/>
      <c r="K1491" s="34"/>
      <c r="L1491" s="34"/>
      <c r="N1491" s="34"/>
      <c r="O1491" s="35"/>
      <c r="P1491" s="35"/>
      <c r="Q1491" s="35"/>
      <c r="R1491" s="35"/>
      <c r="S1491" s="74"/>
    </row>
    <row r="1492" spans="1:19" ht="13.5" thickBot="1">
      <c r="A1492" s="103">
        <v>40795</v>
      </c>
      <c r="B1492" s="104">
        <v>2.1348299980163574</v>
      </c>
      <c r="C1492" s="105">
        <v>1154.22998046875</v>
      </c>
      <c r="D1492" s="104">
        <v>1.5863000154495239</v>
      </c>
      <c r="E1492">
        <v>77.47733632657291</v>
      </c>
      <c r="F1492">
        <v>1865.0831298828125</v>
      </c>
      <c r="G1492" s="14"/>
      <c r="H1492" s="34"/>
      <c r="I1492" s="34"/>
      <c r="J1492" s="34"/>
      <c r="K1492" s="34"/>
      <c r="L1492" s="34"/>
      <c r="N1492" s="34"/>
      <c r="O1492" s="35"/>
      <c r="P1492" s="35"/>
      <c r="Q1492" s="35"/>
      <c r="R1492" s="35"/>
      <c r="S1492" s="74"/>
    </row>
    <row r="1493" spans="1:19" ht="13.5" thickBot="1">
      <c r="A1493" s="103">
        <v>40798</v>
      </c>
      <c r="B1493" s="104">
        <v>2.1527600288391113</v>
      </c>
      <c r="C1493" s="105">
        <v>1162.27001953125</v>
      </c>
      <c r="D1493" s="104">
        <v>1.5810999870300293</v>
      </c>
      <c r="E1493">
        <v>77.357466404990518</v>
      </c>
      <c r="F1493">
        <v>1812.2174072265625</v>
      </c>
      <c r="G1493" s="14"/>
      <c r="H1493" s="34"/>
      <c r="I1493" s="34"/>
      <c r="J1493" s="34"/>
      <c r="K1493" s="34"/>
      <c r="L1493" s="34"/>
      <c r="N1493" s="34"/>
      <c r="O1493" s="35"/>
      <c r="P1493" s="35"/>
      <c r="Q1493" s="35"/>
      <c r="R1493" s="35"/>
      <c r="S1493" s="74"/>
    </row>
    <row r="1494" spans="1:19" ht="13.5" thickBot="1">
      <c r="A1494" s="103">
        <v>40799</v>
      </c>
      <c r="B1494" s="104">
        <v>2.2031500339508057</v>
      </c>
      <c r="C1494" s="105">
        <v>1172.8699951171875</v>
      </c>
      <c r="D1494" s="104">
        <v>1.5799000263214111</v>
      </c>
      <c r="E1494">
        <v>76.881678571633145</v>
      </c>
      <c r="F1494">
        <v>1829.804931640625</v>
      </c>
      <c r="G1494" s="14"/>
      <c r="H1494" s="34"/>
      <c r="I1494" s="34"/>
      <c r="J1494" s="34"/>
      <c r="K1494" s="34"/>
      <c r="L1494" s="34"/>
      <c r="N1494" s="34"/>
      <c r="O1494" s="35"/>
      <c r="P1494" s="35"/>
      <c r="Q1494" s="35"/>
      <c r="R1494" s="35"/>
      <c r="S1494" s="74"/>
    </row>
    <row r="1495" spans="1:19" ht="13.5" thickBot="1">
      <c r="A1495" s="103">
        <v>40800</v>
      </c>
      <c r="B1495" s="104">
        <v>2.2146899700164795</v>
      </c>
      <c r="C1495" s="105">
        <v>1188.6800537109375</v>
      </c>
      <c r="D1495" s="104">
        <v>1.5770000219345093</v>
      </c>
      <c r="E1495">
        <v>76.681236795818961</v>
      </c>
      <c r="F1495">
        <v>1813.8052978515625</v>
      </c>
      <c r="G1495" s="14"/>
      <c r="H1495" s="34"/>
      <c r="I1495" s="34"/>
      <c r="J1495" s="34"/>
      <c r="K1495" s="34"/>
      <c r="L1495" s="34"/>
      <c r="N1495" s="34"/>
      <c r="O1495" s="35"/>
      <c r="P1495" s="35"/>
      <c r="Q1495" s="35"/>
      <c r="R1495" s="35"/>
      <c r="S1495" s="74"/>
    </row>
    <row r="1496" spans="1:19" ht="13.5" thickBot="1">
      <c r="A1496" s="103">
        <v>40801</v>
      </c>
      <c r="B1496" s="104">
        <v>2.2671000957489014</v>
      </c>
      <c r="C1496" s="105">
        <v>1209.1099853515625</v>
      </c>
      <c r="D1496" s="104">
        <v>1.5808000564575195</v>
      </c>
      <c r="E1496">
        <v>76.681236795818961</v>
      </c>
      <c r="F1496">
        <v>1781.3621826171875</v>
      </c>
      <c r="G1496" s="14"/>
      <c r="H1496" s="34"/>
      <c r="I1496" s="34"/>
      <c r="J1496" s="34"/>
      <c r="K1496" s="34"/>
      <c r="L1496" s="34"/>
      <c r="N1496" s="34"/>
      <c r="O1496" s="35"/>
      <c r="P1496" s="35"/>
      <c r="Q1496" s="35"/>
      <c r="R1496" s="35"/>
      <c r="S1496" s="74"/>
    </row>
    <row r="1497" spans="1:19" ht="13.5" thickBot="1">
      <c r="A1497" s="103">
        <v>40802</v>
      </c>
      <c r="B1497" s="104">
        <v>2.2648100852966309</v>
      </c>
      <c r="C1497" s="105">
        <v>1216.010009765625</v>
      </c>
      <c r="D1497" s="104">
        <v>1.5788999795913696</v>
      </c>
      <c r="E1497">
        <v>76.881678571633145</v>
      </c>
      <c r="F1497">
        <v>1816.2603759765625</v>
      </c>
      <c r="G1497" s="14"/>
      <c r="H1497" s="34"/>
      <c r="I1497" s="34"/>
      <c r="J1497" s="34"/>
      <c r="K1497" s="34"/>
      <c r="L1497" s="34"/>
      <c r="N1497" s="34"/>
      <c r="O1497" s="35"/>
      <c r="P1497" s="35"/>
      <c r="Q1497" s="35"/>
      <c r="R1497" s="35"/>
      <c r="S1497" s="74"/>
    </row>
    <row r="1498" spans="1:19" ht="13.5" thickBot="1">
      <c r="A1498" s="103">
        <v>40805</v>
      </c>
      <c r="B1498" s="104">
        <v>2.1385300159454346</v>
      </c>
      <c r="C1498" s="105">
        <v>1204.0899658203125</v>
      </c>
      <c r="D1498" s="104">
        <v>1.5692000389099121</v>
      </c>
      <c r="E1498">
        <v>76.49938867706382</v>
      </c>
      <c r="F1498">
        <v>1784.405517578125</v>
      </c>
      <c r="G1498" s="14"/>
      <c r="H1498" s="34"/>
      <c r="I1498" s="34"/>
      <c r="J1498" s="34"/>
      <c r="K1498" s="34"/>
      <c r="L1498" s="34"/>
      <c r="N1498" s="34"/>
      <c r="O1498" s="35"/>
      <c r="P1498" s="35"/>
      <c r="Q1498" s="35"/>
      <c r="R1498" s="35"/>
      <c r="S1498" s="74"/>
    </row>
    <row r="1499" spans="1:19" ht="13.5" thickBot="1">
      <c r="A1499" s="103">
        <v>40806</v>
      </c>
      <c r="B1499" s="104">
        <v>2.1478900909423828</v>
      </c>
      <c r="C1499" s="105">
        <v>1202.0899658203125</v>
      </c>
      <c r="D1499" s="104">
        <v>1.5729999542236328</v>
      </c>
      <c r="E1499">
        <v>76.417542797352439</v>
      </c>
      <c r="F1499">
        <v>1803.5052490234375</v>
      </c>
      <c r="G1499" s="14"/>
      <c r="H1499" s="34"/>
      <c r="I1499" s="34"/>
      <c r="J1499" s="34"/>
      <c r="K1499" s="34"/>
      <c r="L1499" s="34"/>
      <c r="N1499" s="34"/>
      <c r="O1499" s="35"/>
      <c r="P1499" s="35"/>
      <c r="Q1499" s="35"/>
      <c r="R1499" s="35"/>
      <c r="S1499" s="74"/>
    </row>
    <row r="1500" spans="1:19" ht="13.5" thickBot="1">
      <c r="A1500" s="103">
        <v>40807</v>
      </c>
      <c r="B1500" s="104">
        <v>2.0905399322509766</v>
      </c>
      <c r="C1500" s="105">
        <v>1166.760009765625</v>
      </c>
      <c r="D1500" s="104">
        <v>1.5578999519348145</v>
      </c>
      <c r="E1500">
        <v>76.622478548218652</v>
      </c>
      <c r="F1500">
        <v>1806.2552490234375</v>
      </c>
      <c r="G1500" s="14"/>
      <c r="H1500" s="34"/>
      <c r="I1500" s="34"/>
      <c r="J1500" s="34"/>
      <c r="K1500" s="34"/>
      <c r="L1500" s="34"/>
      <c r="N1500" s="34"/>
      <c r="O1500" s="35"/>
      <c r="P1500" s="35"/>
      <c r="Q1500" s="35"/>
      <c r="R1500" s="35"/>
      <c r="S1500" s="74"/>
    </row>
    <row r="1501" spans="1:19" ht="13.5" thickBot="1">
      <c r="A1501" s="103">
        <v>40808</v>
      </c>
      <c r="B1501" s="104">
        <v>1.9012900590896606</v>
      </c>
      <c r="C1501" s="105">
        <v>1129.56005859375</v>
      </c>
      <c r="D1501" s="104">
        <v>1.5353000164031982</v>
      </c>
      <c r="E1501">
        <v>76.400029115836986</v>
      </c>
      <c r="F1501">
        <v>1748.3133544921875</v>
      </c>
      <c r="G1501" s="14"/>
      <c r="H1501" s="34"/>
      <c r="I1501" s="34"/>
      <c r="J1501" s="34"/>
      <c r="K1501" s="34"/>
      <c r="L1501" s="34"/>
      <c r="N1501" s="34"/>
      <c r="O1501" s="35"/>
      <c r="P1501" s="35"/>
      <c r="Q1501" s="35"/>
      <c r="R1501" s="35"/>
      <c r="S1501" s="74"/>
    </row>
    <row r="1502" spans="1:19" ht="13.5" thickBot="1">
      <c r="A1502" s="103">
        <v>40809</v>
      </c>
      <c r="B1502" s="104">
        <v>1.9894599914550781</v>
      </c>
      <c r="C1502" s="105">
        <v>1136.4300537109375</v>
      </c>
      <c r="D1502" s="104">
        <v>1.5426000356674194</v>
      </c>
      <c r="E1502">
        <v>76.740079745967861</v>
      </c>
      <c r="F1502">
        <v>1634.3690185546875</v>
      </c>
      <c r="G1502" s="14"/>
      <c r="H1502" s="34"/>
      <c r="I1502" s="34"/>
      <c r="J1502" s="34"/>
      <c r="K1502" s="34"/>
      <c r="L1502" s="34"/>
      <c r="N1502" s="34"/>
      <c r="O1502" s="35"/>
      <c r="P1502" s="35"/>
      <c r="Q1502" s="35"/>
      <c r="R1502" s="35"/>
      <c r="S1502" s="74"/>
    </row>
    <row r="1503" spans="1:19" ht="13.5" thickBot="1">
      <c r="A1503" s="103">
        <v>40812</v>
      </c>
      <c r="B1503" s="104">
        <v>2.0886900424957275</v>
      </c>
      <c r="C1503" s="105">
        <v>1162.949951171875</v>
      </c>
      <c r="D1503" s="104">
        <v>1.5557999610900879</v>
      </c>
      <c r="E1503">
        <v>76.458446556189216</v>
      </c>
      <c r="F1503">
        <v>1600.6602783203125</v>
      </c>
      <c r="G1503" s="14"/>
      <c r="H1503" s="34"/>
      <c r="I1503" s="34"/>
      <c r="J1503" s="34"/>
      <c r="K1503" s="34"/>
      <c r="L1503" s="34"/>
      <c r="N1503" s="34"/>
      <c r="O1503" s="35"/>
      <c r="P1503" s="35"/>
      <c r="Q1503" s="35"/>
      <c r="R1503" s="35"/>
      <c r="S1503" s="74"/>
    </row>
    <row r="1504" spans="1:19" ht="13.5" thickBot="1">
      <c r="A1504" s="103">
        <v>40813</v>
      </c>
      <c r="B1504" s="104">
        <v>2.1902799606323242</v>
      </c>
      <c r="C1504" s="105">
        <v>1175.3800048828125</v>
      </c>
      <c r="D1504" s="104">
        <v>1.5647000074386597</v>
      </c>
      <c r="E1504">
        <v>76.757755183681013</v>
      </c>
      <c r="F1504">
        <v>1655.6590576171875</v>
      </c>
      <c r="G1504" s="14"/>
      <c r="H1504" s="34"/>
      <c r="I1504" s="34"/>
      <c r="J1504" s="34"/>
      <c r="K1504" s="34"/>
      <c r="L1504" s="34"/>
      <c r="N1504" s="34"/>
      <c r="O1504" s="35"/>
      <c r="P1504" s="35"/>
      <c r="Q1504" s="35"/>
      <c r="R1504" s="35"/>
      <c r="S1504" s="74"/>
    </row>
    <row r="1505" spans="1:19" ht="13.5" thickBot="1">
      <c r="A1505" s="103">
        <v>40814</v>
      </c>
      <c r="B1505" s="104">
        <v>2.177299976348877</v>
      </c>
      <c r="C1505" s="105">
        <v>1151.06005859375</v>
      </c>
      <c r="D1505" s="104">
        <v>1.5601999759674072</v>
      </c>
      <c r="E1505">
        <v>76.540374668967047</v>
      </c>
      <c r="F1505">
        <v>1629.5096435546875</v>
      </c>
      <c r="G1505" s="14"/>
      <c r="H1505" s="34"/>
      <c r="I1505" s="34"/>
      <c r="J1505" s="34"/>
      <c r="K1505" s="34"/>
      <c r="L1505" s="34"/>
      <c r="N1505" s="34"/>
      <c r="O1505" s="35"/>
      <c r="P1505" s="35"/>
      <c r="Q1505" s="35"/>
      <c r="R1505" s="35"/>
      <c r="S1505" s="74"/>
    </row>
    <row r="1506" spans="1:19" ht="13.5" thickBot="1">
      <c r="A1506" s="103">
        <v>40815</v>
      </c>
      <c r="B1506" s="104">
        <v>2.1311399936676025</v>
      </c>
      <c r="C1506" s="105">
        <v>1160.4000244140625</v>
      </c>
      <c r="D1506" s="104">
        <v>1.5590000152587891</v>
      </c>
      <c r="E1506">
        <v>76.72241792889551</v>
      </c>
      <c r="F1506">
        <v>1613.97021484375</v>
      </c>
      <c r="G1506" s="14"/>
      <c r="H1506" s="34"/>
      <c r="I1506" s="34"/>
      <c r="J1506" s="34"/>
      <c r="K1506" s="34"/>
      <c r="L1506" s="34"/>
      <c r="N1506" s="34"/>
      <c r="O1506" s="35"/>
      <c r="P1506" s="35"/>
      <c r="Q1506" s="35"/>
      <c r="R1506" s="35"/>
      <c r="S1506" s="74"/>
    </row>
    <row r="1507" spans="1:19" ht="13.5" thickBot="1">
      <c r="A1507" s="103">
        <v>40816</v>
      </c>
      <c r="B1507" s="104">
        <v>2.1090700626373291</v>
      </c>
      <c r="C1507" s="105">
        <v>1131.4200439453125</v>
      </c>
      <c r="D1507" s="104">
        <v>1.5626000165939331</v>
      </c>
      <c r="E1507">
        <v>77.089114690019713</v>
      </c>
      <c r="F1507">
        <v>1628.9681396484375</v>
      </c>
      <c r="G1507" s="14"/>
      <c r="H1507" s="34"/>
      <c r="I1507" s="34"/>
      <c r="J1507" s="34"/>
      <c r="K1507" s="34"/>
      <c r="L1507" s="34"/>
      <c r="N1507" s="34"/>
      <c r="O1507" s="35"/>
      <c r="P1507" s="35"/>
      <c r="Q1507" s="35"/>
      <c r="R1507" s="35"/>
      <c r="S1507" s="74"/>
    </row>
    <row r="1508" spans="1:19" ht="13.5" thickBot="1">
      <c r="A1508" s="103">
        <v>40819</v>
      </c>
      <c r="B1508" s="104">
        <v>1.9982099533081055</v>
      </c>
      <c r="C1508" s="105">
        <v>1099.22998046875</v>
      </c>
      <c r="D1508" s="104">
        <v>1.5470000505447388</v>
      </c>
      <c r="E1508">
        <v>76.657723780502863</v>
      </c>
      <c r="F1508">
        <v>1654.80908203125</v>
      </c>
      <c r="G1508" s="14"/>
      <c r="H1508" s="34"/>
      <c r="I1508" s="34"/>
      <c r="J1508" s="34"/>
      <c r="K1508" s="34"/>
      <c r="L1508" s="34"/>
      <c r="N1508" s="34"/>
      <c r="O1508" s="35"/>
      <c r="P1508" s="35"/>
      <c r="Q1508" s="35"/>
      <c r="R1508" s="35"/>
      <c r="S1508" s="74"/>
    </row>
    <row r="1509" spans="1:19" ht="13.5" thickBot="1">
      <c r="A1509" s="103">
        <v>40820</v>
      </c>
      <c r="B1509" s="104">
        <v>2.0214200019836426</v>
      </c>
      <c r="C1509" s="105">
        <v>1123.949951171875</v>
      </c>
      <c r="D1509" s="104">
        <v>1.5384999513626099</v>
      </c>
      <c r="E1509">
        <v>76.958597715156202</v>
      </c>
      <c r="F1509">
        <v>1616.01025390625</v>
      </c>
      <c r="G1509" s="14"/>
      <c r="H1509" s="34"/>
      <c r="I1509" s="34"/>
      <c r="J1509" s="34"/>
      <c r="K1509" s="34"/>
      <c r="L1509" s="34"/>
      <c r="N1509" s="34"/>
      <c r="O1509" s="35"/>
      <c r="P1509" s="35"/>
      <c r="Q1509" s="35"/>
      <c r="R1509" s="35"/>
      <c r="S1509" s="74"/>
    </row>
    <row r="1510" spans="1:19" ht="13.5" thickBot="1">
      <c r="A1510" s="103">
        <v>40821</v>
      </c>
      <c r="B1510" s="104">
        <v>2.1373999118804932</v>
      </c>
      <c r="C1510" s="105">
        <v>1144.030029296875</v>
      </c>
      <c r="D1510" s="104">
        <v>1.5464999675750732</v>
      </c>
      <c r="E1510">
        <v>76.72241792889551</v>
      </c>
      <c r="F1510">
        <v>1639.609619140625</v>
      </c>
      <c r="G1510" s="14"/>
      <c r="H1510" s="34"/>
      <c r="I1510" s="34"/>
      <c r="J1510" s="34"/>
      <c r="K1510" s="34"/>
      <c r="L1510" s="34"/>
      <c r="N1510" s="34"/>
      <c r="O1510" s="35"/>
      <c r="P1510" s="35"/>
      <c r="Q1510" s="35"/>
      <c r="R1510" s="35"/>
      <c r="S1510" s="74"/>
    </row>
    <row r="1511" spans="1:19" ht="13.5" thickBot="1">
      <c r="A1511" s="103">
        <v>40822</v>
      </c>
      <c r="B1511" s="104">
        <v>2.19461989402771</v>
      </c>
      <c r="C1511" s="105">
        <v>1164.969970703125</v>
      </c>
      <c r="D1511" s="104">
        <v>1.5430999994277954</v>
      </c>
      <c r="E1511">
        <v>76.622478548218652</v>
      </c>
      <c r="F1511">
        <v>1642.7691650390625</v>
      </c>
      <c r="G1511" s="14"/>
      <c r="H1511" s="34"/>
      <c r="I1511" s="34"/>
      <c r="J1511" s="34"/>
      <c r="K1511" s="34"/>
      <c r="L1511" s="34"/>
      <c r="N1511" s="34"/>
      <c r="O1511" s="35"/>
      <c r="P1511" s="35"/>
      <c r="Q1511" s="35"/>
      <c r="R1511" s="35"/>
      <c r="S1511" s="74"/>
    </row>
    <row r="1512" spans="1:19" ht="13.5" thickBot="1">
      <c r="A1512" s="103">
        <v>40823</v>
      </c>
      <c r="B1512" s="104">
        <v>2.2692201137542725</v>
      </c>
      <c r="C1512" s="105">
        <v>1155.4599609375</v>
      </c>
      <c r="D1512" s="104">
        <v>1.5555000305175781</v>
      </c>
      <c r="E1512">
        <v>76.822618353701827</v>
      </c>
      <c r="F1512">
        <v>1633.97021484375</v>
      </c>
      <c r="G1512" s="14"/>
      <c r="H1512" s="34"/>
      <c r="I1512" s="34"/>
      <c r="J1512" s="34"/>
      <c r="K1512" s="34"/>
      <c r="L1512" s="34"/>
      <c r="N1512" s="34"/>
      <c r="O1512" s="35"/>
      <c r="P1512" s="35"/>
      <c r="Q1512" s="35"/>
      <c r="R1512" s="35"/>
      <c r="S1512" s="74"/>
    </row>
    <row r="1513" spans="1:19" ht="13.5" thickBot="1">
      <c r="A1513" s="103">
        <v>40826</v>
      </c>
      <c r="B1513" s="104">
        <v>2.2692201137542725</v>
      </c>
      <c r="C1513" s="105">
        <v>1194.8900146484375</v>
      </c>
      <c r="D1513" s="104">
        <v>1.5664999485015869</v>
      </c>
      <c r="E1513">
        <v>76.657723780502863</v>
      </c>
      <c r="F1513">
        <v>1668.309326171875</v>
      </c>
      <c r="G1513" s="14"/>
      <c r="H1513" s="34"/>
      <c r="I1513" s="34"/>
      <c r="J1513" s="34"/>
      <c r="K1513" s="34"/>
      <c r="L1513" s="34"/>
      <c r="N1513" s="34"/>
      <c r="O1513" s="35"/>
      <c r="P1513" s="35"/>
      <c r="Q1513" s="35"/>
      <c r="R1513" s="35"/>
      <c r="S1513" s="74"/>
    </row>
    <row r="1514" spans="1:19" ht="13.5" thickBot="1">
      <c r="A1514" s="103">
        <v>40827</v>
      </c>
      <c r="B1514" s="104">
        <v>2.3459999561309814</v>
      </c>
      <c r="C1514" s="105">
        <v>1195.5400390625</v>
      </c>
      <c r="D1514" s="104">
        <v>1.5593999624252319</v>
      </c>
      <c r="E1514">
        <v>76.681236795818961</v>
      </c>
      <c r="F1514">
        <v>1657.609375</v>
      </c>
      <c r="G1514" s="14"/>
      <c r="H1514" s="34"/>
      <c r="I1514" s="34"/>
      <c r="J1514" s="34"/>
      <c r="K1514" s="34"/>
      <c r="L1514" s="34"/>
      <c r="N1514" s="34"/>
      <c r="O1514" s="35"/>
      <c r="P1514" s="35"/>
      <c r="Q1514" s="35"/>
      <c r="R1514" s="35"/>
      <c r="S1514" s="74"/>
    </row>
    <row r="1515" spans="1:19" ht="13.5" thickBot="1">
      <c r="A1515" s="103">
        <v>40828</v>
      </c>
      <c r="B1515" s="104">
        <v>2.3904299736022949</v>
      </c>
      <c r="C1515" s="105">
        <v>1207.25</v>
      </c>
      <c r="D1515" s="104">
        <v>1.5752999782562256</v>
      </c>
      <c r="E1515">
        <v>77.321580507626607</v>
      </c>
      <c r="F1515">
        <v>1678.908935546875</v>
      </c>
      <c r="G1515" s="14"/>
      <c r="H1515" s="34"/>
      <c r="I1515" s="34"/>
      <c r="J1515" s="34"/>
      <c r="K1515" s="34"/>
      <c r="L1515" s="34"/>
      <c r="N1515" s="34"/>
      <c r="O1515" s="35"/>
      <c r="P1515" s="35"/>
      <c r="Q1515" s="35"/>
      <c r="R1515" s="35"/>
      <c r="S1515" s="74"/>
    </row>
    <row r="1516" spans="1:19" ht="13.5" thickBot="1">
      <c r="A1516" s="103">
        <v>40829</v>
      </c>
      <c r="B1516" s="104">
        <v>2.344170093536377</v>
      </c>
      <c r="C1516" s="105">
        <v>1203.6600341796875</v>
      </c>
      <c r="D1516" s="104">
        <v>1.5770000219345093</v>
      </c>
      <c r="E1516">
        <v>76.881678571633145</v>
      </c>
      <c r="F1516">
        <v>1663.1685791015625</v>
      </c>
      <c r="G1516" s="14"/>
      <c r="H1516" s="34"/>
      <c r="I1516" s="34"/>
      <c r="J1516" s="34"/>
      <c r="K1516" s="34"/>
      <c r="L1516" s="34"/>
      <c r="N1516" s="34"/>
      <c r="O1516" s="35"/>
      <c r="P1516" s="35"/>
      <c r="Q1516" s="35"/>
      <c r="R1516" s="35"/>
      <c r="S1516" s="74"/>
    </row>
    <row r="1517" spans="1:19" ht="13.5" thickBot="1">
      <c r="A1517" s="103">
        <v>40830</v>
      </c>
      <c r="B1517" s="104">
        <v>2.4173200130462646</v>
      </c>
      <c r="C1517" s="105">
        <v>1224.5799560546875</v>
      </c>
      <c r="D1517" s="104">
        <v>1.5814000368118286</v>
      </c>
      <c r="E1517">
        <v>77.237972382583905</v>
      </c>
      <c r="F1517">
        <v>1679.16796875</v>
      </c>
      <c r="G1517" s="14"/>
      <c r="H1517" s="34"/>
      <c r="I1517" s="34"/>
      <c r="J1517" s="34"/>
      <c r="K1517" s="34"/>
      <c r="L1517" s="34"/>
      <c r="N1517" s="34"/>
      <c r="O1517" s="35"/>
      <c r="P1517" s="35"/>
      <c r="Q1517" s="35"/>
      <c r="R1517" s="35"/>
      <c r="S1517" s="74"/>
    </row>
    <row r="1518" spans="1:19" ht="13.5" thickBot="1">
      <c r="A1518" s="103">
        <v>40833</v>
      </c>
      <c r="B1518" s="104">
        <v>2.3482201099395752</v>
      </c>
      <c r="C1518" s="105">
        <v>1200.8599853515625</v>
      </c>
      <c r="D1518" s="104">
        <v>1.5752999782562256</v>
      </c>
      <c r="E1518">
        <v>76.840326339325458</v>
      </c>
      <c r="F1518">
        <v>1667.7589111328125</v>
      </c>
      <c r="G1518" s="14"/>
      <c r="H1518" s="34"/>
      <c r="I1518" s="34"/>
      <c r="J1518" s="34"/>
      <c r="K1518" s="34"/>
      <c r="L1518" s="34"/>
      <c r="N1518" s="34"/>
      <c r="O1518" s="35"/>
      <c r="P1518" s="35"/>
      <c r="Q1518" s="35"/>
      <c r="R1518" s="35"/>
      <c r="S1518" s="74"/>
    </row>
    <row r="1519" spans="1:19" ht="13.5" thickBot="1">
      <c r="A1519" s="103">
        <v>40834</v>
      </c>
      <c r="B1519" s="104">
        <v>2.3489499092102051</v>
      </c>
      <c r="C1519" s="105">
        <v>1225.3800048828125</v>
      </c>
      <c r="D1519" s="104">
        <v>1.5716999769210815</v>
      </c>
      <c r="E1519">
        <v>76.757755183681013</v>
      </c>
      <c r="F1519">
        <v>1654.45947265625</v>
      </c>
      <c r="G1519" s="14"/>
      <c r="H1519" s="34"/>
      <c r="I1519" s="34"/>
      <c r="J1519" s="34"/>
      <c r="K1519" s="34"/>
      <c r="L1519" s="34"/>
      <c r="N1519" s="34"/>
      <c r="O1519" s="35"/>
      <c r="P1519" s="35"/>
      <c r="Q1519" s="35"/>
      <c r="R1519" s="35"/>
      <c r="S1519" s="74"/>
    </row>
    <row r="1520" spans="1:19" ht="13.5" thickBot="1">
      <c r="A1520" s="103">
        <v>40835</v>
      </c>
      <c r="B1520" s="104">
        <v>2.3510599136352539</v>
      </c>
      <c r="C1520" s="105">
        <v>1209.8800048828125</v>
      </c>
      <c r="D1520" s="104">
        <v>1.5764000415802002</v>
      </c>
      <c r="E1520">
        <v>76.781324122698308</v>
      </c>
      <c r="F1520">
        <v>1646.459716796875</v>
      </c>
      <c r="G1520" s="14"/>
      <c r="H1520" s="34"/>
      <c r="I1520" s="34"/>
      <c r="J1520" s="34"/>
      <c r="K1520" s="34"/>
      <c r="L1520" s="34"/>
      <c r="N1520" s="34"/>
      <c r="O1520" s="35"/>
      <c r="P1520" s="35"/>
      <c r="Q1520" s="35"/>
      <c r="R1520" s="35"/>
      <c r="S1520" s="74"/>
    </row>
    <row r="1521" spans="1:19" ht="13.5" thickBot="1">
      <c r="A1521" s="103">
        <v>40836</v>
      </c>
      <c r="B1521" s="104">
        <v>2.3681399822235107</v>
      </c>
      <c r="C1521" s="105">
        <v>1215.3900146484375</v>
      </c>
      <c r="D1521" s="104">
        <v>1.5794999599456787</v>
      </c>
      <c r="E1521">
        <v>76.840326339325458</v>
      </c>
      <c r="F1521">
        <v>1609.02099609375</v>
      </c>
      <c r="G1521" s="14"/>
      <c r="H1521" s="34"/>
      <c r="I1521" s="34"/>
      <c r="J1521" s="34"/>
      <c r="K1521" s="34"/>
      <c r="L1521" s="34"/>
      <c r="N1521" s="34"/>
      <c r="O1521" s="35"/>
      <c r="P1521" s="35"/>
      <c r="Q1521" s="35"/>
      <c r="R1521" s="35"/>
      <c r="S1521" s="74"/>
    </row>
    <row r="1522" spans="1:19" ht="13.5" thickBot="1">
      <c r="A1522" s="103">
        <v>40837</v>
      </c>
      <c r="B1522" s="104">
        <v>2.3963699340820312</v>
      </c>
      <c r="C1522" s="105">
        <v>1238.25</v>
      </c>
      <c r="D1522" s="104">
        <v>1.5938999652862549</v>
      </c>
      <c r="E1522">
        <v>76.138267721560496</v>
      </c>
      <c r="F1522">
        <v>1635.019775390625</v>
      </c>
      <c r="G1522" s="14"/>
      <c r="H1522" s="34"/>
      <c r="I1522" s="34"/>
      <c r="J1522" s="34"/>
      <c r="K1522" s="34"/>
      <c r="L1522" s="34"/>
      <c r="N1522" s="34"/>
      <c r="O1522" s="35"/>
      <c r="P1522" s="35"/>
      <c r="Q1522" s="35"/>
      <c r="R1522" s="35"/>
      <c r="S1522" s="74"/>
    </row>
    <row r="1523" spans="1:19" ht="13.5" thickBot="1">
      <c r="A1523" s="103">
        <v>40840</v>
      </c>
      <c r="B1523" s="104">
        <v>2.4286000728607178</v>
      </c>
      <c r="C1523" s="105">
        <v>1254.18994140625</v>
      </c>
      <c r="D1523" s="104">
        <v>1.6002000570297241</v>
      </c>
      <c r="E1523">
        <v>76.057192327454928</v>
      </c>
      <c r="F1523">
        <v>1656.1593017578125</v>
      </c>
      <c r="G1523" s="14"/>
      <c r="H1523" s="34"/>
      <c r="I1523" s="34"/>
      <c r="J1523" s="34"/>
      <c r="K1523" s="34"/>
      <c r="L1523" s="34"/>
      <c r="N1523" s="34"/>
      <c r="O1523" s="35"/>
      <c r="P1523" s="35"/>
      <c r="Q1523" s="35"/>
      <c r="R1523" s="35"/>
      <c r="S1523" s="74"/>
    </row>
    <row r="1524" spans="1:19" ht="13.5" thickBot="1">
      <c r="A1524" s="103">
        <v>40841</v>
      </c>
      <c r="B1524" s="104">
        <v>2.319119930267334</v>
      </c>
      <c r="C1524" s="105">
        <v>1229.050048828125</v>
      </c>
      <c r="D1524" s="104">
        <v>1.6017999649047852</v>
      </c>
      <c r="E1524">
        <v>75.941678609964242</v>
      </c>
      <c r="F1524">
        <v>1702.658203125</v>
      </c>
      <c r="G1524" s="14"/>
      <c r="H1524" s="34"/>
      <c r="I1524" s="34"/>
      <c r="J1524" s="34"/>
      <c r="K1524" s="34"/>
      <c r="L1524" s="34"/>
      <c r="N1524" s="34"/>
      <c r="O1524" s="35"/>
      <c r="P1524" s="35"/>
      <c r="Q1524" s="35"/>
      <c r="R1524" s="35"/>
      <c r="S1524" s="74"/>
    </row>
    <row r="1525" spans="1:19" ht="13.5" thickBot="1">
      <c r="A1525" s="103">
        <v>40842</v>
      </c>
      <c r="B1525" s="104">
        <v>2.3939299583435059</v>
      </c>
      <c r="C1525" s="105">
        <v>1242</v>
      </c>
      <c r="D1525" s="104">
        <v>1.5963000059127808</v>
      </c>
      <c r="E1525">
        <v>76.202087701162625</v>
      </c>
      <c r="F1525">
        <v>1726.257568359375</v>
      </c>
      <c r="G1525" s="14"/>
      <c r="H1525" s="34"/>
      <c r="I1525" s="34"/>
      <c r="J1525" s="34"/>
      <c r="K1525" s="34"/>
      <c r="L1525" s="34"/>
      <c r="N1525" s="34"/>
      <c r="O1525" s="35"/>
      <c r="P1525" s="35"/>
      <c r="Q1525" s="35"/>
      <c r="R1525" s="35"/>
      <c r="S1525" s="74"/>
    </row>
    <row r="1526" spans="1:19" ht="13.5" thickBot="1">
      <c r="A1526" s="103">
        <v>40843</v>
      </c>
      <c r="B1526" s="104">
        <v>2.5520899295806885</v>
      </c>
      <c r="C1526" s="105">
        <v>1284.5899658203125</v>
      </c>
      <c r="D1526" s="104">
        <v>1.6119999885559082</v>
      </c>
      <c r="E1526">
        <v>75.958982756631372</v>
      </c>
      <c r="F1526">
        <v>1744.1142578125</v>
      </c>
      <c r="G1526" s="14"/>
      <c r="H1526" s="34"/>
      <c r="I1526" s="34"/>
      <c r="J1526" s="34"/>
      <c r="K1526" s="34"/>
      <c r="L1526" s="34"/>
      <c r="N1526" s="34"/>
      <c r="O1526" s="35"/>
      <c r="P1526" s="35"/>
      <c r="Q1526" s="35"/>
      <c r="R1526" s="35"/>
      <c r="S1526" s="74"/>
    </row>
    <row r="1527" spans="1:19" ht="13.5" thickBot="1">
      <c r="A1527" s="103">
        <v>40844</v>
      </c>
      <c r="B1527" s="104">
        <v>2.4465100765228271</v>
      </c>
      <c r="C1527" s="105">
        <v>1285.0899658203125</v>
      </c>
      <c r="D1527" s="104">
        <v>1.6131000518798828</v>
      </c>
      <c r="E1527">
        <v>75.717424018264552</v>
      </c>
      <c r="F1527">
        <v>1736.6146240234375</v>
      </c>
      <c r="G1527" s="14"/>
      <c r="H1527" s="34"/>
      <c r="I1527" s="34"/>
      <c r="J1527" s="34"/>
      <c r="K1527" s="34"/>
      <c r="L1527" s="34"/>
      <c r="N1527" s="34"/>
      <c r="O1527" s="35"/>
      <c r="P1527" s="35"/>
      <c r="Q1527" s="35"/>
      <c r="R1527" s="35"/>
      <c r="S1527" s="74"/>
    </row>
    <row r="1528" spans="1:19" ht="13.5" thickBot="1">
      <c r="A1528" s="103">
        <v>40847</v>
      </c>
      <c r="B1528" s="104">
        <v>2.3354198932647705</v>
      </c>
      <c r="C1528" s="105">
        <v>1253.300048828125</v>
      </c>
      <c r="D1528" s="104">
        <v>1.6105999946594238</v>
      </c>
      <c r="E1528">
        <v>78.064011159003655</v>
      </c>
      <c r="F1528">
        <v>1720.457763671875</v>
      </c>
      <c r="G1528" s="14"/>
      <c r="H1528" s="34"/>
      <c r="I1528" s="34"/>
      <c r="J1528" s="34"/>
      <c r="K1528" s="34"/>
      <c r="L1528" s="34"/>
      <c r="N1528" s="34"/>
      <c r="O1528" s="35"/>
      <c r="P1528" s="35"/>
      <c r="Q1528" s="35"/>
      <c r="R1528" s="35"/>
      <c r="S1528" s="74"/>
    </row>
    <row r="1529" spans="1:19" ht="13.5" thickBot="1">
      <c r="A1529" s="103">
        <v>40848</v>
      </c>
      <c r="B1529" s="104">
        <v>2.1709599494934082</v>
      </c>
      <c r="C1529" s="105">
        <v>1218.280029296875</v>
      </c>
      <c r="D1529" s="104">
        <v>1.5961999893188477</v>
      </c>
      <c r="E1529">
        <v>78.320799770320448</v>
      </c>
      <c r="F1529">
        <v>1706.55810546875</v>
      </c>
      <c r="G1529" s="14"/>
      <c r="H1529" s="34"/>
      <c r="I1529" s="34"/>
      <c r="J1529" s="34"/>
      <c r="K1529" s="34"/>
      <c r="L1529" s="34"/>
      <c r="N1529" s="34"/>
      <c r="O1529" s="35"/>
      <c r="P1529" s="35"/>
      <c r="Q1529" s="35"/>
      <c r="R1529" s="35"/>
      <c r="S1529" s="74"/>
    </row>
    <row r="1530" spans="1:19" ht="13.5" thickBot="1">
      <c r="A1530" s="103">
        <v>40849</v>
      </c>
      <c r="B1530" s="104">
        <v>2.1747000217437744</v>
      </c>
      <c r="C1530" s="105">
        <v>1237.9000244140625</v>
      </c>
      <c r="D1530" s="104">
        <v>1.5953999757766724</v>
      </c>
      <c r="E1530">
        <v>78.082296130753704</v>
      </c>
      <c r="F1530">
        <v>1730.2574462890625</v>
      </c>
      <c r="G1530" s="14"/>
      <c r="H1530" s="34"/>
      <c r="I1530" s="34"/>
      <c r="J1530" s="34"/>
      <c r="K1530" s="34"/>
      <c r="L1530" s="34"/>
      <c r="N1530" s="34"/>
      <c r="O1530" s="35"/>
      <c r="P1530" s="35"/>
      <c r="Q1530" s="35"/>
      <c r="R1530" s="35"/>
      <c r="S1530" s="74"/>
    </row>
    <row r="1531" spans="1:19" ht="13.5" thickBot="1">
      <c r="A1531" s="103">
        <v>40850</v>
      </c>
      <c r="B1531" s="104">
        <v>2.2320799827575684</v>
      </c>
      <c r="C1531" s="105">
        <v>1261.1500244140625</v>
      </c>
      <c r="D1531" s="104">
        <v>1.6054999828338623</v>
      </c>
      <c r="E1531">
        <v>78.03964262332066</v>
      </c>
      <c r="F1531">
        <v>1766.1134033203125</v>
      </c>
      <c r="G1531" s="14"/>
      <c r="H1531" s="34"/>
      <c r="I1531" s="34"/>
      <c r="J1531" s="34"/>
      <c r="K1531" s="34"/>
      <c r="L1531" s="34"/>
      <c r="N1531" s="34"/>
      <c r="O1531" s="35"/>
      <c r="P1531" s="35"/>
      <c r="Q1531" s="35"/>
      <c r="R1531" s="35"/>
      <c r="S1531" s="74"/>
    </row>
    <row r="1532" spans="1:19" ht="13.5" thickBot="1">
      <c r="A1532" s="103">
        <v>40851</v>
      </c>
      <c r="B1532" s="104">
        <v>2.2058300971984863</v>
      </c>
      <c r="C1532" s="105">
        <v>1253.22998046875</v>
      </c>
      <c r="D1532" s="104">
        <v>1.6051000356674194</v>
      </c>
      <c r="E1532">
        <v>78.204424681628183</v>
      </c>
      <c r="F1532">
        <v>1757.4638671875</v>
      </c>
      <c r="G1532" s="14"/>
      <c r="H1532" s="34"/>
      <c r="I1532" s="34"/>
      <c r="J1532" s="34"/>
      <c r="K1532" s="34"/>
      <c r="L1532" s="34"/>
      <c r="N1532" s="34"/>
      <c r="O1532" s="35"/>
      <c r="P1532" s="35"/>
      <c r="Q1532" s="35"/>
      <c r="R1532" s="35"/>
      <c r="S1532" s="74"/>
    </row>
    <row r="1533" spans="1:19" ht="13.5" thickBot="1">
      <c r="A1533" s="103">
        <v>40854</v>
      </c>
      <c r="B1533" s="104">
        <v>2.1589999198913574</v>
      </c>
      <c r="C1533" s="105">
        <v>1261.1199951171875</v>
      </c>
      <c r="D1533" s="104">
        <v>1.6049000024795532</v>
      </c>
      <c r="E1533">
        <v>78.082296130753704</v>
      </c>
      <c r="F1533">
        <v>1782.4063720703125</v>
      </c>
      <c r="G1533" s="14"/>
      <c r="H1533" s="34"/>
      <c r="I1533" s="34"/>
      <c r="J1533" s="34"/>
      <c r="K1533" s="34"/>
      <c r="L1533" s="34"/>
      <c r="N1533" s="34"/>
      <c r="O1533" s="35"/>
      <c r="P1533" s="35"/>
      <c r="Q1533" s="35"/>
      <c r="R1533" s="35"/>
      <c r="S1533" s="74"/>
    </row>
    <row r="1534" spans="1:19" ht="13.5" thickBot="1">
      <c r="A1534" s="103">
        <v>40855</v>
      </c>
      <c r="B1534" s="104">
        <v>2.2302300930023193</v>
      </c>
      <c r="C1534" s="105">
        <v>1275.9200439453125</v>
      </c>
      <c r="D1534" s="104">
        <v>1.6116000413894653</v>
      </c>
      <c r="E1534">
        <v>77.700079245638833</v>
      </c>
      <c r="F1534">
        <v>1798.4058837890625</v>
      </c>
      <c r="G1534" s="14"/>
      <c r="H1534" s="34"/>
      <c r="I1534" s="34"/>
      <c r="J1534" s="34"/>
      <c r="K1534" s="34"/>
      <c r="L1534" s="34"/>
      <c r="N1534" s="34"/>
      <c r="O1534" s="35"/>
      <c r="P1534" s="35"/>
      <c r="Q1534" s="35"/>
      <c r="R1534" s="35"/>
      <c r="S1534" s="74"/>
    </row>
    <row r="1535" spans="1:19" ht="13.5" thickBot="1">
      <c r="A1535" s="103">
        <v>40856</v>
      </c>
      <c r="B1535" s="104">
        <v>2.1560900211334229</v>
      </c>
      <c r="C1535" s="105">
        <v>1229.0999755859375</v>
      </c>
      <c r="D1535" s="104">
        <v>1.5918999910354614</v>
      </c>
      <c r="E1535">
        <v>77.85736523594133</v>
      </c>
      <c r="F1535">
        <v>1786.8062744140625</v>
      </c>
      <c r="G1535" s="14"/>
      <c r="H1535" s="34"/>
      <c r="I1535" s="34"/>
      <c r="J1535" s="34"/>
      <c r="K1535" s="34"/>
      <c r="L1535" s="34"/>
      <c r="N1535" s="34"/>
      <c r="O1535" s="35"/>
      <c r="P1535" s="35"/>
      <c r="Q1535" s="35"/>
      <c r="R1535" s="35"/>
      <c r="S1535" s="74"/>
    </row>
    <row r="1536" spans="1:19" ht="13.5" thickBot="1">
      <c r="A1536" s="103">
        <v>40857</v>
      </c>
      <c r="B1536" s="104">
        <v>2.2245900630950928</v>
      </c>
      <c r="C1536" s="105">
        <v>1239.68994140625</v>
      </c>
      <c r="D1536" s="104">
        <v>1.5906000137329102</v>
      </c>
      <c r="E1536">
        <v>77.657842185478643</v>
      </c>
      <c r="F1536">
        <v>1755.4639892578125</v>
      </c>
      <c r="G1536" s="14"/>
      <c r="H1536" s="34"/>
      <c r="I1536" s="34"/>
      <c r="J1536" s="34"/>
      <c r="K1536" s="34"/>
      <c r="L1536" s="34"/>
      <c r="N1536" s="34"/>
      <c r="O1536" s="35"/>
      <c r="P1536" s="35"/>
      <c r="Q1536" s="35"/>
      <c r="R1536" s="35"/>
      <c r="S1536" s="74"/>
    </row>
    <row r="1537" spans="1:19" ht="13.5" thickBot="1">
      <c r="A1537" s="103">
        <v>40858</v>
      </c>
      <c r="B1537" s="104">
        <v>2.2245900630950928</v>
      </c>
      <c r="C1537" s="105">
        <v>1263.8499755859375</v>
      </c>
      <c r="D1537" s="104">
        <v>1.6060999631881714</v>
      </c>
      <c r="E1537">
        <v>77.178358153866682</v>
      </c>
      <c r="F1537">
        <v>1786.5623779296875</v>
      </c>
      <c r="G1537" s="14"/>
      <c r="H1537" s="34"/>
      <c r="I1537" s="34"/>
      <c r="J1537" s="34"/>
      <c r="K1537" s="34"/>
      <c r="L1537" s="34"/>
      <c r="N1537" s="34"/>
      <c r="O1537" s="35"/>
      <c r="P1537" s="35"/>
      <c r="Q1537" s="35"/>
      <c r="R1537" s="35"/>
      <c r="S1537" s="74"/>
    </row>
    <row r="1538" spans="1:19" ht="13.5" thickBot="1">
      <c r="A1538" s="103">
        <v>40861</v>
      </c>
      <c r="B1538" s="104">
        <v>2.2358899116516113</v>
      </c>
      <c r="C1538" s="105">
        <v>1251.780029296875</v>
      </c>
      <c r="D1538" s="104">
        <v>1.589400053024292</v>
      </c>
      <c r="E1538">
        <v>77.118841416598613</v>
      </c>
      <c r="F1538">
        <v>1777.50634765625</v>
      </c>
      <c r="G1538" s="14"/>
      <c r="H1538" s="34"/>
      <c r="I1538" s="34"/>
      <c r="J1538" s="34"/>
      <c r="K1538" s="34"/>
      <c r="L1538" s="34"/>
      <c r="N1538" s="34"/>
      <c r="O1538" s="35"/>
      <c r="P1538" s="35"/>
      <c r="Q1538" s="35"/>
      <c r="R1538" s="35"/>
      <c r="S1538" s="74"/>
    </row>
    <row r="1539" spans="1:19" ht="13.5" thickBot="1">
      <c r="A1539" s="103">
        <v>40862</v>
      </c>
      <c r="B1539" s="104">
        <v>2.2498199939727783</v>
      </c>
      <c r="C1539" s="105">
        <v>1257.81005859375</v>
      </c>
      <c r="D1539" s="104">
        <v>1.5831999778747559</v>
      </c>
      <c r="E1539">
        <v>77.059410871922296</v>
      </c>
      <c r="F1539">
        <v>1777.5062255859375</v>
      </c>
      <c r="G1539" s="14"/>
      <c r="H1539" s="34"/>
      <c r="I1539" s="34"/>
      <c r="J1539" s="34"/>
      <c r="K1539" s="34"/>
      <c r="L1539" s="34"/>
      <c r="N1539" s="34"/>
      <c r="O1539" s="35"/>
      <c r="P1539" s="35"/>
      <c r="Q1539" s="35"/>
      <c r="R1539" s="35"/>
      <c r="S1539" s="74"/>
    </row>
    <row r="1540" spans="1:19" ht="13.5" thickBot="1">
      <c r="A1540" s="103">
        <v>40863</v>
      </c>
      <c r="B1540" s="104">
        <v>2.2158100605010986</v>
      </c>
      <c r="C1540" s="105">
        <v>1236.9100341796875</v>
      </c>
      <c r="D1540" s="104">
        <v>1.5776000022888184</v>
      </c>
      <c r="E1540">
        <v>76.958597715156202</v>
      </c>
      <c r="F1540">
        <v>1768.6065673828125</v>
      </c>
      <c r="G1540" s="14"/>
      <c r="H1540" s="34"/>
      <c r="I1540" s="34"/>
      <c r="J1540" s="34"/>
      <c r="K1540" s="34"/>
      <c r="L1540" s="34"/>
      <c r="N1540" s="34"/>
      <c r="O1540" s="35"/>
      <c r="P1540" s="35"/>
      <c r="Q1540" s="35"/>
      <c r="R1540" s="35"/>
      <c r="S1540" s="74"/>
    </row>
    <row r="1541" spans="1:19" ht="13.5" thickBot="1">
      <c r="A1541" s="103">
        <v>40864</v>
      </c>
      <c r="B1541" s="104">
        <v>2.1559898853302002</v>
      </c>
      <c r="C1541" s="105">
        <v>1216.1300048828125</v>
      </c>
      <c r="D1541" s="104">
        <v>1.5758999586105347</v>
      </c>
      <c r="E1541">
        <v>76.958597715156202</v>
      </c>
      <c r="F1541">
        <v>1719.4654541015625</v>
      </c>
      <c r="G1541" s="14"/>
      <c r="H1541" s="34"/>
      <c r="I1541" s="34"/>
      <c r="J1541" s="34"/>
      <c r="K1541" s="34"/>
      <c r="L1541" s="34"/>
      <c r="N1541" s="34"/>
      <c r="O1541" s="35"/>
      <c r="P1541" s="35"/>
      <c r="Q1541" s="35"/>
      <c r="R1541" s="35"/>
      <c r="S1541" s="74"/>
    </row>
    <row r="1542" spans="1:19" ht="13.5" thickBot="1">
      <c r="A1542" s="103">
        <v>40865</v>
      </c>
      <c r="B1542" s="104">
        <v>2.1786599159240723</v>
      </c>
      <c r="C1542" s="105">
        <v>1215.6500244140625</v>
      </c>
      <c r="D1542" s="104">
        <v>1.5787999629974365</v>
      </c>
      <c r="E1542">
        <v>76.958597715156202</v>
      </c>
      <c r="F1542">
        <v>1719.4654541015625</v>
      </c>
      <c r="G1542" s="14"/>
      <c r="H1542" s="34"/>
      <c r="I1542" s="34"/>
      <c r="J1542" s="34"/>
      <c r="K1542" s="34"/>
      <c r="L1542" s="34"/>
      <c r="N1542" s="34"/>
      <c r="O1542" s="35"/>
      <c r="P1542" s="35"/>
      <c r="Q1542" s="35"/>
      <c r="R1542" s="35"/>
      <c r="S1542" s="74"/>
    </row>
    <row r="1543" spans="1:19" ht="13.5" thickBot="1">
      <c r="A1543" s="103">
        <v>40868</v>
      </c>
      <c r="B1543" s="104">
        <v>2.1493899822235107</v>
      </c>
      <c r="C1543" s="105">
        <v>1192.97998046875</v>
      </c>
      <c r="D1543" s="104">
        <v>1.5644999742507935</v>
      </c>
      <c r="E1543">
        <v>76.940835182196565</v>
      </c>
      <c r="F1543">
        <v>1677.3087158203125</v>
      </c>
      <c r="G1543" s="14"/>
      <c r="H1543" s="34"/>
      <c r="I1543" s="34"/>
      <c r="J1543" s="34"/>
      <c r="K1543" s="34"/>
      <c r="L1543" s="34"/>
      <c r="N1543" s="34"/>
      <c r="O1543" s="35"/>
      <c r="P1543" s="35"/>
      <c r="Q1543" s="35"/>
      <c r="R1543" s="35"/>
      <c r="S1543" s="74"/>
    </row>
    <row r="1544" spans="1:19" ht="13.5" thickBot="1">
      <c r="A1544" s="103">
        <v>40869</v>
      </c>
      <c r="B1544" s="104">
        <v>2.1252100467681885</v>
      </c>
      <c r="C1544" s="105">
        <v>1188.0400390625</v>
      </c>
      <c r="D1544" s="104">
        <v>1.5626000165939331</v>
      </c>
      <c r="E1544">
        <v>77.000077377151229</v>
      </c>
      <c r="F1544">
        <v>1701.30810546875</v>
      </c>
      <c r="G1544" s="14"/>
      <c r="H1544" s="34"/>
      <c r="I1544" s="34"/>
      <c r="J1544" s="34"/>
      <c r="K1544" s="34"/>
      <c r="L1544" s="34"/>
      <c r="N1544" s="34"/>
      <c r="O1544" s="35"/>
      <c r="P1544" s="35"/>
      <c r="Q1544" s="35"/>
      <c r="R1544" s="35"/>
      <c r="S1544" s="74"/>
    </row>
    <row r="1545" spans="1:19" ht="13.5" thickBot="1">
      <c r="A1545" s="103">
        <v>40870</v>
      </c>
      <c r="B1545" s="104">
        <v>2.0891900062561035</v>
      </c>
      <c r="C1545" s="105">
        <v>1161.7900390625</v>
      </c>
      <c r="D1545" s="104">
        <v>1.5506999492645264</v>
      </c>
      <c r="E1545">
        <v>77.357466404990518</v>
      </c>
      <c r="F1545">
        <v>1692.1083984375</v>
      </c>
      <c r="G1545" s="14"/>
      <c r="H1545" s="34"/>
      <c r="I1545" s="34"/>
      <c r="J1545" s="34"/>
      <c r="K1545" s="34"/>
      <c r="L1545" s="34"/>
      <c r="N1545" s="34"/>
      <c r="O1545" s="35"/>
      <c r="P1545" s="35"/>
      <c r="Q1545" s="35"/>
      <c r="R1545" s="35"/>
      <c r="S1545" s="74"/>
    </row>
    <row r="1546" spans="1:19" ht="13.5" thickBot="1">
      <c r="A1546" s="103">
        <v>40871</v>
      </c>
      <c r="B1546" s="104">
        <v>2.0891900062561035</v>
      </c>
      <c r="C1546" s="105">
        <v>1161.7900390625</v>
      </c>
      <c r="D1546" s="104">
        <v>1.5515999794006348</v>
      </c>
      <c r="E1546">
        <v>77.124790621209272</v>
      </c>
      <c r="F1546">
        <v>1696.16650390625</v>
      </c>
      <c r="G1546" s="14"/>
      <c r="H1546" s="34"/>
      <c r="I1546" s="34"/>
      <c r="J1546" s="34"/>
      <c r="K1546" s="34"/>
      <c r="L1546" s="34"/>
      <c r="N1546" s="34"/>
      <c r="O1546" s="35"/>
      <c r="P1546" s="35"/>
      <c r="Q1546" s="35"/>
      <c r="R1546" s="35"/>
      <c r="S1546" s="74"/>
    </row>
    <row r="1547" spans="1:19" ht="13.5" thickBot="1">
      <c r="A1547" s="103">
        <v>40872</v>
      </c>
      <c r="B1547" s="104">
        <v>2.152400016784668</v>
      </c>
      <c r="C1547" s="105">
        <v>1158.6700439453125</v>
      </c>
      <c r="D1547" s="104">
        <v>1.5437999963760376</v>
      </c>
      <c r="E1547">
        <v>77.784691349081157</v>
      </c>
      <c r="F1547">
        <v>1682.6669921875</v>
      </c>
      <c r="G1547" s="14"/>
      <c r="H1547" s="34"/>
      <c r="I1547" s="34"/>
      <c r="J1547" s="34"/>
      <c r="K1547" s="34"/>
      <c r="L1547" s="34"/>
      <c r="N1547" s="34"/>
      <c r="O1547" s="35"/>
      <c r="P1547" s="35"/>
      <c r="Q1547" s="35"/>
      <c r="R1547" s="35"/>
      <c r="S1547" s="74"/>
    </row>
    <row r="1548" spans="1:19" ht="13.5" thickBot="1">
      <c r="A1548" s="103">
        <v>40875</v>
      </c>
      <c r="B1548" s="104">
        <v>2.1466100215911865</v>
      </c>
      <c r="C1548" s="105">
        <v>1192.550048828125</v>
      </c>
      <c r="D1548" s="104">
        <v>1.5499000549316406</v>
      </c>
      <c r="E1548">
        <v>77.978790624172774</v>
      </c>
      <c r="F1548">
        <v>1715.3074951171875</v>
      </c>
      <c r="G1548" s="14"/>
      <c r="H1548" s="34"/>
      <c r="I1548" s="34"/>
      <c r="J1548" s="34"/>
      <c r="K1548" s="34"/>
      <c r="L1548" s="34"/>
      <c r="N1548" s="34"/>
      <c r="O1548" s="35"/>
      <c r="P1548" s="35"/>
      <c r="Q1548" s="35"/>
      <c r="R1548" s="35"/>
      <c r="S1548" s="74"/>
    </row>
    <row r="1549" spans="1:19" ht="13.5" thickBot="1">
      <c r="A1549" s="103">
        <v>40876</v>
      </c>
      <c r="B1549" s="104">
        <v>2.1722500324249268</v>
      </c>
      <c r="C1549" s="105">
        <v>1195.18994140625</v>
      </c>
      <c r="D1549" s="104">
        <v>1.5607000589370728</v>
      </c>
      <c r="E1549">
        <v>77.91802779642947</v>
      </c>
      <c r="F1549">
        <v>1716.1075439453125</v>
      </c>
      <c r="G1549" s="14"/>
      <c r="H1549" s="34"/>
      <c r="I1549" s="34"/>
      <c r="J1549" s="34"/>
      <c r="K1549" s="34"/>
      <c r="L1549" s="34"/>
      <c r="N1549" s="34"/>
      <c r="O1549" s="35"/>
      <c r="P1549" s="35"/>
      <c r="Q1549" s="35"/>
      <c r="R1549" s="35"/>
      <c r="S1549" s="74"/>
    </row>
    <row r="1550" spans="1:19" ht="13.5" thickBot="1">
      <c r="A1550" s="103">
        <v>40877</v>
      </c>
      <c r="B1550" s="104">
        <v>2.2147400379180908</v>
      </c>
      <c r="C1550" s="105">
        <v>1246.9599609375</v>
      </c>
      <c r="D1550" s="104">
        <v>1.5698000192642212</v>
      </c>
      <c r="E1550">
        <v>77.567481441454973</v>
      </c>
      <c r="F1550">
        <v>1744.802001953125</v>
      </c>
      <c r="G1550" s="14"/>
      <c r="H1550" s="34"/>
      <c r="I1550" s="34"/>
      <c r="J1550" s="34"/>
      <c r="K1550" s="34"/>
      <c r="L1550" s="34"/>
      <c r="N1550" s="34"/>
      <c r="O1550" s="35"/>
      <c r="P1550" s="35"/>
      <c r="Q1550" s="35"/>
      <c r="R1550" s="35"/>
      <c r="S1550" s="74"/>
    </row>
    <row r="1551" spans="1:19" ht="13.5" thickBot="1">
      <c r="A1551" s="103">
        <v>40878</v>
      </c>
      <c r="B1551" s="104">
        <v>2.2803900241851807</v>
      </c>
      <c r="C1551" s="105">
        <v>1244.5799560546875</v>
      </c>
      <c r="D1551" s="104">
        <v>1.5688999891281128</v>
      </c>
      <c r="E1551">
        <v>77.742362275143662</v>
      </c>
      <c r="F1551">
        <v>1737.0543212890625</v>
      </c>
      <c r="G1551" s="14"/>
      <c r="H1551" s="34"/>
      <c r="I1551" s="34"/>
      <c r="J1551" s="34"/>
      <c r="K1551" s="34"/>
      <c r="L1551" s="34"/>
      <c r="N1551" s="34"/>
      <c r="O1551" s="35"/>
      <c r="P1551" s="35"/>
      <c r="Q1551" s="35"/>
      <c r="R1551" s="35"/>
      <c r="S1551" s="74"/>
    </row>
    <row r="1552" spans="1:19" ht="13.5" thickBot="1">
      <c r="A1552" s="103">
        <v>40879</v>
      </c>
      <c r="B1552" s="104">
        <v>2.2193000316619873</v>
      </c>
      <c r="C1552" s="105">
        <v>1244.280029296875</v>
      </c>
      <c r="D1552" s="104">
        <v>1.5593999624252319</v>
      </c>
      <c r="E1552">
        <v>77.930175047565896</v>
      </c>
      <c r="F1552">
        <v>1743.9039306640625</v>
      </c>
      <c r="G1552" s="14"/>
      <c r="H1552" s="34"/>
      <c r="I1552" s="34"/>
      <c r="J1552" s="34"/>
      <c r="K1552" s="34"/>
      <c r="L1552" s="34"/>
      <c r="N1552" s="34"/>
      <c r="O1552" s="35"/>
      <c r="P1552" s="35"/>
      <c r="Q1552" s="35"/>
      <c r="R1552" s="35"/>
      <c r="S1552" s="74"/>
    </row>
    <row r="1553" spans="1:19" ht="13.5" thickBot="1">
      <c r="A1553" s="103">
        <v>40882</v>
      </c>
      <c r="B1553" s="104">
        <v>2.2015500068664551</v>
      </c>
      <c r="C1553" s="105">
        <v>1257.0799560546875</v>
      </c>
      <c r="D1553" s="104">
        <v>1.5643999576568604</v>
      </c>
      <c r="E1553">
        <v>77.77863990689238</v>
      </c>
      <c r="F1553">
        <v>1731.451904296875</v>
      </c>
      <c r="G1553" s="14"/>
      <c r="H1553" s="34"/>
      <c r="I1553" s="34"/>
      <c r="J1553" s="34"/>
      <c r="K1553" s="34"/>
      <c r="L1553" s="34"/>
      <c r="N1553" s="34"/>
      <c r="O1553" s="35"/>
      <c r="P1553" s="35"/>
      <c r="Q1553" s="35"/>
      <c r="R1553" s="35"/>
      <c r="S1553" s="74"/>
    </row>
    <row r="1554" spans="1:19" ht="13.5" thickBot="1">
      <c r="A1554" s="103">
        <v>40883</v>
      </c>
      <c r="B1554" s="104">
        <v>2.2283999919891357</v>
      </c>
      <c r="C1554" s="105">
        <v>1258.469970703125</v>
      </c>
      <c r="D1554" s="104">
        <v>1.5605000257492065</v>
      </c>
      <c r="E1554">
        <v>77.700079245638833</v>
      </c>
      <c r="F1554">
        <v>1718.0474853515625</v>
      </c>
      <c r="G1554" s="14"/>
      <c r="H1554" s="34"/>
      <c r="I1554" s="34"/>
      <c r="J1554" s="34"/>
      <c r="K1554" s="34"/>
      <c r="L1554" s="34"/>
      <c r="N1554" s="34"/>
      <c r="O1554" s="35"/>
      <c r="P1554" s="35"/>
      <c r="Q1554" s="35"/>
      <c r="R1554" s="35"/>
      <c r="S1554" s="74"/>
    </row>
    <row r="1555" spans="1:19" ht="13.5" thickBot="1">
      <c r="A1555" s="103">
        <v>40884</v>
      </c>
      <c r="B1555" s="104">
        <v>2.1431300640106201</v>
      </c>
      <c r="C1555" s="105">
        <v>1261.010009765625</v>
      </c>
      <c r="D1555" s="104">
        <v>1.5694999694824219</v>
      </c>
      <c r="E1555">
        <v>77.681967206710269</v>
      </c>
      <c r="F1555">
        <v>1736.346923828125</v>
      </c>
      <c r="G1555" s="14"/>
      <c r="H1555" s="34"/>
      <c r="I1555" s="34"/>
      <c r="J1555" s="34"/>
      <c r="K1555" s="34"/>
      <c r="L1555" s="34"/>
      <c r="N1555" s="34"/>
      <c r="O1555" s="35"/>
      <c r="P1555" s="35"/>
      <c r="Q1555" s="35"/>
      <c r="R1555" s="35"/>
      <c r="S1555" s="74"/>
    </row>
    <row r="1556" spans="1:19" ht="13.5" thickBot="1">
      <c r="A1556" s="103">
        <v>40885</v>
      </c>
      <c r="B1556" s="104">
        <v>2.1020998954772949</v>
      </c>
      <c r="C1556" s="105">
        <v>1234.3499755859375</v>
      </c>
      <c r="D1556" s="104">
        <v>1.5645999908447266</v>
      </c>
      <c r="E1556">
        <v>77.681967206710269</v>
      </c>
      <c r="F1556">
        <v>1711.04541015625</v>
      </c>
      <c r="G1556" s="14"/>
      <c r="H1556" s="34"/>
      <c r="I1556" s="34"/>
      <c r="J1556" s="34"/>
      <c r="K1556" s="34"/>
      <c r="L1556" s="34"/>
      <c r="N1556" s="34"/>
      <c r="O1556" s="35"/>
      <c r="P1556" s="35"/>
      <c r="Q1556" s="35"/>
      <c r="R1556" s="35"/>
      <c r="S1556" s="74"/>
    </row>
    <row r="1557" spans="1:19" ht="13.5" thickBot="1">
      <c r="A1557" s="103">
        <v>40886</v>
      </c>
      <c r="B1557" s="104">
        <v>2.1798698902130127</v>
      </c>
      <c r="C1557" s="105">
        <v>1255.18994140625</v>
      </c>
      <c r="D1557" s="104">
        <v>1.5659999847412109</v>
      </c>
      <c r="E1557">
        <v>77.537413504054868</v>
      </c>
      <c r="F1557">
        <v>1714.145263671875</v>
      </c>
      <c r="G1557" s="14"/>
      <c r="H1557" s="34"/>
      <c r="I1557" s="34"/>
      <c r="J1557" s="34"/>
      <c r="K1557" s="34"/>
      <c r="L1557" s="34"/>
      <c r="N1557" s="34"/>
      <c r="O1557" s="35"/>
      <c r="P1557" s="35"/>
      <c r="Q1557" s="35"/>
      <c r="R1557" s="35"/>
      <c r="S1557" s="74"/>
    </row>
    <row r="1558" spans="1:19" ht="13.5" thickBot="1">
      <c r="A1558" s="103">
        <v>40889</v>
      </c>
      <c r="B1558" s="104">
        <v>2.1536500453948975</v>
      </c>
      <c r="C1558" s="105">
        <v>1236.469970703125</v>
      </c>
      <c r="D1558" s="104">
        <v>1.5583000183105469</v>
      </c>
      <c r="E1558">
        <v>77.91802779642947</v>
      </c>
      <c r="F1558">
        <v>1660.44921875</v>
      </c>
      <c r="G1558" s="14"/>
      <c r="H1558" s="34"/>
      <c r="I1558" s="34"/>
      <c r="J1558" s="34"/>
      <c r="K1558" s="34"/>
      <c r="L1558" s="34"/>
      <c r="N1558" s="34"/>
      <c r="O1558" s="35"/>
      <c r="P1558" s="35"/>
      <c r="Q1558" s="35"/>
      <c r="R1558" s="35"/>
      <c r="S1558" s="74"/>
    </row>
    <row r="1559" spans="1:19" ht="13.5" thickBot="1">
      <c r="A1559" s="103">
        <v>40890</v>
      </c>
      <c r="B1559" s="104">
        <v>2.1073899269104004</v>
      </c>
      <c r="C1559" s="105">
        <v>1225.72998046875</v>
      </c>
      <c r="D1559" s="104">
        <v>1.5478999614715576</v>
      </c>
      <c r="E1559">
        <v>77.978790624172774</v>
      </c>
      <c r="F1559">
        <v>1657.5992431640625</v>
      </c>
      <c r="G1559" s="14"/>
      <c r="H1559" s="34"/>
      <c r="I1559" s="34"/>
      <c r="J1559" s="34"/>
      <c r="K1559" s="34"/>
      <c r="L1559" s="34"/>
      <c r="N1559" s="34"/>
      <c r="O1559" s="35"/>
      <c r="P1559" s="35"/>
      <c r="Q1559" s="35"/>
      <c r="R1559" s="35"/>
      <c r="S1559" s="74"/>
    </row>
    <row r="1560" spans="1:19" ht="13.5" thickBot="1">
      <c r="A1560" s="103">
        <v>40891</v>
      </c>
      <c r="B1560" s="104">
        <v>2.0492401123046875</v>
      </c>
      <c r="C1560" s="105">
        <v>1211.8199462890625</v>
      </c>
      <c r="D1560" s="104">
        <v>1.5467000007629395</v>
      </c>
      <c r="E1560">
        <v>78.100595351097127</v>
      </c>
      <c r="F1560">
        <v>1584.5015869140625</v>
      </c>
      <c r="G1560" s="14"/>
      <c r="H1560" s="34"/>
      <c r="I1560" s="34"/>
      <c r="J1560" s="34"/>
      <c r="K1560" s="34"/>
      <c r="L1560" s="34"/>
      <c r="N1560" s="34"/>
      <c r="O1560" s="35"/>
      <c r="P1560" s="35"/>
      <c r="Q1560" s="35"/>
      <c r="R1560" s="35"/>
      <c r="S1560" s="74"/>
    </row>
    <row r="1561" spans="1:19" ht="13.5" thickBot="1">
      <c r="A1561" s="103">
        <v>40892</v>
      </c>
      <c r="B1561" s="104">
        <v>2.0772800445556641</v>
      </c>
      <c r="C1561" s="105">
        <v>1215.75</v>
      </c>
      <c r="D1561" s="104">
        <v>1.5505000352859497</v>
      </c>
      <c r="E1561">
        <v>77.91802779642947</v>
      </c>
      <c r="F1561">
        <v>1573.7537841796875</v>
      </c>
      <c r="G1561" s="14"/>
      <c r="H1561" s="34"/>
      <c r="I1561" s="34"/>
      <c r="J1561" s="34"/>
      <c r="K1561" s="34"/>
      <c r="L1561" s="34"/>
      <c r="N1561" s="34"/>
      <c r="O1561" s="35"/>
      <c r="P1561" s="35"/>
      <c r="Q1561" s="35"/>
      <c r="R1561" s="35"/>
      <c r="S1561" s="74"/>
    </row>
    <row r="1562" spans="1:19" ht="13.5" thickBot="1">
      <c r="A1562" s="103">
        <v>40893</v>
      </c>
      <c r="B1562" s="104">
        <v>2.0300600528717041</v>
      </c>
      <c r="C1562" s="105">
        <v>1219.6600341796875</v>
      </c>
      <c r="D1562" s="104">
        <v>1.5503000020980835</v>
      </c>
      <c r="E1562">
        <v>77.85736523594133</v>
      </c>
      <c r="F1562">
        <v>1594.6524658203125</v>
      </c>
      <c r="G1562" s="14"/>
      <c r="H1562" s="34"/>
      <c r="I1562" s="34"/>
      <c r="J1562" s="34"/>
      <c r="K1562" s="34"/>
      <c r="L1562" s="34"/>
      <c r="N1562" s="34"/>
      <c r="O1562" s="35"/>
      <c r="P1562" s="35"/>
      <c r="Q1562" s="35"/>
      <c r="R1562" s="35"/>
      <c r="S1562" s="74"/>
    </row>
    <row r="1563" spans="1:19" ht="13.5" thickBot="1">
      <c r="A1563" s="103">
        <v>40896</v>
      </c>
      <c r="B1563" s="104">
        <v>1.9980100393295288</v>
      </c>
      <c r="C1563" s="105">
        <v>1205.3499755859375</v>
      </c>
      <c r="D1563" s="104">
        <v>1.5499000549316406</v>
      </c>
      <c r="E1563">
        <v>77.997035690553062</v>
      </c>
      <c r="F1563">
        <v>1591.0513916015625</v>
      </c>
      <c r="G1563" s="14"/>
      <c r="H1563" s="34"/>
      <c r="I1563" s="34"/>
      <c r="J1563" s="34"/>
      <c r="K1563" s="34"/>
      <c r="L1563" s="34"/>
      <c r="N1563" s="34"/>
      <c r="O1563" s="35"/>
      <c r="P1563" s="35"/>
      <c r="Q1563" s="35"/>
      <c r="R1563" s="35"/>
      <c r="S1563" s="74"/>
    </row>
    <row r="1564" spans="1:19" ht="13.5" thickBot="1">
      <c r="A1564" s="103">
        <v>40897</v>
      </c>
      <c r="B1564" s="104">
        <v>2.0950601100921631</v>
      </c>
      <c r="C1564" s="105">
        <v>1241.300048828125</v>
      </c>
      <c r="D1564" s="104">
        <v>1.5657000541687012</v>
      </c>
      <c r="E1564">
        <v>77.899819670066449</v>
      </c>
      <c r="F1564">
        <v>1615.0506591796875</v>
      </c>
      <c r="G1564" s="14"/>
      <c r="H1564" s="34"/>
      <c r="I1564" s="34"/>
      <c r="J1564" s="34"/>
      <c r="K1564" s="34"/>
      <c r="L1564" s="34"/>
      <c r="N1564" s="34"/>
      <c r="O1564" s="35"/>
      <c r="P1564" s="35"/>
      <c r="Q1564" s="35"/>
      <c r="R1564" s="35"/>
      <c r="S1564" s="74"/>
    </row>
    <row r="1565" spans="1:19" ht="13.5" thickBot="1">
      <c r="A1565" s="103">
        <v>40898</v>
      </c>
      <c r="B1565" s="104">
        <v>2.1250200271606445</v>
      </c>
      <c r="C1565" s="105">
        <v>1243.719970703125</v>
      </c>
      <c r="D1565" s="104">
        <v>1.5671999454498291</v>
      </c>
      <c r="E1565">
        <v>78.100595351097127</v>
      </c>
      <c r="F1565">
        <v>1611.3507080078125</v>
      </c>
      <c r="G1565" s="14"/>
      <c r="H1565" s="34"/>
      <c r="I1565" s="34"/>
      <c r="J1565" s="34"/>
      <c r="K1565" s="34"/>
      <c r="L1565" s="34"/>
      <c r="N1565" s="34"/>
      <c r="O1565" s="35"/>
      <c r="P1565" s="35"/>
      <c r="Q1565" s="35"/>
      <c r="R1565" s="35"/>
      <c r="S1565" s="74"/>
    </row>
    <row r="1566" spans="1:19" ht="13.5" thickBot="1">
      <c r="A1566" s="103">
        <v>40899</v>
      </c>
      <c r="B1566" s="104">
        <v>2.1160800457000732</v>
      </c>
      <c r="C1566" s="105">
        <v>1254</v>
      </c>
      <c r="D1566" s="104">
        <v>1.5679999589920044</v>
      </c>
      <c r="E1566">
        <v>78.179968417600634</v>
      </c>
      <c r="F1566">
        <v>1604.302978515625</v>
      </c>
      <c r="G1566" s="14"/>
      <c r="H1566" s="34"/>
      <c r="I1566" s="34"/>
      <c r="J1566" s="34"/>
      <c r="K1566" s="34"/>
      <c r="L1566" s="34"/>
      <c r="N1566" s="34"/>
      <c r="O1566" s="35"/>
      <c r="P1566" s="35"/>
      <c r="Q1566" s="35"/>
      <c r="R1566" s="35"/>
      <c r="S1566" s="74"/>
    </row>
    <row r="1567" spans="1:19" ht="13.5" thickBot="1">
      <c r="A1567" s="103">
        <v>40900</v>
      </c>
      <c r="B1567" s="104">
        <v>2.1964499950408936</v>
      </c>
      <c r="C1567" s="105">
        <v>1265.3299560546875</v>
      </c>
      <c r="D1567" s="104">
        <v>1.562000036239624</v>
      </c>
      <c r="E1567">
        <v>78.057916179808132</v>
      </c>
      <c r="F1567">
        <v>1605.3028564453125</v>
      </c>
      <c r="G1567" s="14"/>
      <c r="H1567" s="34"/>
      <c r="I1567" s="34"/>
      <c r="J1567" s="34"/>
      <c r="K1567" s="34"/>
      <c r="L1567" s="34"/>
      <c r="N1567" s="34"/>
      <c r="O1567" s="35"/>
      <c r="P1567" s="35"/>
      <c r="Q1567" s="35"/>
      <c r="R1567" s="35"/>
      <c r="S1567" s="74"/>
    </row>
    <row r="1568" spans="1:19" ht="13.5" thickBot="1">
      <c r="A1568" s="103">
        <v>40903</v>
      </c>
      <c r="B1568" s="104">
        <v>2.1964499950408936</v>
      </c>
      <c r="C1568" s="105">
        <v>1265.3299560546875</v>
      </c>
      <c r="D1568" s="104">
        <v>1.5630999803543091</v>
      </c>
      <c r="E1568">
        <v>77.978790624172774</v>
      </c>
      <c r="F1568">
        <v>1605.3028564453125</v>
      </c>
      <c r="G1568" s="14"/>
      <c r="H1568" s="34"/>
      <c r="I1568" s="34"/>
      <c r="J1568" s="34"/>
      <c r="K1568" s="34"/>
      <c r="L1568" s="34"/>
      <c r="N1568" s="34"/>
      <c r="O1568" s="35"/>
      <c r="P1568" s="35"/>
      <c r="Q1568" s="35"/>
      <c r="R1568" s="35"/>
      <c r="S1568" s="74"/>
    </row>
    <row r="1569" spans="1:19" ht="13.5" thickBot="1">
      <c r="A1569" s="103">
        <v>40904</v>
      </c>
      <c r="B1569" s="104">
        <v>2.1686599254608154</v>
      </c>
      <c r="C1569" s="105">
        <v>1265.4300537109375</v>
      </c>
      <c r="D1569" s="104">
        <v>1.5671000480651855</v>
      </c>
      <c r="E1569">
        <v>77.85736523594133</v>
      </c>
      <c r="F1569">
        <v>1605.4759521484375</v>
      </c>
      <c r="G1569" s="14"/>
      <c r="H1569" s="34"/>
      <c r="I1569" s="34"/>
      <c r="J1569" s="34"/>
      <c r="K1569" s="34"/>
      <c r="L1569" s="34"/>
      <c r="N1569" s="34"/>
      <c r="O1569" s="35"/>
      <c r="P1569" s="35"/>
      <c r="Q1569" s="35"/>
      <c r="R1569" s="35"/>
      <c r="S1569" s="74"/>
    </row>
    <row r="1570" spans="1:19" ht="13.5" thickBot="1">
      <c r="A1570" s="103">
        <v>40905</v>
      </c>
      <c r="B1570" s="104">
        <v>2.0708000659942627</v>
      </c>
      <c r="C1570" s="105">
        <v>1249.6400146484375</v>
      </c>
      <c r="D1570" s="104">
        <v>1.5455000400543213</v>
      </c>
      <c r="E1570">
        <v>77.942320428962958</v>
      </c>
      <c r="F1570">
        <v>1564.9022216796875</v>
      </c>
      <c r="G1570" s="14"/>
      <c r="H1570" s="34"/>
      <c r="I1570" s="34"/>
      <c r="J1570" s="34"/>
      <c r="K1570" s="34"/>
      <c r="L1570" s="34"/>
      <c r="N1570" s="34"/>
      <c r="O1570" s="35"/>
      <c r="P1570" s="35"/>
      <c r="Q1570" s="35"/>
      <c r="R1570" s="35"/>
      <c r="S1570" s="74"/>
    </row>
    <row r="1571" spans="1:19" ht="13.5" thickBot="1">
      <c r="A1571" s="103">
        <v>40906</v>
      </c>
      <c r="B1571" s="104">
        <v>2.0603699684143066</v>
      </c>
      <c r="C1571" s="105">
        <v>1263.02001953125</v>
      </c>
      <c r="D1571" s="104">
        <v>1.5394999980926514</v>
      </c>
      <c r="E1571">
        <v>77.657842185478643</v>
      </c>
      <c r="F1571">
        <v>1533.1329345703125</v>
      </c>
      <c r="G1571" s="14"/>
      <c r="H1571" s="34"/>
      <c r="I1571" s="34"/>
      <c r="J1571" s="34"/>
      <c r="K1571" s="34"/>
      <c r="L1571" s="34"/>
      <c r="N1571" s="34"/>
      <c r="O1571" s="35"/>
      <c r="P1571" s="35"/>
      <c r="Q1571" s="35"/>
      <c r="R1571" s="35"/>
      <c r="S1571" s="74"/>
    </row>
    <row r="1572" spans="1:19" ht="13.5" thickBot="1">
      <c r="A1572" s="103">
        <v>40907</v>
      </c>
      <c r="B1572" s="104">
        <v>2.0377299785614014</v>
      </c>
      <c r="C1572" s="105">
        <v>1257.5999755859375</v>
      </c>
      <c r="D1572" s="104">
        <v>1.5511000156402588</v>
      </c>
      <c r="E1572">
        <v>77.029735461912196</v>
      </c>
      <c r="F1572">
        <v>1574.828857421875</v>
      </c>
      <c r="G1572" s="14"/>
      <c r="H1572" s="34"/>
      <c r="I1572" s="34"/>
      <c r="J1572" s="34"/>
      <c r="K1572" s="34"/>
      <c r="L1572" s="34"/>
      <c r="N1572" s="34"/>
      <c r="O1572" s="35"/>
      <c r="P1572" s="35"/>
      <c r="Q1572" s="35"/>
      <c r="R1572" s="35"/>
      <c r="S1572" s="74"/>
    </row>
    <row r="1573" spans="1:19" ht="13.5" thickBot="1">
      <c r="A1573" s="103">
        <v>40910</v>
      </c>
      <c r="B1573" s="104">
        <v>2.0377299785614014</v>
      </c>
      <c r="C1573" s="105">
        <v>1257.5999755859375</v>
      </c>
      <c r="D1573" s="104">
        <v>1.5482000112533569</v>
      </c>
      <c r="E1573">
        <v>76.917162718986347</v>
      </c>
      <c r="F1573">
        <v>1574.828857421875</v>
      </c>
      <c r="G1573" s="14"/>
      <c r="H1573" s="34"/>
      <c r="I1573" s="34"/>
      <c r="J1573" s="34"/>
      <c r="K1573" s="34"/>
      <c r="L1573" s="34"/>
      <c r="N1573" s="34"/>
      <c r="O1573" s="35"/>
      <c r="P1573" s="35"/>
      <c r="Q1573" s="35"/>
      <c r="R1573" s="35"/>
      <c r="S1573" s="74"/>
    </row>
    <row r="1574" spans="1:19" ht="13.5" thickBot="1">
      <c r="A1574" s="103">
        <v>40911</v>
      </c>
      <c r="B1574" s="104">
        <v>2.1163899898529053</v>
      </c>
      <c r="C1574" s="105">
        <v>1277.06005859375</v>
      </c>
      <c r="D1574" s="104">
        <v>1.5651999711990356</v>
      </c>
      <c r="E1574">
        <v>76.681236795818961</v>
      </c>
      <c r="F1574">
        <v>1603.3011474609375</v>
      </c>
      <c r="H1574" s="34"/>
      <c r="I1574" s="34"/>
      <c r="J1574" s="34"/>
      <c r="K1574" s="34"/>
      <c r="L1574" s="34"/>
      <c r="N1574" s="34"/>
      <c r="O1574" s="35"/>
      <c r="P1574" s="35"/>
      <c r="Q1574" s="35"/>
      <c r="R1574" s="35"/>
      <c r="S1574" s="74"/>
    </row>
    <row r="1575" spans="1:19" ht="13.5" thickBot="1">
      <c r="A1575" s="103">
        <v>40912</v>
      </c>
      <c r="B1575" s="104">
        <v>2.1296300888061523</v>
      </c>
      <c r="C1575" s="105">
        <v>1277.300048828125</v>
      </c>
      <c r="D1575" s="104">
        <v>1.5612000226974487</v>
      </c>
      <c r="E1575">
        <v>76.781324122698308</v>
      </c>
      <c r="F1575">
        <v>1615.1007080078125</v>
      </c>
      <c r="H1575" s="34"/>
      <c r="I1575" s="34"/>
      <c r="J1575" s="34"/>
      <c r="K1575" s="34"/>
      <c r="L1575" s="34"/>
      <c r="N1575" s="34"/>
      <c r="O1575" s="35"/>
      <c r="P1575" s="35"/>
      <c r="Q1575" s="35"/>
      <c r="R1575" s="35"/>
      <c r="S1575" s="74"/>
    </row>
    <row r="1576" spans="1:19" ht="13.5" thickBot="1">
      <c r="A1576" s="103">
        <v>40913</v>
      </c>
      <c r="B1576" s="104">
        <v>2.1228699684143066</v>
      </c>
      <c r="C1576" s="105">
        <v>1281.06005859375</v>
      </c>
      <c r="D1576" s="104">
        <v>1.5486999750137329</v>
      </c>
      <c r="E1576">
        <v>77.178358153866682</v>
      </c>
      <c r="F1576">
        <v>1615.451416015625</v>
      </c>
      <c r="H1576" s="34"/>
      <c r="I1576" s="34"/>
      <c r="J1576" s="34"/>
      <c r="K1576" s="34"/>
      <c r="L1576" s="34"/>
      <c r="N1576" s="34"/>
      <c r="O1576" s="35"/>
      <c r="P1576" s="35"/>
      <c r="Q1576" s="35"/>
      <c r="R1576" s="35"/>
      <c r="S1576" s="74"/>
    </row>
    <row r="1577" spans="1:19" ht="13.5" thickBot="1">
      <c r="A1577" s="103">
        <v>40914</v>
      </c>
      <c r="B1577" s="104">
        <v>2.0970799922943115</v>
      </c>
      <c r="C1577" s="105">
        <v>1277.81005859375</v>
      </c>
      <c r="D1577" s="104">
        <v>1.5425000190734863</v>
      </c>
      <c r="E1577">
        <v>77.04160177723324</v>
      </c>
      <c r="F1577">
        <v>1619.6011962890625</v>
      </c>
      <c r="H1577" s="34"/>
      <c r="I1577" s="34"/>
      <c r="J1577" s="34"/>
      <c r="K1577" s="34"/>
      <c r="L1577" s="34"/>
      <c r="N1577" s="34"/>
      <c r="O1577" s="35"/>
      <c r="P1577" s="35"/>
      <c r="Q1577" s="35"/>
      <c r="R1577" s="35"/>
      <c r="S1577" s="74"/>
    </row>
    <row r="1578" spans="1:19" ht="13.5" thickBot="1">
      <c r="A1578" s="103">
        <v>40917</v>
      </c>
      <c r="B1578" s="104">
        <v>2.0953199863433838</v>
      </c>
      <c r="C1578" s="105">
        <v>1280.699951171875</v>
      </c>
      <c r="D1578" s="104">
        <v>1.5454000234603882</v>
      </c>
      <c r="E1578">
        <v>76.881678571633145</v>
      </c>
      <c r="F1578">
        <v>1612.9007568359375</v>
      </c>
      <c r="H1578" s="34"/>
      <c r="I1578" s="34"/>
      <c r="J1578" s="34"/>
      <c r="K1578" s="34"/>
      <c r="L1578" s="34"/>
      <c r="N1578" s="34"/>
      <c r="O1578" s="35"/>
      <c r="P1578" s="35"/>
      <c r="Q1578" s="35"/>
      <c r="R1578" s="35"/>
      <c r="S1578" s="74"/>
    </row>
    <row r="1579" spans="1:19" ht="13.5" thickBot="1">
      <c r="A1579" s="103">
        <v>40918</v>
      </c>
      <c r="B1579" s="104">
        <v>2.1093199253082275</v>
      </c>
      <c r="C1579" s="105">
        <v>1292.0799560546875</v>
      </c>
      <c r="D1579" s="104">
        <v>1.5491000413894653</v>
      </c>
      <c r="E1579">
        <v>76.822618353701827</v>
      </c>
      <c r="F1579">
        <v>1635.75</v>
      </c>
      <c r="H1579" s="34"/>
      <c r="I1579" s="34"/>
      <c r="J1579" s="34"/>
      <c r="K1579" s="34"/>
      <c r="L1579" s="34"/>
      <c r="N1579" s="34"/>
      <c r="O1579" s="35"/>
      <c r="P1579" s="35"/>
      <c r="Q1579" s="35"/>
      <c r="R1579" s="35"/>
      <c r="S1579" s="74"/>
    </row>
    <row r="1580" spans="1:19" ht="13.5" thickBot="1">
      <c r="A1580" s="103">
        <v>40919</v>
      </c>
      <c r="B1580" s="104">
        <v>2.0469698905944824</v>
      </c>
      <c r="C1580" s="105">
        <v>1292.47998046875</v>
      </c>
      <c r="D1580" s="104">
        <v>1.531999945640564</v>
      </c>
      <c r="E1580">
        <v>76.881678571633145</v>
      </c>
      <c r="F1580">
        <v>1642.349853515625</v>
      </c>
      <c r="H1580" s="34"/>
      <c r="I1580" s="34"/>
      <c r="J1580" s="34"/>
      <c r="K1580" s="34"/>
      <c r="L1580" s="34"/>
      <c r="N1580" s="34"/>
      <c r="O1580" s="35"/>
      <c r="P1580" s="35"/>
      <c r="Q1580" s="35"/>
      <c r="R1580" s="35"/>
      <c r="S1580" s="74"/>
    </row>
    <row r="1581" spans="1:19" ht="13.5" thickBot="1">
      <c r="A1581" s="103">
        <v>40920</v>
      </c>
      <c r="B1581" s="104">
        <v>2.0690701007843018</v>
      </c>
      <c r="C1581" s="105">
        <v>1295.5</v>
      </c>
      <c r="D1581" s="104">
        <v>1.534000039100647</v>
      </c>
      <c r="E1581">
        <v>76.781324122698308</v>
      </c>
      <c r="F1581">
        <v>1653.699462890625</v>
      </c>
      <c r="H1581" s="34"/>
      <c r="I1581" s="34"/>
      <c r="J1581" s="34"/>
      <c r="K1581" s="34"/>
      <c r="L1581" s="34"/>
      <c r="N1581" s="34"/>
      <c r="O1581" s="35"/>
      <c r="P1581" s="35"/>
      <c r="Q1581" s="35"/>
      <c r="R1581" s="35"/>
      <c r="S1581" s="74"/>
    </row>
    <row r="1582" spans="1:19" ht="13.5" thickBot="1">
      <c r="A1582" s="103">
        <v>40921</v>
      </c>
      <c r="B1582" s="104">
        <v>2.0014400482177734</v>
      </c>
      <c r="C1582" s="105">
        <v>1289.0899658203125</v>
      </c>
      <c r="D1582" s="104">
        <v>1.5303000211715698</v>
      </c>
      <c r="E1582">
        <v>76.958597715156202</v>
      </c>
      <c r="F1582">
        <v>1634.40087890625</v>
      </c>
      <c r="H1582" s="34"/>
      <c r="I1582" s="34"/>
      <c r="J1582" s="34"/>
      <c r="K1582" s="34"/>
      <c r="L1582" s="34"/>
      <c r="N1582" s="34"/>
      <c r="O1582" s="35"/>
      <c r="P1582" s="35"/>
      <c r="Q1582" s="35"/>
      <c r="R1582" s="35"/>
      <c r="S1582" s="74"/>
    </row>
    <row r="1583" spans="1:19" ht="13.5" thickBot="1">
      <c r="A1583" s="103">
        <v>40924</v>
      </c>
      <c r="B1583" s="104">
        <v>2.0014400482177734</v>
      </c>
      <c r="C1583" s="105">
        <v>1289.0899658203125</v>
      </c>
      <c r="D1583" s="104">
        <v>1.5319000482559204</v>
      </c>
      <c r="E1583">
        <v>76.645969943843681</v>
      </c>
      <c r="F1583">
        <v>1643.85009765625</v>
      </c>
      <c r="H1583" s="34"/>
      <c r="I1583" s="34"/>
      <c r="J1583" s="34"/>
      <c r="K1583" s="34"/>
      <c r="L1583" s="34"/>
      <c r="N1583" s="34"/>
      <c r="O1583" s="35"/>
      <c r="P1583" s="35"/>
      <c r="Q1583" s="35"/>
      <c r="R1583" s="35"/>
      <c r="S1583" s="74"/>
    </row>
    <row r="1584" spans="1:19" ht="13.5" thickBot="1">
      <c r="A1584" s="103">
        <v>40925</v>
      </c>
      <c r="B1584" s="104">
        <v>1.9854400157928467</v>
      </c>
      <c r="C1584" s="105">
        <v>1293.6700439453125</v>
      </c>
      <c r="D1584" s="104">
        <v>1.5328999757766724</v>
      </c>
      <c r="E1584">
        <v>76.822618353701827</v>
      </c>
      <c r="F1584">
        <v>1659.849609375</v>
      </c>
      <c r="H1584" s="34"/>
      <c r="I1584" s="34"/>
      <c r="J1584" s="34"/>
      <c r="K1584" s="34"/>
      <c r="L1584" s="34"/>
      <c r="N1584" s="34"/>
      <c r="O1584" s="35"/>
      <c r="P1584" s="35"/>
      <c r="Q1584" s="35"/>
      <c r="R1584" s="35"/>
      <c r="S1584" s="74"/>
    </row>
    <row r="1585" spans="1:19" ht="13.5" thickBot="1">
      <c r="A1585" s="103">
        <v>40926</v>
      </c>
      <c r="B1585" s="104">
        <v>2.0323200225830078</v>
      </c>
      <c r="C1585" s="105">
        <v>1308.0400390625</v>
      </c>
      <c r="D1585" s="104">
        <v>1.5427999496459961</v>
      </c>
      <c r="E1585">
        <v>76.799018567229467</v>
      </c>
      <c r="F1585">
        <v>1659.149658203125</v>
      </c>
      <c r="H1585" s="34"/>
      <c r="I1585" s="34"/>
      <c r="J1585" s="34"/>
      <c r="K1585" s="34"/>
      <c r="L1585" s="34"/>
      <c r="N1585" s="34"/>
      <c r="O1585" s="35"/>
      <c r="P1585" s="35"/>
      <c r="Q1585" s="35"/>
      <c r="R1585" s="35"/>
      <c r="S1585" s="74"/>
    </row>
    <row r="1586" spans="1:19" ht="13.5" thickBot="1">
      <c r="A1586" s="103">
        <v>40927</v>
      </c>
      <c r="B1586" s="104">
        <v>2.0974900722503662</v>
      </c>
      <c r="C1586" s="105">
        <v>1314.5</v>
      </c>
      <c r="D1586" s="104">
        <v>1.5468000173568726</v>
      </c>
      <c r="E1586">
        <v>77.178358153866682</v>
      </c>
      <c r="F1586">
        <v>1654.0997314453125</v>
      </c>
      <c r="H1586" s="34"/>
      <c r="I1586" s="34"/>
      <c r="J1586" s="34"/>
      <c r="K1586" s="34"/>
      <c r="L1586" s="34"/>
      <c r="N1586" s="34"/>
      <c r="O1586" s="35"/>
      <c r="P1586" s="35"/>
      <c r="Q1586" s="35"/>
      <c r="R1586" s="35"/>
      <c r="S1586" s="74"/>
    </row>
    <row r="1587" spans="1:19" ht="13.5" thickBot="1">
      <c r="A1587" s="103">
        <v>40928</v>
      </c>
      <c r="B1587" s="104">
        <v>2.1556000709533691</v>
      </c>
      <c r="C1587" s="105">
        <v>1315.3800048828125</v>
      </c>
      <c r="D1587" s="104">
        <v>1.5542000532150269</v>
      </c>
      <c r="E1587">
        <v>76.982295693704842</v>
      </c>
      <c r="F1587">
        <v>1663.79931640625</v>
      </c>
      <c r="H1587" s="34"/>
      <c r="I1587" s="34"/>
      <c r="J1587" s="34"/>
      <c r="K1587" s="34"/>
      <c r="L1587" s="34"/>
      <c r="N1587" s="34"/>
      <c r="O1587" s="35"/>
      <c r="P1587" s="35"/>
      <c r="Q1587" s="35"/>
      <c r="R1587" s="35"/>
      <c r="S1587" s="74"/>
    </row>
    <row r="1588" spans="1:19" ht="13.5" thickBot="1">
      <c r="A1588" s="103">
        <v>40931</v>
      </c>
      <c r="B1588" s="104">
        <v>2.1895599365234375</v>
      </c>
      <c r="C1588" s="105">
        <v>1316</v>
      </c>
      <c r="D1588" s="104">
        <v>1.556399941444397</v>
      </c>
      <c r="E1588">
        <v>76.988218328849285</v>
      </c>
      <c r="F1588">
        <v>1677.1539306640625</v>
      </c>
      <c r="H1588" s="34"/>
      <c r="I1588" s="34"/>
      <c r="J1588" s="34"/>
      <c r="K1588" s="34"/>
      <c r="L1588" s="34"/>
      <c r="N1588" s="34"/>
      <c r="O1588" s="35"/>
      <c r="P1588" s="35"/>
      <c r="Q1588" s="35"/>
      <c r="R1588" s="35"/>
      <c r="S1588" s="74"/>
    </row>
    <row r="1589" spans="1:19" ht="13.5" thickBot="1">
      <c r="A1589" s="103">
        <v>40932</v>
      </c>
      <c r="B1589" s="104">
        <v>2.1742498874664307</v>
      </c>
      <c r="C1589" s="105">
        <v>1314.6500244140625</v>
      </c>
      <c r="D1589" s="104">
        <v>1.5601999759674072</v>
      </c>
      <c r="E1589">
        <v>77.742362275143662</v>
      </c>
      <c r="F1589">
        <v>1668.3541259765625</v>
      </c>
      <c r="H1589" s="34"/>
      <c r="I1589" s="34"/>
      <c r="J1589" s="34"/>
      <c r="K1589" s="34"/>
      <c r="L1589" s="34"/>
      <c r="N1589" s="34"/>
      <c r="O1589" s="35"/>
      <c r="P1589" s="35"/>
      <c r="Q1589" s="35"/>
      <c r="R1589" s="35"/>
      <c r="S1589" s="74"/>
    </row>
    <row r="1590" spans="1:19" ht="13.5" thickBot="1">
      <c r="A1590" s="103">
        <v>40933</v>
      </c>
      <c r="B1590" s="104">
        <v>2.1126599311828613</v>
      </c>
      <c r="C1590" s="105">
        <v>1326.050048828125</v>
      </c>
      <c r="D1590" s="104">
        <v>1.5642000436782837</v>
      </c>
      <c r="E1590">
        <v>77.82101414581193</v>
      </c>
      <c r="F1590">
        <v>1701.5535888671875</v>
      </c>
      <c r="H1590" s="34"/>
      <c r="I1590" s="34"/>
      <c r="J1590" s="34"/>
      <c r="K1590" s="34"/>
      <c r="L1590" s="34"/>
      <c r="N1590" s="34"/>
      <c r="O1590" s="35"/>
      <c r="P1590" s="35"/>
      <c r="Q1590" s="35"/>
      <c r="R1590" s="35"/>
      <c r="S1590" s="74"/>
    </row>
    <row r="1591" spans="1:19" ht="13.5" thickBot="1">
      <c r="A1591" s="103">
        <v>40934</v>
      </c>
      <c r="B1591" s="104">
        <v>2.0388200283050537</v>
      </c>
      <c r="C1591" s="105">
        <v>1318.4300537109375</v>
      </c>
      <c r="D1591" s="104">
        <v>1.5687999725341797</v>
      </c>
      <c r="E1591">
        <v>77.501354903619344</v>
      </c>
      <c r="F1591">
        <v>1721.9560546875</v>
      </c>
      <c r="H1591" s="34"/>
      <c r="I1591" s="34"/>
      <c r="J1591" s="34"/>
      <c r="K1591" s="34"/>
      <c r="L1591" s="34"/>
      <c r="N1591" s="34"/>
      <c r="O1591" s="35"/>
      <c r="P1591" s="35"/>
      <c r="Q1591" s="35"/>
      <c r="R1591" s="35"/>
      <c r="S1591" s="74"/>
    </row>
    <row r="1592" spans="1:19" ht="13.5" thickBot="1">
      <c r="A1592" s="103">
        <v>40935</v>
      </c>
      <c r="B1592" s="104">
        <v>2.0137600898742676</v>
      </c>
      <c r="C1592" s="105">
        <v>1316.3299560546875</v>
      </c>
      <c r="D1592" s="104">
        <v>1.5723999738693237</v>
      </c>
      <c r="E1592">
        <v>76.72241792889551</v>
      </c>
      <c r="F1592">
        <v>1731.3055419921875</v>
      </c>
      <c r="H1592" s="34"/>
      <c r="I1592" s="34"/>
      <c r="J1592" s="34"/>
      <c r="K1592" s="34"/>
      <c r="L1592" s="34"/>
      <c r="N1592" s="34"/>
      <c r="O1592" s="35"/>
      <c r="P1592" s="35"/>
      <c r="Q1592" s="35"/>
      <c r="R1592" s="35"/>
      <c r="S1592" s="74"/>
    </row>
    <row r="1593" spans="1:19" ht="13.5" thickBot="1">
      <c r="A1593" s="103">
        <v>40938</v>
      </c>
      <c r="B1593" s="104">
        <v>1.9602600336074829</v>
      </c>
      <c r="C1593" s="105">
        <v>1313.010009765625</v>
      </c>
      <c r="D1593" s="104">
        <v>1.5697000026702881</v>
      </c>
      <c r="E1593">
        <v>76.300932743813092</v>
      </c>
      <c r="F1593">
        <v>1730.4029541015625</v>
      </c>
      <c r="H1593" s="34"/>
      <c r="I1593" s="34"/>
      <c r="J1593" s="34"/>
      <c r="K1593" s="34"/>
      <c r="L1593" s="34"/>
      <c r="N1593" s="34"/>
      <c r="O1593" s="35"/>
      <c r="P1593" s="35"/>
      <c r="Q1593" s="35"/>
      <c r="R1593" s="35"/>
      <c r="S1593" s="74"/>
    </row>
    <row r="1594" spans="1:19" ht="13.5" thickBot="1">
      <c r="A1594" s="103">
        <v>40939</v>
      </c>
      <c r="B1594" s="104">
        <v>1.9120700359344482</v>
      </c>
      <c r="C1594" s="105">
        <v>1312.4100341796875</v>
      </c>
      <c r="D1594" s="104">
        <v>1.5755000114440918</v>
      </c>
      <c r="E1594">
        <v>76.190478569255745</v>
      </c>
      <c r="F1594">
        <v>1733.8028564453125</v>
      </c>
      <c r="H1594" s="34"/>
      <c r="I1594" s="34"/>
      <c r="J1594" s="34"/>
      <c r="K1594" s="34"/>
      <c r="L1594" s="34"/>
      <c r="N1594" s="34"/>
      <c r="O1594" s="35"/>
      <c r="P1594" s="35"/>
      <c r="Q1594" s="35"/>
      <c r="R1594" s="35"/>
      <c r="S1594" s="74"/>
    </row>
    <row r="1595" spans="1:19" ht="13.5" thickBot="1">
      <c r="A1595" s="103">
        <v>40940</v>
      </c>
      <c r="B1595" s="104">
        <v>1.9456100463867188</v>
      </c>
      <c r="C1595" s="105">
        <v>1324.0899658203125</v>
      </c>
      <c r="D1595" s="104">
        <v>1.5836000442504883</v>
      </c>
      <c r="E1595">
        <v>76.219510739064788</v>
      </c>
      <c r="F1595">
        <v>1745.6500244140625</v>
      </c>
      <c r="H1595" s="34"/>
      <c r="I1595" s="34"/>
      <c r="J1595" s="34"/>
      <c r="K1595" s="34"/>
      <c r="L1595" s="34"/>
      <c r="N1595" s="34"/>
      <c r="O1595" s="35"/>
      <c r="P1595" s="35"/>
      <c r="Q1595" s="35"/>
      <c r="R1595" s="35"/>
      <c r="S1595" s="74"/>
    </row>
    <row r="1596" spans="1:19" ht="13.5" thickBot="1">
      <c r="A1596" s="103">
        <v>40941</v>
      </c>
      <c r="B1596" s="104">
        <v>1.9347100257873535</v>
      </c>
      <c r="C1596" s="105">
        <v>1325.5400390625</v>
      </c>
      <c r="D1596" s="104">
        <v>1.5801000595092773</v>
      </c>
      <c r="E1596">
        <v>76.178867569364442</v>
      </c>
      <c r="F1596">
        <v>1751.25</v>
      </c>
      <c r="H1596" s="34"/>
      <c r="I1596" s="34"/>
      <c r="J1596" s="34"/>
      <c r="K1596" s="34"/>
      <c r="L1596" s="34"/>
      <c r="N1596" s="34"/>
      <c r="O1596" s="35"/>
      <c r="P1596" s="35"/>
      <c r="Q1596" s="35"/>
      <c r="R1596" s="35"/>
      <c r="S1596" s="74"/>
    </row>
    <row r="1597" spans="1:19" ht="13.5" thickBot="1">
      <c r="A1597" s="103">
        <v>40942</v>
      </c>
      <c r="B1597" s="104">
        <v>2.061959981918335</v>
      </c>
      <c r="C1597" s="105">
        <v>1344.9000244140625</v>
      </c>
      <c r="D1597" s="104">
        <v>1.5825999975204468</v>
      </c>
      <c r="E1597">
        <v>76.58140460245086</v>
      </c>
      <c r="F1597">
        <v>1737.449951171875</v>
      </c>
      <c r="H1597" s="34"/>
      <c r="I1597" s="34"/>
      <c r="J1597" s="34"/>
      <c r="K1597" s="34"/>
      <c r="L1597" s="34"/>
      <c r="N1597" s="34"/>
      <c r="O1597" s="35"/>
      <c r="P1597" s="35"/>
      <c r="Q1597" s="35"/>
      <c r="R1597" s="35"/>
      <c r="S1597" s="74"/>
    </row>
    <row r="1598" spans="1:19" ht="13.5" thickBot="1">
      <c r="A1598" s="103">
        <v>40945</v>
      </c>
      <c r="B1598" s="104">
        <v>2.0113000869750977</v>
      </c>
      <c r="C1598" s="105">
        <v>1344.3299560546875</v>
      </c>
      <c r="D1598" s="104">
        <v>1.5827000141143799</v>
      </c>
      <c r="E1598">
        <v>76.599001548042835</v>
      </c>
      <c r="F1598">
        <v>1722.75</v>
      </c>
      <c r="H1598" s="34"/>
      <c r="I1598" s="34"/>
      <c r="J1598" s="34"/>
      <c r="K1598" s="34"/>
      <c r="L1598" s="34"/>
      <c r="N1598" s="34"/>
      <c r="O1598" s="35"/>
      <c r="P1598" s="35"/>
      <c r="Q1598" s="35"/>
      <c r="R1598" s="35"/>
      <c r="S1598" s="74"/>
    </row>
    <row r="1599" spans="1:19" ht="13.5" thickBot="1">
      <c r="A1599" s="103">
        <v>40946</v>
      </c>
      <c r="B1599" s="104">
        <v>2.0787999629974365</v>
      </c>
      <c r="C1599" s="105">
        <v>1347.050048828125</v>
      </c>
      <c r="D1599" s="104">
        <v>1.589900016784668</v>
      </c>
      <c r="E1599">
        <v>76.757755183681013</v>
      </c>
      <c r="F1599">
        <v>1742.3499755859375</v>
      </c>
      <c r="H1599" s="34"/>
      <c r="I1599" s="34"/>
      <c r="J1599" s="34"/>
      <c r="K1599" s="34"/>
      <c r="L1599" s="34"/>
      <c r="N1599" s="34"/>
      <c r="O1599" s="35"/>
      <c r="P1599" s="35"/>
      <c r="Q1599" s="35"/>
      <c r="R1599" s="35"/>
      <c r="S1599" s="74"/>
    </row>
    <row r="1600" spans="1:19" ht="13.5" thickBot="1">
      <c r="A1600" s="103">
        <v>40947</v>
      </c>
      <c r="B1600" s="104">
        <v>2.0926198959350586</v>
      </c>
      <c r="C1600" s="105">
        <v>1349.9599609375</v>
      </c>
      <c r="D1600" s="104">
        <v>1.5816999673843384</v>
      </c>
      <c r="E1600">
        <v>77.017867277066458</v>
      </c>
      <c r="F1600">
        <v>1732.449951171875</v>
      </c>
      <c r="H1600" s="34"/>
      <c r="I1600" s="34"/>
      <c r="J1600" s="34"/>
      <c r="K1600" s="34"/>
      <c r="L1600" s="34"/>
      <c r="N1600" s="34"/>
      <c r="O1600" s="35"/>
      <c r="P1600" s="35"/>
      <c r="Q1600" s="35"/>
      <c r="R1600" s="35"/>
      <c r="S1600" s="74"/>
    </row>
    <row r="1601" spans="1:19" ht="13.5" thickBot="1">
      <c r="A1601" s="103">
        <v>40948</v>
      </c>
      <c r="B1601" s="104">
        <v>2.1293699741363525</v>
      </c>
      <c r="C1601" s="105">
        <v>1351.949951171875</v>
      </c>
      <c r="D1601" s="104">
        <v>1.5825999975204468</v>
      </c>
      <c r="E1601">
        <v>77.681967206710269</v>
      </c>
      <c r="F1601">
        <v>1744.1500244140625</v>
      </c>
      <c r="H1601" s="34"/>
      <c r="I1601" s="34"/>
      <c r="J1601" s="34"/>
      <c r="K1601" s="34"/>
      <c r="L1601" s="34"/>
      <c r="N1601" s="34"/>
      <c r="O1601" s="35"/>
      <c r="P1601" s="35"/>
      <c r="Q1601" s="35"/>
      <c r="R1601" s="35"/>
      <c r="S1601" s="74"/>
    </row>
    <row r="1602" spans="1:19" ht="13.5" thickBot="1">
      <c r="A1602" s="103">
        <v>40949</v>
      </c>
      <c r="B1602" s="104">
        <v>2.0521500110626221</v>
      </c>
      <c r="C1602" s="105">
        <v>1342.6400146484375</v>
      </c>
      <c r="D1602" s="104">
        <v>1.5742000341415405</v>
      </c>
      <c r="E1602">
        <v>77.59757831561349</v>
      </c>
      <c r="F1602">
        <v>1718.25</v>
      </c>
      <c r="H1602" s="34"/>
      <c r="I1602" s="34"/>
      <c r="J1602" s="34"/>
      <c r="K1602" s="34"/>
      <c r="L1602" s="34"/>
      <c r="N1602" s="34"/>
      <c r="O1602" s="35"/>
      <c r="P1602" s="35"/>
      <c r="Q1602" s="35"/>
      <c r="R1602" s="35"/>
      <c r="S1602" s="74"/>
    </row>
    <row r="1603" spans="1:19" ht="13.5" thickBot="1">
      <c r="A1603" s="103">
        <v>40952</v>
      </c>
      <c r="B1603" s="104">
        <v>2.0721199512481689</v>
      </c>
      <c r="C1603" s="105">
        <v>1351.77001953125</v>
      </c>
      <c r="D1603" s="104">
        <v>1.5773999691009521</v>
      </c>
      <c r="E1603">
        <v>77.621671514006778</v>
      </c>
      <c r="F1603">
        <v>1723.699951171875</v>
      </c>
      <c r="H1603" s="34"/>
      <c r="I1603" s="34"/>
      <c r="J1603" s="34"/>
      <c r="K1603" s="34"/>
      <c r="L1603" s="34"/>
      <c r="N1603" s="34"/>
      <c r="O1603" s="35"/>
      <c r="P1603" s="35"/>
      <c r="Q1603" s="35"/>
      <c r="R1603" s="35"/>
      <c r="S1603" s="74"/>
    </row>
    <row r="1604" spans="1:19" ht="13.5" thickBot="1">
      <c r="A1604" s="103">
        <v>40953</v>
      </c>
      <c r="B1604" s="104">
        <v>2.0048799514770508</v>
      </c>
      <c r="C1604" s="105">
        <v>1350.5</v>
      </c>
      <c r="D1604" s="104">
        <v>1.5663000345230103</v>
      </c>
      <c r="E1604">
        <v>78.462139418509821</v>
      </c>
      <c r="F1604">
        <v>1720.449951171875</v>
      </c>
      <c r="H1604" s="34"/>
      <c r="I1604" s="34"/>
      <c r="J1604" s="34"/>
      <c r="K1604" s="34"/>
      <c r="L1604" s="34"/>
      <c r="N1604" s="34"/>
      <c r="O1604" s="35"/>
      <c r="P1604" s="35"/>
      <c r="Q1604" s="35"/>
      <c r="R1604" s="35"/>
      <c r="S1604" s="74"/>
    </row>
    <row r="1605" spans="1:19" ht="13.5" thickBot="1">
      <c r="A1605" s="103">
        <v>40954</v>
      </c>
      <c r="B1605" s="104">
        <v>2.0109500885009766</v>
      </c>
      <c r="C1605" s="105">
        <v>1343.22998046875</v>
      </c>
      <c r="D1605" s="104">
        <v>1.5692000389099121</v>
      </c>
      <c r="E1605">
        <v>78.499097810949635</v>
      </c>
      <c r="F1605">
        <v>1726.050048828125</v>
      </c>
      <c r="H1605" s="34"/>
      <c r="I1605" s="34"/>
      <c r="J1605" s="34"/>
      <c r="K1605" s="34"/>
      <c r="L1605" s="34"/>
      <c r="N1605" s="34"/>
      <c r="O1605" s="35"/>
      <c r="P1605" s="35"/>
      <c r="Q1605" s="35"/>
      <c r="R1605" s="35"/>
      <c r="S1605" s="74"/>
    </row>
    <row r="1606" spans="1:19" ht="13.5" thickBot="1">
      <c r="A1606" s="103">
        <v>40955</v>
      </c>
      <c r="B1606" s="104">
        <v>2.0705699920654297</v>
      </c>
      <c r="C1606" s="105">
        <v>1358.0400390625</v>
      </c>
      <c r="D1606" s="104">
        <v>1.580299973487854</v>
      </c>
      <c r="E1606">
        <v>78.920367328137701</v>
      </c>
      <c r="F1606">
        <v>1724.050048828125</v>
      </c>
      <c r="H1606" s="34"/>
      <c r="I1606" s="34"/>
      <c r="J1606" s="34"/>
      <c r="K1606" s="34"/>
      <c r="L1606" s="34"/>
      <c r="N1606" s="34"/>
      <c r="O1606" s="35"/>
      <c r="P1606" s="35"/>
      <c r="Q1606" s="35"/>
      <c r="R1606" s="35"/>
      <c r="S1606" s="74"/>
    </row>
    <row r="1607" spans="1:19" ht="13.5" thickBot="1">
      <c r="A1607" s="103">
        <v>40956</v>
      </c>
      <c r="B1607" s="104">
        <v>2.0911600589752197</v>
      </c>
      <c r="C1607" s="105">
        <v>1361.22998046875</v>
      </c>
      <c r="D1607" s="104">
        <v>1.5844000577926636</v>
      </c>
      <c r="E1607">
        <v>79.459673362938815</v>
      </c>
      <c r="F1607">
        <v>1721.550048828125</v>
      </c>
      <c r="H1607" s="34"/>
      <c r="I1607" s="34"/>
      <c r="J1607" s="34"/>
      <c r="K1607" s="34"/>
      <c r="L1607" s="34"/>
      <c r="N1607" s="34"/>
      <c r="O1607" s="35"/>
      <c r="P1607" s="35"/>
      <c r="Q1607" s="35"/>
      <c r="R1607" s="35"/>
      <c r="S1607" s="74"/>
    </row>
    <row r="1608" spans="1:19" ht="13.5" thickBot="1">
      <c r="A1608" s="103">
        <v>40959</v>
      </c>
      <c r="B1608" s="104">
        <v>2.0911600589752197</v>
      </c>
      <c r="C1608" s="105">
        <v>1361.22998046875</v>
      </c>
      <c r="D1608" s="104">
        <v>1.5849000215530396</v>
      </c>
      <c r="E1608">
        <v>79.541840252544574</v>
      </c>
      <c r="F1608">
        <v>1734.449951171875</v>
      </c>
      <c r="H1608" s="34"/>
      <c r="I1608" s="34"/>
      <c r="J1608" s="34"/>
      <c r="K1608" s="34"/>
      <c r="L1608" s="34"/>
      <c r="N1608" s="34"/>
      <c r="O1608" s="35"/>
      <c r="P1608" s="35"/>
      <c r="Q1608" s="35"/>
      <c r="R1608" s="35"/>
      <c r="S1608" s="74"/>
    </row>
    <row r="1609" spans="1:19" ht="13.5" thickBot="1">
      <c r="A1609" s="103">
        <v>40960</v>
      </c>
      <c r="B1609" s="104">
        <v>2.1326799392700195</v>
      </c>
      <c r="C1609" s="105">
        <v>1362.2099609375</v>
      </c>
      <c r="D1609" s="104">
        <v>1.5782999992370605</v>
      </c>
      <c r="E1609">
        <v>79.700324793822318</v>
      </c>
      <c r="F1609">
        <v>1753.1500244140625</v>
      </c>
      <c r="H1609" s="34"/>
      <c r="I1609" s="34"/>
      <c r="J1609" s="34"/>
      <c r="K1609" s="34"/>
      <c r="L1609" s="34"/>
      <c r="N1609" s="34"/>
      <c r="O1609" s="35"/>
      <c r="P1609" s="35"/>
      <c r="Q1609" s="35"/>
      <c r="R1609" s="35"/>
      <c r="S1609" s="74"/>
    </row>
    <row r="1610" spans="1:19" ht="13.5" thickBot="1">
      <c r="A1610" s="103">
        <v>40961</v>
      </c>
      <c r="B1610" s="104">
        <v>2.0926799774169922</v>
      </c>
      <c r="C1610" s="105">
        <v>1357.6600341796875</v>
      </c>
      <c r="D1610" s="104">
        <v>1.5671999454498291</v>
      </c>
      <c r="E1610">
        <v>80.256822591942509</v>
      </c>
      <c r="F1610">
        <v>1756.949951171875</v>
      </c>
      <c r="H1610" s="34"/>
      <c r="I1610" s="34"/>
      <c r="J1610" s="34"/>
      <c r="K1610" s="34"/>
      <c r="L1610" s="34"/>
      <c r="N1610" s="34"/>
      <c r="O1610" s="35"/>
      <c r="P1610" s="35"/>
      <c r="Q1610" s="35"/>
      <c r="R1610" s="35"/>
      <c r="S1610" s="74"/>
    </row>
    <row r="1611" spans="1:19" ht="13.5" thickBot="1">
      <c r="A1611" s="103">
        <v>40962</v>
      </c>
      <c r="B1611" s="104">
        <v>2.0818700790405273</v>
      </c>
      <c r="C1611" s="105">
        <v>1363.4599609375</v>
      </c>
      <c r="D1611" s="104">
        <v>1.5736000537872314</v>
      </c>
      <c r="E1611">
        <v>79.999998807907119</v>
      </c>
      <c r="F1611">
        <v>1785.949951171875</v>
      </c>
      <c r="H1611" s="34"/>
      <c r="I1611" s="34"/>
      <c r="J1611" s="34"/>
      <c r="K1611" s="34"/>
      <c r="L1611" s="34"/>
      <c r="N1611" s="34"/>
      <c r="O1611" s="35"/>
      <c r="P1611" s="35"/>
      <c r="Q1611" s="35"/>
      <c r="R1611" s="35"/>
      <c r="S1611" s="74"/>
    </row>
    <row r="1612" spans="1:19" ht="13.5" thickBot="1">
      <c r="A1612" s="103">
        <v>40963</v>
      </c>
      <c r="B1612" s="104">
        <v>2.0806798934936523</v>
      </c>
      <c r="C1612" s="105">
        <v>1365.739990234375</v>
      </c>
      <c r="D1612" s="104">
        <v>1.5889999866485596</v>
      </c>
      <c r="E1612">
        <v>80.978215544044261</v>
      </c>
      <c r="F1612">
        <v>1774.8499755859375</v>
      </c>
      <c r="H1612" s="34"/>
      <c r="I1612" s="34"/>
      <c r="J1612" s="34"/>
      <c r="K1612" s="34"/>
      <c r="L1612" s="34"/>
      <c r="N1612" s="34"/>
      <c r="O1612" s="35"/>
      <c r="P1612" s="35"/>
      <c r="Q1612" s="35"/>
      <c r="R1612" s="35"/>
      <c r="S1612" s="74"/>
    </row>
    <row r="1613" spans="1:19" ht="13.5" thickBot="1">
      <c r="A1613" s="103">
        <v>40966</v>
      </c>
      <c r="B1613" s="104">
        <v>2.024590015411377</v>
      </c>
      <c r="C1613" s="105">
        <v>1367.5899658203125</v>
      </c>
      <c r="D1613" s="104">
        <v>1.5821000337600708</v>
      </c>
      <c r="E1613">
        <v>80.554213004291029</v>
      </c>
      <c r="F1613">
        <v>1774.449951171875</v>
      </c>
      <c r="H1613" s="34"/>
      <c r="I1613" s="34"/>
      <c r="J1613" s="34"/>
      <c r="K1613" s="34"/>
      <c r="L1613" s="34"/>
      <c r="N1613" s="34"/>
      <c r="O1613" s="35"/>
      <c r="P1613" s="35"/>
      <c r="Q1613" s="35"/>
      <c r="R1613" s="35"/>
      <c r="S1613" s="74"/>
    </row>
    <row r="1614" spans="1:19" ht="13.5" thickBot="1">
      <c r="A1614" s="103">
        <v>40967</v>
      </c>
      <c r="B1614" s="104">
        <v>2.0264699459075928</v>
      </c>
      <c r="C1614" s="105">
        <v>1372.1800537109375</v>
      </c>
      <c r="D1614" s="104">
        <v>1.5887999534606934</v>
      </c>
      <c r="E1614">
        <v>80.560704068776076</v>
      </c>
      <c r="F1614">
        <v>1788.75</v>
      </c>
      <c r="H1614" s="34"/>
      <c r="I1614" s="34"/>
      <c r="J1614" s="34"/>
      <c r="K1614" s="34"/>
      <c r="L1614" s="34"/>
      <c r="N1614" s="34"/>
      <c r="O1614" s="35"/>
      <c r="P1614" s="35"/>
      <c r="Q1614" s="35"/>
      <c r="R1614" s="35"/>
      <c r="S1614" s="74"/>
    </row>
    <row r="1615" spans="1:19" ht="13.5" thickBot="1">
      <c r="A1615" s="103">
        <v>40968</v>
      </c>
      <c r="B1615" s="104">
        <v>2.067389965057373</v>
      </c>
      <c r="C1615" s="105">
        <v>1365.6800537109375</v>
      </c>
      <c r="D1615" s="104">
        <v>1.5921499729156494</v>
      </c>
      <c r="E1615">
        <v>81.155655048464368</v>
      </c>
      <c r="F1615">
        <v>1706.050048828125</v>
      </c>
      <c r="H1615" s="34"/>
      <c r="I1615" s="34"/>
      <c r="J1615" s="34"/>
      <c r="K1615" s="34"/>
      <c r="L1615" s="34"/>
      <c r="N1615" s="34"/>
      <c r="O1615" s="35"/>
      <c r="P1615" s="35"/>
      <c r="Q1615" s="35"/>
      <c r="R1615" s="35"/>
      <c r="S1615" s="74"/>
    </row>
    <row r="1616" spans="1:19" ht="13.5" thickBot="1">
      <c r="A1616" s="103">
        <v>40969</v>
      </c>
      <c r="B1616" s="104">
        <v>2.1215300559997559</v>
      </c>
      <c r="C1616" s="105">
        <v>1374.0899658203125</v>
      </c>
      <c r="D1616" s="104">
        <v>1.5951999425888062</v>
      </c>
      <c r="E1616">
        <v>81.10299891149316</v>
      </c>
      <c r="F1616">
        <v>1715.449951171875</v>
      </c>
      <c r="H1616" s="34"/>
      <c r="I1616" s="34"/>
      <c r="J1616" s="34"/>
      <c r="K1616" s="34"/>
      <c r="L1616" s="34"/>
      <c r="N1616" s="34"/>
      <c r="O1616" s="35"/>
      <c r="P1616" s="35"/>
      <c r="Q1616" s="35"/>
      <c r="R1616" s="35"/>
      <c r="S1616" s="74"/>
    </row>
    <row r="1617" spans="1:19" ht="13.5" thickBot="1">
      <c r="A1617" s="103">
        <v>40970</v>
      </c>
      <c r="B1617" s="104">
        <v>2.0743000507354736</v>
      </c>
      <c r="C1617" s="105">
        <v>1369.6300048828125</v>
      </c>
      <c r="D1617" s="104">
        <v>1.5829999446868896</v>
      </c>
      <c r="E1617">
        <v>81.819666785869657</v>
      </c>
      <c r="F1617">
        <v>1709.949951171875</v>
      </c>
      <c r="H1617" s="34"/>
      <c r="I1617" s="34"/>
      <c r="J1617" s="34"/>
      <c r="K1617" s="34"/>
      <c r="L1617" s="34"/>
      <c r="N1617" s="34"/>
      <c r="O1617" s="35"/>
      <c r="P1617" s="35"/>
      <c r="Q1617" s="35"/>
      <c r="R1617" s="35"/>
      <c r="S1617" s="74"/>
    </row>
    <row r="1618" spans="1:19" ht="13.5" thickBot="1">
      <c r="A1618" s="103">
        <v>40973</v>
      </c>
      <c r="B1618" s="104">
        <v>2.0851700305938721</v>
      </c>
      <c r="C1618" s="105">
        <v>1364.3299560546875</v>
      </c>
      <c r="D1618" s="104">
        <v>1.5867999792098999</v>
      </c>
      <c r="E1618">
        <v>81.439855781905933</v>
      </c>
      <c r="F1618">
        <v>1702.8499755859375</v>
      </c>
      <c r="H1618" s="34"/>
      <c r="I1618" s="34"/>
      <c r="J1618" s="34"/>
      <c r="K1618" s="34"/>
      <c r="L1618" s="34"/>
      <c r="N1618" s="34"/>
      <c r="O1618" s="35"/>
      <c r="P1618" s="35"/>
      <c r="Q1618" s="35"/>
      <c r="R1618" s="35"/>
      <c r="S1618" s="74"/>
    </row>
    <row r="1619" spans="1:19" ht="13.5" thickBot="1">
      <c r="A1619" s="103">
        <v>40974</v>
      </c>
      <c r="B1619" s="104">
        <v>2.0293900966644287</v>
      </c>
      <c r="C1619" s="105">
        <v>1343.3599853515625</v>
      </c>
      <c r="D1619" s="104">
        <v>1.5712000131607056</v>
      </c>
      <c r="E1619">
        <v>80.781969703239199</v>
      </c>
      <c r="F1619">
        <v>1666.699951171875</v>
      </c>
      <c r="H1619" s="34"/>
      <c r="I1619" s="34"/>
      <c r="J1619" s="34"/>
      <c r="K1619" s="34"/>
      <c r="L1619" s="34"/>
      <c r="N1619" s="34"/>
      <c r="O1619" s="35"/>
      <c r="P1619" s="35"/>
      <c r="Q1619" s="35"/>
      <c r="R1619" s="35"/>
      <c r="S1619" s="74"/>
    </row>
    <row r="1620" spans="1:19" ht="13.5" thickBot="1">
      <c r="A1620" s="103">
        <v>40975</v>
      </c>
      <c r="B1620" s="104">
        <v>2.0546200275421143</v>
      </c>
      <c r="C1620" s="105">
        <v>1352.6300048828125</v>
      </c>
      <c r="D1620" s="104">
        <v>1.5742000341415405</v>
      </c>
      <c r="E1620">
        <v>81.182008765531108</v>
      </c>
      <c r="F1620">
        <v>1680.25</v>
      </c>
      <c r="H1620" s="34"/>
      <c r="I1620" s="34"/>
      <c r="J1620" s="34"/>
      <c r="K1620" s="34"/>
      <c r="L1620" s="34"/>
      <c r="N1620" s="34"/>
      <c r="O1620" s="35"/>
      <c r="P1620" s="35"/>
      <c r="Q1620" s="35"/>
      <c r="R1620" s="35"/>
      <c r="S1620" s="74"/>
    </row>
    <row r="1621" spans="1:19" ht="13.5" thickBot="1">
      <c r="A1621" s="103">
        <v>40976</v>
      </c>
      <c r="B1621" s="104">
        <v>2.0963799953460693</v>
      </c>
      <c r="C1621" s="105">
        <v>1365.9100341796875</v>
      </c>
      <c r="D1621" s="104">
        <v>1.5824999809265137</v>
      </c>
      <c r="E1621">
        <v>81.619326387434597</v>
      </c>
      <c r="F1621">
        <v>1695.75</v>
      </c>
      <c r="H1621" s="34"/>
      <c r="I1621" s="34"/>
      <c r="J1621" s="34"/>
      <c r="K1621" s="34"/>
      <c r="L1621" s="34"/>
      <c r="N1621" s="34"/>
      <c r="O1621" s="35"/>
      <c r="P1621" s="35"/>
      <c r="Q1621" s="35"/>
      <c r="R1621" s="35"/>
      <c r="S1621" s="74"/>
    </row>
    <row r="1622" spans="1:19" ht="13.5" thickBot="1">
      <c r="A1622" s="103">
        <v>40977</v>
      </c>
      <c r="B1622" s="104">
        <v>2.1140999794006348</v>
      </c>
      <c r="C1622" s="105">
        <v>1370.8699951171875</v>
      </c>
      <c r="D1622" s="104">
        <v>1.5674999952316284</v>
      </c>
      <c r="E1622">
        <v>82.501441548388087</v>
      </c>
      <c r="F1622">
        <v>1711.050048828125</v>
      </c>
      <c r="H1622" s="34"/>
      <c r="I1622" s="34"/>
      <c r="J1622" s="34"/>
      <c r="K1622" s="34"/>
      <c r="L1622" s="34"/>
      <c r="N1622" s="34"/>
      <c r="O1622" s="35"/>
      <c r="P1622" s="35"/>
      <c r="Q1622" s="35"/>
      <c r="R1622" s="35"/>
      <c r="S1622" s="74"/>
    </row>
    <row r="1623" spans="1:19" ht="13.5" thickBot="1">
      <c r="A1623" s="103">
        <v>40980</v>
      </c>
      <c r="B1623" s="104">
        <v>2.1013600826263428</v>
      </c>
      <c r="C1623" s="105">
        <v>1371.0899658203125</v>
      </c>
      <c r="D1623" s="104">
        <v>1.5635999441146851</v>
      </c>
      <c r="E1623">
        <v>82.236839458910794</v>
      </c>
      <c r="F1623">
        <v>1699.5999755859375</v>
      </c>
      <c r="H1623" s="34"/>
      <c r="I1623" s="34"/>
      <c r="J1623" s="34"/>
      <c r="K1623" s="34"/>
      <c r="L1623" s="34"/>
      <c r="N1623" s="34"/>
      <c r="O1623" s="35"/>
      <c r="P1623" s="35"/>
      <c r="Q1623" s="35"/>
      <c r="R1623" s="35"/>
      <c r="S1623" s="74"/>
    </row>
    <row r="1624" spans="1:19" ht="13.5" thickBot="1">
      <c r="A1624" s="103">
        <v>40981</v>
      </c>
      <c r="B1624" s="104">
        <v>2.1768701076507568</v>
      </c>
      <c r="C1624" s="105">
        <v>1395.949951171875</v>
      </c>
      <c r="D1624" s="104">
        <v>1.5694999694824219</v>
      </c>
      <c r="E1624">
        <v>83.00821623319878</v>
      </c>
      <c r="F1624">
        <v>1693.5999755859375</v>
      </c>
      <c r="H1624" s="34"/>
      <c r="I1624" s="34"/>
      <c r="J1624" s="34"/>
      <c r="K1624" s="34"/>
      <c r="L1624" s="34"/>
      <c r="N1624" s="34"/>
      <c r="O1624" s="35"/>
      <c r="P1624" s="35"/>
      <c r="Q1624" s="35"/>
      <c r="R1624" s="35"/>
      <c r="S1624" s="74"/>
    </row>
    <row r="1625" spans="1:19" ht="13.5" thickBot="1">
      <c r="A1625" s="103">
        <v>40982</v>
      </c>
      <c r="B1625" s="104">
        <v>2.3289999961853027</v>
      </c>
      <c r="C1625" s="105">
        <v>1394.280029296875</v>
      </c>
      <c r="D1625" s="104">
        <v>1.5672999620437622</v>
      </c>
      <c r="E1625">
        <v>83.717036989216936</v>
      </c>
      <c r="F1625">
        <v>1643.4000244140625</v>
      </c>
      <c r="H1625" s="34"/>
      <c r="I1625" s="34"/>
      <c r="J1625" s="34"/>
      <c r="K1625" s="34"/>
      <c r="L1625" s="34"/>
      <c r="N1625" s="34"/>
      <c r="O1625" s="35"/>
      <c r="P1625" s="35"/>
      <c r="Q1625" s="35"/>
      <c r="R1625" s="35"/>
      <c r="S1625" s="74"/>
    </row>
    <row r="1626" spans="1:19" ht="13.5" thickBot="1">
      <c r="A1626" s="103">
        <v>40983</v>
      </c>
      <c r="B1626" s="104">
        <v>2.3487401008605957</v>
      </c>
      <c r="C1626" s="105">
        <v>1402.5999755859375</v>
      </c>
      <c r="D1626" s="104">
        <v>1.5719000101089478</v>
      </c>
      <c r="E1626">
        <v>83.402838739664958</v>
      </c>
      <c r="F1626">
        <v>1658.5</v>
      </c>
      <c r="H1626" s="34"/>
      <c r="I1626" s="34"/>
      <c r="J1626" s="34"/>
      <c r="K1626" s="34"/>
      <c r="L1626" s="34"/>
      <c r="N1626" s="34"/>
      <c r="O1626" s="35"/>
      <c r="P1626" s="35"/>
      <c r="Q1626" s="35"/>
      <c r="R1626" s="35"/>
      <c r="S1626" s="74"/>
    </row>
    <row r="1627" spans="1:19" ht="13.5" thickBot="1">
      <c r="A1627" s="103">
        <v>40984</v>
      </c>
      <c r="B1627" s="104">
        <v>2.3601200580596924</v>
      </c>
      <c r="C1627" s="105">
        <v>1404.1700439453125</v>
      </c>
      <c r="D1627" s="104">
        <v>1.5831999778747559</v>
      </c>
      <c r="E1627">
        <v>83.381970844082801</v>
      </c>
      <c r="F1627">
        <v>1654.6500244140625</v>
      </c>
      <c r="H1627" s="34"/>
      <c r="I1627" s="34"/>
      <c r="J1627" s="34"/>
      <c r="K1627" s="34"/>
      <c r="L1627" s="34"/>
      <c r="N1627" s="34"/>
      <c r="O1627" s="35"/>
      <c r="P1627" s="35"/>
      <c r="Q1627" s="35"/>
      <c r="R1627" s="35"/>
      <c r="S1627" s="74"/>
    </row>
    <row r="1628" spans="1:19" ht="13.5" thickBot="1">
      <c r="A1628" s="103">
        <v>40987</v>
      </c>
      <c r="B1628" s="104">
        <v>2.4539699554443359</v>
      </c>
      <c r="C1628" s="105">
        <v>1409.75</v>
      </c>
      <c r="D1628" s="104">
        <v>1.589900016784668</v>
      </c>
      <c r="E1628">
        <v>83.43762881935497</v>
      </c>
      <c r="F1628">
        <v>1666.5999755859375</v>
      </c>
      <c r="H1628" s="34"/>
      <c r="I1628" s="34"/>
      <c r="J1628" s="34"/>
      <c r="K1628" s="34"/>
      <c r="L1628" s="34"/>
      <c r="N1628" s="34"/>
      <c r="O1628" s="35"/>
      <c r="P1628" s="35"/>
      <c r="Q1628" s="35"/>
      <c r="R1628" s="35"/>
      <c r="S1628" s="74"/>
    </row>
    <row r="1629" spans="1:19" ht="13.5" thickBot="1">
      <c r="A1629" s="103">
        <v>40988</v>
      </c>
      <c r="B1629" s="104">
        <v>2.4568099975585937</v>
      </c>
      <c r="C1629" s="105">
        <v>1405.52001953125</v>
      </c>
      <c r="D1629" s="104">
        <v>1.586899995803833</v>
      </c>
      <c r="E1629">
        <v>83.703018881985756</v>
      </c>
      <c r="F1629">
        <v>1647.4000244140625</v>
      </c>
      <c r="H1629" s="34"/>
      <c r="I1629" s="34"/>
      <c r="J1629" s="34"/>
      <c r="K1629" s="34"/>
      <c r="L1629" s="34"/>
      <c r="N1629" s="34"/>
      <c r="O1629" s="35"/>
      <c r="P1629" s="35"/>
      <c r="Q1629" s="35"/>
      <c r="R1629" s="35"/>
      <c r="S1629" s="74"/>
    </row>
    <row r="1630" spans="1:19" ht="13.5" thickBot="1">
      <c r="A1630" s="103">
        <v>40989</v>
      </c>
      <c r="B1630" s="104">
        <v>2.3717401027679443</v>
      </c>
      <c r="C1630" s="105">
        <v>1402.8900146484375</v>
      </c>
      <c r="D1630" s="104">
        <v>1.5858999490737915</v>
      </c>
      <c r="E1630">
        <v>83.521255242043907</v>
      </c>
      <c r="F1630">
        <v>1651.300048828125</v>
      </c>
      <c r="H1630" s="34"/>
      <c r="I1630" s="34"/>
      <c r="J1630" s="34"/>
      <c r="K1630" s="34"/>
      <c r="L1630" s="34"/>
      <c r="N1630" s="34"/>
      <c r="O1630" s="35"/>
      <c r="P1630" s="35"/>
      <c r="Q1630" s="35"/>
      <c r="R1630" s="35"/>
      <c r="S1630" s="74"/>
    </row>
    <row r="1631" spans="1:19" ht="13.5" thickBot="1">
      <c r="A1631" s="103">
        <v>40990</v>
      </c>
      <c r="B1631" s="104">
        <v>2.3520300388336182</v>
      </c>
      <c r="C1631" s="105">
        <v>1392.780029296875</v>
      </c>
      <c r="D1631" s="104">
        <v>1.5817999839782715</v>
      </c>
      <c r="E1631">
        <v>82.521870979309782</v>
      </c>
      <c r="F1631">
        <v>1640.199951171875</v>
      </c>
      <c r="H1631" s="34"/>
      <c r="I1631" s="34"/>
      <c r="J1631" s="34"/>
      <c r="K1631" s="34"/>
      <c r="L1631" s="34"/>
      <c r="N1631" s="34"/>
      <c r="O1631" s="35"/>
      <c r="P1631" s="35"/>
      <c r="Q1631" s="35"/>
      <c r="R1631" s="35"/>
      <c r="S1631" s="74"/>
    </row>
    <row r="1632" spans="1:19" ht="13.5" thickBot="1">
      <c r="A1632" s="103">
        <v>40991</v>
      </c>
      <c r="B1632" s="104">
        <v>2.3120501041412354</v>
      </c>
      <c r="C1632" s="105">
        <v>1397.1099853515625</v>
      </c>
      <c r="D1632" s="104">
        <v>1.5871000289916992</v>
      </c>
      <c r="E1632">
        <v>82.501441548388087</v>
      </c>
      <c r="F1632">
        <v>1661.800048828125</v>
      </c>
      <c r="H1632" s="34"/>
      <c r="I1632" s="34"/>
      <c r="J1632" s="34"/>
      <c r="K1632" s="34"/>
      <c r="L1632" s="34"/>
      <c r="N1632" s="34"/>
      <c r="O1632" s="35"/>
      <c r="P1632" s="35"/>
      <c r="Q1632" s="35"/>
      <c r="R1632" s="35"/>
      <c r="S1632" s="74"/>
    </row>
    <row r="1633" spans="1:19" ht="13.5" thickBot="1">
      <c r="A1633" s="103">
        <v>40994</v>
      </c>
      <c r="B1633" s="104">
        <v>2.3192799091339111</v>
      </c>
      <c r="C1633" s="105">
        <v>1416.510009765625</v>
      </c>
      <c r="D1633" s="104">
        <v>1.5953999757766724</v>
      </c>
      <c r="E1633">
        <v>82.82259261718994</v>
      </c>
      <c r="F1633">
        <v>1686.699951171875</v>
      </c>
      <c r="H1633" s="34"/>
      <c r="I1633" s="34"/>
      <c r="J1633" s="34"/>
      <c r="K1633" s="34"/>
      <c r="L1633" s="34"/>
      <c r="N1633" s="34"/>
      <c r="O1633" s="35"/>
      <c r="P1633" s="35"/>
      <c r="Q1633" s="35"/>
      <c r="R1633" s="35"/>
      <c r="S1633" s="74"/>
    </row>
    <row r="1634" spans="1:19" ht="13.5" thickBot="1">
      <c r="A1634" s="103">
        <v>40995</v>
      </c>
      <c r="B1634" s="104">
        <v>2.2471199035644531</v>
      </c>
      <c r="C1634" s="105">
        <v>1412.52001953125</v>
      </c>
      <c r="D1634" s="104">
        <v>1.5963000059127808</v>
      </c>
      <c r="E1634">
        <v>83.097890021126958</v>
      </c>
      <c r="F1634">
        <v>1684.300048828125</v>
      </c>
      <c r="H1634" s="34"/>
      <c r="I1634" s="34"/>
      <c r="J1634" s="34"/>
      <c r="K1634" s="34"/>
      <c r="L1634" s="34"/>
      <c r="N1634" s="34"/>
      <c r="O1634" s="35"/>
      <c r="P1634" s="35"/>
      <c r="Q1634" s="35"/>
      <c r="R1634" s="35"/>
      <c r="S1634" s="74"/>
    </row>
    <row r="1635" spans="1:19" ht="13.5" thickBot="1">
      <c r="A1635" s="103">
        <v>40996</v>
      </c>
      <c r="B1635" s="104">
        <v>2.2611000537872314</v>
      </c>
      <c r="C1635" s="105">
        <v>1405.5400390625</v>
      </c>
      <c r="D1635" s="104">
        <v>1.5901999473571777</v>
      </c>
      <c r="E1635">
        <v>82.802020423240108</v>
      </c>
      <c r="F1635">
        <v>1663.800048828125</v>
      </c>
      <c r="H1635" s="34"/>
      <c r="I1635" s="34"/>
      <c r="J1635" s="34"/>
      <c r="K1635" s="34"/>
      <c r="L1635" s="34"/>
      <c r="N1635" s="34"/>
      <c r="O1635" s="35"/>
      <c r="P1635" s="35"/>
      <c r="Q1635" s="35"/>
      <c r="R1635" s="35"/>
      <c r="S1635" s="74"/>
    </row>
    <row r="1636" spans="1:19" ht="13.5" thickBot="1">
      <c r="A1636" s="103">
        <v>40997</v>
      </c>
      <c r="B1636" s="104">
        <v>2.22871994972229</v>
      </c>
      <c r="C1636" s="105">
        <v>1403.280029296875</v>
      </c>
      <c r="D1636" s="104">
        <v>1.5934000015258789</v>
      </c>
      <c r="E1636">
        <v>82.399471227343625</v>
      </c>
      <c r="F1636">
        <v>1650</v>
      </c>
      <c r="H1636" s="34"/>
      <c r="I1636" s="34"/>
      <c r="J1636" s="34"/>
      <c r="K1636" s="34"/>
      <c r="L1636" s="34"/>
      <c r="N1636" s="34"/>
      <c r="O1636" s="35"/>
      <c r="P1636" s="35"/>
      <c r="Q1636" s="35"/>
      <c r="R1636" s="35"/>
      <c r="S1636" s="74"/>
    </row>
    <row r="1637" spans="1:19" ht="13.5" thickBot="1">
      <c r="A1637" s="103">
        <v>40998</v>
      </c>
      <c r="B1637" s="104">
        <v>2.2916600704193115</v>
      </c>
      <c r="C1637" s="105">
        <v>1408.469970703125</v>
      </c>
      <c r="D1637" s="104">
        <v>1.5999000072479248</v>
      </c>
      <c r="E1637">
        <v>82.843175036019218</v>
      </c>
      <c r="F1637">
        <v>1668.050048828125</v>
      </c>
      <c r="H1637" s="34"/>
      <c r="I1637" s="34"/>
      <c r="J1637" s="34"/>
      <c r="K1637" s="34"/>
      <c r="L1637" s="34"/>
      <c r="N1637" s="34"/>
      <c r="O1637" s="35"/>
      <c r="P1637" s="35"/>
      <c r="Q1637" s="35"/>
      <c r="R1637" s="35"/>
      <c r="S1637" s="74"/>
    </row>
    <row r="1638" spans="1:19" ht="13.5" thickBot="1">
      <c r="A1638" s="103">
        <v>41001</v>
      </c>
      <c r="B1638" s="104">
        <v>2.2820401191711426</v>
      </c>
      <c r="C1638" s="105">
        <v>1419.0400390625</v>
      </c>
      <c r="D1638" s="104">
        <v>1.604200005531311</v>
      </c>
      <c r="E1638">
        <v>82.203043331037378</v>
      </c>
      <c r="F1638">
        <v>1681.4000244140625</v>
      </c>
      <c r="H1638" s="34"/>
      <c r="I1638" s="34"/>
      <c r="J1638" s="34"/>
      <c r="K1638" s="34"/>
      <c r="L1638" s="34"/>
      <c r="N1638" s="34"/>
      <c r="O1638" s="35"/>
      <c r="P1638" s="35"/>
      <c r="Q1638" s="35"/>
      <c r="R1638" s="35"/>
      <c r="S1638" s="74"/>
    </row>
    <row r="1639" spans="1:19" ht="13.5" thickBot="1">
      <c r="A1639" s="103">
        <v>41002</v>
      </c>
      <c r="B1639" s="104">
        <v>2.3743500709533691</v>
      </c>
      <c r="C1639" s="105">
        <v>1413.3800048828125</v>
      </c>
      <c r="D1639" s="104">
        <v>1.5903999805450439</v>
      </c>
      <c r="E1639">
        <v>82.939372421280382</v>
      </c>
      <c r="F1639">
        <v>1675.800048828125</v>
      </c>
      <c r="H1639" s="34"/>
      <c r="I1639" s="34"/>
      <c r="J1639" s="34"/>
      <c r="K1639" s="34"/>
      <c r="L1639" s="34"/>
      <c r="N1639" s="34"/>
      <c r="O1639" s="35"/>
      <c r="P1639" s="35"/>
      <c r="Q1639" s="35"/>
      <c r="R1639" s="35"/>
      <c r="S1639" s="74"/>
    </row>
    <row r="1640" spans="1:19" ht="13.5" thickBot="1">
      <c r="A1640" s="103">
        <v>41003</v>
      </c>
      <c r="B1640" s="104">
        <v>2.343019962310791</v>
      </c>
      <c r="C1640" s="105">
        <v>1398.9599609375</v>
      </c>
      <c r="D1640" s="104">
        <v>1.5887999534606934</v>
      </c>
      <c r="E1640">
        <v>82.542304185101571</v>
      </c>
      <c r="F1640">
        <v>1619.550048828125</v>
      </c>
      <c r="H1640" s="34"/>
      <c r="I1640" s="34"/>
      <c r="J1640" s="34"/>
      <c r="K1640" s="34"/>
      <c r="L1640" s="34"/>
      <c r="N1640" s="34"/>
      <c r="O1640" s="35"/>
      <c r="P1640" s="35"/>
      <c r="Q1640" s="35"/>
      <c r="R1640" s="35"/>
      <c r="S1640" s="74"/>
    </row>
    <row r="1641" spans="1:19" ht="13.5" thickBot="1">
      <c r="A1641" s="103">
        <v>41004</v>
      </c>
      <c r="B1641" s="104">
        <v>2.2833800315856934</v>
      </c>
      <c r="C1641" s="105">
        <v>1398.0799560546875</v>
      </c>
      <c r="D1641" s="104">
        <v>1.5827000141143799</v>
      </c>
      <c r="E1641">
        <v>82.37910866775222</v>
      </c>
      <c r="F1641">
        <v>1625.8499755859375</v>
      </c>
      <c r="H1641" s="34"/>
      <c r="I1641" s="34"/>
      <c r="J1641" s="34"/>
      <c r="K1641" s="34"/>
      <c r="L1641" s="34"/>
      <c r="N1641" s="34"/>
      <c r="O1641" s="35"/>
      <c r="P1641" s="35"/>
      <c r="Q1641" s="35"/>
      <c r="R1641" s="35"/>
      <c r="S1641" s="74"/>
    </row>
    <row r="1642" spans="1:19" ht="13.5" thickBot="1">
      <c r="A1642" s="103">
        <v>41005</v>
      </c>
      <c r="B1642" s="104">
        <v>2.1509199142456055</v>
      </c>
      <c r="C1642" s="105">
        <v>1398.0799560546875</v>
      </c>
      <c r="D1642" s="104">
        <v>1.5874999761581421</v>
      </c>
      <c r="E1642">
        <v>81.579378460312086</v>
      </c>
      <c r="F1642">
        <v>1625.8499755859375</v>
      </c>
      <c r="H1642" s="34"/>
      <c r="I1642" s="34"/>
      <c r="J1642" s="34"/>
      <c r="K1642" s="34"/>
      <c r="L1642" s="34"/>
      <c r="N1642" s="34"/>
      <c r="O1642" s="35"/>
      <c r="P1642" s="35"/>
      <c r="Q1642" s="35"/>
      <c r="R1642" s="35"/>
      <c r="S1642" s="74"/>
    </row>
    <row r="1643" spans="1:19" ht="13.5" thickBot="1">
      <c r="A1643" s="103">
        <v>41008</v>
      </c>
      <c r="B1643" s="104">
        <v>2.1232900619506836</v>
      </c>
      <c r="C1643" s="105">
        <v>1382.199951171875</v>
      </c>
      <c r="D1643" s="104">
        <v>1.5901999473571777</v>
      </c>
      <c r="E1643">
        <v>81.659319667546882</v>
      </c>
      <c r="F1643">
        <v>1625.8499755859375</v>
      </c>
      <c r="H1643" s="34"/>
      <c r="I1643" s="34"/>
      <c r="J1643" s="34"/>
      <c r="K1643" s="34"/>
      <c r="L1643" s="34"/>
      <c r="N1643" s="34"/>
      <c r="O1643" s="35"/>
      <c r="P1643" s="35"/>
      <c r="Q1643" s="35"/>
      <c r="R1643" s="35"/>
      <c r="S1643" s="74"/>
    </row>
    <row r="1644" spans="1:19" ht="13.5" thickBot="1">
      <c r="A1644" s="103">
        <v>41009</v>
      </c>
      <c r="B1644" s="104">
        <v>2.10260009765625</v>
      </c>
      <c r="C1644" s="105">
        <v>1358.5899658203125</v>
      </c>
      <c r="D1644" s="104">
        <v>1.5860999822616577</v>
      </c>
      <c r="E1644">
        <v>80.781969703239199</v>
      </c>
      <c r="F1644">
        <v>1653.800048828125</v>
      </c>
      <c r="H1644" s="34"/>
      <c r="I1644" s="34"/>
      <c r="J1644" s="34"/>
      <c r="K1644" s="34"/>
      <c r="L1644" s="34"/>
      <c r="N1644" s="34"/>
      <c r="O1644" s="35"/>
      <c r="P1644" s="35"/>
      <c r="Q1644" s="35"/>
      <c r="R1644" s="35"/>
      <c r="S1644" s="74"/>
    </row>
    <row r="1645" spans="1:19" ht="13.5" thickBot="1">
      <c r="A1645" s="103">
        <v>41010</v>
      </c>
      <c r="B1645" s="104">
        <v>2.1337599754333496</v>
      </c>
      <c r="C1645" s="105">
        <v>1368.7099609375</v>
      </c>
      <c r="D1645" s="104">
        <v>1.5902999639511108</v>
      </c>
      <c r="E1645">
        <v>80.938892574143978</v>
      </c>
      <c r="F1645">
        <v>1658.699951171875</v>
      </c>
      <c r="H1645" s="34"/>
      <c r="I1645" s="34"/>
      <c r="J1645" s="34"/>
      <c r="K1645" s="34"/>
      <c r="L1645" s="34"/>
      <c r="N1645" s="34"/>
      <c r="O1645" s="35"/>
      <c r="P1645" s="35"/>
      <c r="Q1645" s="35"/>
      <c r="R1645" s="35"/>
      <c r="S1645" s="74"/>
    </row>
    <row r="1646" spans="1:19" ht="13.5" thickBot="1">
      <c r="A1646" s="103">
        <v>41011</v>
      </c>
      <c r="B1646" s="104">
        <v>2.1541900634765625</v>
      </c>
      <c r="C1646" s="105">
        <v>1387.5699462890625</v>
      </c>
      <c r="D1646" s="104">
        <v>1.5970000028610229</v>
      </c>
      <c r="E1646">
        <v>80.762398636306642</v>
      </c>
      <c r="F1646">
        <v>1675.699951171875</v>
      </c>
      <c r="H1646" s="34"/>
      <c r="I1646" s="34"/>
      <c r="J1646" s="34"/>
      <c r="K1646" s="34"/>
      <c r="L1646" s="34"/>
      <c r="N1646" s="34"/>
      <c r="O1646" s="35"/>
      <c r="P1646" s="35"/>
      <c r="Q1646" s="35"/>
      <c r="R1646" s="35"/>
      <c r="S1646" s="74"/>
    </row>
    <row r="1647" spans="1:19" ht="13.5" thickBot="1">
      <c r="A1647" s="103">
        <v>41012</v>
      </c>
      <c r="B1647" s="104">
        <v>2.1088600158691406</v>
      </c>
      <c r="C1647" s="105">
        <v>1370.260009765625</v>
      </c>
      <c r="D1647" s="104">
        <v>1.5855000019073486</v>
      </c>
      <c r="E1647">
        <v>81.122741550232448</v>
      </c>
      <c r="F1647">
        <v>1667</v>
      </c>
      <c r="H1647" s="34"/>
      <c r="I1647" s="34"/>
      <c r="J1647" s="34"/>
      <c r="K1647" s="34"/>
      <c r="L1647" s="34"/>
      <c r="N1647" s="34"/>
      <c r="O1647" s="35"/>
      <c r="P1647" s="35"/>
      <c r="Q1647" s="35"/>
      <c r="R1647" s="35"/>
      <c r="S1647" s="74"/>
    </row>
    <row r="1648" spans="1:19" ht="13.5" thickBot="1">
      <c r="A1648" s="103">
        <v>41015</v>
      </c>
      <c r="B1648" s="104">
        <v>2.0817699432373047</v>
      </c>
      <c r="C1648" s="105">
        <v>1369.5699462890625</v>
      </c>
      <c r="D1648" s="104">
        <v>1.5903999805450439</v>
      </c>
      <c r="E1648">
        <v>80.502334191856491</v>
      </c>
      <c r="F1648">
        <v>1646.9000244140625</v>
      </c>
      <c r="H1648" s="34"/>
      <c r="I1648" s="34"/>
      <c r="J1648" s="34"/>
      <c r="K1648" s="34"/>
      <c r="L1648" s="34"/>
      <c r="N1648" s="34"/>
      <c r="O1648" s="35"/>
      <c r="P1648" s="35"/>
      <c r="Q1648" s="35"/>
      <c r="R1648" s="35"/>
      <c r="S1648" s="74"/>
    </row>
    <row r="1649" spans="1:19" ht="13.5" thickBot="1">
      <c r="A1649" s="103">
        <v>41016</v>
      </c>
      <c r="B1649" s="104">
        <v>2.1144099235534668</v>
      </c>
      <c r="C1649" s="105">
        <v>1390.780029296875</v>
      </c>
      <c r="D1649" s="104">
        <v>1.5946999788284302</v>
      </c>
      <c r="E1649">
        <v>80.821140306718462</v>
      </c>
      <c r="F1649">
        <v>1651.5999755859375</v>
      </c>
      <c r="H1649" s="34"/>
      <c r="I1649" s="34"/>
      <c r="J1649" s="34"/>
      <c r="K1649" s="34"/>
      <c r="L1649" s="34"/>
      <c r="N1649" s="34"/>
      <c r="O1649" s="35"/>
      <c r="P1649" s="35"/>
      <c r="Q1649" s="35"/>
      <c r="R1649" s="35"/>
      <c r="S1649" s="74"/>
    </row>
    <row r="1650" spans="1:19" ht="13.5" thickBot="1">
      <c r="A1650" s="103">
        <v>41017</v>
      </c>
      <c r="B1650" s="104">
        <v>2.0930399894714355</v>
      </c>
      <c r="C1650" s="105">
        <v>1385.1400146484375</v>
      </c>
      <c r="D1650" s="104">
        <v>1.6030999422073364</v>
      </c>
      <c r="E1650">
        <v>81.241368790728814</v>
      </c>
      <c r="F1650">
        <v>1641.199951171875</v>
      </c>
      <c r="H1650" s="34"/>
      <c r="I1650" s="34"/>
      <c r="J1650" s="34"/>
      <c r="K1650" s="34"/>
      <c r="L1650" s="34"/>
      <c r="N1650" s="34"/>
      <c r="O1650" s="35"/>
      <c r="P1650" s="35"/>
      <c r="Q1650" s="35"/>
      <c r="R1650" s="35"/>
      <c r="S1650" s="74"/>
    </row>
    <row r="1651" spans="1:19" ht="13.5" thickBot="1">
      <c r="A1651" s="103">
        <v>41018</v>
      </c>
      <c r="B1651" s="104">
        <v>2.0699601173400879</v>
      </c>
      <c r="C1651" s="105">
        <v>1376.9200439453125</v>
      </c>
      <c r="D1651" s="104">
        <v>1.6053999662399292</v>
      </c>
      <c r="E1651">
        <v>81.519523647522917</v>
      </c>
      <c r="F1651">
        <v>1639.5999755859375</v>
      </c>
      <c r="H1651" s="34"/>
      <c r="I1651" s="34"/>
      <c r="J1651" s="34"/>
      <c r="K1651" s="34"/>
      <c r="L1651" s="34"/>
      <c r="N1651" s="34"/>
      <c r="O1651" s="35"/>
      <c r="P1651" s="35"/>
      <c r="Q1651" s="35"/>
      <c r="R1651" s="35"/>
      <c r="S1651" s="74"/>
    </row>
    <row r="1652" spans="1:19" ht="13.5" thickBot="1">
      <c r="A1652" s="103">
        <v>41019</v>
      </c>
      <c r="B1652" s="104">
        <v>2.0849699974060059</v>
      </c>
      <c r="C1652" s="105">
        <v>1378.530029296875</v>
      </c>
      <c r="D1652" s="104">
        <v>1.6109000444412231</v>
      </c>
      <c r="E1652">
        <v>81.599347534628407</v>
      </c>
      <c r="F1652">
        <v>1641.5</v>
      </c>
      <c r="H1652" s="34"/>
      <c r="I1652" s="34"/>
      <c r="J1652" s="34"/>
      <c r="K1652" s="34"/>
      <c r="L1652" s="34"/>
      <c r="N1652" s="34"/>
      <c r="O1652" s="35"/>
      <c r="P1652" s="35"/>
      <c r="Q1652" s="35"/>
      <c r="R1652" s="35"/>
      <c r="S1652" s="74"/>
    </row>
    <row r="1653" spans="1:19" ht="13.5" thickBot="1">
      <c r="A1653" s="103">
        <v>41022</v>
      </c>
      <c r="B1653" s="104">
        <v>2.0581400394439697</v>
      </c>
      <c r="C1653" s="105">
        <v>1366.93994140625</v>
      </c>
      <c r="D1653" s="104">
        <v>1.6124999523162842</v>
      </c>
      <c r="E1653">
        <v>81.16224340725131</v>
      </c>
      <c r="F1653">
        <v>1631.0999755859375</v>
      </c>
      <c r="H1653" s="34"/>
      <c r="I1653" s="34"/>
      <c r="J1653" s="34"/>
      <c r="K1653" s="34"/>
      <c r="L1653" s="34"/>
      <c r="N1653" s="34"/>
      <c r="O1653" s="35"/>
      <c r="P1653" s="35"/>
      <c r="Q1653" s="35"/>
      <c r="R1653" s="35"/>
      <c r="S1653" s="74"/>
    </row>
    <row r="1654" spans="1:19" ht="13.5" thickBot="1">
      <c r="A1654" s="103">
        <v>41023</v>
      </c>
      <c r="B1654" s="104">
        <v>2.088670015335083</v>
      </c>
      <c r="C1654" s="105">
        <v>1371.969970703125</v>
      </c>
      <c r="D1654" s="104">
        <v>1.6136000156402588</v>
      </c>
      <c r="E1654">
        <v>81.261172711143871</v>
      </c>
      <c r="F1654">
        <v>1641</v>
      </c>
      <c r="H1654" s="34"/>
      <c r="I1654" s="34"/>
      <c r="J1654" s="34"/>
      <c r="K1654" s="34"/>
      <c r="L1654" s="34"/>
      <c r="N1654" s="34"/>
      <c r="O1654" s="35"/>
      <c r="P1654" s="35"/>
      <c r="Q1654" s="35"/>
      <c r="R1654" s="35"/>
      <c r="S1654" s="74"/>
    </row>
    <row r="1655" spans="1:19" ht="13.5" thickBot="1">
      <c r="A1655" s="103">
        <v>41024</v>
      </c>
      <c r="B1655" s="104">
        <v>2.1090099811553955</v>
      </c>
      <c r="C1655" s="105">
        <v>1390.68994140625</v>
      </c>
      <c r="D1655" s="104">
        <v>1.6174999475479126</v>
      </c>
      <c r="E1655">
        <v>81.340491199554691</v>
      </c>
      <c r="F1655">
        <v>1632.1500244140625</v>
      </c>
      <c r="H1655" s="34"/>
      <c r="I1655" s="34"/>
      <c r="J1655" s="34"/>
      <c r="K1655" s="34"/>
      <c r="L1655" s="34"/>
      <c r="N1655" s="34"/>
      <c r="O1655" s="35"/>
      <c r="P1655" s="35"/>
      <c r="Q1655" s="35"/>
      <c r="R1655" s="35"/>
      <c r="S1655" s="74"/>
    </row>
    <row r="1656" spans="1:19" ht="13.5" thickBot="1">
      <c r="A1656" s="103">
        <v>41025</v>
      </c>
      <c r="B1656" s="104">
        <v>2.0893900394439697</v>
      </c>
      <c r="C1656" s="105">
        <v>1399.97998046875</v>
      </c>
      <c r="D1656" s="104">
        <v>1.6196000576019287</v>
      </c>
      <c r="E1656">
        <v>81.017582854549417</v>
      </c>
      <c r="F1656">
        <v>1657.949951171875</v>
      </c>
      <c r="H1656" s="34"/>
      <c r="I1656" s="34"/>
      <c r="J1656" s="34"/>
      <c r="K1656" s="34"/>
      <c r="L1656" s="34"/>
      <c r="N1656" s="34"/>
      <c r="O1656" s="35"/>
      <c r="P1656" s="35"/>
      <c r="Q1656" s="35"/>
      <c r="R1656" s="35"/>
      <c r="S1656" s="74"/>
    </row>
    <row r="1657" spans="1:19" ht="13.5" thickBot="1">
      <c r="A1657" s="103">
        <v>41026</v>
      </c>
      <c r="B1657" s="104">
        <v>2.0620300769805908</v>
      </c>
      <c r="C1657" s="105">
        <v>1403.3599853515625</v>
      </c>
      <c r="D1657" s="104">
        <v>1.6252000331878662</v>
      </c>
      <c r="E1657">
        <v>80.444048836933149</v>
      </c>
      <c r="F1657">
        <v>1663.8499755859375</v>
      </c>
      <c r="H1657" s="34"/>
      <c r="I1657" s="34"/>
      <c r="J1657" s="34"/>
      <c r="K1657" s="34"/>
      <c r="L1657" s="34"/>
      <c r="N1657" s="34"/>
      <c r="O1657" s="35"/>
      <c r="P1657" s="35"/>
      <c r="Q1657" s="35"/>
      <c r="R1657" s="35"/>
      <c r="S1657" s="74"/>
    </row>
    <row r="1658" spans="1:19" ht="13.5" thickBot="1">
      <c r="A1658" s="103">
        <v>41029</v>
      </c>
      <c r="B1658" s="104">
        <v>2.0404999256134033</v>
      </c>
      <c r="C1658" s="105">
        <v>1397.9100341796875</v>
      </c>
      <c r="D1658" s="104">
        <v>1.6232000589370728</v>
      </c>
      <c r="E1658">
        <v>79.8211979656609</v>
      </c>
      <c r="F1658">
        <v>1663.550048828125</v>
      </c>
      <c r="H1658" s="34"/>
      <c r="I1658" s="34"/>
      <c r="J1658" s="34"/>
      <c r="K1658" s="34"/>
      <c r="L1658" s="34"/>
      <c r="N1658" s="34"/>
      <c r="O1658" s="35"/>
      <c r="P1658" s="35"/>
      <c r="Q1658" s="35"/>
      <c r="R1658" s="35"/>
      <c r="S1658" s="74"/>
    </row>
    <row r="1659" spans="1:19" ht="13.5" thickBot="1">
      <c r="A1659" s="103">
        <v>41030</v>
      </c>
      <c r="B1659" s="104">
        <v>2.0833199024200439</v>
      </c>
      <c r="C1659" s="105">
        <v>1405.8199462890625</v>
      </c>
      <c r="D1659" s="104">
        <v>1.6224000453948975</v>
      </c>
      <c r="E1659">
        <v>80.1538954567269</v>
      </c>
      <c r="F1659">
        <v>1662.449951171875</v>
      </c>
      <c r="H1659" s="34"/>
      <c r="I1659" s="34"/>
      <c r="J1659" s="34"/>
      <c r="K1659" s="34"/>
      <c r="L1659" s="34"/>
      <c r="N1659" s="34"/>
      <c r="O1659" s="35"/>
      <c r="P1659" s="35"/>
      <c r="Q1659" s="35"/>
      <c r="R1659" s="35"/>
      <c r="S1659" s="74"/>
    </row>
    <row r="1660" spans="1:19" ht="13.5" thickBot="1">
      <c r="A1660" s="103">
        <v>41031</v>
      </c>
      <c r="B1660" s="104">
        <v>2.0499598979949951</v>
      </c>
      <c r="C1660" s="105">
        <v>1402.31005859375</v>
      </c>
      <c r="D1660" s="104">
        <v>1.6194000244140625</v>
      </c>
      <c r="E1660">
        <v>80.173172683614197</v>
      </c>
      <c r="F1660">
        <v>1650.6500244140625</v>
      </c>
      <c r="H1660" s="34"/>
      <c r="I1660" s="34"/>
      <c r="J1660" s="34"/>
      <c r="K1660" s="34"/>
      <c r="L1660" s="34"/>
      <c r="N1660" s="34"/>
      <c r="O1660" s="35"/>
      <c r="P1660" s="35"/>
      <c r="Q1660" s="35"/>
      <c r="R1660" s="35"/>
      <c r="S1660" s="74"/>
    </row>
    <row r="1661" spans="1:19" ht="13.5" thickBot="1">
      <c r="A1661" s="103">
        <v>41032</v>
      </c>
      <c r="B1661" s="104">
        <v>2.054189920425415</v>
      </c>
      <c r="C1661" s="105">
        <v>1391.5699462890625</v>
      </c>
      <c r="D1661" s="104">
        <v>1.6182999610900879</v>
      </c>
      <c r="E1661">
        <v>80.398776776178806</v>
      </c>
      <c r="F1661">
        <v>1633.6500244140625</v>
      </c>
      <c r="H1661" s="34"/>
      <c r="I1661" s="34"/>
      <c r="J1661" s="34"/>
      <c r="K1661" s="34"/>
      <c r="L1661" s="34"/>
      <c r="N1661" s="34"/>
      <c r="O1661" s="35"/>
      <c r="P1661" s="35"/>
      <c r="Q1661" s="35"/>
      <c r="R1661" s="35"/>
      <c r="S1661" s="74"/>
    </row>
    <row r="1662" spans="1:19" ht="13.5" thickBot="1">
      <c r="A1662" s="103">
        <v>41033</v>
      </c>
      <c r="B1662" s="104">
        <v>2.0186200141906738</v>
      </c>
      <c r="C1662" s="105">
        <v>1369.0999755859375</v>
      </c>
      <c r="D1662" s="104">
        <v>1.6146999597549438</v>
      </c>
      <c r="E1662">
        <v>79.872202313012451</v>
      </c>
      <c r="F1662">
        <v>1639.6500244140625</v>
      </c>
      <c r="H1662" s="34"/>
      <c r="I1662" s="34"/>
      <c r="J1662" s="34"/>
      <c r="K1662" s="34"/>
      <c r="L1662" s="34"/>
      <c r="N1662" s="34"/>
      <c r="O1662" s="35"/>
      <c r="P1662" s="35"/>
      <c r="Q1662" s="35"/>
      <c r="R1662" s="35"/>
      <c r="S1662" s="74"/>
    </row>
    <row r="1663" spans="1:19" ht="13.5" thickBot="1">
      <c r="A1663" s="103">
        <v>41036</v>
      </c>
      <c r="B1663" s="104">
        <v>2.0151000022888184</v>
      </c>
      <c r="C1663" s="105">
        <v>1369.5799560546875</v>
      </c>
      <c r="D1663" s="104">
        <v>1.6188000440597534</v>
      </c>
      <c r="E1663">
        <v>79.884966557796602</v>
      </c>
      <c r="F1663">
        <v>1639.6500244140625</v>
      </c>
      <c r="H1663" s="34"/>
      <c r="I1663" s="34"/>
      <c r="J1663" s="34"/>
      <c r="K1663" s="34"/>
      <c r="L1663" s="34"/>
      <c r="N1663" s="34"/>
      <c r="O1663" s="35"/>
      <c r="P1663" s="35"/>
      <c r="Q1663" s="35"/>
      <c r="R1663" s="35"/>
      <c r="S1663" s="74"/>
    </row>
    <row r="1664" spans="1:19" ht="13.5" thickBot="1">
      <c r="A1664" s="103">
        <v>41037</v>
      </c>
      <c r="B1664" s="104">
        <v>1.9874600172042847</v>
      </c>
      <c r="C1664" s="105">
        <v>1363.719970703125</v>
      </c>
      <c r="D1664" s="104">
        <v>1.6154999732971191</v>
      </c>
      <c r="E1664">
        <v>79.795720211742847</v>
      </c>
      <c r="F1664">
        <v>1598.8499755859375</v>
      </c>
      <c r="H1664" s="34"/>
      <c r="I1664" s="34"/>
      <c r="J1664" s="34"/>
      <c r="K1664" s="34"/>
      <c r="L1664" s="34"/>
      <c r="N1664" s="34"/>
      <c r="O1664" s="35"/>
      <c r="P1664" s="35"/>
      <c r="Q1664" s="35"/>
      <c r="R1664" s="35"/>
      <c r="S1664" s="74"/>
    </row>
    <row r="1665" spans="1:19" ht="13.5" thickBot="1">
      <c r="A1665" s="103">
        <v>41038</v>
      </c>
      <c r="B1665" s="104">
        <v>1.9981800317764282</v>
      </c>
      <c r="C1665" s="105">
        <v>1354.5799560546875</v>
      </c>
      <c r="D1665" s="104">
        <v>1.6139999628067017</v>
      </c>
      <c r="E1665">
        <v>79.681274257056899</v>
      </c>
      <c r="F1665">
        <v>1588.25</v>
      </c>
      <c r="H1665" s="34"/>
      <c r="I1665" s="34"/>
      <c r="J1665" s="34"/>
      <c r="K1665" s="34"/>
      <c r="L1665" s="34"/>
      <c r="N1665" s="34"/>
      <c r="O1665" s="35"/>
      <c r="P1665" s="35"/>
      <c r="Q1665" s="35"/>
      <c r="R1665" s="35"/>
      <c r="S1665" s="74"/>
    </row>
    <row r="1666" spans="1:19" ht="13.5" thickBot="1">
      <c r="A1666" s="103">
        <v>41039</v>
      </c>
      <c r="B1666" s="104">
        <v>2.0192899703979492</v>
      </c>
      <c r="C1666" s="105">
        <v>1357.989990234375</v>
      </c>
      <c r="D1666" s="104">
        <v>1.6151000261306763</v>
      </c>
      <c r="E1666">
        <v>79.942444277737692</v>
      </c>
      <c r="F1666">
        <v>1594.25</v>
      </c>
      <c r="H1666" s="34"/>
      <c r="I1666" s="34"/>
      <c r="J1666" s="34"/>
      <c r="K1666" s="34"/>
      <c r="L1666" s="34"/>
      <c r="N1666" s="34"/>
      <c r="O1666" s="35"/>
      <c r="P1666" s="35"/>
      <c r="Q1666" s="35"/>
      <c r="R1666" s="35"/>
      <c r="S1666" s="74"/>
    </row>
    <row r="1667" spans="1:19" ht="13.5" thickBot="1">
      <c r="A1667" s="103">
        <v>41040</v>
      </c>
      <c r="B1667" s="104">
        <v>1.9893200397491455</v>
      </c>
      <c r="C1667" s="105">
        <v>1353.3900146484375</v>
      </c>
      <c r="D1667" s="104">
        <v>1.6073999404907227</v>
      </c>
      <c r="E1667">
        <v>79.897728937663516</v>
      </c>
      <c r="F1667">
        <v>1583.3499755859375</v>
      </c>
      <c r="H1667" s="34"/>
      <c r="I1667" s="34"/>
      <c r="J1667" s="34"/>
      <c r="K1667" s="34"/>
      <c r="L1667" s="34"/>
      <c r="N1667" s="34"/>
      <c r="O1667" s="35"/>
      <c r="P1667" s="35"/>
      <c r="Q1667" s="35"/>
      <c r="R1667" s="35"/>
      <c r="S1667" s="74"/>
    </row>
    <row r="1668" spans="1:19" ht="13.5" thickBot="1">
      <c r="A1668" s="103">
        <v>41043</v>
      </c>
      <c r="B1668" s="104">
        <v>1.9476900100708008</v>
      </c>
      <c r="C1668" s="105">
        <v>1338.3499755859375</v>
      </c>
      <c r="D1668" s="104">
        <v>1.6102499961853027</v>
      </c>
      <c r="E1668">
        <v>79.81483145172075</v>
      </c>
      <c r="F1668">
        <v>1560.949951171875</v>
      </c>
      <c r="H1668" s="34"/>
      <c r="I1668" s="34"/>
      <c r="J1668" s="34"/>
      <c r="K1668" s="34"/>
      <c r="L1668" s="34"/>
      <c r="N1668" s="34"/>
      <c r="O1668" s="35"/>
      <c r="P1668" s="35"/>
      <c r="Q1668" s="35"/>
      <c r="R1668" s="35"/>
      <c r="S1668" s="74"/>
    </row>
    <row r="1669" spans="1:19" ht="13.5" thickBot="1">
      <c r="A1669" s="103">
        <v>41044</v>
      </c>
      <c r="B1669" s="104">
        <v>1.9349000453948975</v>
      </c>
      <c r="C1669" s="105">
        <v>1330.6600341796875</v>
      </c>
      <c r="D1669" s="104">
        <v>1.5996500253677368</v>
      </c>
      <c r="E1669">
        <v>80.224627979036768</v>
      </c>
      <c r="F1669">
        <v>1556.550048828125</v>
      </c>
      <c r="H1669" s="34"/>
      <c r="I1669" s="34"/>
      <c r="J1669" s="34"/>
      <c r="K1669" s="34"/>
      <c r="L1669" s="34"/>
      <c r="N1669" s="34"/>
      <c r="O1669" s="35"/>
      <c r="P1669" s="35"/>
      <c r="Q1669" s="35"/>
      <c r="R1669" s="35"/>
      <c r="S1669" s="74"/>
    </row>
    <row r="1670" spans="1:19" ht="13.5" thickBot="1">
      <c r="A1670" s="103">
        <v>41045</v>
      </c>
      <c r="B1670" s="104">
        <v>1.9054100513458252</v>
      </c>
      <c r="C1670" s="105">
        <v>1324.800048828125</v>
      </c>
      <c r="D1670" s="104">
        <v>1.5915000438690186</v>
      </c>
      <c r="E1670">
        <v>80.301934881907954</v>
      </c>
      <c r="F1670">
        <v>1543.550048828125</v>
      </c>
      <c r="H1670" s="34"/>
      <c r="I1670" s="34"/>
      <c r="J1670" s="34"/>
      <c r="K1670" s="34"/>
      <c r="L1670" s="34"/>
      <c r="N1670" s="34"/>
      <c r="O1670" s="35"/>
      <c r="P1670" s="35"/>
      <c r="Q1670" s="35"/>
      <c r="R1670" s="35"/>
      <c r="S1670" s="74"/>
    </row>
    <row r="1671" spans="1:19" ht="13.5" thickBot="1">
      <c r="A1671" s="103">
        <v>41046</v>
      </c>
      <c r="B1671" s="104">
        <v>1.8346899747848511</v>
      </c>
      <c r="C1671" s="105">
        <v>1304.8599853515625</v>
      </c>
      <c r="D1671" s="104">
        <v>1.5789999961853027</v>
      </c>
      <c r="E1671">
        <v>79.327306997870579</v>
      </c>
      <c r="F1671">
        <v>1572.75</v>
      </c>
      <c r="H1671" s="34"/>
      <c r="I1671" s="34"/>
      <c r="J1671" s="34"/>
      <c r="K1671" s="34"/>
      <c r="L1671" s="34"/>
      <c r="N1671" s="34"/>
      <c r="O1671" s="35"/>
      <c r="P1671" s="35"/>
      <c r="Q1671" s="35"/>
      <c r="R1671" s="35"/>
      <c r="S1671" s="74"/>
    </row>
    <row r="1672" spans="1:19" ht="13.5" thickBot="1">
      <c r="A1672" s="103">
        <v>41047</v>
      </c>
      <c r="B1672" s="104">
        <v>1.8304500579833984</v>
      </c>
      <c r="C1672" s="105">
        <v>1295.219970703125</v>
      </c>
      <c r="D1672" s="104">
        <v>1.5793000459671021</v>
      </c>
      <c r="E1672">
        <v>79.138966208380694</v>
      </c>
      <c r="F1672">
        <v>1590.3499755859375</v>
      </c>
      <c r="H1672" s="34"/>
      <c r="I1672" s="34"/>
      <c r="J1672" s="34"/>
      <c r="K1672" s="34"/>
      <c r="L1672" s="34"/>
      <c r="N1672" s="34"/>
      <c r="O1672" s="35"/>
      <c r="P1672" s="35"/>
      <c r="Q1672" s="35"/>
      <c r="R1672" s="35"/>
      <c r="S1672" s="74"/>
    </row>
    <row r="1673" spans="1:19" ht="13.5" thickBot="1">
      <c r="A1673" s="103">
        <v>41050</v>
      </c>
      <c r="B1673" s="104">
        <v>1.8578699827194214</v>
      </c>
      <c r="C1673" s="105">
        <v>1315.989990234375</v>
      </c>
      <c r="D1673" s="104">
        <v>1.5809999704360962</v>
      </c>
      <c r="E1673">
        <v>79.339891802839219</v>
      </c>
      <c r="F1673">
        <v>1593.1500244140625</v>
      </c>
      <c r="H1673" s="34"/>
      <c r="I1673" s="34"/>
      <c r="J1673" s="34"/>
      <c r="K1673" s="34"/>
      <c r="L1673" s="34"/>
      <c r="N1673" s="34"/>
      <c r="O1673" s="35"/>
      <c r="P1673" s="35"/>
      <c r="Q1673" s="35"/>
      <c r="R1673" s="35"/>
      <c r="S1673" s="74"/>
    </row>
    <row r="1674" spans="1:19" ht="13.5" thickBot="1">
      <c r="A1674" s="103">
        <v>41051</v>
      </c>
      <c r="B1674" s="104">
        <v>1.9229099750518799</v>
      </c>
      <c r="C1674" s="105">
        <v>1316.6300048828125</v>
      </c>
      <c r="D1674" s="104">
        <v>1.5777000188827515</v>
      </c>
      <c r="E1674">
        <v>80.121783351734436</v>
      </c>
      <c r="F1674">
        <v>1583.3499755859375</v>
      </c>
      <c r="H1674" s="34"/>
      <c r="I1674" s="34"/>
      <c r="J1674" s="34"/>
      <c r="K1674" s="34"/>
      <c r="L1674" s="34"/>
      <c r="N1674" s="34"/>
      <c r="O1674" s="35"/>
      <c r="P1674" s="35"/>
      <c r="Q1674" s="35"/>
      <c r="R1674" s="35"/>
      <c r="S1674" s="74"/>
    </row>
    <row r="1675" spans="1:19" ht="13.5" thickBot="1">
      <c r="A1675" s="103">
        <v>41052</v>
      </c>
      <c r="B1675" s="104">
        <v>1.8658900260925293</v>
      </c>
      <c r="C1675" s="105">
        <v>1318.8599853515625</v>
      </c>
      <c r="D1675" s="104">
        <v>1.5688999891281128</v>
      </c>
      <c r="E1675">
        <v>79.459673362938815</v>
      </c>
      <c r="F1675">
        <v>1537.550048828125</v>
      </c>
      <c r="H1675" s="34"/>
      <c r="I1675" s="34"/>
      <c r="J1675" s="34"/>
      <c r="K1675" s="34"/>
      <c r="L1675" s="34"/>
      <c r="N1675" s="34"/>
      <c r="O1675" s="35"/>
      <c r="P1675" s="35"/>
      <c r="Q1675" s="35"/>
      <c r="R1675" s="35"/>
      <c r="S1675" s="74"/>
    </row>
    <row r="1676" spans="1:19" ht="13.5" thickBot="1">
      <c r="A1676" s="103">
        <v>41053</v>
      </c>
      <c r="B1676" s="104">
        <v>1.9035500288009644</v>
      </c>
      <c r="C1676" s="105">
        <v>1320.6800537109375</v>
      </c>
      <c r="D1676" s="104">
        <v>1.5652999877929687</v>
      </c>
      <c r="E1676">
        <v>79.579817144754472</v>
      </c>
      <c r="F1676">
        <v>1565.949951171875</v>
      </c>
      <c r="H1676" s="34"/>
      <c r="I1676" s="34"/>
      <c r="J1676" s="34"/>
      <c r="K1676" s="34"/>
      <c r="L1676" s="34"/>
      <c r="N1676" s="34"/>
      <c r="O1676" s="35"/>
      <c r="P1676" s="35"/>
      <c r="Q1676" s="35"/>
      <c r="R1676" s="35"/>
      <c r="S1676" s="74"/>
    </row>
    <row r="1677" spans="1:19" ht="13.5" thickBot="1">
      <c r="A1677" s="103">
        <v>41054</v>
      </c>
      <c r="B1677" s="104">
        <v>1.8913899660110474</v>
      </c>
      <c r="C1677" s="105">
        <v>1317.8199462890625</v>
      </c>
      <c r="D1677" s="104">
        <v>1.5643999576568604</v>
      </c>
      <c r="E1677">
        <v>79.662232825303903</v>
      </c>
      <c r="F1677">
        <v>1566.6500244140625</v>
      </c>
      <c r="H1677" s="34"/>
      <c r="I1677" s="34"/>
      <c r="J1677" s="34"/>
      <c r="K1677" s="34"/>
      <c r="L1677" s="34"/>
      <c r="N1677" s="34"/>
      <c r="O1677" s="35"/>
      <c r="P1677" s="35"/>
      <c r="Q1677" s="35"/>
      <c r="R1677" s="35"/>
      <c r="S1677" s="74"/>
    </row>
    <row r="1678" spans="1:19" ht="13.5" thickBot="1">
      <c r="A1678" s="103">
        <v>41057</v>
      </c>
      <c r="B1678" s="104">
        <v>1.8913899660110474</v>
      </c>
      <c r="C1678" s="105">
        <v>1317.8199462890625</v>
      </c>
      <c r="D1678" s="104">
        <v>1.5680999755859375</v>
      </c>
      <c r="E1678">
        <v>79.465989222738628</v>
      </c>
      <c r="F1678">
        <v>1574.25</v>
      </c>
      <c r="H1678" s="34"/>
      <c r="I1678" s="34"/>
      <c r="J1678" s="34"/>
      <c r="K1678" s="34"/>
      <c r="L1678" s="34"/>
      <c r="N1678" s="34"/>
      <c r="O1678" s="35"/>
      <c r="P1678" s="35"/>
      <c r="Q1678" s="35"/>
      <c r="R1678" s="35"/>
      <c r="S1678" s="74"/>
    </row>
    <row r="1679" spans="1:19" ht="13.5" thickBot="1">
      <c r="A1679" s="103">
        <v>41058</v>
      </c>
      <c r="B1679" s="104">
        <v>1.8793900012969971</v>
      </c>
      <c r="C1679" s="105">
        <v>1332.4200439453125</v>
      </c>
      <c r="D1679" s="104">
        <v>1.5635000467300415</v>
      </c>
      <c r="E1679">
        <v>79.522865395629182</v>
      </c>
      <c r="F1679">
        <v>1555.25</v>
      </c>
      <c r="H1679" s="34"/>
      <c r="I1679" s="34"/>
      <c r="J1679" s="34"/>
      <c r="K1679" s="34"/>
      <c r="L1679" s="34"/>
      <c r="N1679" s="34"/>
      <c r="O1679" s="35"/>
      <c r="P1679" s="35"/>
      <c r="Q1679" s="35"/>
      <c r="R1679" s="35"/>
      <c r="S1679" s="74"/>
    </row>
    <row r="1680" spans="1:19" ht="13.5" thickBot="1">
      <c r="A1680" s="103">
        <v>41059</v>
      </c>
      <c r="B1680" s="104">
        <v>1.7862299680709839</v>
      </c>
      <c r="C1680" s="105">
        <v>1313.3199462890625</v>
      </c>
      <c r="D1680" s="104">
        <v>1.548799991607666</v>
      </c>
      <c r="E1680">
        <v>79.082643483153888</v>
      </c>
      <c r="F1680">
        <v>1566.6500244140625</v>
      </c>
      <c r="H1680" s="34"/>
      <c r="I1680" s="34"/>
      <c r="J1680" s="34"/>
      <c r="K1680" s="34"/>
      <c r="L1680" s="34"/>
      <c r="N1680" s="34"/>
      <c r="O1680" s="35"/>
      <c r="P1680" s="35"/>
      <c r="Q1680" s="35"/>
      <c r="R1680" s="35"/>
      <c r="S1680" s="74"/>
    </row>
    <row r="1681" spans="1:19" ht="13.5" thickBot="1">
      <c r="A1681" s="103">
        <v>41060</v>
      </c>
      <c r="B1681" s="104">
        <v>1.7572100162506104</v>
      </c>
      <c r="C1681" s="105">
        <v>1310.3299560546875</v>
      </c>
      <c r="D1681" s="104">
        <v>1.5413999557495117</v>
      </c>
      <c r="E1681">
        <v>78.326935873623171</v>
      </c>
      <c r="F1681">
        <v>1562.5799560546875</v>
      </c>
      <c r="H1681" s="34"/>
      <c r="I1681" s="34"/>
      <c r="J1681" s="34"/>
      <c r="K1681" s="34"/>
      <c r="L1681" s="34"/>
      <c r="N1681" s="34"/>
      <c r="O1681" s="35"/>
      <c r="P1681" s="35"/>
      <c r="Q1681" s="35"/>
      <c r="R1681" s="35"/>
      <c r="S1681" s="74"/>
    </row>
    <row r="1682" spans="1:19" ht="13.5" thickBot="1">
      <c r="A1682" s="103">
        <v>41061</v>
      </c>
      <c r="B1682" s="104">
        <v>1.6753699779510498</v>
      </c>
      <c r="C1682" s="105">
        <v>1278.0400390625</v>
      </c>
      <c r="D1682" s="104">
        <v>1.537600040435791</v>
      </c>
      <c r="E1682">
        <v>78.118897467138709</v>
      </c>
      <c r="F1682">
        <v>1612.97998046875</v>
      </c>
      <c r="H1682" s="34"/>
      <c r="I1682" s="34"/>
      <c r="J1682" s="34"/>
      <c r="K1682" s="34"/>
      <c r="L1682" s="34"/>
      <c r="N1682" s="34"/>
      <c r="O1682" s="35"/>
      <c r="P1682" s="35"/>
      <c r="Q1682" s="35"/>
      <c r="R1682" s="35"/>
      <c r="S1682" s="74"/>
    </row>
    <row r="1683" spans="1:19" ht="13.5" thickBot="1">
      <c r="A1683" s="103">
        <v>41064</v>
      </c>
      <c r="B1683" s="104">
        <v>1.7331099510192871</v>
      </c>
      <c r="C1683" s="105">
        <v>1278.1800537109375</v>
      </c>
      <c r="D1683" s="104">
        <v>1.5384000539779663</v>
      </c>
      <c r="E1683">
        <v>78.357625099676397</v>
      </c>
      <c r="F1683">
        <v>1610.8800048828125</v>
      </c>
      <c r="H1683" s="34"/>
      <c r="I1683" s="34"/>
      <c r="J1683" s="34"/>
      <c r="K1683" s="34"/>
      <c r="L1683" s="34"/>
      <c r="N1683" s="34"/>
      <c r="O1683" s="35"/>
      <c r="P1683" s="35"/>
      <c r="Q1683" s="35"/>
      <c r="R1683" s="35"/>
      <c r="S1683" s="74"/>
    </row>
    <row r="1684" spans="1:19" ht="13.5" thickBot="1">
      <c r="A1684" s="103">
        <v>41065</v>
      </c>
      <c r="B1684" s="104">
        <v>1.7542300224304199</v>
      </c>
      <c r="C1684" s="105">
        <v>1285.5</v>
      </c>
      <c r="D1684" s="104">
        <v>1.5359499454498291</v>
      </c>
      <c r="E1684">
        <v>78.641082297027012</v>
      </c>
      <c r="F1684">
        <v>1610.8800048828125</v>
      </c>
      <c r="H1684" s="34"/>
      <c r="I1684" s="34"/>
      <c r="J1684" s="34"/>
      <c r="K1684" s="34"/>
      <c r="L1684" s="34"/>
      <c r="N1684" s="34"/>
      <c r="O1684" s="35"/>
      <c r="P1684" s="35"/>
      <c r="Q1684" s="35"/>
      <c r="R1684" s="35"/>
      <c r="S1684" s="74"/>
    </row>
    <row r="1685" spans="1:19" ht="13.5" thickBot="1">
      <c r="A1685" s="103">
        <v>41066</v>
      </c>
      <c r="B1685" s="104">
        <v>1.8190000057220459</v>
      </c>
      <c r="C1685" s="105">
        <v>1315.1300048828125</v>
      </c>
      <c r="D1685" s="104">
        <v>1.5475000143051147</v>
      </c>
      <c r="E1685">
        <v>79.182836053961992</v>
      </c>
      <c r="F1685">
        <v>1637.97998046875</v>
      </c>
      <c r="H1685" s="34"/>
      <c r="I1685" s="34"/>
      <c r="J1685" s="34"/>
      <c r="K1685" s="34"/>
      <c r="L1685" s="34"/>
      <c r="N1685" s="34"/>
      <c r="O1685" s="35"/>
      <c r="P1685" s="35"/>
      <c r="Q1685" s="35"/>
      <c r="R1685" s="35"/>
      <c r="S1685" s="74"/>
    </row>
    <row r="1686" spans="1:19" ht="13.5" thickBot="1">
      <c r="A1686" s="103">
        <v>41067</v>
      </c>
      <c r="B1686" s="104">
        <v>1.8323800563812256</v>
      </c>
      <c r="C1686" s="105">
        <v>1314.989990234375</v>
      </c>
      <c r="D1686" s="104">
        <v>1.5555000305175781</v>
      </c>
      <c r="E1686">
        <v>79.700324793822318</v>
      </c>
      <c r="F1686">
        <v>1591.47998046875</v>
      </c>
      <c r="H1686" s="34"/>
      <c r="I1686" s="34"/>
      <c r="J1686" s="34"/>
      <c r="K1686" s="34"/>
      <c r="L1686" s="34"/>
      <c r="N1686" s="34"/>
      <c r="O1686" s="35"/>
      <c r="P1686" s="35"/>
      <c r="Q1686" s="35"/>
      <c r="R1686" s="35"/>
      <c r="S1686" s="74"/>
    </row>
    <row r="1687" spans="1:19" ht="13.5" thickBot="1">
      <c r="A1687" s="103">
        <v>41068</v>
      </c>
      <c r="B1687" s="104">
        <v>1.8277699947357178</v>
      </c>
      <c r="C1687" s="105">
        <v>1325.6600341796875</v>
      </c>
      <c r="D1687" s="104">
        <v>1.5463999509811401</v>
      </c>
      <c r="E1687">
        <v>79.478618071891404</v>
      </c>
      <c r="F1687">
        <v>1587.5799560546875</v>
      </c>
      <c r="H1687" s="34"/>
      <c r="I1687" s="34"/>
      <c r="J1687" s="34"/>
      <c r="K1687" s="34"/>
      <c r="L1687" s="34"/>
      <c r="N1687" s="34"/>
      <c r="O1687" s="35"/>
      <c r="P1687" s="35"/>
      <c r="Q1687" s="35"/>
      <c r="R1687" s="35"/>
      <c r="S1687" s="74"/>
    </row>
    <row r="1688" spans="1:19" ht="13.5" thickBot="1">
      <c r="A1688" s="103">
        <v>41071</v>
      </c>
      <c r="B1688" s="104">
        <v>1.7895599603652954</v>
      </c>
      <c r="C1688" s="105">
        <v>1308.9300537109375</v>
      </c>
      <c r="D1688" s="104">
        <v>1.5493999719619751</v>
      </c>
      <c r="E1688">
        <v>79.459673362938815</v>
      </c>
      <c r="F1688">
        <v>1594.8800048828125</v>
      </c>
      <c r="H1688" s="34"/>
      <c r="I1688" s="34"/>
      <c r="J1688" s="34"/>
      <c r="K1688" s="34"/>
      <c r="L1688" s="34"/>
      <c r="N1688" s="34"/>
      <c r="O1688" s="35"/>
      <c r="P1688" s="35"/>
      <c r="Q1688" s="35"/>
      <c r="R1688" s="35"/>
      <c r="S1688" s="74"/>
    </row>
    <row r="1689" spans="1:19" ht="13.5" thickBot="1">
      <c r="A1689" s="103">
        <v>41072</v>
      </c>
      <c r="B1689" s="104">
        <v>1.830780029296875</v>
      </c>
      <c r="C1689" s="105">
        <v>1324.1800537109375</v>
      </c>
      <c r="D1689" s="104">
        <v>1.5571000576019287</v>
      </c>
      <c r="E1689">
        <v>79.478618071891404</v>
      </c>
      <c r="F1689">
        <v>1615.3800048828125</v>
      </c>
      <c r="H1689" s="34"/>
      <c r="I1689" s="34"/>
      <c r="J1689" s="34"/>
      <c r="K1689" s="34"/>
      <c r="L1689" s="34"/>
      <c r="N1689" s="34"/>
      <c r="O1689" s="35"/>
      <c r="P1689" s="35"/>
      <c r="Q1689" s="35"/>
      <c r="R1689" s="35"/>
      <c r="S1689" s="74"/>
    </row>
    <row r="1690" spans="1:19" ht="13.5" thickBot="1">
      <c r="A1690" s="103">
        <v>41073</v>
      </c>
      <c r="B1690" s="104">
        <v>1.7619800567626953</v>
      </c>
      <c r="C1690" s="105">
        <v>1314.8800048828125</v>
      </c>
      <c r="D1690" s="104">
        <v>1.552299976348877</v>
      </c>
      <c r="E1690">
        <v>79.339891802839219</v>
      </c>
      <c r="F1690">
        <v>1612.3800048828125</v>
      </c>
      <c r="H1690" s="34"/>
      <c r="I1690" s="34"/>
      <c r="J1690" s="34"/>
      <c r="K1690" s="34"/>
      <c r="L1690" s="34"/>
      <c r="N1690" s="34"/>
      <c r="O1690" s="35"/>
      <c r="P1690" s="35"/>
      <c r="Q1690" s="35"/>
      <c r="R1690" s="35"/>
      <c r="S1690" s="74"/>
    </row>
    <row r="1691" spans="1:19" ht="13.5" thickBot="1">
      <c r="A1691" s="103">
        <v>41074</v>
      </c>
      <c r="B1691" s="104">
        <v>1.7688299417495728</v>
      </c>
      <c r="C1691" s="105">
        <v>1329.0999755859375</v>
      </c>
      <c r="D1691" s="104">
        <v>1.556149959564209</v>
      </c>
      <c r="E1691">
        <v>79.339891802839219</v>
      </c>
      <c r="F1691">
        <v>1619.280029296875</v>
      </c>
      <c r="H1691" s="34"/>
      <c r="I1691" s="34"/>
      <c r="J1691" s="34"/>
      <c r="K1691" s="34"/>
      <c r="L1691" s="34"/>
      <c r="N1691" s="34"/>
      <c r="O1691" s="35"/>
      <c r="P1691" s="35"/>
      <c r="Q1691" s="35"/>
      <c r="R1691" s="35"/>
      <c r="S1691" s="74"/>
    </row>
    <row r="1692" spans="1:19" ht="13.5" thickBot="1">
      <c r="A1692" s="103">
        <v>41075</v>
      </c>
      <c r="B1692" s="104">
        <v>1.739050030708313</v>
      </c>
      <c r="C1692" s="105">
        <v>1342.8399658203125</v>
      </c>
      <c r="D1692" s="104">
        <v>1.5681999921798706</v>
      </c>
      <c r="E1692">
        <v>78.702972755773601</v>
      </c>
      <c r="F1692">
        <v>1624.8800048828125</v>
      </c>
      <c r="H1692" s="34"/>
      <c r="I1692" s="34"/>
      <c r="J1692" s="34"/>
      <c r="K1692" s="34"/>
      <c r="L1692" s="34"/>
      <c r="N1692" s="34"/>
      <c r="O1692" s="35"/>
      <c r="P1692" s="35"/>
      <c r="Q1692" s="35"/>
      <c r="R1692" s="35"/>
      <c r="S1692" s="74"/>
    </row>
    <row r="1693" spans="1:19" ht="13.5" thickBot="1">
      <c r="A1693" s="103">
        <v>41078</v>
      </c>
      <c r="B1693" s="104">
        <v>1.7439999580383301</v>
      </c>
      <c r="C1693" s="105">
        <v>1344.780029296875</v>
      </c>
      <c r="D1693" s="104">
        <v>1.5676499605178833</v>
      </c>
      <c r="E1693">
        <v>79.107667847673014</v>
      </c>
      <c r="F1693">
        <v>1625.3800048828125</v>
      </c>
      <c r="H1693" s="34"/>
      <c r="I1693" s="34"/>
      <c r="J1693" s="34"/>
      <c r="K1693" s="34"/>
      <c r="L1693" s="34"/>
      <c r="N1693" s="34"/>
      <c r="O1693" s="35"/>
      <c r="P1693" s="35"/>
      <c r="Q1693" s="35"/>
      <c r="R1693" s="35"/>
      <c r="S1693" s="74"/>
    </row>
    <row r="1694" spans="1:19" ht="13.5" thickBot="1">
      <c r="A1694" s="103">
        <v>41079</v>
      </c>
      <c r="B1694" s="104">
        <v>1.7762500047683716</v>
      </c>
      <c r="C1694" s="105">
        <v>1357.97998046875</v>
      </c>
      <c r="D1694" s="104">
        <v>1.5729999542236328</v>
      </c>
      <c r="E1694">
        <v>78.957758766492091</v>
      </c>
      <c r="F1694">
        <v>1618.97998046875</v>
      </c>
      <c r="H1694" s="34"/>
      <c r="I1694" s="34"/>
      <c r="J1694" s="34"/>
      <c r="K1694" s="34"/>
      <c r="L1694" s="34"/>
      <c r="N1694" s="34"/>
      <c r="O1694" s="35"/>
      <c r="P1694" s="35"/>
      <c r="Q1694" s="35"/>
      <c r="R1694" s="35"/>
      <c r="S1694" s="74"/>
    </row>
    <row r="1695" spans="1:19" ht="13.5" thickBot="1">
      <c r="A1695" s="103">
        <v>41080</v>
      </c>
      <c r="B1695" s="104">
        <v>1.7900899648666382</v>
      </c>
      <c r="C1695" s="105">
        <v>1355.68994140625</v>
      </c>
      <c r="D1695" s="104">
        <v>1.5700000524520874</v>
      </c>
      <c r="E1695">
        <v>79.522865395629182</v>
      </c>
      <c r="F1695">
        <v>1603.8800048828125</v>
      </c>
      <c r="H1695" s="34"/>
      <c r="I1695" s="34"/>
      <c r="J1695" s="34"/>
      <c r="K1695" s="34"/>
      <c r="L1695" s="34"/>
      <c r="N1695" s="34"/>
      <c r="O1695" s="35"/>
      <c r="P1695" s="35"/>
      <c r="Q1695" s="35"/>
      <c r="R1695" s="35"/>
      <c r="S1695" s="74"/>
    </row>
    <row r="1696" spans="1:19" ht="13.5" thickBot="1">
      <c r="A1696" s="103">
        <v>41081</v>
      </c>
      <c r="B1696" s="104">
        <v>1.7761800289154053</v>
      </c>
      <c r="C1696" s="105">
        <v>1325.510009765625</v>
      </c>
      <c r="D1696" s="104">
        <v>1.5597000122070313</v>
      </c>
      <c r="E1696">
        <v>80.301934881907954</v>
      </c>
      <c r="F1696">
        <v>1570.97998046875</v>
      </c>
      <c r="H1696" s="34"/>
      <c r="I1696" s="34"/>
      <c r="J1696" s="34"/>
      <c r="K1696" s="34"/>
      <c r="L1696" s="34"/>
      <c r="N1696" s="34"/>
      <c r="O1696" s="35"/>
      <c r="P1696" s="35"/>
      <c r="Q1696" s="35"/>
      <c r="R1696" s="35"/>
      <c r="S1696" s="74"/>
    </row>
    <row r="1697" spans="1:19" ht="13.5" thickBot="1">
      <c r="A1697" s="103">
        <v>41082</v>
      </c>
      <c r="B1697" s="104">
        <v>1.8057700395584106</v>
      </c>
      <c r="C1697" s="105">
        <v>1335.02001953125</v>
      </c>
      <c r="D1697" s="104">
        <v>1.5582000017166138</v>
      </c>
      <c r="E1697">
        <v>80.456996522507865</v>
      </c>
      <c r="F1697">
        <v>1566.5799560546875</v>
      </c>
      <c r="H1697" s="34"/>
      <c r="I1697" s="34"/>
      <c r="J1697" s="34"/>
      <c r="K1697" s="34"/>
      <c r="L1697" s="34"/>
      <c r="N1697" s="34"/>
      <c r="O1697" s="35"/>
      <c r="P1697" s="35"/>
      <c r="Q1697" s="35"/>
      <c r="R1697" s="35"/>
      <c r="S1697" s="74"/>
    </row>
    <row r="1698" spans="1:19" ht="13.5" thickBot="1">
      <c r="A1698" s="103">
        <v>41085</v>
      </c>
      <c r="B1698" s="104">
        <v>1.7458200454711914</v>
      </c>
      <c r="C1698" s="105">
        <v>1313.719970703125</v>
      </c>
      <c r="D1698" s="104">
        <v>1.5563000440597534</v>
      </c>
      <c r="E1698">
        <v>79.700324793822318</v>
      </c>
      <c r="F1698">
        <v>1583.5799560546875</v>
      </c>
      <c r="H1698" s="34"/>
      <c r="I1698" s="34"/>
      <c r="J1698" s="34"/>
      <c r="K1698" s="34"/>
      <c r="L1698" s="34"/>
      <c r="N1698" s="34"/>
      <c r="O1698" s="35"/>
      <c r="P1698" s="35"/>
      <c r="Q1698" s="35"/>
      <c r="R1698" s="35"/>
      <c r="S1698" s="74"/>
    </row>
    <row r="1699" spans="1:19" ht="13.5" thickBot="1">
      <c r="A1699" s="103">
        <v>41086</v>
      </c>
      <c r="B1699" s="104">
        <v>1.7629499435424805</v>
      </c>
      <c r="C1699" s="105">
        <v>1319.989990234375</v>
      </c>
      <c r="D1699" s="104">
        <v>1.5637999773025513</v>
      </c>
      <c r="E1699">
        <v>79.478618071891404</v>
      </c>
      <c r="F1699">
        <v>1571.3800048828125</v>
      </c>
      <c r="H1699" s="34"/>
      <c r="I1699" s="34"/>
      <c r="J1699" s="34"/>
      <c r="K1699" s="34"/>
      <c r="L1699" s="34"/>
      <c r="N1699" s="34"/>
      <c r="O1699" s="35"/>
      <c r="P1699" s="35"/>
      <c r="Q1699" s="35"/>
      <c r="R1699" s="35"/>
      <c r="S1699" s="74"/>
    </row>
    <row r="1700" spans="1:19" ht="13.5" thickBot="1">
      <c r="A1700" s="103">
        <v>41087</v>
      </c>
      <c r="B1700" s="104">
        <v>1.7518899440765381</v>
      </c>
      <c r="C1700" s="105">
        <v>1331.8499755859375</v>
      </c>
      <c r="D1700" s="104">
        <v>1.5557999610900879</v>
      </c>
      <c r="E1700">
        <v>79.782990396989803</v>
      </c>
      <c r="F1700">
        <v>1573.1800537109375</v>
      </c>
      <c r="H1700" s="34"/>
      <c r="I1700" s="34"/>
      <c r="J1700" s="34"/>
      <c r="K1700" s="34"/>
      <c r="L1700" s="34"/>
      <c r="N1700" s="34"/>
      <c r="O1700" s="35"/>
      <c r="P1700" s="35"/>
      <c r="Q1700" s="35"/>
      <c r="R1700" s="35"/>
      <c r="S1700" s="74"/>
    </row>
    <row r="1701" spans="1:19" ht="13.5" thickBot="1">
      <c r="A1701" s="103">
        <v>41088</v>
      </c>
      <c r="B1701" s="104">
        <v>1.7125699520111084</v>
      </c>
      <c r="C1701" s="105">
        <v>1329.0400390625</v>
      </c>
      <c r="D1701" s="104">
        <v>1.5490000247955322</v>
      </c>
      <c r="E1701">
        <v>79.371380092345746</v>
      </c>
      <c r="F1701">
        <v>1555.0799560546875</v>
      </c>
      <c r="H1701" s="34"/>
      <c r="I1701" s="34"/>
      <c r="J1701" s="34"/>
      <c r="K1701" s="34"/>
      <c r="L1701" s="34"/>
      <c r="N1701" s="34"/>
      <c r="O1701" s="35"/>
      <c r="P1701" s="35"/>
      <c r="Q1701" s="35"/>
      <c r="R1701" s="35"/>
      <c r="S1701" s="74"/>
    </row>
    <row r="1702" spans="1:19" ht="13.5" thickBot="1">
      <c r="A1702" s="103">
        <v>41089</v>
      </c>
      <c r="B1702" s="104">
        <v>1.7861100435256958</v>
      </c>
      <c r="C1702" s="105">
        <v>1362.1600341796875</v>
      </c>
      <c r="D1702" s="104">
        <v>1.5682499408721924</v>
      </c>
      <c r="E1702">
        <v>79.85944808612912</v>
      </c>
      <c r="F1702">
        <v>1595.6800537109375</v>
      </c>
      <c r="H1702" s="34"/>
      <c r="I1702" s="34"/>
      <c r="J1702" s="34"/>
      <c r="K1702" s="34"/>
      <c r="L1702" s="34"/>
      <c r="N1702" s="34"/>
      <c r="O1702" s="35"/>
      <c r="P1702" s="35"/>
      <c r="Q1702" s="35"/>
      <c r="R1702" s="35"/>
      <c r="S1702" s="74"/>
    </row>
    <row r="1703" spans="1:19" ht="13.5" thickBot="1">
      <c r="A1703" s="103">
        <v>41092</v>
      </c>
      <c r="B1703" s="104">
        <v>1.723289966583252</v>
      </c>
      <c r="C1703" s="105">
        <v>1365.510009765625</v>
      </c>
      <c r="D1703" s="104">
        <v>1.5690959692001343</v>
      </c>
      <c r="E1703">
        <v>79.314720325856527</v>
      </c>
      <c r="F1703">
        <v>1597.0799560546875</v>
      </c>
      <c r="H1703" s="34"/>
      <c r="I1703" s="34"/>
      <c r="J1703" s="34"/>
      <c r="K1703" s="34"/>
      <c r="L1703" s="34"/>
      <c r="N1703" s="34"/>
      <c r="O1703" s="35"/>
      <c r="P1703" s="35"/>
      <c r="Q1703" s="35"/>
      <c r="R1703" s="35"/>
      <c r="S1703" s="74"/>
    </row>
    <row r="1704" spans="1:19" ht="13.5" thickBot="1">
      <c r="A1704" s="103">
        <v>41093</v>
      </c>
      <c r="B1704" s="104">
        <v>1.7676999568939209</v>
      </c>
      <c r="C1704" s="105">
        <v>1374.02001953125</v>
      </c>
      <c r="D1704" s="104">
        <v>1.5692800283432007</v>
      </c>
      <c r="E1704">
        <v>79.872202313012451</v>
      </c>
      <c r="F1704">
        <v>1621.3800048828125</v>
      </c>
      <c r="H1704" s="34"/>
      <c r="I1704" s="34"/>
      <c r="J1704" s="34"/>
      <c r="K1704" s="34"/>
      <c r="L1704" s="34"/>
      <c r="N1704" s="34"/>
      <c r="O1704" s="35"/>
      <c r="P1704" s="35"/>
      <c r="Q1704" s="35"/>
      <c r="R1704" s="35"/>
      <c r="S1704" s="74"/>
    </row>
    <row r="1705" spans="1:19" ht="13.5" thickBot="1">
      <c r="A1705" s="103">
        <v>41094</v>
      </c>
      <c r="B1705" s="104">
        <v>1.7676999568939209</v>
      </c>
      <c r="C1705" s="105">
        <v>1374.02001953125</v>
      </c>
      <c r="D1705" s="104">
        <v>1.5596040487289429</v>
      </c>
      <c r="E1705">
        <v>79.840321412998932</v>
      </c>
      <c r="F1705">
        <v>1614.5799560546875</v>
      </c>
      <c r="H1705" s="34"/>
      <c r="I1705" s="34"/>
      <c r="J1705" s="34"/>
      <c r="K1705" s="34"/>
      <c r="L1705" s="34"/>
      <c r="N1705" s="34"/>
      <c r="O1705" s="35"/>
      <c r="P1705" s="35"/>
      <c r="Q1705" s="35"/>
      <c r="R1705" s="35"/>
      <c r="S1705" s="74"/>
    </row>
    <row r="1706" spans="1:19" ht="13.5" thickBot="1">
      <c r="A1706" s="103">
        <v>41095</v>
      </c>
      <c r="B1706" s="104">
        <v>1.7444100379943848</v>
      </c>
      <c r="C1706" s="105">
        <v>1367.5799560546875</v>
      </c>
      <c r="D1706" s="104">
        <v>1.5524519681930542</v>
      </c>
      <c r="E1706">
        <v>79.897728937663516</v>
      </c>
      <c r="F1706">
        <v>1607.3800048828125</v>
      </c>
      <c r="H1706" s="34"/>
      <c r="I1706" s="34"/>
      <c r="J1706" s="34"/>
      <c r="K1706" s="34"/>
      <c r="L1706" s="34"/>
      <c r="N1706" s="34"/>
      <c r="O1706" s="35"/>
      <c r="P1706" s="35"/>
      <c r="Q1706" s="35"/>
      <c r="R1706" s="35"/>
      <c r="S1706" s="74"/>
    </row>
    <row r="1707" spans="1:19">
      <c r="A1707" s="103">
        <v>41096</v>
      </c>
      <c r="B1707" s="104">
        <v>1.6964999437332153</v>
      </c>
      <c r="C1707" s="105">
        <v>1354.6800537109375</v>
      </c>
      <c r="D1707" s="104">
        <v>1.5475000143051147</v>
      </c>
      <c r="E1707">
        <v>79.655885733828242</v>
      </c>
      <c r="F1707">
        <v>1579.47998046875</v>
      </c>
      <c r="H1707" s="34"/>
      <c r="I1707" s="34"/>
      <c r="J1707" s="34"/>
      <c r="K1707" s="34"/>
      <c r="L1707" s="34"/>
      <c r="N1707" s="34"/>
      <c r="O1707" s="35"/>
      <c r="P1707" s="35"/>
      <c r="Q1707" s="35"/>
      <c r="R1707" s="35"/>
      <c r="S1707" s="74"/>
    </row>
    <row r="1708" spans="1:19">
      <c r="A1708" s="103"/>
      <c r="B1708" s="104"/>
      <c r="C1708" s="105"/>
      <c r="D1708" s="104"/>
    </row>
    <row r="1709" spans="1:19">
      <c r="A1709" s="103"/>
      <c r="B1709" s="104"/>
      <c r="C1709" s="105"/>
      <c r="D1709" s="104"/>
    </row>
    <row r="1710" spans="1:19">
      <c r="A1710" s="103"/>
      <c r="B1710" s="104"/>
      <c r="C1710" s="105"/>
      <c r="D1710" s="104"/>
    </row>
    <row r="1711" spans="1:19">
      <c r="A1711" s="103"/>
      <c r="B1711" s="104"/>
      <c r="C1711" s="105"/>
      <c r="D1711" s="104"/>
      <c r="G1711" t="s">
        <v>65</v>
      </c>
      <c r="H1711" s="38"/>
      <c r="I1711" s="38"/>
      <c r="J1711" s="38"/>
      <c r="K1711" s="38"/>
      <c r="L1711" s="38"/>
    </row>
    <row r="1712" spans="1:19">
      <c r="A1712" s="103"/>
      <c r="B1712" s="104"/>
      <c r="C1712" s="105"/>
      <c r="D1712" s="104"/>
    </row>
    <row r="1713" spans="1:4">
      <c r="A1713" s="103"/>
      <c r="B1713" s="104"/>
      <c r="C1713" s="105"/>
      <c r="D1713" s="104"/>
    </row>
    <row r="1714" spans="1:4">
      <c r="A1714" s="103"/>
      <c r="B1714" s="104"/>
      <c r="C1714" s="105"/>
      <c r="D1714" s="104"/>
    </row>
    <row r="1715" spans="1:4">
      <c r="A1715" s="103"/>
      <c r="B1715" s="104"/>
      <c r="C1715" s="105"/>
      <c r="D1715" s="104"/>
    </row>
    <row r="1716" spans="1:4">
      <c r="A1716" s="103"/>
      <c r="B1716" s="104"/>
      <c r="C1716" s="105"/>
      <c r="D1716" s="104"/>
    </row>
    <row r="1717" spans="1:4">
      <c r="A1717" s="103"/>
      <c r="B1717" s="104"/>
      <c r="C1717" s="105"/>
      <c r="D1717" s="104"/>
    </row>
    <row r="1718" spans="1:4">
      <c r="A1718" s="103"/>
      <c r="B1718" s="104"/>
      <c r="C1718" s="105"/>
      <c r="D1718" s="104"/>
    </row>
    <row r="1719" spans="1:4">
      <c r="A1719" s="103"/>
      <c r="B1719" s="104"/>
      <c r="C1719" s="105"/>
      <c r="D1719" s="104"/>
    </row>
    <row r="1720" spans="1:4">
      <c r="A1720" s="103"/>
      <c r="B1720" s="104"/>
      <c r="C1720" s="105"/>
      <c r="D1720" s="104"/>
    </row>
    <row r="1721" spans="1:4">
      <c r="A1721" s="103"/>
      <c r="B1721" s="104"/>
      <c r="C1721" s="105"/>
      <c r="D1721" s="104"/>
    </row>
    <row r="1722" spans="1:4">
      <c r="A1722" s="103"/>
      <c r="B1722" s="104"/>
      <c r="C1722" s="105"/>
      <c r="D1722" s="104"/>
    </row>
    <row r="1723" spans="1:4">
      <c r="A1723" s="103"/>
      <c r="B1723" s="104"/>
      <c r="C1723" s="105"/>
      <c r="D1723" s="104"/>
    </row>
    <row r="1724" spans="1:4">
      <c r="A1724" s="103"/>
      <c r="B1724" s="104"/>
      <c r="C1724" s="105"/>
      <c r="D1724" s="104"/>
    </row>
    <row r="1725" spans="1:4">
      <c r="A1725" s="103"/>
      <c r="B1725" s="104"/>
      <c r="C1725" s="105"/>
      <c r="D1725" s="104"/>
    </row>
    <row r="1726" spans="1:4">
      <c r="A1726" s="103"/>
      <c r="B1726" s="104"/>
      <c r="C1726" s="105"/>
      <c r="D1726" s="104"/>
    </row>
    <row r="1727" spans="1:4">
      <c r="A1727" s="103"/>
      <c r="B1727" s="104"/>
      <c r="C1727" s="105"/>
      <c r="D1727" s="104"/>
    </row>
    <row r="1728" spans="1:4">
      <c r="A1728" s="103"/>
      <c r="B1728" s="104"/>
      <c r="C1728" s="105"/>
      <c r="D1728" s="104"/>
    </row>
    <row r="1729" spans="1:4">
      <c r="A1729" s="103"/>
      <c r="B1729" s="104"/>
      <c r="C1729" s="105"/>
      <c r="D1729" s="104"/>
    </row>
    <row r="1730" spans="1:4">
      <c r="A1730" s="103"/>
      <c r="B1730" s="104"/>
      <c r="C1730" s="105"/>
      <c r="D1730" s="104"/>
    </row>
    <row r="1731" spans="1:4">
      <c r="A1731" s="103"/>
      <c r="B1731" s="104"/>
      <c r="C1731" s="105"/>
      <c r="D1731" s="104"/>
    </row>
    <row r="1732" spans="1:4">
      <c r="A1732" s="103"/>
      <c r="B1732" s="104"/>
      <c r="C1732" s="105"/>
      <c r="D1732" s="104"/>
    </row>
    <row r="1733" spans="1:4">
      <c r="A1733" s="103"/>
      <c r="B1733" s="104"/>
      <c r="C1733" s="105"/>
      <c r="D1733" s="104"/>
    </row>
    <row r="1734" spans="1:4">
      <c r="A1734" s="103"/>
      <c r="B1734" s="104"/>
      <c r="C1734" s="105"/>
      <c r="D1734" s="104"/>
    </row>
    <row r="1735" spans="1:4">
      <c r="A1735" s="103"/>
      <c r="B1735" s="104"/>
      <c r="C1735" s="105"/>
      <c r="D1735" s="104"/>
    </row>
    <row r="1736" spans="1:4">
      <c r="A1736" s="103"/>
      <c r="B1736" s="104"/>
      <c r="C1736" s="105"/>
      <c r="D1736" s="104"/>
    </row>
    <row r="1737" spans="1:4">
      <c r="A1737" s="103"/>
      <c r="B1737" s="104"/>
      <c r="C1737" s="105"/>
      <c r="D1737" s="104"/>
    </row>
    <row r="1738" spans="1:4">
      <c r="A1738" s="103"/>
      <c r="B1738" s="104"/>
      <c r="C1738" s="105"/>
      <c r="D1738" s="104"/>
    </row>
    <row r="1739" spans="1:4">
      <c r="A1739" s="103"/>
      <c r="B1739" s="104"/>
      <c r="C1739" s="105"/>
      <c r="D1739" s="104"/>
    </row>
    <row r="1740" spans="1:4">
      <c r="A1740" s="103"/>
      <c r="B1740" s="104"/>
      <c r="C1740" s="105"/>
      <c r="D1740" s="104"/>
    </row>
    <row r="1741" spans="1:4">
      <c r="A1741" s="103"/>
      <c r="B1741" s="104"/>
      <c r="C1741" s="105"/>
      <c r="D1741" s="104"/>
    </row>
    <row r="1742" spans="1:4">
      <c r="A1742" s="103"/>
      <c r="B1742" s="104"/>
      <c r="C1742" s="105"/>
      <c r="D1742" s="104"/>
    </row>
    <row r="1743" spans="1:4">
      <c r="A1743" s="103"/>
      <c r="B1743" s="104"/>
      <c r="C1743" s="105"/>
      <c r="D1743" s="104"/>
    </row>
    <row r="1744" spans="1:4">
      <c r="A1744" s="103"/>
      <c r="B1744" s="104"/>
      <c r="C1744" s="105"/>
      <c r="D1744" s="104"/>
    </row>
    <row r="1745" spans="1:4">
      <c r="A1745" s="103"/>
      <c r="B1745" s="104"/>
      <c r="C1745" s="105"/>
      <c r="D1745" s="104"/>
    </row>
    <row r="1746" spans="1:4">
      <c r="A1746" s="103"/>
      <c r="B1746" s="104"/>
      <c r="C1746" s="105"/>
      <c r="D1746" s="104"/>
    </row>
    <row r="1747" spans="1:4">
      <c r="A1747" s="103"/>
      <c r="B1747" s="104"/>
      <c r="C1747" s="105"/>
      <c r="D1747" s="104"/>
    </row>
    <row r="1748" spans="1:4">
      <c r="A1748" s="103"/>
      <c r="B1748" s="104"/>
      <c r="C1748" s="105"/>
      <c r="D1748" s="104"/>
    </row>
    <row r="1749" spans="1:4">
      <c r="A1749" s="103"/>
      <c r="B1749" s="104"/>
      <c r="C1749" s="105"/>
      <c r="D1749" s="104"/>
    </row>
    <row r="1750" spans="1:4">
      <c r="A1750" s="103"/>
      <c r="B1750" s="104"/>
      <c r="C1750" s="105"/>
      <c r="D1750" s="104"/>
    </row>
    <row r="1751" spans="1:4">
      <c r="A1751" s="103"/>
      <c r="B1751" s="104"/>
      <c r="C1751" s="105"/>
      <c r="D1751" s="104"/>
    </row>
    <row r="1752" spans="1:4">
      <c r="A1752" s="103"/>
      <c r="B1752" s="104"/>
      <c r="C1752" s="105"/>
      <c r="D1752" s="104"/>
    </row>
    <row r="1753" spans="1:4">
      <c r="A1753" s="103"/>
      <c r="B1753" s="104"/>
      <c r="C1753" s="105"/>
      <c r="D1753" s="104"/>
    </row>
    <row r="1754" spans="1:4">
      <c r="A1754" s="103"/>
      <c r="B1754" s="104"/>
      <c r="C1754" s="105"/>
      <c r="D1754" s="104"/>
    </row>
    <row r="1755" spans="1:4">
      <c r="A1755" s="103"/>
      <c r="B1755" s="104"/>
      <c r="C1755" s="105"/>
      <c r="D1755" s="104"/>
    </row>
    <row r="1756" spans="1:4">
      <c r="A1756" s="103"/>
      <c r="B1756" s="104"/>
      <c r="C1756" s="105"/>
      <c r="D1756" s="104"/>
    </row>
    <row r="1757" spans="1:4">
      <c r="A1757" s="103"/>
      <c r="B1757" s="104"/>
      <c r="C1757" s="105"/>
      <c r="D1757" s="104"/>
    </row>
    <row r="1758" spans="1:4">
      <c r="A1758" s="103"/>
      <c r="B1758" s="104"/>
      <c r="C1758" s="105"/>
      <c r="D1758" s="104"/>
    </row>
    <row r="1759" spans="1:4">
      <c r="A1759" s="103"/>
      <c r="B1759" s="104"/>
      <c r="C1759" s="105"/>
      <c r="D1759" s="104"/>
    </row>
    <row r="1760" spans="1:4">
      <c r="A1760" s="103"/>
      <c r="B1760" s="104"/>
      <c r="C1760" s="105"/>
      <c r="D1760" s="104"/>
    </row>
    <row r="1761" spans="1:4">
      <c r="A1761" s="103"/>
      <c r="B1761" s="104"/>
      <c r="C1761" s="105"/>
      <c r="D1761" s="104"/>
    </row>
    <row r="1762" spans="1:4">
      <c r="A1762" s="103"/>
      <c r="B1762" s="104"/>
      <c r="C1762" s="105"/>
      <c r="D1762" s="104"/>
    </row>
    <row r="1763" spans="1:4">
      <c r="A1763" s="103"/>
      <c r="B1763" s="104"/>
      <c r="C1763" s="105"/>
      <c r="D1763" s="104"/>
    </row>
    <row r="1764" spans="1:4">
      <c r="A1764" s="103"/>
      <c r="B1764" s="104"/>
      <c r="C1764" s="105"/>
      <c r="D1764" s="104"/>
    </row>
    <row r="1765" spans="1:4">
      <c r="A1765" s="103"/>
      <c r="B1765" s="104"/>
      <c r="C1765" s="105"/>
      <c r="D1765" s="104"/>
    </row>
    <row r="1766" spans="1:4">
      <c r="A1766" s="103"/>
      <c r="B1766" s="104"/>
      <c r="C1766" s="105"/>
      <c r="D1766" s="104"/>
    </row>
    <row r="1767" spans="1:4">
      <c r="A1767" s="103"/>
      <c r="B1767" s="104"/>
      <c r="C1767" s="105"/>
      <c r="D1767" s="104"/>
    </row>
    <row r="1768" spans="1:4">
      <c r="C1768" s="105"/>
    </row>
    <row r="1769" spans="1:4">
      <c r="C1769" s="105"/>
    </row>
    <row r="1770" spans="1:4">
      <c r="C1770" s="105"/>
    </row>
    <row r="1771" spans="1:4">
      <c r="C1771" s="105"/>
    </row>
    <row r="1772" spans="1:4">
      <c r="C1772" s="105"/>
    </row>
    <row r="1773" spans="1:4">
      <c r="C1773" s="105"/>
    </row>
    <row r="1774" spans="1:4">
      <c r="C1774" s="105"/>
    </row>
    <row r="1775" spans="1:4">
      <c r="C1775" s="105"/>
    </row>
    <row r="1776" spans="1:4">
      <c r="C1776" s="105"/>
    </row>
    <row r="1777" spans="3:3">
      <c r="C1777" s="105"/>
    </row>
    <row r="1778" spans="3:3">
      <c r="C1778" s="105"/>
    </row>
    <row r="1779" spans="3:3">
      <c r="C1779" s="105"/>
    </row>
    <row r="1780" spans="3:3">
      <c r="C1780" s="105"/>
    </row>
    <row r="1781" spans="3:3">
      <c r="C1781" s="105"/>
    </row>
    <row r="1782" spans="3:3">
      <c r="C1782" s="105"/>
    </row>
    <row r="1783" spans="3:3">
      <c r="C1783" s="105"/>
    </row>
    <row r="1784" spans="3:3">
      <c r="C1784" s="105"/>
    </row>
    <row r="1785" spans="3:3">
      <c r="C1785" s="105"/>
    </row>
    <row r="1786" spans="3:3">
      <c r="C1786" s="105"/>
    </row>
    <row r="1787" spans="3:3">
      <c r="C1787" s="105"/>
    </row>
    <row r="1788" spans="3:3">
      <c r="C1788" s="105"/>
    </row>
    <row r="1789" spans="3:3">
      <c r="C1789" s="105"/>
    </row>
    <row r="1790" spans="3:3">
      <c r="C1790" s="105"/>
    </row>
    <row r="1791" spans="3:3">
      <c r="C1791" s="105"/>
    </row>
    <row r="1792" spans="3:3">
      <c r="C1792" s="105"/>
    </row>
    <row r="1793" spans="3:3">
      <c r="C1793" s="105"/>
    </row>
    <row r="1794" spans="3:3">
      <c r="C1794" s="105"/>
    </row>
    <row r="1795" spans="3:3">
      <c r="C1795" s="105"/>
    </row>
    <row r="1796" spans="3:3">
      <c r="C1796" s="105"/>
    </row>
    <row r="1797" spans="3:3">
      <c r="C1797" s="105"/>
    </row>
    <row r="1798" spans="3:3">
      <c r="C1798" s="105"/>
    </row>
    <row r="1799" spans="3:3">
      <c r="C1799" s="105"/>
    </row>
    <row r="1800" spans="3:3">
      <c r="C1800" s="105"/>
    </row>
    <row r="1801" spans="3:3">
      <c r="C1801" s="105"/>
    </row>
    <row r="1802" spans="3:3">
      <c r="C1802" s="105"/>
    </row>
    <row r="1803" spans="3:3">
      <c r="C1803" s="105"/>
    </row>
    <row r="1804" spans="3:3">
      <c r="C1804" s="105"/>
    </row>
    <row r="1805" spans="3:3">
      <c r="C1805" s="105"/>
    </row>
    <row r="1806" spans="3:3">
      <c r="C1806" s="105"/>
    </row>
    <row r="1807" spans="3:3">
      <c r="C1807" s="105"/>
    </row>
    <row r="1808" spans="3:3">
      <c r="C1808" s="105"/>
    </row>
    <row r="1809" spans="3:3">
      <c r="C1809" s="105"/>
    </row>
    <row r="1810" spans="3:3">
      <c r="C1810" s="105"/>
    </row>
    <row r="1811" spans="3:3">
      <c r="C1811" s="105"/>
    </row>
    <row r="1812" spans="3:3">
      <c r="C1812" s="105"/>
    </row>
    <row r="1813" spans="3:3">
      <c r="C1813" s="105"/>
    </row>
    <row r="1814" spans="3:3">
      <c r="C1814" s="105"/>
    </row>
    <row r="1815" spans="3:3">
      <c r="C1815" s="105"/>
    </row>
    <row r="1816" spans="3:3">
      <c r="C1816" s="105"/>
    </row>
    <row r="1817" spans="3:3">
      <c r="C1817" s="105"/>
    </row>
    <row r="1818" spans="3:3">
      <c r="C1818" s="105"/>
    </row>
    <row r="1819" spans="3:3">
      <c r="C1819" s="105"/>
    </row>
    <row r="1820" spans="3:3">
      <c r="C1820" s="105"/>
    </row>
    <row r="1821" spans="3:3">
      <c r="C1821" s="105"/>
    </row>
    <row r="1822" spans="3:3">
      <c r="C1822" s="105"/>
    </row>
    <row r="1823" spans="3:3">
      <c r="C1823" s="105"/>
    </row>
    <row r="1824" spans="3:3">
      <c r="C1824" s="105"/>
    </row>
    <row r="1825" spans="3:3">
      <c r="C1825" s="105"/>
    </row>
    <row r="1826" spans="3:3">
      <c r="C1826" s="105"/>
    </row>
    <row r="1827" spans="3:3">
      <c r="C1827" s="105"/>
    </row>
    <row r="1828" spans="3:3">
      <c r="C1828" s="105"/>
    </row>
    <row r="1829" spans="3:3">
      <c r="C1829" s="105"/>
    </row>
    <row r="1830" spans="3:3">
      <c r="C1830" s="105"/>
    </row>
    <row r="1831" spans="3:3">
      <c r="C1831" s="105"/>
    </row>
    <row r="1832" spans="3:3">
      <c r="C1832" s="105"/>
    </row>
    <row r="1833" spans="3:3">
      <c r="C1833" s="105"/>
    </row>
    <row r="1834" spans="3:3">
      <c r="C1834" s="105"/>
    </row>
    <row r="1835" spans="3:3">
      <c r="C1835" s="105"/>
    </row>
  </sheetData>
  <mergeCells count="1">
    <mergeCell ref="AJ1009:AO1009"/>
  </mergeCells>
  <phoneticPr fontId="8" type="noConversion"/>
  <conditionalFormatting sqref="AK1016:AO1021 AK1031:AO1035">
    <cfRule type="cellIs" dxfId="0" priority="1" stopIfTrue="1" operator="equal">
      <formula>"Reject"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E19"/>
  <sheetViews>
    <sheetView workbookViewId="0">
      <selection activeCell="F27" sqref="F27"/>
    </sheetView>
  </sheetViews>
  <sheetFormatPr defaultRowHeight="12.75"/>
  <cols>
    <col min="2" max="2" width="12" customWidth="1"/>
    <col min="8" max="8" width="12.7109375" customWidth="1"/>
  </cols>
  <sheetData>
    <row r="1" spans="1:5" ht="15.75">
      <c r="A1" s="3" t="s">
        <v>0</v>
      </c>
    </row>
    <row r="2" spans="1:5">
      <c r="A2" s="2" t="s">
        <v>1</v>
      </c>
    </row>
    <row r="3" spans="1:5">
      <c r="A3" t="s">
        <v>2</v>
      </c>
    </row>
    <row r="4" spans="1:5">
      <c r="A4" s="4" t="s">
        <v>3</v>
      </c>
    </row>
    <row r="5" spans="1:5">
      <c r="C5" s="5">
        <v>5</v>
      </c>
      <c r="D5" s="6">
        <v>2</v>
      </c>
      <c r="E5" s="7">
        <v>6</v>
      </c>
    </row>
    <row r="6" spans="1:5">
      <c r="C6" s="5">
        <v>2</v>
      </c>
      <c r="D6" s="6">
        <v>4</v>
      </c>
      <c r="E6" s="7">
        <v>3</v>
      </c>
    </row>
    <row r="7" spans="1:5">
      <c r="C7" s="5">
        <v>6</v>
      </c>
      <c r="D7" s="6">
        <v>3</v>
      </c>
      <c r="E7" s="7">
        <v>2</v>
      </c>
    </row>
    <row r="8" spans="1:5">
      <c r="A8" t="s">
        <v>4</v>
      </c>
      <c r="C8" s="6"/>
      <c r="D8" s="6"/>
      <c r="E8" s="6"/>
    </row>
    <row r="9" spans="1:5">
      <c r="B9" s="8" t="s">
        <v>5</v>
      </c>
      <c r="C9" s="6"/>
      <c r="D9" s="6"/>
      <c r="E9" s="6"/>
    </row>
    <row r="10" spans="1:5">
      <c r="A10" t="s">
        <v>6</v>
      </c>
      <c r="C10" s="6"/>
      <c r="D10" s="6"/>
      <c r="E10" s="6"/>
    </row>
    <row r="11" spans="1:5">
      <c r="A11" t="s">
        <v>7</v>
      </c>
    </row>
    <row r="12" spans="1:5">
      <c r="A12" t="s">
        <v>8</v>
      </c>
    </row>
    <row r="13" spans="1:5">
      <c r="A13" t="s">
        <v>9</v>
      </c>
    </row>
    <row r="14" spans="1:5">
      <c r="A14" s="4" t="s">
        <v>10</v>
      </c>
    </row>
    <row r="15" spans="1:5">
      <c r="B15" s="9" t="str">
        <f t="array" ref="B15:E19">SymmetricEigenvectors(3,C5:E7)</f>
        <v>Eigenvalues:</v>
      </c>
      <c r="C15" s="10">
        <v>11.308030474568536</v>
      </c>
      <c r="D15" s="10">
        <v>2.5919823409737464</v>
      </c>
      <c r="E15" s="10">
        <v>-2.9000128155422855</v>
      </c>
    </row>
    <row r="16" spans="1:5">
      <c r="B16" s="9" t="str">
        <v/>
      </c>
      <c r="C16" s="11" t="str">
        <v/>
      </c>
      <c r="D16" s="11" t="str">
        <v/>
      </c>
      <c r="E16" s="11" t="str">
        <v/>
      </c>
    </row>
    <row r="17" spans="2:5">
      <c r="B17" s="9" t="str">
        <v>Eigenvectors:</v>
      </c>
      <c r="C17" s="11">
        <v>0.69037500078208558</v>
      </c>
      <c r="D17" s="11">
        <v>-0.45324148632930678</v>
      </c>
      <c r="E17" s="11">
        <v>-0.56387455463528036</v>
      </c>
    </row>
    <row r="18" spans="2:5">
      <c r="B18" s="9" t="str">
        <v/>
      </c>
      <c r="C18" s="11">
        <v>0.42828481243092603</v>
      </c>
      <c r="D18" s="11">
        <v>0.88421717353478901</v>
      </c>
      <c r="E18" s="11">
        <v>-0.18636552649874666</v>
      </c>
    </row>
    <row r="19" spans="2:5">
      <c r="B19" s="9" t="str">
        <v/>
      </c>
      <c r="C19" s="11">
        <v>0.58305615315863146</v>
      </c>
      <c r="D19" s="11">
        <v>-0.11283680736421696</v>
      </c>
      <c r="E19" s="11">
        <v>0.80455787682907509</v>
      </c>
    </row>
  </sheetData>
  <phoneticPr fontId="0" type="noConversion"/>
  <pageMargins left="0.75" right="0.75" top="1" bottom="1" header="0.5" footer="0.5"/>
  <pageSetup orientation="portrait" horizontalDpi="4294967293" verticalDpi="3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Var Homework</vt:lpstr>
      <vt:lpstr>Eigenvalues</vt:lpstr>
      <vt:lpstr>v</vt:lpstr>
      <vt:lpstr>x</vt:lpstr>
    </vt:vector>
  </TitlesOfParts>
  <Company>NationsBanc Montgomery Securities,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kabbott</dc:creator>
  <cp:lastModifiedBy>Irena</cp:lastModifiedBy>
  <dcterms:created xsi:type="dcterms:W3CDTF">2001-12-18T17:34:45Z</dcterms:created>
  <dcterms:modified xsi:type="dcterms:W3CDTF">2017-03-01T01:44:09Z</dcterms:modified>
</cp:coreProperties>
</file>