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ongchao/Dropbox/Spring 2017/MTH9845/HW/"/>
    </mc:Choice>
  </mc:AlternateContent>
  <bookViews>
    <workbookView xWindow="980" yWindow="460" windowWidth="23340" windowHeight="14180" activeTab="3"/>
  </bookViews>
  <sheets>
    <sheet name="Simulation and  VaR" sheetId="1" r:id="rId1"/>
    <sheet name="Q12-Q13" sheetId="7" r:id="rId2"/>
    <sheet name="Q1-4" sheetId="3" r:id="rId3"/>
    <sheet name="Q5-6" sheetId="4" r:id="rId4"/>
    <sheet name="Q7" sheetId="5" r:id="rId5"/>
    <sheet name="Q8-11" sheetId="6" r:id="rId6"/>
  </sheets>
  <definedNames>
    <definedName name="BLPH1" localSheetId="0" hidden="1">'Simulation and  VaR'!#REF!</definedName>
    <definedName name="BLPH2" localSheetId="0" hidden="1">'Simulation and  VaR'!#REF!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O22" i="4" l="1" a="1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79" i="5" a="1"/>
  <c r="B79" i="5"/>
  <c r="C79" i="5"/>
  <c r="D79" i="5"/>
  <c r="E79" i="5"/>
  <c r="F79" i="5"/>
  <c r="G79" i="5"/>
  <c r="B80" i="5"/>
  <c r="C80" i="5"/>
  <c r="D80" i="5"/>
  <c r="E80" i="5"/>
  <c r="F80" i="5"/>
  <c r="G80" i="5"/>
  <c r="B81" i="5"/>
  <c r="C81" i="5"/>
  <c r="D81" i="5"/>
  <c r="E81" i="5"/>
  <c r="F81" i="5"/>
  <c r="G81" i="5"/>
  <c r="B82" i="5"/>
  <c r="C82" i="5"/>
  <c r="D82" i="5"/>
  <c r="E82" i="5"/>
  <c r="F82" i="5"/>
  <c r="G82" i="5"/>
  <c r="B83" i="5"/>
  <c r="C83" i="5"/>
  <c r="D83" i="5"/>
  <c r="E83" i="5"/>
  <c r="F83" i="5"/>
  <c r="G83" i="5"/>
  <c r="B84" i="5"/>
  <c r="C84" i="5"/>
  <c r="D84" i="5"/>
  <c r="E84" i="5"/>
  <c r="F84" i="5"/>
  <c r="G84" i="5"/>
  <c r="B85" i="5"/>
  <c r="C85" i="5"/>
  <c r="D85" i="5"/>
  <c r="E85" i="5"/>
  <c r="F85" i="5"/>
  <c r="G85" i="5"/>
  <c r="B86" i="5"/>
  <c r="C86" i="5"/>
  <c r="D86" i="5"/>
  <c r="E86" i="5"/>
  <c r="F86" i="5"/>
  <c r="G86" i="5"/>
  <c r="B87" i="5"/>
  <c r="C87" i="5"/>
  <c r="D87" i="5"/>
  <c r="E87" i="5"/>
  <c r="F87" i="5"/>
  <c r="G87" i="5"/>
  <c r="B88" i="5"/>
  <c r="C88" i="5"/>
  <c r="D88" i="5"/>
  <c r="E88" i="5"/>
  <c r="F88" i="5"/>
  <c r="G88" i="5"/>
  <c r="B89" i="5"/>
  <c r="C89" i="5"/>
  <c r="D89" i="5"/>
  <c r="E89" i="5"/>
  <c r="F89" i="5"/>
  <c r="G89" i="5"/>
  <c r="B90" i="5"/>
  <c r="C90" i="5"/>
  <c r="D90" i="5"/>
  <c r="E90" i="5"/>
  <c r="F90" i="5"/>
  <c r="G90" i="5"/>
  <c r="B91" i="5"/>
  <c r="C91" i="5"/>
  <c r="D91" i="5"/>
  <c r="E91" i="5"/>
  <c r="F91" i="5"/>
  <c r="G91" i="5"/>
  <c r="B92" i="5"/>
  <c r="C92" i="5"/>
  <c r="D92" i="5"/>
  <c r="E92" i="5"/>
  <c r="F92" i="5"/>
  <c r="G92" i="5"/>
  <c r="B93" i="5"/>
  <c r="C93" i="5"/>
  <c r="D93" i="5"/>
  <c r="E93" i="5"/>
  <c r="F93" i="5"/>
  <c r="G93" i="5"/>
  <c r="B94" i="5"/>
  <c r="C94" i="5"/>
  <c r="D94" i="5"/>
  <c r="E94" i="5"/>
  <c r="F94" i="5"/>
  <c r="G94" i="5"/>
  <c r="B95" i="5"/>
  <c r="C95" i="5"/>
  <c r="D95" i="5"/>
  <c r="E95" i="5"/>
  <c r="F95" i="5"/>
  <c r="G95" i="5"/>
  <c r="B96" i="5"/>
  <c r="C96" i="5"/>
  <c r="D96" i="5"/>
  <c r="E96" i="5"/>
  <c r="F96" i="5"/>
  <c r="G96" i="5"/>
  <c r="B97" i="5"/>
  <c r="C97" i="5"/>
  <c r="D97" i="5"/>
  <c r="E97" i="5"/>
  <c r="F97" i="5"/>
  <c r="G97" i="5"/>
  <c r="B98" i="5"/>
  <c r="C98" i="5"/>
  <c r="D98" i="5"/>
  <c r="E98" i="5"/>
  <c r="F98" i="5"/>
  <c r="G98" i="5"/>
  <c r="B99" i="5"/>
  <c r="C99" i="5"/>
  <c r="D99" i="5"/>
  <c r="E99" i="5"/>
  <c r="F99" i="5"/>
  <c r="G99" i="5"/>
  <c r="B100" i="5"/>
  <c r="C100" i="5"/>
  <c r="D100" i="5"/>
  <c r="E100" i="5"/>
  <c r="F100" i="5"/>
  <c r="G100" i="5"/>
  <c r="B101" i="5"/>
  <c r="C101" i="5"/>
  <c r="D101" i="5"/>
  <c r="E101" i="5"/>
  <c r="F101" i="5"/>
  <c r="G101" i="5"/>
  <c r="B102" i="5"/>
  <c r="C102" i="5"/>
  <c r="D102" i="5"/>
  <c r="E102" i="5"/>
  <c r="F102" i="5"/>
  <c r="G102" i="5"/>
  <c r="B103" i="5"/>
  <c r="C103" i="5"/>
  <c r="D103" i="5"/>
  <c r="E103" i="5"/>
  <c r="F103" i="5"/>
  <c r="G103" i="5"/>
  <c r="B104" i="5"/>
  <c r="C104" i="5"/>
  <c r="D104" i="5"/>
  <c r="E104" i="5"/>
  <c r="F104" i="5"/>
  <c r="G104" i="5"/>
  <c r="B105" i="5"/>
  <c r="C105" i="5"/>
  <c r="D105" i="5"/>
  <c r="E105" i="5"/>
  <c r="F105" i="5"/>
  <c r="G105" i="5"/>
  <c r="B106" i="5"/>
  <c r="C106" i="5"/>
  <c r="D106" i="5"/>
  <c r="E106" i="5"/>
  <c r="F106" i="5"/>
  <c r="G106" i="5"/>
  <c r="B107" i="5"/>
  <c r="C107" i="5"/>
  <c r="D107" i="5"/>
  <c r="E107" i="5"/>
  <c r="F107" i="5"/>
  <c r="G107" i="5"/>
  <c r="B108" i="5"/>
  <c r="C108" i="5"/>
  <c r="D108" i="5"/>
  <c r="E108" i="5"/>
  <c r="F108" i="5"/>
  <c r="G108" i="5"/>
  <c r="B109" i="5"/>
  <c r="C109" i="5"/>
  <c r="D109" i="5"/>
  <c r="E109" i="5"/>
  <c r="F109" i="5"/>
  <c r="G109" i="5"/>
  <c r="B110" i="5"/>
  <c r="C110" i="5"/>
  <c r="D110" i="5"/>
  <c r="E110" i="5"/>
  <c r="F110" i="5"/>
  <c r="G110" i="5"/>
  <c r="B111" i="5"/>
  <c r="C111" i="5"/>
  <c r="D111" i="5"/>
  <c r="E111" i="5"/>
  <c r="F111" i="5"/>
  <c r="G111" i="5"/>
  <c r="B112" i="5"/>
  <c r="C112" i="5"/>
  <c r="D112" i="5"/>
  <c r="E112" i="5"/>
  <c r="F112" i="5"/>
  <c r="G112" i="5"/>
  <c r="B113" i="5"/>
  <c r="C113" i="5"/>
  <c r="D113" i="5"/>
  <c r="E113" i="5"/>
  <c r="F113" i="5"/>
  <c r="G113" i="5"/>
  <c r="B114" i="5"/>
  <c r="C114" i="5"/>
  <c r="D114" i="5"/>
  <c r="E114" i="5"/>
  <c r="F114" i="5"/>
  <c r="G114" i="5"/>
  <c r="B115" i="5"/>
  <c r="C115" i="5"/>
  <c r="D115" i="5"/>
  <c r="E115" i="5"/>
  <c r="F115" i="5"/>
  <c r="G115" i="5"/>
  <c r="B116" i="5"/>
  <c r="C116" i="5"/>
  <c r="D116" i="5"/>
  <c r="E116" i="5"/>
  <c r="F116" i="5"/>
  <c r="G116" i="5"/>
  <c r="B117" i="5"/>
  <c r="C117" i="5"/>
  <c r="D117" i="5"/>
  <c r="E117" i="5"/>
  <c r="F117" i="5"/>
  <c r="G117" i="5"/>
  <c r="B118" i="5"/>
  <c r="C118" i="5"/>
  <c r="D118" i="5"/>
  <c r="E118" i="5"/>
  <c r="F118" i="5"/>
  <c r="G118" i="5"/>
  <c r="B119" i="5"/>
  <c r="C119" i="5"/>
  <c r="D119" i="5"/>
  <c r="E119" i="5"/>
  <c r="F119" i="5"/>
  <c r="G119" i="5"/>
  <c r="B120" i="5"/>
  <c r="C120" i="5"/>
  <c r="D120" i="5"/>
  <c r="E120" i="5"/>
  <c r="F120" i="5"/>
  <c r="G120" i="5"/>
  <c r="B121" i="5"/>
  <c r="C121" i="5"/>
  <c r="D121" i="5"/>
  <c r="E121" i="5"/>
  <c r="F121" i="5"/>
  <c r="G121" i="5"/>
  <c r="B122" i="5"/>
  <c r="C122" i="5"/>
  <c r="D122" i="5"/>
  <c r="E122" i="5"/>
  <c r="F122" i="5"/>
  <c r="G122" i="5"/>
  <c r="B123" i="5"/>
  <c r="C123" i="5"/>
  <c r="D123" i="5"/>
  <c r="E123" i="5"/>
  <c r="F123" i="5"/>
  <c r="G123" i="5"/>
  <c r="B124" i="5"/>
  <c r="C124" i="5"/>
  <c r="D124" i="5"/>
  <c r="E124" i="5"/>
  <c r="F124" i="5"/>
  <c r="G124" i="5"/>
  <c r="B125" i="5"/>
  <c r="C125" i="5"/>
  <c r="D125" i="5"/>
  <c r="E125" i="5"/>
  <c r="F125" i="5"/>
  <c r="G125" i="5"/>
  <c r="B126" i="5"/>
  <c r="C126" i="5"/>
  <c r="D126" i="5"/>
  <c r="E126" i="5"/>
  <c r="F126" i="5"/>
  <c r="G126" i="5"/>
  <c r="B127" i="5"/>
  <c r="C127" i="5"/>
  <c r="D127" i="5"/>
  <c r="E127" i="5"/>
  <c r="F127" i="5"/>
  <c r="G127" i="5"/>
  <c r="B128" i="5"/>
  <c r="C128" i="5"/>
  <c r="D128" i="5"/>
  <c r="E128" i="5"/>
  <c r="F128" i="5"/>
  <c r="G128" i="5"/>
  <c r="B129" i="5"/>
  <c r="C129" i="5"/>
  <c r="D129" i="5"/>
  <c r="E129" i="5"/>
  <c r="F129" i="5"/>
  <c r="G129" i="5"/>
  <c r="B130" i="5"/>
  <c r="C130" i="5"/>
  <c r="D130" i="5"/>
  <c r="E130" i="5"/>
  <c r="F130" i="5"/>
  <c r="G130" i="5"/>
  <c r="B131" i="5"/>
  <c r="C131" i="5"/>
  <c r="D131" i="5"/>
  <c r="E131" i="5"/>
  <c r="F131" i="5"/>
  <c r="G131" i="5"/>
  <c r="B132" i="5"/>
  <c r="C132" i="5"/>
  <c r="D132" i="5"/>
  <c r="E132" i="5"/>
  <c r="F132" i="5"/>
  <c r="G132" i="5"/>
  <c r="B133" i="5"/>
  <c r="C133" i="5"/>
  <c r="D133" i="5"/>
  <c r="E133" i="5"/>
  <c r="F133" i="5"/>
  <c r="G133" i="5"/>
  <c r="B134" i="5"/>
  <c r="C134" i="5"/>
  <c r="D134" i="5"/>
  <c r="E134" i="5"/>
  <c r="F134" i="5"/>
  <c r="G134" i="5"/>
  <c r="B135" i="5"/>
  <c r="C135" i="5"/>
  <c r="D135" i="5"/>
  <c r="E135" i="5"/>
  <c r="F135" i="5"/>
  <c r="G135" i="5"/>
  <c r="B136" i="5"/>
  <c r="C136" i="5"/>
  <c r="D136" i="5"/>
  <c r="E136" i="5"/>
  <c r="F136" i="5"/>
  <c r="G136" i="5"/>
  <c r="B137" i="5"/>
  <c r="C137" i="5"/>
  <c r="D137" i="5"/>
  <c r="E137" i="5"/>
  <c r="F137" i="5"/>
  <c r="G137" i="5"/>
  <c r="B138" i="5"/>
  <c r="C138" i="5"/>
  <c r="D138" i="5"/>
  <c r="E138" i="5"/>
  <c r="F138" i="5"/>
  <c r="G138" i="5"/>
  <c r="B139" i="5"/>
  <c r="C139" i="5"/>
  <c r="D139" i="5"/>
  <c r="E139" i="5"/>
  <c r="F139" i="5"/>
  <c r="G139" i="5"/>
  <c r="B140" i="5"/>
  <c r="C140" i="5"/>
  <c r="D140" i="5"/>
  <c r="E140" i="5"/>
  <c r="F140" i="5"/>
  <c r="G140" i="5"/>
  <c r="B141" i="5"/>
  <c r="C141" i="5"/>
  <c r="D141" i="5"/>
  <c r="E141" i="5"/>
  <c r="F141" i="5"/>
  <c r="G141" i="5"/>
  <c r="B142" i="5"/>
  <c r="C142" i="5"/>
  <c r="D142" i="5"/>
  <c r="E142" i="5"/>
  <c r="F142" i="5"/>
  <c r="G142" i="5"/>
  <c r="B143" i="5"/>
  <c r="C143" i="5"/>
  <c r="D143" i="5"/>
  <c r="E143" i="5"/>
  <c r="F143" i="5"/>
  <c r="G143" i="5"/>
  <c r="B144" i="5"/>
  <c r="C144" i="5"/>
  <c r="D144" i="5"/>
  <c r="E144" i="5"/>
  <c r="F144" i="5"/>
  <c r="G144" i="5"/>
  <c r="B145" i="5"/>
  <c r="C145" i="5"/>
  <c r="D145" i="5"/>
  <c r="E145" i="5"/>
  <c r="F145" i="5"/>
  <c r="G145" i="5"/>
  <c r="B146" i="5"/>
  <c r="C146" i="5"/>
  <c r="D146" i="5"/>
  <c r="E146" i="5"/>
  <c r="F146" i="5"/>
  <c r="G146" i="5"/>
  <c r="B147" i="5"/>
  <c r="C147" i="5"/>
  <c r="D147" i="5"/>
  <c r="E147" i="5"/>
  <c r="F147" i="5"/>
  <c r="G147" i="5"/>
  <c r="B148" i="5"/>
  <c r="C148" i="5"/>
  <c r="D148" i="5"/>
  <c r="E148" i="5"/>
  <c r="F148" i="5"/>
  <c r="G148" i="5"/>
  <c r="B149" i="5"/>
  <c r="C149" i="5"/>
  <c r="D149" i="5"/>
  <c r="E149" i="5"/>
  <c r="F149" i="5"/>
  <c r="G149" i="5"/>
  <c r="B150" i="5"/>
  <c r="C150" i="5"/>
  <c r="D150" i="5"/>
  <c r="E150" i="5"/>
  <c r="F150" i="5"/>
  <c r="G150" i="5"/>
  <c r="B151" i="5"/>
  <c r="C151" i="5"/>
  <c r="D151" i="5"/>
  <c r="E151" i="5"/>
  <c r="F151" i="5"/>
  <c r="G151" i="5"/>
  <c r="B152" i="5"/>
  <c r="C152" i="5"/>
  <c r="D152" i="5"/>
  <c r="E152" i="5"/>
  <c r="F152" i="5"/>
  <c r="G152" i="5"/>
  <c r="B153" i="5"/>
  <c r="C153" i="5"/>
  <c r="D153" i="5"/>
  <c r="E153" i="5"/>
  <c r="F153" i="5"/>
  <c r="G153" i="5"/>
  <c r="B154" i="5"/>
  <c r="C154" i="5"/>
  <c r="D154" i="5"/>
  <c r="E154" i="5"/>
  <c r="F154" i="5"/>
  <c r="G154" i="5"/>
  <c r="B155" i="5"/>
  <c r="C155" i="5"/>
  <c r="D155" i="5"/>
  <c r="E155" i="5"/>
  <c r="F155" i="5"/>
  <c r="G155" i="5"/>
  <c r="B156" i="5"/>
  <c r="C156" i="5"/>
  <c r="D156" i="5"/>
  <c r="E156" i="5"/>
  <c r="F156" i="5"/>
  <c r="G156" i="5"/>
  <c r="B157" i="5"/>
  <c r="C157" i="5"/>
  <c r="D157" i="5"/>
  <c r="E157" i="5"/>
  <c r="F157" i="5"/>
  <c r="G157" i="5"/>
  <c r="B158" i="5"/>
  <c r="C158" i="5"/>
  <c r="D158" i="5"/>
  <c r="E158" i="5"/>
  <c r="F158" i="5"/>
  <c r="G158" i="5"/>
  <c r="B159" i="5"/>
  <c r="C159" i="5"/>
  <c r="D159" i="5"/>
  <c r="E159" i="5"/>
  <c r="F159" i="5"/>
  <c r="G159" i="5"/>
  <c r="B160" i="5"/>
  <c r="C160" i="5"/>
  <c r="D160" i="5"/>
  <c r="E160" i="5"/>
  <c r="F160" i="5"/>
  <c r="G160" i="5"/>
  <c r="B161" i="5"/>
  <c r="C161" i="5"/>
  <c r="D161" i="5"/>
  <c r="E161" i="5"/>
  <c r="F161" i="5"/>
  <c r="G161" i="5"/>
  <c r="B162" i="5"/>
  <c r="C162" i="5"/>
  <c r="D162" i="5"/>
  <c r="E162" i="5"/>
  <c r="F162" i="5"/>
  <c r="G162" i="5"/>
  <c r="B163" i="5"/>
  <c r="C163" i="5"/>
  <c r="D163" i="5"/>
  <c r="E163" i="5"/>
  <c r="F163" i="5"/>
  <c r="G163" i="5"/>
  <c r="B164" i="5"/>
  <c r="C164" i="5"/>
  <c r="D164" i="5"/>
  <c r="E164" i="5"/>
  <c r="F164" i="5"/>
  <c r="G164" i="5"/>
  <c r="B165" i="5"/>
  <c r="C165" i="5"/>
  <c r="D165" i="5"/>
  <c r="E165" i="5"/>
  <c r="F165" i="5"/>
  <c r="G165" i="5"/>
  <c r="B166" i="5"/>
  <c r="C166" i="5"/>
  <c r="D166" i="5"/>
  <c r="E166" i="5"/>
  <c r="F166" i="5"/>
  <c r="G166" i="5"/>
  <c r="B167" i="5"/>
  <c r="C167" i="5"/>
  <c r="D167" i="5"/>
  <c r="E167" i="5"/>
  <c r="F167" i="5"/>
  <c r="G167" i="5"/>
  <c r="B168" i="5"/>
  <c r="C168" i="5"/>
  <c r="D168" i="5"/>
  <c r="E168" i="5"/>
  <c r="F168" i="5"/>
  <c r="G168" i="5"/>
  <c r="B169" i="5"/>
  <c r="C169" i="5"/>
  <c r="D169" i="5"/>
  <c r="E169" i="5"/>
  <c r="F169" i="5"/>
  <c r="G169" i="5"/>
  <c r="B170" i="5"/>
  <c r="C170" i="5"/>
  <c r="D170" i="5"/>
  <c r="E170" i="5"/>
  <c r="F170" i="5"/>
  <c r="G170" i="5"/>
  <c r="B171" i="5"/>
  <c r="C171" i="5"/>
  <c r="D171" i="5"/>
  <c r="E171" i="5"/>
  <c r="F171" i="5"/>
  <c r="G171" i="5"/>
  <c r="B172" i="5"/>
  <c r="C172" i="5"/>
  <c r="D172" i="5"/>
  <c r="E172" i="5"/>
  <c r="F172" i="5"/>
  <c r="G172" i="5"/>
  <c r="B173" i="5"/>
  <c r="C173" i="5"/>
  <c r="D173" i="5"/>
  <c r="E173" i="5"/>
  <c r="F173" i="5"/>
  <c r="G173" i="5"/>
  <c r="B174" i="5"/>
  <c r="C174" i="5"/>
  <c r="D174" i="5"/>
  <c r="E174" i="5"/>
  <c r="F174" i="5"/>
  <c r="G174" i="5"/>
  <c r="B175" i="5"/>
  <c r="C175" i="5"/>
  <c r="D175" i="5"/>
  <c r="E175" i="5"/>
  <c r="F175" i="5"/>
  <c r="G175" i="5"/>
  <c r="B176" i="5"/>
  <c r="C176" i="5"/>
  <c r="D176" i="5"/>
  <c r="E176" i="5"/>
  <c r="F176" i="5"/>
  <c r="G176" i="5"/>
  <c r="B177" i="5"/>
  <c r="C177" i="5"/>
  <c r="D177" i="5"/>
  <c r="E177" i="5"/>
  <c r="F177" i="5"/>
  <c r="G177" i="5"/>
  <c r="B178" i="5"/>
  <c r="C178" i="5"/>
  <c r="D178" i="5"/>
  <c r="E178" i="5"/>
  <c r="F178" i="5"/>
  <c r="G178" i="5"/>
  <c r="B179" i="5"/>
  <c r="C179" i="5"/>
  <c r="D179" i="5"/>
  <c r="E179" i="5"/>
  <c r="F179" i="5"/>
  <c r="G179" i="5"/>
  <c r="B180" i="5"/>
  <c r="C180" i="5"/>
  <c r="D180" i="5"/>
  <c r="E180" i="5"/>
  <c r="F180" i="5"/>
  <c r="G180" i="5"/>
  <c r="B181" i="5"/>
  <c r="C181" i="5"/>
  <c r="D181" i="5"/>
  <c r="E181" i="5"/>
  <c r="F181" i="5"/>
  <c r="G181" i="5"/>
  <c r="B182" i="5"/>
  <c r="C182" i="5"/>
  <c r="D182" i="5"/>
  <c r="E182" i="5"/>
  <c r="F182" i="5"/>
  <c r="G182" i="5"/>
  <c r="B183" i="5"/>
  <c r="C183" i="5"/>
  <c r="D183" i="5"/>
  <c r="E183" i="5"/>
  <c r="F183" i="5"/>
  <c r="G183" i="5"/>
  <c r="B184" i="5"/>
  <c r="C184" i="5"/>
  <c r="D184" i="5"/>
  <c r="E184" i="5"/>
  <c r="F184" i="5"/>
  <c r="G184" i="5"/>
  <c r="B185" i="5"/>
  <c r="C185" i="5"/>
  <c r="D185" i="5"/>
  <c r="E185" i="5"/>
  <c r="F185" i="5"/>
  <c r="G185" i="5"/>
  <c r="B186" i="5"/>
  <c r="C186" i="5"/>
  <c r="D186" i="5"/>
  <c r="E186" i="5"/>
  <c r="F186" i="5"/>
  <c r="G186" i="5"/>
  <c r="B187" i="5"/>
  <c r="C187" i="5"/>
  <c r="D187" i="5"/>
  <c r="E187" i="5"/>
  <c r="F187" i="5"/>
  <c r="G187" i="5"/>
  <c r="B188" i="5"/>
  <c r="C188" i="5"/>
  <c r="D188" i="5"/>
  <c r="E188" i="5"/>
  <c r="F188" i="5"/>
  <c r="G188" i="5"/>
  <c r="B189" i="5"/>
  <c r="C189" i="5"/>
  <c r="D189" i="5"/>
  <c r="E189" i="5"/>
  <c r="F189" i="5"/>
  <c r="G189" i="5"/>
  <c r="B190" i="5"/>
  <c r="C190" i="5"/>
  <c r="D190" i="5"/>
  <c r="E190" i="5"/>
  <c r="F190" i="5"/>
  <c r="G190" i="5"/>
  <c r="B191" i="5"/>
  <c r="C191" i="5"/>
  <c r="D191" i="5"/>
  <c r="E191" i="5"/>
  <c r="F191" i="5"/>
  <c r="G191" i="5"/>
  <c r="B192" i="5"/>
  <c r="C192" i="5"/>
  <c r="D192" i="5"/>
  <c r="E192" i="5"/>
  <c r="F192" i="5"/>
  <c r="G192" i="5"/>
  <c r="B193" i="5"/>
  <c r="C193" i="5"/>
  <c r="D193" i="5"/>
  <c r="E193" i="5"/>
  <c r="F193" i="5"/>
  <c r="G193" i="5"/>
  <c r="B194" i="5"/>
  <c r="C194" i="5"/>
  <c r="D194" i="5"/>
  <c r="E194" i="5"/>
  <c r="F194" i="5"/>
  <c r="G194" i="5"/>
  <c r="B195" i="5"/>
  <c r="C195" i="5"/>
  <c r="D195" i="5"/>
  <c r="E195" i="5"/>
  <c r="F195" i="5"/>
  <c r="G195" i="5"/>
  <c r="B196" i="5"/>
  <c r="C196" i="5"/>
  <c r="D196" i="5"/>
  <c r="E196" i="5"/>
  <c r="F196" i="5"/>
  <c r="G196" i="5"/>
  <c r="B197" i="5"/>
  <c r="C197" i="5"/>
  <c r="D197" i="5"/>
  <c r="E197" i="5"/>
  <c r="F197" i="5"/>
  <c r="G197" i="5"/>
  <c r="B198" i="5"/>
  <c r="C198" i="5"/>
  <c r="D198" i="5"/>
  <c r="E198" i="5"/>
  <c r="F198" i="5"/>
  <c r="G198" i="5"/>
  <c r="B199" i="5"/>
  <c r="C199" i="5"/>
  <c r="D199" i="5"/>
  <c r="E199" i="5"/>
  <c r="F199" i="5"/>
  <c r="G199" i="5"/>
  <c r="B200" i="5"/>
  <c r="C200" i="5"/>
  <c r="D200" i="5"/>
  <c r="E200" i="5"/>
  <c r="F200" i="5"/>
  <c r="G200" i="5"/>
  <c r="B201" i="5"/>
  <c r="C201" i="5"/>
  <c r="D201" i="5"/>
  <c r="E201" i="5"/>
  <c r="F201" i="5"/>
  <c r="G201" i="5"/>
  <c r="B202" i="5"/>
  <c r="C202" i="5"/>
  <c r="D202" i="5"/>
  <c r="E202" i="5"/>
  <c r="F202" i="5"/>
  <c r="G202" i="5"/>
  <c r="B203" i="5"/>
  <c r="C203" i="5"/>
  <c r="D203" i="5"/>
  <c r="E203" i="5"/>
  <c r="F203" i="5"/>
  <c r="G203" i="5"/>
  <c r="B204" i="5"/>
  <c r="C204" i="5"/>
  <c r="D204" i="5"/>
  <c r="E204" i="5"/>
  <c r="F204" i="5"/>
  <c r="G204" i="5"/>
  <c r="B205" i="5"/>
  <c r="C205" i="5"/>
  <c r="D205" i="5"/>
  <c r="E205" i="5"/>
  <c r="F205" i="5"/>
  <c r="G205" i="5"/>
  <c r="B206" i="5"/>
  <c r="C206" i="5"/>
  <c r="D206" i="5"/>
  <c r="E206" i="5"/>
  <c r="F206" i="5"/>
  <c r="G206" i="5"/>
  <c r="B207" i="5"/>
  <c r="C207" i="5"/>
  <c r="D207" i="5"/>
  <c r="E207" i="5"/>
  <c r="F207" i="5"/>
  <c r="G207" i="5"/>
  <c r="B208" i="5"/>
  <c r="C208" i="5"/>
  <c r="D208" i="5"/>
  <c r="E208" i="5"/>
  <c r="F208" i="5"/>
  <c r="G208" i="5"/>
  <c r="B209" i="5"/>
  <c r="C209" i="5"/>
  <c r="D209" i="5"/>
  <c r="E209" i="5"/>
  <c r="F209" i="5"/>
  <c r="G209" i="5"/>
  <c r="B210" i="5"/>
  <c r="C210" i="5"/>
  <c r="D210" i="5"/>
  <c r="E210" i="5"/>
  <c r="F210" i="5"/>
  <c r="G210" i="5"/>
  <c r="B211" i="5"/>
  <c r="C211" i="5"/>
  <c r="D211" i="5"/>
  <c r="E211" i="5"/>
  <c r="F211" i="5"/>
  <c r="G211" i="5"/>
  <c r="B212" i="5"/>
  <c r="C212" i="5"/>
  <c r="D212" i="5"/>
  <c r="E212" i="5"/>
  <c r="F212" i="5"/>
  <c r="G212" i="5"/>
  <c r="B213" i="5"/>
  <c r="C213" i="5"/>
  <c r="D213" i="5"/>
  <c r="E213" i="5"/>
  <c r="F213" i="5"/>
  <c r="G213" i="5"/>
  <c r="B214" i="5"/>
  <c r="C214" i="5"/>
  <c r="D214" i="5"/>
  <c r="E214" i="5"/>
  <c r="F214" i="5"/>
  <c r="G214" i="5"/>
  <c r="B215" i="5"/>
  <c r="C215" i="5"/>
  <c r="D215" i="5"/>
  <c r="E215" i="5"/>
  <c r="F215" i="5"/>
  <c r="G215" i="5"/>
  <c r="B216" i="5"/>
  <c r="C216" i="5"/>
  <c r="D216" i="5"/>
  <c r="E216" i="5"/>
  <c r="F216" i="5"/>
  <c r="G216" i="5"/>
  <c r="B217" i="5"/>
  <c r="C217" i="5"/>
  <c r="D217" i="5"/>
  <c r="E217" i="5"/>
  <c r="F217" i="5"/>
  <c r="G217" i="5"/>
  <c r="B218" i="5"/>
  <c r="C218" i="5"/>
  <c r="D218" i="5"/>
  <c r="E218" i="5"/>
  <c r="F218" i="5"/>
  <c r="G218" i="5"/>
  <c r="B219" i="5"/>
  <c r="C219" i="5"/>
  <c r="D219" i="5"/>
  <c r="E219" i="5"/>
  <c r="F219" i="5"/>
  <c r="G219" i="5"/>
  <c r="B220" i="5"/>
  <c r="C220" i="5"/>
  <c r="D220" i="5"/>
  <c r="E220" i="5"/>
  <c r="F220" i="5"/>
  <c r="G220" i="5"/>
  <c r="B221" i="5"/>
  <c r="C221" i="5"/>
  <c r="D221" i="5"/>
  <c r="E221" i="5"/>
  <c r="F221" i="5"/>
  <c r="G221" i="5"/>
  <c r="B222" i="5"/>
  <c r="C222" i="5"/>
  <c r="D222" i="5"/>
  <c r="E222" i="5"/>
  <c r="F222" i="5"/>
  <c r="G222" i="5"/>
  <c r="B223" i="5"/>
  <c r="C223" i="5"/>
  <c r="D223" i="5"/>
  <c r="E223" i="5"/>
  <c r="F223" i="5"/>
  <c r="G223" i="5"/>
  <c r="B224" i="5"/>
  <c r="C224" i="5"/>
  <c r="D224" i="5"/>
  <c r="E224" i="5"/>
  <c r="F224" i="5"/>
  <c r="G224" i="5"/>
  <c r="B225" i="5"/>
  <c r="C225" i="5"/>
  <c r="D225" i="5"/>
  <c r="E225" i="5"/>
  <c r="F225" i="5"/>
  <c r="G225" i="5"/>
  <c r="B226" i="5"/>
  <c r="C226" i="5"/>
  <c r="D226" i="5"/>
  <c r="E226" i="5"/>
  <c r="F226" i="5"/>
  <c r="G226" i="5"/>
  <c r="B227" i="5"/>
  <c r="C227" i="5"/>
  <c r="D227" i="5"/>
  <c r="E227" i="5"/>
  <c r="F227" i="5"/>
  <c r="G227" i="5"/>
  <c r="B228" i="5"/>
  <c r="C228" i="5"/>
  <c r="D228" i="5"/>
  <c r="E228" i="5"/>
  <c r="F228" i="5"/>
  <c r="G228" i="5"/>
  <c r="B229" i="5"/>
  <c r="C229" i="5"/>
  <c r="D229" i="5"/>
  <c r="E229" i="5"/>
  <c r="F229" i="5"/>
  <c r="G229" i="5"/>
  <c r="B230" i="5"/>
  <c r="C230" i="5"/>
  <c r="D230" i="5"/>
  <c r="E230" i="5"/>
  <c r="F230" i="5"/>
  <c r="G230" i="5"/>
  <c r="B231" i="5"/>
  <c r="C231" i="5"/>
  <c r="D231" i="5"/>
  <c r="E231" i="5"/>
  <c r="F231" i="5"/>
  <c r="G231" i="5"/>
  <c r="B232" i="5"/>
  <c r="C232" i="5"/>
  <c r="D232" i="5"/>
  <c r="E232" i="5"/>
  <c r="F232" i="5"/>
  <c r="G232" i="5"/>
  <c r="B233" i="5"/>
  <c r="C233" i="5"/>
  <c r="D233" i="5"/>
  <c r="E233" i="5"/>
  <c r="F233" i="5"/>
  <c r="G233" i="5"/>
  <c r="B234" i="5"/>
  <c r="C234" i="5"/>
  <c r="D234" i="5"/>
  <c r="E234" i="5"/>
  <c r="F234" i="5"/>
  <c r="G234" i="5"/>
  <c r="B6" i="7"/>
  <c r="AY7" i="6" a="1"/>
  <c r="AY7" i="6"/>
  <c r="AZ7" i="6"/>
  <c r="BA7" i="6"/>
  <c r="BB7" i="6"/>
  <c r="BC7" i="6"/>
  <c r="BD7" i="6"/>
  <c r="BE7" i="6"/>
  <c r="BF7" i="6"/>
  <c r="BG7" i="6"/>
  <c r="BH7" i="6"/>
  <c r="BI7" i="6"/>
  <c r="AY8" i="6"/>
  <c r="AZ8" i="6"/>
  <c r="BA8" i="6"/>
  <c r="BB8" i="6"/>
  <c r="BC8" i="6"/>
  <c r="BD8" i="6"/>
  <c r="BE8" i="6"/>
  <c r="BF8" i="6"/>
  <c r="BG8" i="6"/>
  <c r="BH8" i="6"/>
  <c r="BI8" i="6"/>
  <c r="AY9" i="6"/>
  <c r="AZ9" i="6"/>
  <c r="BA9" i="6"/>
  <c r="BB9" i="6"/>
  <c r="BC9" i="6"/>
  <c r="BD9" i="6"/>
  <c r="BE9" i="6"/>
  <c r="BF9" i="6"/>
  <c r="BG9" i="6"/>
  <c r="BH9" i="6"/>
  <c r="BI9" i="6"/>
  <c r="AY10" i="6"/>
  <c r="AZ10" i="6"/>
  <c r="BA10" i="6"/>
  <c r="BB10" i="6"/>
  <c r="BC10" i="6"/>
  <c r="BD10" i="6"/>
  <c r="BE10" i="6"/>
  <c r="BF10" i="6"/>
  <c r="BG10" i="6"/>
  <c r="BH10" i="6"/>
  <c r="BI10" i="6"/>
  <c r="AY11" i="6"/>
  <c r="AZ11" i="6"/>
  <c r="BA11" i="6"/>
  <c r="BB11" i="6"/>
  <c r="BC11" i="6"/>
  <c r="BD11" i="6"/>
  <c r="BE11" i="6"/>
  <c r="BF11" i="6"/>
  <c r="BG11" i="6"/>
  <c r="BH11" i="6"/>
  <c r="BI11" i="6"/>
  <c r="AY12" i="6"/>
  <c r="AZ12" i="6"/>
  <c r="BA12" i="6"/>
  <c r="BB12" i="6"/>
  <c r="BC12" i="6"/>
  <c r="BD12" i="6"/>
  <c r="BE12" i="6"/>
  <c r="BF12" i="6"/>
  <c r="BG12" i="6"/>
  <c r="BH12" i="6"/>
  <c r="BI12" i="6"/>
  <c r="AY13" i="6"/>
  <c r="AZ13" i="6"/>
  <c r="BA13" i="6"/>
  <c r="BB13" i="6"/>
  <c r="BC13" i="6"/>
  <c r="BD13" i="6"/>
  <c r="BE13" i="6"/>
  <c r="BF13" i="6"/>
  <c r="BG13" i="6"/>
  <c r="BH13" i="6"/>
  <c r="BI13" i="6"/>
  <c r="AY14" i="6"/>
  <c r="AZ14" i="6"/>
  <c r="BA14" i="6"/>
  <c r="BB14" i="6"/>
  <c r="BC14" i="6"/>
  <c r="BD14" i="6"/>
  <c r="BE14" i="6"/>
  <c r="BF14" i="6"/>
  <c r="BG14" i="6"/>
  <c r="BH14" i="6"/>
  <c r="BI14" i="6"/>
  <c r="AY15" i="6"/>
  <c r="AZ15" i="6"/>
  <c r="BA15" i="6"/>
  <c r="BB15" i="6"/>
  <c r="BC15" i="6"/>
  <c r="BD15" i="6"/>
  <c r="BE15" i="6"/>
  <c r="BF15" i="6"/>
  <c r="BG15" i="6"/>
  <c r="BH15" i="6"/>
  <c r="BI15" i="6"/>
  <c r="AY16" i="6"/>
  <c r="AZ16" i="6"/>
  <c r="BA16" i="6"/>
  <c r="BB16" i="6"/>
  <c r="BC16" i="6"/>
  <c r="BD16" i="6"/>
  <c r="BE16" i="6"/>
  <c r="BF16" i="6"/>
  <c r="BG16" i="6"/>
  <c r="BH16" i="6"/>
  <c r="BI16" i="6"/>
  <c r="AY17" i="6"/>
  <c r="AZ17" i="6"/>
  <c r="BA17" i="6"/>
  <c r="BB17" i="6"/>
  <c r="BC17" i="6"/>
  <c r="BD17" i="6"/>
  <c r="BE17" i="6"/>
  <c r="BF17" i="6"/>
  <c r="BG17" i="6"/>
  <c r="BH17" i="6"/>
  <c r="BI17" i="6"/>
  <c r="AM5" i="3" a="1"/>
  <c r="AM5" i="3"/>
  <c r="AY20" i="3"/>
  <c r="AM6" i="3"/>
  <c r="AZ21" i="3"/>
  <c r="AM7" i="3"/>
  <c r="BA22" i="3"/>
  <c r="AM8" i="3"/>
  <c r="BB23" i="3"/>
  <c r="AM9" i="3"/>
  <c r="BC24" i="3"/>
  <c r="AM10" i="3"/>
  <c r="BD25" i="3"/>
  <c r="AM11" i="3"/>
  <c r="BE26" i="3"/>
  <c r="AM12" i="3"/>
  <c r="BF27" i="3"/>
  <c r="AM13" i="3"/>
  <c r="BG28" i="3"/>
  <c r="AM14" i="3"/>
  <c r="BH29" i="3"/>
  <c r="AM15" i="3"/>
  <c r="BI30" i="3"/>
  <c r="AM15" i="6" a="1"/>
  <c r="AM15" i="6"/>
  <c r="AN15" i="6"/>
  <c r="AO15" i="6"/>
  <c r="AP15" i="6"/>
  <c r="AQ15" i="6"/>
  <c r="AR15" i="6"/>
  <c r="AS15" i="6"/>
  <c r="AT15" i="6"/>
  <c r="AU15" i="6"/>
  <c r="AV15" i="6"/>
  <c r="AW15" i="6"/>
  <c r="AM16" i="6"/>
  <c r="AN16" i="6"/>
  <c r="AO16" i="6"/>
  <c r="AP16" i="6"/>
  <c r="AQ16" i="6"/>
  <c r="AR16" i="6"/>
  <c r="AS16" i="6"/>
  <c r="AT16" i="6"/>
  <c r="AU16" i="6"/>
  <c r="AV16" i="6"/>
  <c r="AW16" i="6"/>
  <c r="AM17" i="6"/>
  <c r="AN17" i="6"/>
  <c r="AO17" i="6"/>
  <c r="AP17" i="6"/>
  <c r="AQ17" i="6"/>
  <c r="AR17" i="6"/>
  <c r="AS17" i="6"/>
  <c r="AT17" i="6"/>
  <c r="AU17" i="6"/>
  <c r="AV17" i="6"/>
  <c r="AW17" i="6"/>
  <c r="AM18" i="6"/>
  <c r="AN18" i="6"/>
  <c r="AO18" i="6"/>
  <c r="AP18" i="6"/>
  <c r="AQ18" i="6"/>
  <c r="AR18" i="6"/>
  <c r="AS18" i="6"/>
  <c r="AT18" i="6"/>
  <c r="AU18" i="6"/>
  <c r="AV18" i="6"/>
  <c r="AW18" i="6"/>
  <c r="AM19" i="6"/>
  <c r="AN19" i="6"/>
  <c r="AO19" i="6"/>
  <c r="AP19" i="6"/>
  <c r="AQ19" i="6"/>
  <c r="AR19" i="6"/>
  <c r="AS19" i="6"/>
  <c r="AT19" i="6"/>
  <c r="AU19" i="6"/>
  <c r="AV19" i="6"/>
  <c r="AW19" i="6"/>
  <c r="AM20" i="6"/>
  <c r="AN20" i="6"/>
  <c r="AO20" i="6"/>
  <c r="AP20" i="6"/>
  <c r="AQ20" i="6"/>
  <c r="AR20" i="6"/>
  <c r="AS20" i="6"/>
  <c r="AT20" i="6"/>
  <c r="AU20" i="6"/>
  <c r="AV20" i="6"/>
  <c r="AW20" i="6"/>
  <c r="AM21" i="6"/>
  <c r="AN21" i="6"/>
  <c r="AO21" i="6"/>
  <c r="AP21" i="6"/>
  <c r="AQ21" i="6"/>
  <c r="AR21" i="6"/>
  <c r="AS21" i="6"/>
  <c r="AT21" i="6"/>
  <c r="AU21" i="6"/>
  <c r="AV21" i="6"/>
  <c r="AW21" i="6"/>
  <c r="AM22" i="6"/>
  <c r="AN22" i="6"/>
  <c r="AO22" i="6"/>
  <c r="AP22" i="6"/>
  <c r="AQ22" i="6"/>
  <c r="AR22" i="6"/>
  <c r="AS22" i="6"/>
  <c r="AT22" i="6"/>
  <c r="AU22" i="6"/>
  <c r="AV22" i="6"/>
  <c r="AW22" i="6"/>
  <c r="AM23" i="6"/>
  <c r="AN23" i="6"/>
  <c r="AO23" i="6"/>
  <c r="AP23" i="6"/>
  <c r="AQ23" i="6"/>
  <c r="AR23" i="6"/>
  <c r="AS23" i="6"/>
  <c r="AT23" i="6"/>
  <c r="AU23" i="6"/>
  <c r="AV23" i="6"/>
  <c r="AW23" i="6"/>
  <c r="AM24" i="6"/>
  <c r="AN24" i="6"/>
  <c r="AO24" i="6"/>
  <c r="AP24" i="6"/>
  <c r="AQ24" i="6"/>
  <c r="AR24" i="6"/>
  <c r="AS24" i="6"/>
  <c r="AT24" i="6"/>
  <c r="AU24" i="6"/>
  <c r="AV24" i="6"/>
  <c r="AW24" i="6"/>
  <c r="AM25" i="6"/>
  <c r="AN25" i="6"/>
  <c r="AO25" i="6"/>
  <c r="AP25" i="6"/>
  <c r="AQ25" i="6"/>
  <c r="AR25" i="6"/>
  <c r="AS25" i="6"/>
  <c r="AT25" i="6"/>
  <c r="AU25" i="6"/>
  <c r="AV25" i="6"/>
  <c r="AW25" i="6"/>
  <c r="B9" i="6"/>
  <c r="C9" i="6"/>
  <c r="D9" i="6"/>
  <c r="E9" i="6"/>
  <c r="F9" i="6"/>
  <c r="G9" i="6"/>
  <c r="H9" i="6"/>
  <c r="I9" i="6"/>
  <c r="J9" i="6"/>
  <c r="K9" i="6"/>
  <c r="L9" i="6"/>
  <c r="L14" i="6"/>
  <c r="K14" i="6"/>
  <c r="J14" i="6"/>
  <c r="I14" i="6"/>
  <c r="H14" i="6"/>
  <c r="G14" i="6"/>
  <c r="F14" i="6"/>
  <c r="E14" i="6"/>
  <c r="D14" i="6"/>
  <c r="C14" i="6"/>
  <c r="B14" i="6"/>
  <c r="L13" i="6"/>
  <c r="K13" i="6"/>
  <c r="J13" i="6"/>
  <c r="I13" i="6"/>
  <c r="H13" i="6"/>
  <c r="G13" i="6"/>
  <c r="F13" i="6"/>
  <c r="E13" i="6"/>
  <c r="D13" i="6"/>
  <c r="C13" i="6"/>
  <c r="B13" i="6"/>
  <c r="AM11" i="6" a="1"/>
  <c r="AM11" i="6"/>
  <c r="AN11" i="6"/>
  <c r="AO11" i="6"/>
  <c r="AP11" i="6"/>
  <c r="AQ11" i="6"/>
  <c r="AR11" i="6"/>
  <c r="AS11" i="6"/>
  <c r="AT11" i="6"/>
  <c r="AU11" i="6"/>
  <c r="AV11" i="6"/>
  <c r="AW11" i="6"/>
  <c r="L11" i="6"/>
  <c r="K11" i="6"/>
  <c r="J11" i="6"/>
  <c r="I11" i="6"/>
  <c r="H11" i="6"/>
  <c r="G11" i="6"/>
  <c r="F11" i="6"/>
  <c r="E11" i="6"/>
  <c r="D11" i="6"/>
  <c r="C11" i="6"/>
  <c r="B11" i="6"/>
  <c r="L10" i="6"/>
  <c r="K10" i="6"/>
  <c r="J10" i="6"/>
  <c r="I10" i="6"/>
  <c r="H10" i="6"/>
  <c r="G10" i="6"/>
  <c r="F10" i="6"/>
  <c r="E10" i="6"/>
  <c r="D10" i="6"/>
  <c r="C10" i="6"/>
  <c r="B10" i="6"/>
  <c r="B12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10" i="6"/>
  <c r="N10" i="6"/>
  <c r="C12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10" i="6"/>
  <c r="O10" i="6"/>
  <c r="D12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10" i="6"/>
  <c r="P10" i="6"/>
  <c r="E12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10" i="6"/>
  <c r="Q10" i="6"/>
  <c r="F12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10" i="6"/>
  <c r="R10" i="6"/>
  <c r="G12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10" i="6"/>
  <c r="S10" i="6"/>
  <c r="H12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10" i="6"/>
  <c r="T10" i="6"/>
  <c r="I12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10" i="6"/>
  <c r="U10" i="6"/>
  <c r="J12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10" i="6"/>
  <c r="V10" i="6"/>
  <c r="K12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10" i="6"/>
  <c r="W10" i="6"/>
  <c r="L12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L1001" i="6"/>
  <c r="L1002" i="6"/>
  <c r="L1003" i="6"/>
  <c r="L1004" i="6"/>
  <c r="L1005" i="6"/>
  <c r="L1006" i="6"/>
  <c r="L1007" i="6"/>
  <c r="L1008" i="6"/>
  <c r="L1010" i="6"/>
  <c r="X10" i="6"/>
  <c r="N11" i="6"/>
  <c r="O11" i="6"/>
  <c r="P11" i="6"/>
  <c r="Q11" i="6"/>
  <c r="R11" i="6"/>
  <c r="S11" i="6"/>
  <c r="T11" i="6"/>
  <c r="U11" i="6"/>
  <c r="V11" i="6"/>
  <c r="W11" i="6"/>
  <c r="X11" i="6"/>
  <c r="N12" i="6"/>
  <c r="O12" i="6"/>
  <c r="P12" i="6"/>
  <c r="Q12" i="6"/>
  <c r="R12" i="6"/>
  <c r="S12" i="6"/>
  <c r="T12" i="6"/>
  <c r="U12" i="6"/>
  <c r="V12" i="6"/>
  <c r="W12" i="6"/>
  <c r="X12" i="6"/>
  <c r="N13" i="6"/>
  <c r="O13" i="6"/>
  <c r="P13" i="6"/>
  <c r="Q13" i="6"/>
  <c r="R13" i="6"/>
  <c r="S13" i="6"/>
  <c r="T13" i="6"/>
  <c r="U13" i="6"/>
  <c r="V13" i="6"/>
  <c r="W13" i="6"/>
  <c r="X13" i="6"/>
  <c r="N14" i="6"/>
  <c r="O14" i="6"/>
  <c r="P14" i="6"/>
  <c r="Q14" i="6"/>
  <c r="R14" i="6"/>
  <c r="S14" i="6"/>
  <c r="T14" i="6"/>
  <c r="U14" i="6"/>
  <c r="V14" i="6"/>
  <c r="W14" i="6"/>
  <c r="X14" i="6"/>
  <c r="N15" i="6"/>
  <c r="O15" i="6"/>
  <c r="P15" i="6"/>
  <c r="Q15" i="6"/>
  <c r="R15" i="6"/>
  <c r="S15" i="6"/>
  <c r="T15" i="6"/>
  <c r="U15" i="6"/>
  <c r="V15" i="6"/>
  <c r="W15" i="6"/>
  <c r="X15" i="6"/>
  <c r="N16" i="6"/>
  <c r="O16" i="6"/>
  <c r="P16" i="6"/>
  <c r="Q16" i="6"/>
  <c r="R16" i="6"/>
  <c r="S16" i="6"/>
  <c r="T16" i="6"/>
  <c r="U16" i="6"/>
  <c r="V16" i="6"/>
  <c r="W16" i="6"/>
  <c r="X16" i="6"/>
  <c r="N17" i="6"/>
  <c r="O17" i="6"/>
  <c r="P17" i="6"/>
  <c r="Q17" i="6"/>
  <c r="R17" i="6"/>
  <c r="S17" i="6"/>
  <c r="T17" i="6"/>
  <c r="U17" i="6"/>
  <c r="V17" i="6"/>
  <c r="W17" i="6"/>
  <c r="X17" i="6"/>
  <c r="N18" i="6"/>
  <c r="O18" i="6"/>
  <c r="P18" i="6"/>
  <c r="Q18" i="6"/>
  <c r="R18" i="6"/>
  <c r="S18" i="6"/>
  <c r="T18" i="6"/>
  <c r="U18" i="6"/>
  <c r="V18" i="6"/>
  <c r="W18" i="6"/>
  <c r="X18" i="6"/>
  <c r="N19" i="6"/>
  <c r="O19" i="6"/>
  <c r="P19" i="6"/>
  <c r="Q19" i="6"/>
  <c r="R19" i="6"/>
  <c r="S19" i="6"/>
  <c r="T19" i="6"/>
  <c r="U19" i="6"/>
  <c r="V19" i="6"/>
  <c r="W19" i="6"/>
  <c r="X19" i="6"/>
  <c r="N20" i="6"/>
  <c r="O20" i="6"/>
  <c r="P20" i="6"/>
  <c r="Q20" i="6"/>
  <c r="R20" i="6"/>
  <c r="S20" i="6"/>
  <c r="T20" i="6"/>
  <c r="U20" i="6"/>
  <c r="V20" i="6"/>
  <c r="W20" i="6"/>
  <c r="X20" i="6"/>
  <c r="N21" i="6"/>
  <c r="O21" i="6"/>
  <c r="P21" i="6"/>
  <c r="Q21" i="6"/>
  <c r="R21" i="6"/>
  <c r="S21" i="6"/>
  <c r="T21" i="6"/>
  <c r="U21" i="6"/>
  <c r="V21" i="6"/>
  <c r="W21" i="6"/>
  <c r="X21" i="6"/>
  <c r="N22" i="6"/>
  <c r="O22" i="6"/>
  <c r="P22" i="6"/>
  <c r="Q22" i="6"/>
  <c r="R22" i="6"/>
  <c r="S22" i="6"/>
  <c r="T22" i="6"/>
  <c r="U22" i="6"/>
  <c r="V22" i="6"/>
  <c r="W22" i="6"/>
  <c r="X22" i="6"/>
  <c r="N23" i="6"/>
  <c r="O23" i="6"/>
  <c r="P23" i="6"/>
  <c r="Q23" i="6"/>
  <c r="R23" i="6"/>
  <c r="S23" i="6"/>
  <c r="T23" i="6"/>
  <c r="U23" i="6"/>
  <c r="V23" i="6"/>
  <c r="W23" i="6"/>
  <c r="X23" i="6"/>
  <c r="N24" i="6"/>
  <c r="O24" i="6"/>
  <c r="P24" i="6"/>
  <c r="Q24" i="6"/>
  <c r="R24" i="6"/>
  <c r="S24" i="6"/>
  <c r="T24" i="6"/>
  <c r="U24" i="6"/>
  <c r="V24" i="6"/>
  <c r="W24" i="6"/>
  <c r="X24" i="6"/>
  <c r="N25" i="6"/>
  <c r="O25" i="6"/>
  <c r="P25" i="6"/>
  <c r="Q25" i="6"/>
  <c r="R25" i="6"/>
  <c r="S25" i="6"/>
  <c r="T25" i="6"/>
  <c r="U25" i="6"/>
  <c r="V25" i="6"/>
  <c r="W25" i="6"/>
  <c r="X25" i="6"/>
  <c r="N26" i="6"/>
  <c r="O26" i="6"/>
  <c r="P26" i="6"/>
  <c r="Q26" i="6"/>
  <c r="R26" i="6"/>
  <c r="S26" i="6"/>
  <c r="T26" i="6"/>
  <c r="U26" i="6"/>
  <c r="V26" i="6"/>
  <c r="W26" i="6"/>
  <c r="X26" i="6"/>
  <c r="N27" i="6"/>
  <c r="O27" i="6"/>
  <c r="P27" i="6"/>
  <c r="Q27" i="6"/>
  <c r="R27" i="6"/>
  <c r="S27" i="6"/>
  <c r="T27" i="6"/>
  <c r="U27" i="6"/>
  <c r="V27" i="6"/>
  <c r="W27" i="6"/>
  <c r="X27" i="6"/>
  <c r="N28" i="6"/>
  <c r="O28" i="6"/>
  <c r="P28" i="6"/>
  <c r="Q28" i="6"/>
  <c r="R28" i="6"/>
  <c r="S28" i="6"/>
  <c r="T28" i="6"/>
  <c r="U28" i="6"/>
  <c r="V28" i="6"/>
  <c r="W28" i="6"/>
  <c r="X28" i="6"/>
  <c r="N29" i="6"/>
  <c r="O29" i="6"/>
  <c r="P29" i="6"/>
  <c r="Q29" i="6"/>
  <c r="R29" i="6"/>
  <c r="S29" i="6"/>
  <c r="T29" i="6"/>
  <c r="U29" i="6"/>
  <c r="V29" i="6"/>
  <c r="W29" i="6"/>
  <c r="X29" i="6"/>
  <c r="N30" i="6"/>
  <c r="O30" i="6"/>
  <c r="P30" i="6"/>
  <c r="Q30" i="6"/>
  <c r="R30" i="6"/>
  <c r="S30" i="6"/>
  <c r="T30" i="6"/>
  <c r="U30" i="6"/>
  <c r="V30" i="6"/>
  <c r="W30" i="6"/>
  <c r="X30" i="6"/>
  <c r="N31" i="6"/>
  <c r="O31" i="6"/>
  <c r="P31" i="6"/>
  <c r="Q31" i="6"/>
  <c r="R31" i="6"/>
  <c r="S31" i="6"/>
  <c r="T31" i="6"/>
  <c r="U31" i="6"/>
  <c r="V31" i="6"/>
  <c r="W31" i="6"/>
  <c r="X31" i="6"/>
  <c r="N32" i="6"/>
  <c r="O32" i="6"/>
  <c r="P32" i="6"/>
  <c r="Q32" i="6"/>
  <c r="R32" i="6"/>
  <c r="S32" i="6"/>
  <c r="T32" i="6"/>
  <c r="U32" i="6"/>
  <c r="V32" i="6"/>
  <c r="W32" i="6"/>
  <c r="X32" i="6"/>
  <c r="N33" i="6"/>
  <c r="O33" i="6"/>
  <c r="P33" i="6"/>
  <c r="Q33" i="6"/>
  <c r="R33" i="6"/>
  <c r="S33" i="6"/>
  <c r="T33" i="6"/>
  <c r="U33" i="6"/>
  <c r="V33" i="6"/>
  <c r="W33" i="6"/>
  <c r="X33" i="6"/>
  <c r="N34" i="6"/>
  <c r="O34" i="6"/>
  <c r="P34" i="6"/>
  <c r="Q34" i="6"/>
  <c r="R34" i="6"/>
  <c r="S34" i="6"/>
  <c r="T34" i="6"/>
  <c r="U34" i="6"/>
  <c r="V34" i="6"/>
  <c r="W34" i="6"/>
  <c r="X34" i="6"/>
  <c r="N35" i="6"/>
  <c r="O35" i="6"/>
  <c r="P35" i="6"/>
  <c r="Q35" i="6"/>
  <c r="R35" i="6"/>
  <c r="S35" i="6"/>
  <c r="T35" i="6"/>
  <c r="U35" i="6"/>
  <c r="V35" i="6"/>
  <c r="W35" i="6"/>
  <c r="X35" i="6"/>
  <c r="N36" i="6"/>
  <c r="O36" i="6"/>
  <c r="P36" i="6"/>
  <c r="Q36" i="6"/>
  <c r="R36" i="6"/>
  <c r="S36" i="6"/>
  <c r="T36" i="6"/>
  <c r="U36" i="6"/>
  <c r="V36" i="6"/>
  <c r="W36" i="6"/>
  <c r="X36" i="6"/>
  <c r="N37" i="6"/>
  <c r="O37" i="6"/>
  <c r="P37" i="6"/>
  <c r="Q37" i="6"/>
  <c r="R37" i="6"/>
  <c r="S37" i="6"/>
  <c r="T37" i="6"/>
  <c r="U37" i="6"/>
  <c r="V37" i="6"/>
  <c r="W37" i="6"/>
  <c r="X37" i="6"/>
  <c r="N38" i="6"/>
  <c r="O38" i="6"/>
  <c r="P38" i="6"/>
  <c r="Q38" i="6"/>
  <c r="R38" i="6"/>
  <c r="S38" i="6"/>
  <c r="T38" i="6"/>
  <c r="U38" i="6"/>
  <c r="V38" i="6"/>
  <c r="W38" i="6"/>
  <c r="X38" i="6"/>
  <c r="N39" i="6"/>
  <c r="O39" i="6"/>
  <c r="P39" i="6"/>
  <c r="Q39" i="6"/>
  <c r="R39" i="6"/>
  <c r="S39" i="6"/>
  <c r="T39" i="6"/>
  <c r="U39" i="6"/>
  <c r="V39" i="6"/>
  <c r="W39" i="6"/>
  <c r="X39" i="6"/>
  <c r="N40" i="6"/>
  <c r="O40" i="6"/>
  <c r="P40" i="6"/>
  <c r="Q40" i="6"/>
  <c r="R40" i="6"/>
  <c r="S40" i="6"/>
  <c r="T40" i="6"/>
  <c r="U40" i="6"/>
  <c r="V40" i="6"/>
  <c r="W40" i="6"/>
  <c r="X40" i="6"/>
  <c r="N41" i="6"/>
  <c r="O41" i="6"/>
  <c r="P41" i="6"/>
  <c r="Q41" i="6"/>
  <c r="R41" i="6"/>
  <c r="S41" i="6"/>
  <c r="T41" i="6"/>
  <c r="U41" i="6"/>
  <c r="V41" i="6"/>
  <c r="W41" i="6"/>
  <c r="X41" i="6"/>
  <c r="N42" i="6"/>
  <c r="O42" i="6"/>
  <c r="P42" i="6"/>
  <c r="Q42" i="6"/>
  <c r="R42" i="6"/>
  <c r="S42" i="6"/>
  <c r="T42" i="6"/>
  <c r="U42" i="6"/>
  <c r="V42" i="6"/>
  <c r="W42" i="6"/>
  <c r="X42" i="6"/>
  <c r="N43" i="6"/>
  <c r="O43" i="6"/>
  <c r="P43" i="6"/>
  <c r="Q43" i="6"/>
  <c r="R43" i="6"/>
  <c r="S43" i="6"/>
  <c r="T43" i="6"/>
  <c r="U43" i="6"/>
  <c r="V43" i="6"/>
  <c r="W43" i="6"/>
  <c r="X43" i="6"/>
  <c r="N44" i="6"/>
  <c r="O44" i="6"/>
  <c r="P44" i="6"/>
  <c r="Q44" i="6"/>
  <c r="R44" i="6"/>
  <c r="S44" i="6"/>
  <c r="T44" i="6"/>
  <c r="U44" i="6"/>
  <c r="V44" i="6"/>
  <c r="W44" i="6"/>
  <c r="X44" i="6"/>
  <c r="N45" i="6"/>
  <c r="O45" i="6"/>
  <c r="P45" i="6"/>
  <c r="Q45" i="6"/>
  <c r="R45" i="6"/>
  <c r="S45" i="6"/>
  <c r="T45" i="6"/>
  <c r="U45" i="6"/>
  <c r="V45" i="6"/>
  <c r="W45" i="6"/>
  <c r="X45" i="6"/>
  <c r="N46" i="6"/>
  <c r="O46" i="6"/>
  <c r="P46" i="6"/>
  <c r="Q46" i="6"/>
  <c r="R46" i="6"/>
  <c r="S46" i="6"/>
  <c r="T46" i="6"/>
  <c r="U46" i="6"/>
  <c r="V46" i="6"/>
  <c r="W46" i="6"/>
  <c r="X46" i="6"/>
  <c r="N47" i="6"/>
  <c r="O47" i="6"/>
  <c r="P47" i="6"/>
  <c r="Q47" i="6"/>
  <c r="R47" i="6"/>
  <c r="S47" i="6"/>
  <c r="T47" i="6"/>
  <c r="U47" i="6"/>
  <c r="V47" i="6"/>
  <c r="W47" i="6"/>
  <c r="X47" i="6"/>
  <c r="N48" i="6"/>
  <c r="O48" i="6"/>
  <c r="P48" i="6"/>
  <c r="Q48" i="6"/>
  <c r="R48" i="6"/>
  <c r="S48" i="6"/>
  <c r="T48" i="6"/>
  <c r="U48" i="6"/>
  <c r="V48" i="6"/>
  <c r="W48" i="6"/>
  <c r="X48" i="6"/>
  <c r="N49" i="6"/>
  <c r="O49" i="6"/>
  <c r="P49" i="6"/>
  <c r="Q49" i="6"/>
  <c r="R49" i="6"/>
  <c r="S49" i="6"/>
  <c r="T49" i="6"/>
  <c r="U49" i="6"/>
  <c r="V49" i="6"/>
  <c r="W49" i="6"/>
  <c r="X49" i="6"/>
  <c r="N50" i="6"/>
  <c r="O50" i="6"/>
  <c r="P50" i="6"/>
  <c r="Q50" i="6"/>
  <c r="R50" i="6"/>
  <c r="S50" i="6"/>
  <c r="T50" i="6"/>
  <c r="U50" i="6"/>
  <c r="V50" i="6"/>
  <c r="W50" i="6"/>
  <c r="X50" i="6"/>
  <c r="N51" i="6"/>
  <c r="O51" i="6"/>
  <c r="P51" i="6"/>
  <c r="Q51" i="6"/>
  <c r="R51" i="6"/>
  <c r="S51" i="6"/>
  <c r="T51" i="6"/>
  <c r="U51" i="6"/>
  <c r="V51" i="6"/>
  <c r="W51" i="6"/>
  <c r="X51" i="6"/>
  <c r="N52" i="6"/>
  <c r="O52" i="6"/>
  <c r="P52" i="6"/>
  <c r="Q52" i="6"/>
  <c r="R52" i="6"/>
  <c r="S52" i="6"/>
  <c r="T52" i="6"/>
  <c r="U52" i="6"/>
  <c r="V52" i="6"/>
  <c r="W52" i="6"/>
  <c r="X52" i="6"/>
  <c r="N53" i="6"/>
  <c r="O53" i="6"/>
  <c r="P53" i="6"/>
  <c r="Q53" i="6"/>
  <c r="R53" i="6"/>
  <c r="S53" i="6"/>
  <c r="T53" i="6"/>
  <c r="U53" i="6"/>
  <c r="V53" i="6"/>
  <c r="W53" i="6"/>
  <c r="X53" i="6"/>
  <c r="N54" i="6"/>
  <c r="O54" i="6"/>
  <c r="P54" i="6"/>
  <c r="Q54" i="6"/>
  <c r="R54" i="6"/>
  <c r="S54" i="6"/>
  <c r="T54" i="6"/>
  <c r="U54" i="6"/>
  <c r="V54" i="6"/>
  <c r="W54" i="6"/>
  <c r="X54" i="6"/>
  <c r="N55" i="6"/>
  <c r="O55" i="6"/>
  <c r="P55" i="6"/>
  <c r="Q55" i="6"/>
  <c r="R55" i="6"/>
  <c r="S55" i="6"/>
  <c r="T55" i="6"/>
  <c r="U55" i="6"/>
  <c r="V55" i="6"/>
  <c r="W55" i="6"/>
  <c r="X55" i="6"/>
  <c r="N56" i="6"/>
  <c r="O56" i="6"/>
  <c r="P56" i="6"/>
  <c r="Q56" i="6"/>
  <c r="R56" i="6"/>
  <c r="S56" i="6"/>
  <c r="T56" i="6"/>
  <c r="U56" i="6"/>
  <c r="V56" i="6"/>
  <c r="W56" i="6"/>
  <c r="X56" i="6"/>
  <c r="N57" i="6"/>
  <c r="O57" i="6"/>
  <c r="P57" i="6"/>
  <c r="Q57" i="6"/>
  <c r="R57" i="6"/>
  <c r="S57" i="6"/>
  <c r="T57" i="6"/>
  <c r="U57" i="6"/>
  <c r="V57" i="6"/>
  <c r="W57" i="6"/>
  <c r="X57" i="6"/>
  <c r="N58" i="6"/>
  <c r="O58" i="6"/>
  <c r="P58" i="6"/>
  <c r="Q58" i="6"/>
  <c r="R58" i="6"/>
  <c r="S58" i="6"/>
  <c r="T58" i="6"/>
  <c r="U58" i="6"/>
  <c r="V58" i="6"/>
  <c r="W58" i="6"/>
  <c r="X58" i="6"/>
  <c r="N59" i="6"/>
  <c r="O59" i="6"/>
  <c r="P59" i="6"/>
  <c r="Q59" i="6"/>
  <c r="R59" i="6"/>
  <c r="S59" i="6"/>
  <c r="T59" i="6"/>
  <c r="U59" i="6"/>
  <c r="V59" i="6"/>
  <c r="W59" i="6"/>
  <c r="X59" i="6"/>
  <c r="N60" i="6"/>
  <c r="O60" i="6"/>
  <c r="P60" i="6"/>
  <c r="Q60" i="6"/>
  <c r="R60" i="6"/>
  <c r="S60" i="6"/>
  <c r="T60" i="6"/>
  <c r="U60" i="6"/>
  <c r="V60" i="6"/>
  <c r="W60" i="6"/>
  <c r="X60" i="6"/>
  <c r="N61" i="6"/>
  <c r="O61" i="6"/>
  <c r="P61" i="6"/>
  <c r="Q61" i="6"/>
  <c r="R61" i="6"/>
  <c r="S61" i="6"/>
  <c r="T61" i="6"/>
  <c r="U61" i="6"/>
  <c r="V61" i="6"/>
  <c r="W61" i="6"/>
  <c r="X61" i="6"/>
  <c r="N62" i="6"/>
  <c r="O62" i="6"/>
  <c r="P62" i="6"/>
  <c r="Q62" i="6"/>
  <c r="R62" i="6"/>
  <c r="S62" i="6"/>
  <c r="T62" i="6"/>
  <c r="U62" i="6"/>
  <c r="V62" i="6"/>
  <c r="W62" i="6"/>
  <c r="X62" i="6"/>
  <c r="N63" i="6"/>
  <c r="O63" i="6"/>
  <c r="P63" i="6"/>
  <c r="Q63" i="6"/>
  <c r="R63" i="6"/>
  <c r="S63" i="6"/>
  <c r="T63" i="6"/>
  <c r="U63" i="6"/>
  <c r="V63" i="6"/>
  <c r="W63" i="6"/>
  <c r="X63" i="6"/>
  <c r="N64" i="6"/>
  <c r="O64" i="6"/>
  <c r="P64" i="6"/>
  <c r="Q64" i="6"/>
  <c r="R64" i="6"/>
  <c r="S64" i="6"/>
  <c r="T64" i="6"/>
  <c r="U64" i="6"/>
  <c r="V64" i="6"/>
  <c r="W64" i="6"/>
  <c r="X64" i="6"/>
  <c r="N65" i="6"/>
  <c r="O65" i="6"/>
  <c r="P65" i="6"/>
  <c r="Q65" i="6"/>
  <c r="R65" i="6"/>
  <c r="S65" i="6"/>
  <c r="T65" i="6"/>
  <c r="U65" i="6"/>
  <c r="V65" i="6"/>
  <c r="W65" i="6"/>
  <c r="X65" i="6"/>
  <c r="N66" i="6"/>
  <c r="O66" i="6"/>
  <c r="P66" i="6"/>
  <c r="Q66" i="6"/>
  <c r="R66" i="6"/>
  <c r="S66" i="6"/>
  <c r="T66" i="6"/>
  <c r="U66" i="6"/>
  <c r="V66" i="6"/>
  <c r="W66" i="6"/>
  <c r="X66" i="6"/>
  <c r="N67" i="6"/>
  <c r="O67" i="6"/>
  <c r="P67" i="6"/>
  <c r="Q67" i="6"/>
  <c r="R67" i="6"/>
  <c r="S67" i="6"/>
  <c r="T67" i="6"/>
  <c r="U67" i="6"/>
  <c r="V67" i="6"/>
  <c r="W67" i="6"/>
  <c r="X67" i="6"/>
  <c r="N68" i="6"/>
  <c r="O68" i="6"/>
  <c r="P68" i="6"/>
  <c r="Q68" i="6"/>
  <c r="R68" i="6"/>
  <c r="S68" i="6"/>
  <c r="T68" i="6"/>
  <c r="U68" i="6"/>
  <c r="V68" i="6"/>
  <c r="W68" i="6"/>
  <c r="X68" i="6"/>
  <c r="N69" i="6"/>
  <c r="O69" i="6"/>
  <c r="P69" i="6"/>
  <c r="Q69" i="6"/>
  <c r="R69" i="6"/>
  <c r="S69" i="6"/>
  <c r="T69" i="6"/>
  <c r="U69" i="6"/>
  <c r="V69" i="6"/>
  <c r="W69" i="6"/>
  <c r="X69" i="6"/>
  <c r="N70" i="6"/>
  <c r="O70" i="6"/>
  <c r="P70" i="6"/>
  <c r="Q70" i="6"/>
  <c r="R70" i="6"/>
  <c r="S70" i="6"/>
  <c r="T70" i="6"/>
  <c r="U70" i="6"/>
  <c r="V70" i="6"/>
  <c r="W70" i="6"/>
  <c r="X70" i="6"/>
  <c r="N71" i="6"/>
  <c r="O71" i="6"/>
  <c r="P71" i="6"/>
  <c r="Q71" i="6"/>
  <c r="R71" i="6"/>
  <c r="S71" i="6"/>
  <c r="T71" i="6"/>
  <c r="U71" i="6"/>
  <c r="V71" i="6"/>
  <c r="W71" i="6"/>
  <c r="X71" i="6"/>
  <c r="N72" i="6"/>
  <c r="O72" i="6"/>
  <c r="P72" i="6"/>
  <c r="Q72" i="6"/>
  <c r="R72" i="6"/>
  <c r="S72" i="6"/>
  <c r="T72" i="6"/>
  <c r="U72" i="6"/>
  <c r="V72" i="6"/>
  <c r="W72" i="6"/>
  <c r="X72" i="6"/>
  <c r="N73" i="6"/>
  <c r="O73" i="6"/>
  <c r="P73" i="6"/>
  <c r="Q73" i="6"/>
  <c r="R73" i="6"/>
  <c r="S73" i="6"/>
  <c r="T73" i="6"/>
  <c r="U73" i="6"/>
  <c r="V73" i="6"/>
  <c r="W73" i="6"/>
  <c r="X73" i="6"/>
  <c r="N74" i="6"/>
  <c r="O74" i="6"/>
  <c r="P74" i="6"/>
  <c r="Q74" i="6"/>
  <c r="R74" i="6"/>
  <c r="S74" i="6"/>
  <c r="T74" i="6"/>
  <c r="U74" i="6"/>
  <c r="V74" i="6"/>
  <c r="W74" i="6"/>
  <c r="X74" i="6"/>
  <c r="N75" i="6"/>
  <c r="O75" i="6"/>
  <c r="P75" i="6"/>
  <c r="Q75" i="6"/>
  <c r="R75" i="6"/>
  <c r="S75" i="6"/>
  <c r="T75" i="6"/>
  <c r="U75" i="6"/>
  <c r="V75" i="6"/>
  <c r="W75" i="6"/>
  <c r="X75" i="6"/>
  <c r="N76" i="6"/>
  <c r="O76" i="6"/>
  <c r="P76" i="6"/>
  <c r="Q76" i="6"/>
  <c r="R76" i="6"/>
  <c r="S76" i="6"/>
  <c r="T76" i="6"/>
  <c r="U76" i="6"/>
  <c r="V76" i="6"/>
  <c r="W76" i="6"/>
  <c r="X76" i="6"/>
  <c r="N77" i="6"/>
  <c r="O77" i="6"/>
  <c r="P77" i="6"/>
  <c r="Q77" i="6"/>
  <c r="R77" i="6"/>
  <c r="S77" i="6"/>
  <c r="T77" i="6"/>
  <c r="U77" i="6"/>
  <c r="V77" i="6"/>
  <c r="W77" i="6"/>
  <c r="X77" i="6"/>
  <c r="N78" i="6"/>
  <c r="O78" i="6"/>
  <c r="P78" i="6"/>
  <c r="Q78" i="6"/>
  <c r="R78" i="6"/>
  <c r="S78" i="6"/>
  <c r="T78" i="6"/>
  <c r="U78" i="6"/>
  <c r="V78" i="6"/>
  <c r="W78" i="6"/>
  <c r="X78" i="6"/>
  <c r="N79" i="6"/>
  <c r="O79" i="6"/>
  <c r="P79" i="6"/>
  <c r="Q79" i="6"/>
  <c r="R79" i="6"/>
  <c r="S79" i="6"/>
  <c r="T79" i="6"/>
  <c r="U79" i="6"/>
  <c r="V79" i="6"/>
  <c r="W79" i="6"/>
  <c r="X79" i="6"/>
  <c r="N80" i="6"/>
  <c r="O80" i="6"/>
  <c r="P80" i="6"/>
  <c r="Q80" i="6"/>
  <c r="R80" i="6"/>
  <c r="S80" i="6"/>
  <c r="T80" i="6"/>
  <c r="U80" i="6"/>
  <c r="V80" i="6"/>
  <c r="W80" i="6"/>
  <c r="X80" i="6"/>
  <c r="N81" i="6"/>
  <c r="O81" i="6"/>
  <c r="P81" i="6"/>
  <c r="Q81" i="6"/>
  <c r="R81" i="6"/>
  <c r="S81" i="6"/>
  <c r="T81" i="6"/>
  <c r="U81" i="6"/>
  <c r="V81" i="6"/>
  <c r="W81" i="6"/>
  <c r="X81" i="6"/>
  <c r="N82" i="6"/>
  <c r="O82" i="6"/>
  <c r="P82" i="6"/>
  <c r="Q82" i="6"/>
  <c r="R82" i="6"/>
  <c r="S82" i="6"/>
  <c r="T82" i="6"/>
  <c r="U82" i="6"/>
  <c r="V82" i="6"/>
  <c r="W82" i="6"/>
  <c r="X82" i="6"/>
  <c r="N83" i="6"/>
  <c r="O83" i="6"/>
  <c r="P83" i="6"/>
  <c r="Q83" i="6"/>
  <c r="R83" i="6"/>
  <c r="S83" i="6"/>
  <c r="T83" i="6"/>
  <c r="U83" i="6"/>
  <c r="V83" i="6"/>
  <c r="W83" i="6"/>
  <c r="X83" i="6"/>
  <c r="N84" i="6"/>
  <c r="O84" i="6"/>
  <c r="P84" i="6"/>
  <c r="Q84" i="6"/>
  <c r="R84" i="6"/>
  <c r="S84" i="6"/>
  <c r="T84" i="6"/>
  <c r="U84" i="6"/>
  <c r="V84" i="6"/>
  <c r="W84" i="6"/>
  <c r="X84" i="6"/>
  <c r="N85" i="6"/>
  <c r="O85" i="6"/>
  <c r="P85" i="6"/>
  <c r="Q85" i="6"/>
  <c r="R85" i="6"/>
  <c r="S85" i="6"/>
  <c r="T85" i="6"/>
  <c r="U85" i="6"/>
  <c r="V85" i="6"/>
  <c r="W85" i="6"/>
  <c r="X85" i="6"/>
  <c r="N86" i="6"/>
  <c r="O86" i="6"/>
  <c r="P86" i="6"/>
  <c r="Q86" i="6"/>
  <c r="R86" i="6"/>
  <c r="S86" i="6"/>
  <c r="T86" i="6"/>
  <c r="U86" i="6"/>
  <c r="V86" i="6"/>
  <c r="W86" i="6"/>
  <c r="X86" i="6"/>
  <c r="N87" i="6"/>
  <c r="O87" i="6"/>
  <c r="P87" i="6"/>
  <c r="Q87" i="6"/>
  <c r="R87" i="6"/>
  <c r="S87" i="6"/>
  <c r="T87" i="6"/>
  <c r="U87" i="6"/>
  <c r="V87" i="6"/>
  <c r="W87" i="6"/>
  <c r="X87" i="6"/>
  <c r="N88" i="6"/>
  <c r="O88" i="6"/>
  <c r="P88" i="6"/>
  <c r="Q88" i="6"/>
  <c r="R88" i="6"/>
  <c r="S88" i="6"/>
  <c r="T88" i="6"/>
  <c r="U88" i="6"/>
  <c r="V88" i="6"/>
  <c r="W88" i="6"/>
  <c r="X88" i="6"/>
  <c r="N89" i="6"/>
  <c r="O89" i="6"/>
  <c r="P89" i="6"/>
  <c r="Q89" i="6"/>
  <c r="R89" i="6"/>
  <c r="S89" i="6"/>
  <c r="T89" i="6"/>
  <c r="U89" i="6"/>
  <c r="V89" i="6"/>
  <c r="W89" i="6"/>
  <c r="X89" i="6"/>
  <c r="N90" i="6"/>
  <c r="O90" i="6"/>
  <c r="P90" i="6"/>
  <c r="Q90" i="6"/>
  <c r="R90" i="6"/>
  <c r="S90" i="6"/>
  <c r="T90" i="6"/>
  <c r="U90" i="6"/>
  <c r="V90" i="6"/>
  <c r="W90" i="6"/>
  <c r="X90" i="6"/>
  <c r="N91" i="6"/>
  <c r="O91" i="6"/>
  <c r="P91" i="6"/>
  <c r="Q91" i="6"/>
  <c r="R91" i="6"/>
  <c r="S91" i="6"/>
  <c r="T91" i="6"/>
  <c r="U91" i="6"/>
  <c r="V91" i="6"/>
  <c r="W91" i="6"/>
  <c r="X91" i="6"/>
  <c r="N92" i="6"/>
  <c r="O92" i="6"/>
  <c r="P92" i="6"/>
  <c r="Q92" i="6"/>
  <c r="R92" i="6"/>
  <c r="S92" i="6"/>
  <c r="T92" i="6"/>
  <c r="U92" i="6"/>
  <c r="V92" i="6"/>
  <c r="W92" i="6"/>
  <c r="X92" i="6"/>
  <c r="N93" i="6"/>
  <c r="O93" i="6"/>
  <c r="P93" i="6"/>
  <c r="Q93" i="6"/>
  <c r="R93" i="6"/>
  <c r="S93" i="6"/>
  <c r="T93" i="6"/>
  <c r="U93" i="6"/>
  <c r="V93" i="6"/>
  <c r="W93" i="6"/>
  <c r="X93" i="6"/>
  <c r="N94" i="6"/>
  <c r="O94" i="6"/>
  <c r="P94" i="6"/>
  <c r="Q94" i="6"/>
  <c r="R94" i="6"/>
  <c r="S94" i="6"/>
  <c r="T94" i="6"/>
  <c r="U94" i="6"/>
  <c r="V94" i="6"/>
  <c r="W94" i="6"/>
  <c r="X94" i="6"/>
  <c r="N95" i="6"/>
  <c r="O95" i="6"/>
  <c r="P95" i="6"/>
  <c r="Q95" i="6"/>
  <c r="R95" i="6"/>
  <c r="S95" i="6"/>
  <c r="T95" i="6"/>
  <c r="U95" i="6"/>
  <c r="V95" i="6"/>
  <c r="W95" i="6"/>
  <c r="X95" i="6"/>
  <c r="N96" i="6"/>
  <c r="O96" i="6"/>
  <c r="P96" i="6"/>
  <c r="Q96" i="6"/>
  <c r="R96" i="6"/>
  <c r="S96" i="6"/>
  <c r="T96" i="6"/>
  <c r="U96" i="6"/>
  <c r="V96" i="6"/>
  <c r="W96" i="6"/>
  <c r="X96" i="6"/>
  <c r="N97" i="6"/>
  <c r="O97" i="6"/>
  <c r="P97" i="6"/>
  <c r="Q97" i="6"/>
  <c r="R97" i="6"/>
  <c r="S97" i="6"/>
  <c r="T97" i="6"/>
  <c r="U97" i="6"/>
  <c r="V97" i="6"/>
  <c r="W97" i="6"/>
  <c r="X97" i="6"/>
  <c r="N98" i="6"/>
  <c r="O98" i="6"/>
  <c r="P98" i="6"/>
  <c r="Q98" i="6"/>
  <c r="R98" i="6"/>
  <c r="S98" i="6"/>
  <c r="T98" i="6"/>
  <c r="U98" i="6"/>
  <c r="V98" i="6"/>
  <c r="W98" i="6"/>
  <c r="X98" i="6"/>
  <c r="N99" i="6"/>
  <c r="O99" i="6"/>
  <c r="P99" i="6"/>
  <c r="Q99" i="6"/>
  <c r="R99" i="6"/>
  <c r="S99" i="6"/>
  <c r="T99" i="6"/>
  <c r="U99" i="6"/>
  <c r="V99" i="6"/>
  <c r="W99" i="6"/>
  <c r="X99" i="6"/>
  <c r="N100" i="6"/>
  <c r="O100" i="6"/>
  <c r="P100" i="6"/>
  <c r="Q100" i="6"/>
  <c r="R100" i="6"/>
  <c r="S100" i="6"/>
  <c r="T100" i="6"/>
  <c r="U100" i="6"/>
  <c r="V100" i="6"/>
  <c r="W100" i="6"/>
  <c r="X100" i="6"/>
  <c r="N101" i="6"/>
  <c r="O101" i="6"/>
  <c r="P101" i="6"/>
  <c r="Q101" i="6"/>
  <c r="R101" i="6"/>
  <c r="S101" i="6"/>
  <c r="T101" i="6"/>
  <c r="U101" i="6"/>
  <c r="V101" i="6"/>
  <c r="W101" i="6"/>
  <c r="X101" i="6"/>
  <c r="N102" i="6"/>
  <c r="O102" i="6"/>
  <c r="P102" i="6"/>
  <c r="Q102" i="6"/>
  <c r="R102" i="6"/>
  <c r="S102" i="6"/>
  <c r="T102" i="6"/>
  <c r="U102" i="6"/>
  <c r="V102" i="6"/>
  <c r="W102" i="6"/>
  <c r="X102" i="6"/>
  <c r="N103" i="6"/>
  <c r="O103" i="6"/>
  <c r="P103" i="6"/>
  <c r="Q103" i="6"/>
  <c r="R103" i="6"/>
  <c r="S103" i="6"/>
  <c r="T103" i="6"/>
  <c r="U103" i="6"/>
  <c r="V103" i="6"/>
  <c r="W103" i="6"/>
  <c r="X103" i="6"/>
  <c r="N104" i="6"/>
  <c r="O104" i="6"/>
  <c r="P104" i="6"/>
  <c r="Q104" i="6"/>
  <c r="R104" i="6"/>
  <c r="S104" i="6"/>
  <c r="T104" i="6"/>
  <c r="U104" i="6"/>
  <c r="V104" i="6"/>
  <c r="W104" i="6"/>
  <c r="X104" i="6"/>
  <c r="N105" i="6"/>
  <c r="O105" i="6"/>
  <c r="P105" i="6"/>
  <c r="Q105" i="6"/>
  <c r="R105" i="6"/>
  <c r="S105" i="6"/>
  <c r="T105" i="6"/>
  <c r="U105" i="6"/>
  <c r="V105" i="6"/>
  <c r="W105" i="6"/>
  <c r="X105" i="6"/>
  <c r="N106" i="6"/>
  <c r="O106" i="6"/>
  <c r="P106" i="6"/>
  <c r="Q106" i="6"/>
  <c r="R106" i="6"/>
  <c r="S106" i="6"/>
  <c r="T106" i="6"/>
  <c r="U106" i="6"/>
  <c r="V106" i="6"/>
  <c r="W106" i="6"/>
  <c r="X106" i="6"/>
  <c r="N107" i="6"/>
  <c r="O107" i="6"/>
  <c r="P107" i="6"/>
  <c r="Q107" i="6"/>
  <c r="R107" i="6"/>
  <c r="S107" i="6"/>
  <c r="T107" i="6"/>
  <c r="U107" i="6"/>
  <c r="V107" i="6"/>
  <c r="W107" i="6"/>
  <c r="X107" i="6"/>
  <c r="N108" i="6"/>
  <c r="O108" i="6"/>
  <c r="P108" i="6"/>
  <c r="Q108" i="6"/>
  <c r="R108" i="6"/>
  <c r="S108" i="6"/>
  <c r="T108" i="6"/>
  <c r="U108" i="6"/>
  <c r="V108" i="6"/>
  <c r="W108" i="6"/>
  <c r="X108" i="6"/>
  <c r="N109" i="6"/>
  <c r="O109" i="6"/>
  <c r="P109" i="6"/>
  <c r="Q109" i="6"/>
  <c r="R109" i="6"/>
  <c r="S109" i="6"/>
  <c r="T109" i="6"/>
  <c r="U109" i="6"/>
  <c r="V109" i="6"/>
  <c r="W109" i="6"/>
  <c r="X109" i="6"/>
  <c r="N110" i="6"/>
  <c r="O110" i="6"/>
  <c r="P110" i="6"/>
  <c r="Q110" i="6"/>
  <c r="R110" i="6"/>
  <c r="S110" i="6"/>
  <c r="T110" i="6"/>
  <c r="U110" i="6"/>
  <c r="V110" i="6"/>
  <c r="W110" i="6"/>
  <c r="X110" i="6"/>
  <c r="N111" i="6"/>
  <c r="O111" i="6"/>
  <c r="P111" i="6"/>
  <c r="Q111" i="6"/>
  <c r="R111" i="6"/>
  <c r="S111" i="6"/>
  <c r="T111" i="6"/>
  <c r="U111" i="6"/>
  <c r="V111" i="6"/>
  <c r="W111" i="6"/>
  <c r="X111" i="6"/>
  <c r="N112" i="6"/>
  <c r="O112" i="6"/>
  <c r="P112" i="6"/>
  <c r="Q112" i="6"/>
  <c r="R112" i="6"/>
  <c r="S112" i="6"/>
  <c r="T112" i="6"/>
  <c r="U112" i="6"/>
  <c r="V112" i="6"/>
  <c r="W112" i="6"/>
  <c r="X112" i="6"/>
  <c r="N113" i="6"/>
  <c r="O113" i="6"/>
  <c r="P113" i="6"/>
  <c r="Q113" i="6"/>
  <c r="R113" i="6"/>
  <c r="S113" i="6"/>
  <c r="T113" i="6"/>
  <c r="U113" i="6"/>
  <c r="V113" i="6"/>
  <c r="W113" i="6"/>
  <c r="X113" i="6"/>
  <c r="N114" i="6"/>
  <c r="O114" i="6"/>
  <c r="P114" i="6"/>
  <c r="Q114" i="6"/>
  <c r="R114" i="6"/>
  <c r="S114" i="6"/>
  <c r="T114" i="6"/>
  <c r="U114" i="6"/>
  <c r="V114" i="6"/>
  <c r="W114" i="6"/>
  <c r="X114" i="6"/>
  <c r="N115" i="6"/>
  <c r="O115" i="6"/>
  <c r="P115" i="6"/>
  <c r="Q115" i="6"/>
  <c r="R115" i="6"/>
  <c r="S115" i="6"/>
  <c r="T115" i="6"/>
  <c r="U115" i="6"/>
  <c r="V115" i="6"/>
  <c r="W115" i="6"/>
  <c r="X115" i="6"/>
  <c r="N116" i="6"/>
  <c r="O116" i="6"/>
  <c r="P116" i="6"/>
  <c r="Q116" i="6"/>
  <c r="R116" i="6"/>
  <c r="S116" i="6"/>
  <c r="T116" i="6"/>
  <c r="U116" i="6"/>
  <c r="V116" i="6"/>
  <c r="W116" i="6"/>
  <c r="X116" i="6"/>
  <c r="N117" i="6"/>
  <c r="O117" i="6"/>
  <c r="P117" i="6"/>
  <c r="Q117" i="6"/>
  <c r="R117" i="6"/>
  <c r="S117" i="6"/>
  <c r="T117" i="6"/>
  <c r="U117" i="6"/>
  <c r="V117" i="6"/>
  <c r="W117" i="6"/>
  <c r="X117" i="6"/>
  <c r="N118" i="6"/>
  <c r="O118" i="6"/>
  <c r="P118" i="6"/>
  <c r="Q118" i="6"/>
  <c r="R118" i="6"/>
  <c r="S118" i="6"/>
  <c r="T118" i="6"/>
  <c r="U118" i="6"/>
  <c r="V118" i="6"/>
  <c r="W118" i="6"/>
  <c r="X118" i="6"/>
  <c r="N119" i="6"/>
  <c r="O119" i="6"/>
  <c r="P119" i="6"/>
  <c r="Q119" i="6"/>
  <c r="R119" i="6"/>
  <c r="S119" i="6"/>
  <c r="T119" i="6"/>
  <c r="U119" i="6"/>
  <c r="V119" i="6"/>
  <c r="W119" i="6"/>
  <c r="X119" i="6"/>
  <c r="N120" i="6"/>
  <c r="O120" i="6"/>
  <c r="P120" i="6"/>
  <c r="Q120" i="6"/>
  <c r="R120" i="6"/>
  <c r="S120" i="6"/>
  <c r="T120" i="6"/>
  <c r="U120" i="6"/>
  <c r="V120" i="6"/>
  <c r="W120" i="6"/>
  <c r="X120" i="6"/>
  <c r="N121" i="6"/>
  <c r="O121" i="6"/>
  <c r="P121" i="6"/>
  <c r="Q121" i="6"/>
  <c r="R121" i="6"/>
  <c r="S121" i="6"/>
  <c r="T121" i="6"/>
  <c r="U121" i="6"/>
  <c r="V121" i="6"/>
  <c r="W121" i="6"/>
  <c r="X121" i="6"/>
  <c r="N122" i="6"/>
  <c r="O122" i="6"/>
  <c r="P122" i="6"/>
  <c r="Q122" i="6"/>
  <c r="R122" i="6"/>
  <c r="S122" i="6"/>
  <c r="T122" i="6"/>
  <c r="U122" i="6"/>
  <c r="V122" i="6"/>
  <c r="W122" i="6"/>
  <c r="X122" i="6"/>
  <c r="N123" i="6"/>
  <c r="O123" i="6"/>
  <c r="P123" i="6"/>
  <c r="Q123" i="6"/>
  <c r="R123" i="6"/>
  <c r="S123" i="6"/>
  <c r="T123" i="6"/>
  <c r="U123" i="6"/>
  <c r="V123" i="6"/>
  <c r="W123" i="6"/>
  <c r="X123" i="6"/>
  <c r="N124" i="6"/>
  <c r="O124" i="6"/>
  <c r="P124" i="6"/>
  <c r="Q124" i="6"/>
  <c r="R124" i="6"/>
  <c r="S124" i="6"/>
  <c r="T124" i="6"/>
  <c r="U124" i="6"/>
  <c r="V124" i="6"/>
  <c r="W124" i="6"/>
  <c r="X124" i="6"/>
  <c r="N125" i="6"/>
  <c r="O125" i="6"/>
  <c r="P125" i="6"/>
  <c r="Q125" i="6"/>
  <c r="R125" i="6"/>
  <c r="S125" i="6"/>
  <c r="T125" i="6"/>
  <c r="U125" i="6"/>
  <c r="V125" i="6"/>
  <c r="W125" i="6"/>
  <c r="X125" i="6"/>
  <c r="N126" i="6"/>
  <c r="O126" i="6"/>
  <c r="P126" i="6"/>
  <c r="Q126" i="6"/>
  <c r="R126" i="6"/>
  <c r="S126" i="6"/>
  <c r="T126" i="6"/>
  <c r="U126" i="6"/>
  <c r="V126" i="6"/>
  <c r="W126" i="6"/>
  <c r="X126" i="6"/>
  <c r="N127" i="6"/>
  <c r="O127" i="6"/>
  <c r="P127" i="6"/>
  <c r="Q127" i="6"/>
  <c r="R127" i="6"/>
  <c r="S127" i="6"/>
  <c r="T127" i="6"/>
  <c r="U127" i="6"/>
  <c r="V127" i="6"/>
  <c r="W127" i="6"/>
  <c r="X127" i="6"/>
  <c r="N128" i="6"/>
  <c r="O128" i="6"/>
  <c r="P128" i="6"/>
  <c r="Q128" i="6"/>
  <c r="R128" i="6"/>
  <c r="S128" i="6"/>
  <c r="T128" i="6"/>
  <c r="U128" i="6"/>
  <c r="V128" i="6"/>
  <c r="W128" i="6"/>
  <c r="X128" i="6"/>
  <c r="N129" i="6"/>
  <c r="O129" i="6"/>
  <c r="P129" i="6"/>
  <c r="Q129" i="6"/>
  <c r="R129" i="6"/>
  <c r="S129" i="6"/>
  <c r="T129" i="6"/>
  <c r="U129" i="6"/>
  <c r="V129" i="6"/>
  <c r="W129" i="6"/>
  <c r="X129" i="6"/>
  <c r="N130" i="6"/>
  <c r="O130" i="6"/>
  <c r="P130" i="6"/>
  <c r="Q130" i="6"/>
  <c r="R130" i="6"/>
  <c r="S130" i="6"/>
  <c r="T130" i="6"/>
  <c r="U130" i="6"/>
  <c r="V130" i="6"/>
  <c r="W130" i="6"/>
  <c r="X130" i="6"/>
  <c r="N131" i="6"/>
  <c r="O131" i="6"/>
  <c r="P131" i="6"/>
  <c r="Q131" i="6"/>
  <c r="R131" i="6"/>
  <c r="S131" i="6"/>
  <c r="T131" i="6"/>
  <c r="U131" i="6"/>
  <c r="V131" i="6"/>
  <c r="W131" i="6"/>
  <c r="X131" i="6"/>
  <c r="N132" i="6"/>
  <c r="O132" i="6"/>
  <c r="P132" i="6"/>
  <c r="Q132" i="6"/>
  <c r="R132" i="6"/>
  <c r="S132" i="6"/>
  <c r="T132" i="6"/>
  <c r="U132" i="6"/>
  <c r="V132" i="6"/>
  <c r="W132" i="6"/>
  <c r="X132" i="6"/>
  <c r="N133" i="6"/>
  <c r="O133" i="6"/>
  <c r="P133" i="6"/>
  <c r="Q133" i="6"/>
  <c r="R133" i="6"/>
  <c r="S133" i="6"/>
  <c r="T133" i="6"/>
  <c r="U133" i="6"/>
  <c r="V133" i="6"/>
  <c r="W133" i="6"/>
  <c r="X133" i="6"/>
  <c r="N134" i="6"/>
  <c r="O134" i="6"/>
  <c r="P134" i="6"/>
  <c r="Q134" i="6"/>
  <c r="R134" i="6"/>
  <c r="S134" i="6"/>
  <c r="T134" i="6"/>
  <c r="U134" i="6"/>
  <c r="V134" i="6"/>
  <c r="W134" i="6"/>
  <c r="X134" i="6"/>
  <c r="N135" i="6"/>
  <c r="O135" i="6"/>
  <c r="P135" i="6"/>
  <c r="Q135" i="6"/>
  <c r="R135" i="6"/>
  <c r="S135" i="6"/>
  <c r="T135" i="6"/>
  <c r="U135" i="6"/>
  <c r="V135" i="6"/>
  <c r="W135" i="6"/>
  <c r="X135" i="6"/>
  <c r="N136" i="6"/>
  <c r="O136" i="6"/>
  <c r="P136" i="6"/>
  <c r="Q136" i="6"/>
  <c r="R136" i="6"/>
  <c r="S136" i="6"/>
  <c r="T136" i="6"/>
  <c r="U136" i="6"/>
  <c r="V136" i="6"/>
  <c r="W136" i="6"/>
  <c r="X136" i="6"/>
  <c r="N137" i="6"/>
  <c r="O137" i="6"/>
  <c r="P137" i="6"/>
  <c r="Q137" i="6"/>
  <c r="R137" i="6"/>
  <c r="S137" i="6"/>
  <c r="T137" i="6"/>
  <c r="U137" i="6"/>
  <c r="V137" i="6"/>
  <c r="W137" i="6"/>
  <c r="X137" i="6"/>
  <c r="N138" i="6"/>
  <c r="O138" i="6"/>
  <c r="P138" i="6"/>
  <c r="Q138" i="6"/>
  <c r="R138" i="6"/>
  <c r="S138" i="6"/>
  <c r="T138" i="6"/>
  <c r="U138" i="6"/>
  <c r="V138" i="6"/>
  <c r="W138" i="6"/>
  <c r="X138" i="6"/>
  <c r="N139" i="6"/>
  <c r="O139" i="6"/>
  <c r="P139" i="6"/>
  <c r="Q139" i="6"/>
  <c r="R139" i="6"/>
  <c r="S139" i="6"/>
  <c r="T139" i="6"/>
  <c r="U139" i="6"/>
  <c r="V139" i="6"/>
  <c r="W139" i="6"/>
  <c r="X139" i="6"/>
  <c r="N140" i="6"/>
  <c r="O140" i="6"/>
  <c r="P140" i="6"/>
  <c r="Q140" i="6"/>
  <c r="R140" i="6"/>
  <c r="S140" i="6"/>
  <c r="T140" i="6"/>
  <c r="U140" i="6"/>
  <c r="V140" i="6"/>
  <c r="W140" i="6"/>
  <c r="X140" i="6"/>
  <c r="N141" i="6"/>
  <c r="O141" i="6"/>
  <c r="P141" i="6"/>
  <c r="Q141" i="6"/>
  <c r="R141" i="6"/>
  <c r="S141" i="6"/>
  <c r="T141" i="6"/>
  <c r="U141" i="6"/>
  <c r="V141" i="6"/>
  <c r="W141" i="6"/>
  <c r="X141" i="6"/>
  <c r="N142" i="6"/>
  <c r="O142" i="6"/>
  <c r="P142" i="6"/>
  <c r="Q142" i="6"/>
  <c r="R142" i="6"/>
  <c r="S142" i="6"/>
  <c r="T142" i="6"/>
  <c r="U142" i="6"/>
  <c r="V142" i="6"/>
  <c r="W142" i="6"/>
  <c r="X142" i="6"/>
  <c r="N143" i="6"/>
  <c r="O143" i="6"/>
  <c r="P143" i="6"/>
  <c r="Q143" i="6"/>
  <c r="R143" i="6"/>
  <c r="S143" i="6"/>
  <c r="T143" i="6"/>
  <c r="U143" i="6"/>
  <c r="V143" i="6"/>
  <c r="W143" i="6"/>
  <c r="X143" i="6"/>
  <c r="N144" i="6"/>
  <c r="O144" i="6"/>
  <c r="P144" i="6"/>
  <c r="Q144" i="6"/>
  <c r="R144" i="6"/>
  <c r="S144" i="6"/>
  <c r="T144" i="6"/>
  <c r="U144" i="6"/>
  <c r="V144" i="6"/>
  <c r="W144" i="6"/>
  <c r="X144" i="6"/>
  <c r="N145" i="6"/>
  <c r="O145" i="6"/>
  <c r="P145" i="6"/>
  <c r="Q145" i="6"/>
  <c r="R145" i="6"/>
  <c r="S145" i="6"/>
  <c r="T145" i="6"/>
  <c r="U145" i="6"/>
  <c r="V145" i="6"/>
  <c r="W145" i="6"/>
  <c r="X145" i="6"/>
  <c r="N146" i="6"/>
  <c r="O146" i="6"/>
  <c r="P146" i="6"/>
  <c r="Q146" i="6"/>
  <c r="R146" i="6"/>
  <c r="S146" i="6"/>
  <c r="T146" i="6"/>
  <c r="U146" i="6"/>
  <c r="V146" i="6"/>
  <c r="W146" i="6"/>
  <c r="X146" i="6"/>
  <c r="N147" i="6"/>
  <c r="O147" i="6"/>
  <c r="P147" i="6"/>
  <c r="Q147" i="6"/>
  <c r="R147" i="6"/>
  <c r="S147" i="6"/>
  <c r="T147" i="6"/>
  <c r="U147" i="6"/>
  <c r="V147" i="6"/>
  <c r="W147" i="6"/>
  <c r="X147" i="6"/>
  <c r="N148" i="6"/>
  <c r="O148" i="6"/>
  <c r="P148" i="6"/>
  <c r="Q148" i="6"/>
  <c r="R148" i="6"/>
  <c r="S148" i="6"/>
  <c r="T148" i="6"/>
  <c r="U148" i="6"/>
  <c r="V148" i="6"/>
  <c r="W148" i="6"/>
  <c r="X148" i="6"/>
  <c r="N149" i="6"/>
  <c r="O149" i="6"/>
  <c r="P149" i="6"/>
  <c r="Q149" i="6"/>
  <c r="R149" i="6"/>
  <c r="S149" i="6"/>
  <c r="T149" i="6"/>
  <c r="U149" i="6"/>
  <c r="V149" i="6"/>
  <c r="W149" i="6"/>
  <c r="X149" i="6"/>
  <c r="N150" i="6"/>
  <c r="O150" i="6"/>
  <c r="P150" i="6"/>
  <c r="Q150" i="6"/>
  <c r="R150" i="6"/>
  <c r="S150" i="6"/>
  <c r="T150" i="6"/>
  <c r="U150" i="6"/>
  <c r="V150" i="6"/>
  <c r="W150" i="6"/>
  <c r="X150" i="6"/>
  <c r="N151" i="6"/>
  <c r="O151" i="6"/>
  <c r="P151" i="6"/>
  <c r="Q151" i="6"/>
  <c r="R151" i="6"/>
  <c r="S151" i="6"/>
  <c r="T151" i="6"/>
  <c r="U151" i="6"/>
  <c r="V151" i="6"/>
  <c r="W151" i="6"/>
  <c r="X151" i="6"/>
  <c r="N152" i="6"/>
  <c r="O152" i="6"/>
  <c r="P152" i="6"/>
  <c r="Q152" i="6"/>
  <c r="R152" i="6"/>
  <c r="S152" i="6"/>
  <c r="T152" i="6"/>
  <c r="U152" i="6"/>
  <c r="V152" i="6"/>
  <c r="W152" i="6"/>
  <c r="X152" i="6"/>
  <c r="N153" i="6"/>
  <c r="O153" i="6"/>
  <c r="P153" i="6"/>
  <c r="Q153" i="6"/>
  <c r="R153" i="6"/>
  <c r="S153" i="6"/>
  <c r="T153" i="6"/>
  <c r="U153" i="6"/>
  <c r="V153" i="6"/>
  <c r="W153" i="6"/>
  <c r="X153" i="6"/>
  <c r="N154" i="6"/>
  <c r="O154" i="6"/>
  <c r="P154" i="6"/>
  <c r="Q154" i="6"/>
  <c r="R154" i="6"/>
  <c r="S154" i="6"/>
  <c r="T154" i="6"/>
  <c r="U154" i="6"/>
  <c r="V154" i="6"/>
  <c r="W154" i="6"/>
  <c r="X154" i="6"/>
  <c r="N155" i="6"/>
  <c r="O155" i="6"/>
  <c r="P155" i="6"/>
  <c r="Q155" i="6"/>
  <c r="R155" i="6"/>
  <c r="S155" i="6"/>
  <c r="T155" i="6"/>
  <c r="U155" i="6"/>
  <c r="V155" i="6"/>
  <c r="W155" i="6"/>
  <c r="X155" i="6"/>
  <c r="N156" i="6"/>
  <c r="O156" i="6"/>
  <c r="P156" i="6"/>
  <c r="Q156" i="6"/>
  <c r="R156" i="6"/>
  <c r="S156" i="6"/>
  <c r="T156" i="6"/>
  <c r="U156" i="6"/>
  <c r="V156" i="6"/>
  <c r="W156" i="6"/>
  <c r="X156" i="6"/>
  <c r="N157" i="6"/>
  <c r="O157" i="6"/>
  <c r="P157" i="6"/>
  <c r="Q157" i="6"/>
  <c r="R157" i="6"/>
  <c r="S157" i="6"/>
  <c r="T157" i="6"/>
  <c r="U157" i="6"/>
  <c r="V157" i="6"/>
  <c r="W157" i="6"/>
  <c r="X157" i="6"/>
  <c r="N158" i="6"/>
  <c r="O158" i="6"/>
  <c r="P158" i="6"/>
  <c r="Q158" i="6"/>
  <c r="R158" i="6"/>
  <c r="S158" i="6"/>
  <c r="T158" i="6"/>
  <c r="U158" i="6"/>
  <c r="V158" i="6"/>
  <c r="W158" i="6"/>
  <c r="X158" i="6"/>
  <c r="N159" i="6"/>
  <c r="O159" i="6"/>
  <c r="P159" i="6"/>
  <c r="Q159" i="6"/>
  <c r="R159" i="6"/>
  <c r="S159" i="6"/>
  <c r="T159" i="6"/>
  <c r="U159" i="6"/>
  <c r="V159" i="6"/>
  <c r="W159" i="6"/>
  <c r="X159" i="6"/>
  <c r="N160" i="6"/>
  <c r="O160" i="6"/>
  <c r="P160" i="6"/>
  <c r="Q160" i="6"/>
  <c r="R160" i="6"/>
  <c r="S160" i="6"/>
  <c r="T160" i="6"/>
  <c r="U160" i="6"/>
  <c r="V160" i="6"/>
  <c r="W160" i="6"/>
  <c r="X160" i="6"/>
  <c r="N161" i="6"/>
  <c r="O161" i="6"/>
  <c r="P161" i="6"/>
  <c r="Q161" i="6"/>
  <c r="R161" i="6"/>
  <c r="S161" i="6"/>
  <c r="T161" i="6"/>
  <c r="U161" i="6"/>
  <c r="V161" i="6"/>
  <c r="W161" i="6"/>
  <c r="X161" i="6"/>
  <c r="N162" i="6"/>
  <c r="O162" i="6"/>
  <c r="P162" i="6"/>
  <c r="Q162" i="6"/>
  <c r="R162" i="6"/>
  <c r="S162" i="6"/>
  <c r="T162" i="6"/>
  <c r="U162" i="6"/>
  <c r="V162" i="6"/>
  <c r="W162" i="6"/>
  <c r="X162" i="6"/>
  <c r="N163" i="6"/>
  <c r="O163" i="6"/>
  <c r="P163" i="6"/>
  <c r="Q163" i="6"/>
  <c r="R163" i="6"/>
  <c r="S163" i="6"/>
  <c r="T163" i="6"/>
  <c r="U163" i="6"/>
  <c r="V163" i="6"/>
  <c r="W163" i="6"/>
  <c r="X163" i="6"/>
  <c r="N164" i="6"/>
  <c r="O164" i="6"/>
  <c r="P164" i="6"/>
  <c r="Q164" i="6"/>
  <c r="R164" i="6"/>
  <c r="S164" i="6"/>
  <c r="T164" i="6"/>
  <c r="U164" i="6"/>
  <c r="V164" i="6"/>
  <c r="W164" i="6"/>
  <c r="X164" i="6"/>
  <c r="N165" i="6"/>
  <c r="O165" i="6"/>
  <c r="P165" i="6"/>
  <c r="Q165" i="6"/>
  <c r="R165" i="6"/>
  <c r="S165" i="6"/>
  <c r="T165" i="6"/>
  <c r="U165" i="6"/>
  <c r="V165" i="6"/>
  <c r="W165" i="6"/>
  <c r="X165" i="6"/>
  <c r="N166" i="6"/>
  <c r="O166" i="6"/>
  <c r="P166" i="6"/>
  <c r="Q166" i="6"/>
  <c r="R166" i="6"/>
  <c r="S166" i="6"/>
  <c r="T166" i="6"/>
  <c r="U166" i="6"/>
  <c r="V166" i="6"/>
  <c r="W166" i="6"/>
  <c r="X166" i="6"/>
  <c r="N167" i="6"/>
  <c r="O167" i="6"/>
  <c r="P167" i="6"/>
  <c r="Q167" i="6"/>
  <c r="R167" i="6"/>
  <c r="S167" i="6"/>
  <c r="T167" i="6"/>
  <c r="U167" i="6"/>
  <c r="V167" i="6"/>
  <c r="W167" i="6"/>
  <c r="X167" i="6"/>
  <c r="N168" i="6"/>
  <c r="O168" i="6"/>
  <c r="P168" i="6"/>
  <c r="Q168" i="6"/>
  <c r="R168" i="6"/>
  <c r="S168" i="6"/>
  <c r="T168" i="6"/>
  <c r="U168" i="6"/>
  <c r="V168" i="6"/>
  <c r="W168" i="6"/>
  <c r="X168" i="6"/>
  <c r="N169" i="6"/>
  <c r="O169" i="6"/>
  <c r="P169" i="6"/>
  <c r="Q169" i="6"/>
  <c r="R169" i="6"/>
  <c r="S169" i="6"/>
  <c r="T169" i="6"/>
  <c r="U169" i="6"/>
  <c r="V169" i="6"/>
  <c r="W169" i="6"/>
  <c r="X169" i="6"/>
  <c r="N170" i="6"/>
  <c r="O170" i="6"/>
  <c r="P170" i="6"/>
  <c r="Q170" i="6"/>
  <c r="R170" i="6"/>
  <c r="S170" i="6"/>
  <c r="T170" i="6"/>
  <c r="U170" i="6"/>
  <c r="V170" i="6"/>
  <c r="W170" i="6"/>
  <c r="X170" i="6"/>
  <c r="N171" i="6"/>
  <c r="O171" i="6"/>
  <c r="P171" i="6"/>
  <c r="Q171" i="6"/>
  <c r="R171" i="6"/>
  <c r="S171" i="6"/>
  <c r="T171" i="6"/>
  <c r="U171" i="6"/>
  <c r="V171" i="6"/>
  <c r="W171" i="6"/>
  <c r="X171" i="6"/>
  <c r="N172" i="6"/>
  <c r="O172" i="6"/>
  <c r="P172" i="6"/>
  <c r="Q172" i="6"/>
  <c r="R172" i="6"/>
  <c r="S172" i="6"/>
  <c r="T172" i="6"/>
  <c r="U172" i="6"/>
  <c r="V172" i="6"/>
  <c r="W172" i="6"/>
  <c r="X172" i="6"/>
  <c r="N173" i="6"/>
  <c r="O173" i="6"/>
  <c r="P173" i="6"/>
  <c r="Q173" i="6"/>
  <c r="R173" i="6"/>
  <c r="S173" i="6"/>
  <c r="T173" i="6"/>
  <c r="U173" i="6"/>
  <c r="V173" i="6"/>
  <c r="W173" i="6"/>
  <c r="X173" i="6"/>
  <c r="N174" i="6"/>
  <c r="O174" i="6"/>
  <c r="P174" i="6"/>
  <c r="Q174" i="6"/>
  <c r="R174" i="6"/>
  <c r="S174" i="6"/>
  <c r="T174" i="6"/>
  <c r="U174" i="6"/>
  <c r="V174" i="6"/>
  <c r="W174" i="6"/>
  <c r="X174" i="6"/>
  <c r="N175" i="6"/>
  <c r="O175" i="6"/>
  <c r="P175" i="6"/>
  <c r="Q175" i="6"/>
  <c r="R175" i="6"/>
  <c r="S175" i="6"/>
  <c r="T175" i="6"/>
  <c r="U175" i="6"/>
  <c r="V175" i="6"/>
  <c r="W175" i="6"/>
  <c r="X175" i="6"/>
  <c r="N176" i="6"/>
  <c r="O176" i="6"/>
  <c r="P176" i="6"/>
  <c r="Q176" i="6"/>
  <c r="R176" i="6"/>
  <c r="S176" i="6"/>
  <c r="T176" i="6"/>
  <c r="U176" i="6"/>
  <c r="V176" i="6"/>
  <c r="W176" i="6"/>
  <c r="X176" i="6"/>
  <c r="N177" i="6"/>
  <c r="O177" i="6"/>
  <c r="P177" i="6"/>
  <c r="Q177" i="6"/>
  <c r="R177" i="6"/>
  <c r="S177" i="6"/>
  <c r="T177" i="6"/>
  <c r="U177" i="6"/>
  <c r="V177" i="6"/>
  <c r="W177" i="6"/>
  <c r="X177" i="6"/>
  <c r="N178" i="6"/>
  <c r="O178" i="6"/>
  <c r="P178" i="6"/>
  <c r="Q178" i="6"/>
  <c r="R178" i="6"/>
  <c r="S178" i="6"/>
  <c r="T178" i="6"/>
  <c r="U178" i="6"/>
  <c r="V178" i="6"/>
  <c r="W178" i="6"/>
  <c r="X178" i="6"/>
  <c r="N179" i="6"/>
  <c r="O179" i="6"/>
  <c r="P179" i="6"/>
  <c r="Q179" i="6"/>
  <c r="R179" i="6"/>
  <c r="S179" i="6"/>
  <c r="T179" i="6"/>
  <c r="U179" i="6"/>
  <c r="V179" i="6"/>
  <c r="W179" i="6"/>
  <c r="X179" i="6"/>
  <c r="N180" i="6"/>
  <c r="O180" i="6"/>
  <c r="P180" i="6"/>
  <c r="Q180" i="6"/>
  <c r="R180" i="6"/>
  <c r="S180" i="6"/>
  <c r="T180" i="6"/>
  <c r="U180" i="6"/>
  <c r="V180" i="6"/>
  <c r="W180" i="6"/>
  <c r="X180" i="6"/>
  <c r="N181" i="6"/>
  <c r="O181" i="6"/>
  <c r="P181" i="6"/>
  <c r="Q181" i="6"/>
  <c r="R181" i="6"/>
  <c r="S181" i="6"/>
  <c r="T181" i="6"/>
  <c r="U181" i="6"/>
  <c r="V181" i="6"/>
  <c r="W181" i="6"/>
  <c r="X181" i="6"/>
  <c r="N182" i="6"/>
  <c r="O182" i="6"/>
  <c r="P182" i="6"/>
  <c r="Q182" i="6"/>
  <c r="R182" i="6"/>
  <c r="S182" i="6"/>
  <c r="T182" i="6"/>
  <c r="U182" i="6"/>
  <c r="V182" i="6"/>
  <c r="W182" i="6"/>
  <c r="X182" i="6"/>
  <c r="N183" i="6"/>
  <c r="O183" i="6"/>
  <c r="P183" i="6"/>
  <c r="Q183" i="6"/>
  <c r="R183" i="6"/>
  <c r="S183" i="6"/>
  <c r="T183" i="6"/>
  <c r="U183" i="6"/>
  <c r="V183" i="6"/>
  <c r="W183" i="6"/>
  <c r="X183" i="6"/>
  <c r="N184" i="6"/>
  <c r="O184" i="6"/>
  <c r="P184" i="6"/>
  <c r="Q184" i="6"/>
  <c r="R184" i="6"/>
  <c r="S184" i="6"/>
  <c r="T184" i="6"/>
  <c r="U184" i="6"/>
  <c r="V184" i="6"/>
  <c r="W184" i="6"/>
  <c r="X184" i="6"/>
  <c r="N185" i="6"/>
  <c r="O185" i="6"/>
  <c r="P185" i="6"/>
  <c r="Q185" i="6"/>
  <c r="R185" i="6"/>
  <c r="S185" i="6"/>
  <c r="T185" i="6"/>
  <c r="U185" i="6"/>
  <c r="V185" i="6"/>
  <c r="W185" i="6"/>
  <c r="X185" i="6"/>
  <c r="N186" i="6"/>
  <c r="O186" i="6"/>
  <c r="P186" i="6"/>
  <c r="Q186" i="6"/>
  <c r="R186" i="6"/>
  <c r="S186" i="6"/>
  <c r="T186" i="6"/>
  <c r="U186" i="6"/>
  <c r="V186" i="6"/>
  <c r="W186" i="6"/>
  <c r="X186" i="6"/>
  <c r="N187" i="6"/>
  <c r="O187" i="6"/>
  <c r="P187" i="6"/>
  <c r="Q187" i="6"/>
  <c r="R187" i="6"/>
  <c r="S187" i="6"/>
  <c r="T187" i="6"/>
  <c r="U187" i="6"/>
  <c r="V187" i="6"/>
  <c r="W187" i="6"/>
  <c r="X187" i="6"/>
  <c r="N188" i="6"/>
  <c r="O188" i="6"/>
  <c r="P188" i="6"/>
  <c r="Q188" i="6"/>
  <c r="R188" i="6"/>
  <c r="S188" i="6"/>
  <c r="T188" i="6"/>
  <c r="U188" i="6"/>
  <c r="V188" i="6"/>
  <c r="W188" i="6"/>
  <c r="X188" i="6"/>
  <c r="N189" i="6"/>
  <c r="O189" i="6"/>
  <c r="P189" i="6"/>
  <c r="Q189" i="6"/>
  <c r="R189" i="6"/>
  <c r="S189" i="6"/>
  <c r="T189" i="6"/>
  <c r="U189" i="6"/>
  <c r="V189" i="6"/>
  <c r="W189" i="6"/>
  <c r="X189" i="6"/>
  <c r="N190" i="6"/>
  <c r="O190" i="6"/>
  <c r="P190" i="6"/>
  <c r="Q190" i="6"/>
  <c r="R190" i="6"/>
  <c r="S190" i="6"/>
  <c r="T190" i="6"/>
  <c r="U190" i="6"/>
  <c r="V190" i="6"/>
  <c r="W190" i="6"/>
  <c r="X190" i="6"/>
  <c r="N191" i="6"/>
  <c r="O191" i="6"/>
  <c r="P191" i="6"/>
  <c r="Q191" i="6"/>
  <c r="R191" i="6"/>
  <c r="S191" i="6"/>
  <c r="T191" i="6"/>
  <c r="U191" i="6"/>
  <c r="V191" i="6"/>
  <c r="W191" i="6"/>
  <c r="X191" i="6"/>
  <c r="N192" i="6"/>
  <c r="O192" i="6"/>
  <c r="P192" i="6"/>
  <c r="Q192" i="6"/>
  <c r="R192" i="6"/>
  <c r="S192" i="6"/>
  <c r="T192" i="6"/>
  <c r="U192" i="6"/>
  <c r="V192" i="6"/>
  <c r="W192" i="6"/>
  <c r="X192" i="6"/>
  <c r="N193" i="6"/>
  <c r="O193" i="6"/>
  <c r="P193" i="6"/>
  <c r="Q193" i="6"/>
  <c r="R193" i="6"/>
  <c r="S193" i="6"/>
  <c r="T193" i="6"/>
  <c r="U193" i="6"/>
  <c r="V193" i="6"/>
  <c r="W193" i="6"/>
  <c r="X193" i="6"/>
  <c r="N194" i="6"/>
  <c r="O194" i="6"/>
  <c r="P194" i="6"/>
  <c r="Q194" i="6"/>
  <c r="R194" i="6"/>
  <c r="S194" i="6"/>
  <c r="T194" i="6"/>
  <c r="U194" i="6"/>
  <c r="V194" i="6"/>
  <c r="W194" i="6"/>
  <c r="X194" i="6"/>
  <c r="N195" i="6"/>
  <c r="O195" i="6"/>
  <c r="P195" i="6"/>
  <c r="Q195" i="6"/>
  <c r="R195" i="6"/>
  <c r="S195" i="6"/>
  <c r="T195" i="6"/>
  <c r="U195" i="6"/>
  <c r="V195" i="6"/>
  <c r="W195" i="6"/>
  <c r="X195" i="6"/>
  <c r="N196" i="6"/>
  <c r="O196" i="6"/>
  <c r="P196" i="6"/>
  <c r="Q196" i="6"/>
  <c r="R196" i="6"/>
  <c r="S196" i="6"/>
  <c r="T196" i="6"/>
  <c r="U196" i="6"/>
  <c r="V196" i="6"/>
  <c r="W196" i="6"/>
  <c r="X196" i="6"/>
  <c r="N197" i="6"/>
  <c r="O197" i="6"/>
  <c r="P197" i="6"/>
  <c r="Q197" i="6"/>
  <c r="R197" i="6"/>
  <c r="S197" i="6"/>
  <c r="T197" i="6"/>
  <c r="U197" i="6"/>
  <c r="V197" i="6"/>
  <c r="W197" i="6"/>
  <c r="X197" i="6"/>
  <c r="N198" i="6"/>
  <c r="O198" i="6"/>
  <c r="P198" i="6"/>
  <c r="Q198" i="6"/>
  <c r="R198" i="6"/>
  <c r="S198" i="6"/>
  <c r="T198" i="6"/>
  <c r="U198" i="6"/>
  <c r="V198" i="6"/>
  <c r="W198" i="6"/>
  <c r="X198" i="6"/>
  <c r="N199" i="6"/>
  <c r="O199" i="6"/>
  <c r="P199" i="6"/>
  <c r="Q199" i="6"/>
  <c r="R199" i="6"/>
  <c r="S199" i="6"/>
  <c r="T199" i="6"/>
  <c r="U199" i="6"/>
  <c r="V199" i="6"/>
  <c r="W199" i="6"/>
  <c r="X199" i="6"/>
  <c r="N200" i="6"/>
  <c r="O200" i="6"/>
  <c r="P200" i="6"/>
  <c r="Q200" i="6"/>
  <c r="R200" i="6"/>
  <c r="S200" i="6"/>
  <c r="T200" i="6"/>
  <c r="U200" i="6"/>
  <c r="V200" i="6"/>
  <c r="W200" i="6"/>
  <c r="X200" i="6"/>
  <c r="N201" i="6"/>
  <c r="O201" i="6"/>
  <c r="P201" i="6"/>
  <c r="Q201" i="6"/>
  <c r="R201" i="6"/>
  <c r="S201" i="6"/>
  <c r="T201" i="6"/>
  <c r="U201" i="6"/>
  <c r="V201" i="6"/>
  <c r="W201" i="6"/>
  <c r="X201" i="6"/>
  <c r="N202" i="6"/>
  <c r="O202" i="6"/>
  <c r="P202" i="6"/>
  <c r="Q202" i="6"/>
  <c r="R202" i="6"/>
  <c r="S202" i="6"/>
  <c r="T202" i="6"/>
  <c r="U202" i="6"/>
  <c r="V202" i="6"/>
  <c r="W202" i="6"/>
  <c r="X202" i="6"/>
  <c r="N203" i="6"/>
  <c r="O203" i="6"/>
  <c r="P203" i="6"/>
  <c r="Q203" i="6"/>
  <c r="R203" i="6"/>
  <c r="S203" i="6"/>
  <c r="T203" i="6"/>
  <c r="U203" i="6"/>
  <c r="V203" i="6"/>
  <c r="W203" i="6"/>
  <c r="X203" i="6"/>
  <c r="N204" i="6"/>
  <c r="O204" i="6"/>
  <c r="P204" i="6"/>
  <c r="Q204" i="6"/>
  <c r="R204" i="6"/>
  <c r="S204" i="6"/>
  <c r="T204" i="6"/>
  <c r="U204" i="6"/>
  <c r="V204" i="6"/>
  <c r="W204" i="6"/>
  <c r="X204" i="6"/>
  <c r="N205" i="6"/>
  <c r="O205" i="6"/>
  <c r="P205" i="6"/>
  <c r="Q205" i="6"/>
  <c r="R205" i="6"/>
  <c r="S205" i="6"/>
  <c r="T205" i="6"/>
  <c r="U205" i="6"/>
  <c r="V205" i="6"/>
  <c r="W205" i="6"/>
  <c r="X205" i="6"/>
  <c r="N206" i="6"/>
  <c r="O206" i="6"/>
  <c r="P206" i="6"/>
  <c r="Q206" i="6"/>
  <c r="R206" i="6"/>
  <c r="S206" i="6"/>
  <c r="T206" i="6"/>
  <c r="U206" i="6"/>
  <c r="V206" i="6"/>
  <c r="W206" i="6"/>
  <c r="X206" i="6"/>
  <c r="N207" i="6"/>
  <c r="O207" i="6"/>
  <c r="P207" i="6"/>
  <c r="Q207" i="6"/>
  <c r="R207" i="6"/>
  <c r="S207" i="6"/>
  <c r="T207" i="6"/>
  <c r="U207" i="6"/>
  <c r="V207" i="6"/>
  <c r="W207" i="6"/>
  <c r="X207" i="6"/>
  <c r="N208" i="6"/>
  <c r="O208" i="6"/>
  <c r="P208" i="6"/>
  <c r="Q208" i="6"/>
  <c r="R208" i="6"/>
  <c r="S208" i="6"/>
  <c r="T208" i="6"/>
  <c r="U208" i="6"/>
  <c r="V208" i="6"/>
  <c r="W208" i="6"/>
  <c r="X208" i="6"/>
  <c r="N209" i="6"/>
  <c r="O209" i="6"/>
  <c r="P209" i="6"/>
  <c r="Q209" i="6"/>
  <c r="R209" i="6"/>
  <c r="S209" i="6"/>
  <c r="T209" i="6"/>
  <c r="U209" i="6"/>
  <c r="V209" i="6"/>
  <c r="W209" i="6"/>
  <c r="X209" i="6"/>
  <c r="N210" i="6"/>
  <c r="O210" i="6"/>
  <c r="P210" i="6"/>
  <c r="Q210" i="6"/>
  <c r="R210" i="6"/>
  <c r="S210" i="6"/>
  <c r="T210" i="6"/>
  <c r="U210" i="6"/>
  <c r="V210" i="6"/>
  <c r="W210" i="6"/>
  <c r="X210" i="6"/>
  <c r="N211" i="6"/>
  <c r="O211" i="6"/>
  <c r="P211" i="6"/>
  <c r="Q211" i="6"/>
  <c r="R211" i="6"/>
  <c r="S211" i="6"/>
  <c r="T211" i="6"/>
  <c r="U211" i="6"/>
  <c r="V211" i="6"/>
  <c r="W211" i="6"/>
  <c r="X211" i="6"/>
  <c r="N212" i="6"/>
  <c r="O212" i="6"/>
  <c r="P212" i="6"/>
  <c r="Q212" i="6"/>
  <c r="R212" i="6"/>
  <c r="S212" i="6"/>
  <c r="T212" i="6"/>
  <c r="U212" i="6"/>
  <c r="V212" i="6"/>
  <c r="W212" i="6"/>
  <c r="X212" i="6"/>
  <c r="N213" i="6"/>
  <c r="O213" i="6"/>
  <c r="P213" i="6"/>
  <c r="Q213" i="6"/>
  <c r="R213" i="6"/>
  <c r="S213" i="6"/>
  <c r="T213" i="6"/>
  <c r="U213" i="6"/>
  <c r="V213" i="6"/>
  <c r="W213" i="6"/>
  <c r="X213" i="6"/>
  <c r="N214" i="6"/>
  <c r="O214" i="6"/>
  <c r="P214" i="6"/>
  <c r="Q214" i="6"/>
  <c r="R214" i="6"/>
  <c r="S214" i="6"/>
  <c r="T214" i="6"/>
  <c r="U214" i="6"/>
  <c r="V214" i="6"/>
  <c r="W214" i="6"/>
  <c r="X214" i="6"/>
  <c r="N215" i="6"/>
  <c r="O215" i="6"/>
  <c r="P215" i="6"/>
  <c r="Q215" i="6"/>
  <c r="R215" i="6"/>
  <c r="S215" i="6"/>
  <c r="T215" i="6"/>
  <c r="U215" i="6"/>
  <c r="V215" i="6"/>
  <c r="W215" i="6"/>
  <c r="X215" i="6"/>
  <c r="N216" i="6"/>
  <c r="O216" i="6"/>
  <c r="P216" i="6"/>
  <c r="Q216" i="6"/>
  <c r="R216" i="6"/>
  <c r="S216" i="6"/>
  <c r="T216" i="6"/>
  <c r="U216" i="6"/>
  <c r="V216" i="6"/>
  <c r="W216" i="6"/>
  <c r="X216" i="6"/>
  <c r="N217" i="6"/>
  <c r="O217" i="6"/>
  <c r="P217" i="6"/>
  <c r="Q217" i="6"/>
  <c r="R217" i="6"/>
  <c r="S217" i="6"/>
  <c r="T217" i="6"/>
  <c r="U217" i="6"/>
  <c r="V217" i="6"/>
  <c r="W217" i="6"/>
  <c r="X217" i="6"/>
  <c r="N218" i="6"/>
  <c r="O218" i="6"/>
  <c r="P218" i="6"/>
  <c r="Q218" i="6"/>
  <c r="R218" i="6"/>
  <c r="S218" i="6"/>
  <c r="T218" i="6"/>
  <c r="U218" i="6"/>
  <c r="V218" i="6"/>
  <c r="W218" i="6"/>
  <c r="X218" i="6"/>
  <c r="N219" i="6"/>
  <c r="O219" i="6"/>
  <c r="P219" i="6"/>
  <c r="Q219" i="6"/>
  <c r="R219" i="6"/>
  <c r="S219" i="6"/>
  <c r="T219" i="6"/>
  <c r="U219" i="6"/>
  <c r="V219" i="6"/>
  <c r="W219" i="6"/>
  <c r="X219" i="6"/>
  <c r="N220" i="6"/>
  <c r="O220" i="6"/>
  <c r="P220" i="6"/>
  <c r="Q220" i="6"/>
  <c r="R220" i="6"/>
  <c r="S220" i="6"/>
  <c r="T220" i="6"/>
  <c r="U220" i="6"/>
  <c r="V220" i="6"/>
  <c r="W220" i="6"/>
  <c r="X220" i="6"/>
  <c r="N221" i="6"/>
  <c r="O221" i="6"/>
  <c r="P221" i="6"/>
  <c r="Q221" i="6"/>
  <c r="R221" i="6"/>
  <c r="S221" i="6"/>
  <c r="T221" i="6"/>
  <c r="U221" i="6"/>
  <c r="V221" i="6"/>
  <c r="W221" i="6"/>
  <c r="X221" i="6"/>
  <c r="N222" i="6"/>
  <c r="O222" i="6"/>
  <c r="P222" i="6"/>
  <c r="Q222" i="6"/>
  <c r="R222" i="6"/>
  <c r="S222" i="6"/>
  <c r="T222" i="6"/>
  <c r="U222" i="6"/>
  <c r="V222" i="6"/>
  <c r="W222" i="6"/>
  <c r="X222" i="6"/>
  <c r="N223" i="6"/>
  <c r="O223" i="6"/>
  <c r="P223" i="6"/>
  <c r="Q223" i="6"/>
  <c r="R223" i="6"/>
  <c r="S223" i="6"/>
  <c r="T223" i="6"/>
  <c r="U223" i="6"/>
  <c r="V223" i="6"/>
  <c r="W223" i="6"/>
  <c r="X223" i="6"/>
  <c r="N224" i="6"/>
  <c r="O224" i="6"/>
  <c r="P224" i="6"/>
  <c r="Q224" i="6"/>
  <c r="R224" i="6"/>
  <c r="S224" i="6"/>
  <c r="T224" i="6"/>
  <c r="U224" i="6"/>
  <c r="V224" i="6"/>
  <c r="W224" i="6"/>
  <c r="X224" i="6"/>
  <c r="N225" i="6"/>
  <c r="O225" i="6"/>
  <c r="P225" i="6"/>
  <c r="Q225" i="6"/>
  <c r="R225" i="6"/>
  <c r="S225" i="6"/>
  <c r="T225" i="6"/>
  <c r="U225" i="6"/>
  <c r="V225" i="6"/>
  <c r="W225" i="6"/>
  <c r="X225" i="6"/>
  <c r="N226" i="6"/>
  <c r="O226" i="6"/>
  <c r="P226" i="6"/>
  <c r="Q226" i="6"/>
  <c r="R226" i="6"/>
  <c r="S226" i="6"/>
  <c r="T226" i="6"/>
  <c r="U226" i="6"/>
  <c r="V226" i="6"/>
  <c r="W226" i="6"/>
  <c r="X226" i="6"/>
  <c r="N227" i="6"/>
  <c r="O227" i="6"/>
  <c r="P227" i="6"/>
  <c r="Q227" i="6"/>
  <c r="R227" i="6"/>
  <c r="S227" i="6"/>
  <c r="T227" i="6"/>
  <c r="U227" i="6"/>
  <c r="V227" i="6"/>
  <c r="W227" i="6"/>
  <c r="X227" i="6"/>
  <c r="N228" i="6"/>
  <c r="O228" i="6"/>
  <c r="P228" i="6"/>
  <c r="Q228" i="6"/>
  <c r="R228" i="6"/>
  <c r="S228" i="6"/>
  <c r="T228" i="6"/>
  <c r="U228" i="6"/>
  <c r="V228" i="6"/>
  <c r="W228" i="6"/>
  <c r="X228" i="6"/>
  <c r="N229" i="6"/>
  <c r="O229" i="6"/>
  <c r="P229" i="6"/>
  <c r="Q229" i="6"/>
  <c r="R229" i="6"/>
  <c r="S229" i="6"/>
  <c r="T229" i="6"/>
  <c r="U229" i="6"/>
  <c r="V229" i="6"/>
  <c r="W229" i="6"/>
  <c r="X229" i="6"/>
  <c r="N230" i="6"/>
  <c r="O230" i="6"/>
  <c r="P230" i="6"/>
  <c r="Q230" i="6"/>
  <c r="R230" i="6"/>
  <c r="S230" i="6"/>
  <c r="T230" i="6"/>
  <c r="U230" i="6"/>
  <c r="V230" i="6"/>
  <c r="W230" i="6"/>
  <c r="X230" i="6"/>
  <c r="N231" i="6"/>
  <c r="O231" i="6"/>
  <c r="P231" i="6"/>
  <c r="Q231" i="6"/>
  <c r="R231" i="6"/>
  <c r="S231" i="6"/>
  <c r="T231" i="6"/>
  <c r="U231" i="6"/>
  <c r="V231" i="6"/>
  <c r="W231" i="6"/>
  <c r="X231" i="6"/>
  <c r="N232" i="6"/>
  <c r="O232" i="6"/>
  <c r="P232" i="6"/>
  <c r="Q232" i="6"/>
  <c r="R232" i="6"/>
  <c r="S232" i="6"/>
  <c r="T232" i="6"/>
  <c r="U232" i="6"/>
  <c r="V232" i="6"/>
  <c r="W232" i="6"/>
  <c r="X232" i="6"/>
  <c r="N233" i="6"/>
  <c r="O233" i="6"/>
  <c r="P233" i="6"/>
  <c r="Q233" i="6"/>
  <c r="R233" i="6"/>
  <c r="S233" i="6"/>
  <c r="T233" i="6"/>
  <c r="U233" i="6"/>
  <c r="V233" i="6"/>
  <c r="W233" i="6"/>
  <c r="X233" i="6"/>
  <c r="N234" i="6"/>
  <c r="O234" i="6"/>
  <c r="P234" i="6"/>
  <c r="Q234" i="6"/>
  <c r="R234" i="6"/>
  <c r="S234" i="6"/>
  <c r="T234" i="6"/>
  <c r="U234" i="6"/>
  <c r="V234" i="6"/>
  <c r="W234" i="6"/>
  <c r="X234" i="6"/>
  <c r="N235" i="6"/>
  <c r="O235" i="6"/>
  <c r="P235" i="6"/>
  <c r="Q235" i="6"/>
  <c r="R235" i="6"/>
  <c r="S235" i="6"/>
  <c r="T235" i="6"/>
  <c r="U235" i="6"/>
  <c r="V235" i="6"/>
  <c r="W235" i="6"/>
  <c r="X235" i="6"/>
  <c r="N236" i="6"/>
  <c r="O236" i="6"/>
  <c r="P236" i="6"/>
  <c r="Q236" i="6"/>
  <c r="R236" i="6"/>
  <c r="S236" i="6"/>
  <c r="T236" i="6"/>
  <c r="U236" i="6"/>
  <c r="V236" i="6"/>
  <c r="W236" i="6"/>
  <c r="X236" i="6"/>
  <c r="N237" i="6"/>
  <c r="O237" i="6"/>
  <c r="P237" i="6"/>
  <c r="Q237" i="6"/>
  <c r="R237" i="6"/>
  <c r="S237" i="6"/>
  <c r="T237" i="6"/>
  <c r="U237" i="6"/>
  <c r="V237" i="6"/>
  <c r="W237" i="6"/>
  <c r="X237" i="6"/>
  <c r="N238" i="6"/>
  <c r="O238" i="6"/>
  <c r="P238" i="6"/>
  <c r="Q238" i="6"/>
  <c r="R238" i="6"/>
  <c r="S238" i="6"/>
  <c r="T238" i="6"/>
  <c r="U238" i="6"/>
  <c r="V238" i="6"/>
  <c r="W238" i="6"/>
  <c r="X238" i="6"/>
  <c r="N239" i="6"/>
  <c r="O239" i="6"/>
  <c r="P239" i="6"/>
  <c r="Q239" i="6"/>
  <c r="R239" i="6"/>
  <c r="S239" i="6"/>
  <c r="T239" i="6"/>
  <c r="U239" i="6"/>
  <c r="V239" i="6"/>
  <c r="W239" i="6"/>
  <c r="X239" i="6"/>
  <c r="N240" i="6"/>
  <c r="O240" i="6"/>
  <c r="P240" i="6"/>
  <c r="Q240" i="6"/>
  <c r="R240" i="6"/>
  <c r="S240" i="6"/>
  <c r="T240" i="6"/>
  <c r="U240" i="6"/>
  <c r="V240" i="6"/>
  <c r="W240" i="6"/>
  <c r="X240" i="6"/>
  <c r="N241" i="6"/>
  <c r="O241" i="6"/>
  <c r="P241" i="6"/>
  <c r="Q241" i="6"/>
  <c r="R241" i="6"/>
  <c r="S241" i="6"/>
  <c r="T241" i="6"/>
  <c r="U241" i="6"/>
  <c r="V241" i="6"/>
  <c r="W241" i="6"/>
  <c r="X241" i="6"/>
  <c r="N242" i="6"/>
  <c r="O242" i="6"/>
  <c r="P242" i="6"/>
  <c r="Q242" i="6"/>
  <c r="R242" i="6"/>
  <c r="S242" i="6"/>
  <c r="T242" i="6"/>
  <c r="U242" i="6"/>
  <c r="V242" i="6"/>
  <c r="W242" i="6"/>
  <c r="X242" i="6"/>
  <c r="N243" i="6"/>
  <c r="O243" i="6"/>
  <c r="P243" i="6"/>
  <c r="Q243" i="6"/>
  <c r="R243" i="6"/>
  <c r="S243" i="6"/>
  <c r="T243" i="6"/>
  <c r="U243" i="6"/>
  <c r="V243" i="6"/>
  <c r="W243" i="6"/>
  <c r="X243" i="6"/>
  <c r="N244" i="6"/>
  <c r="O244" i="6"/>
  <c r="P244" i="6"/>
  <c r="Q244" i="6"/>
  <c r="R244" i="6"/>
  <c r="S244" i="6"/>
  <c r="T244" i="6"/>
  <c r="U244" i="6"/>
  <c r="V244" i="6"/>
  <c r="W244" i="6"/>
  <c r="X244" i="6"/>
  <c r="N245" i="6"/>
  <c r="O245" i="6"/>
  <c r="P245" i="6"/>
  <c r="Q245" i="6"/>
  <c r="R245" i="6"/>
  <c r="S245" i="6"/>
  <c r="T245" i="6"/>
  <c r="U245" i="6"/>
  <c r="V245" i="6"/>
  <c r="W245" i="6"/>
  <c r="X245" i="6"/>
  <c r="N246" i="6"/>
  <c r="O246" i="6"/>
  <c r="P246" i="6"/>
  <c r="Q246" i="6"/>
  <c r="R246" i="6"/>
  <c r="S246" i="6"/>
  <c r="T246" i="6"/>
  <c r="U246" i="6"/>
  <c r="V246" i="6"/>
  <c r="W246" i="6"/>
  <c r="X246" i="6"/>
  <c r="N247" i="6"/>
  <c r="O247" i="6"/>
  <c r="P247" i="6"/>
  <c r="Q247" i="6"/>
  <c r="R247" i="6"/>
  <c r="S247" i="6"/>
  <c r="T247" i="6"/>
  <c r="U247" i="6"/>
  <c r="V247" i="6"/>
  <c r="W247" i="6"/>
  <c r="X247" i="6"/>
  <c r="N248" i="6"/>
  <c r="O248" i="6"/>
  <c r="P248" i="6"/>
  <c r="Q248" i="6"/>
  <c r="R248" i="6"/>
  <c r="S248" i="6"/>
  <c r="T248" i="6"/>
  <c r="U248" i="6"/>
  <c r="V248" i="6"/>
  <c r="W248" i="6"/>
  <c r="X248" i="6"/>
  <c r="N249" i="6"/>
  <c r="O249" i="6"/>
  <c r="P249" i="6"/>
  <c r="Q249" i="6"/>
  <c r="R249" i="6"/>
  <c r="S249" i="6"/>
  <c r="T249" i="6"/>
  <c r="U249" i="6"/>
  <c r="V249" i="6"/>
  <c r="W249" i="6"/>
  <c r="X249" i="6"/>
  <c r="N250" i="6"/>
  <c r="O250" i="6"/>
  <c r="P250" i="6"/>
  <c r="Q250" i="6"/>
  <c r="R250" i="6"/>
  <c r="S250" i="6"/>
  <c r="T250" i="6"/>
  <c r="U250" i="6"/>
  <c r="V250" i="6"/>
  <c r="W250" i="6"/>
  <c r="X250" i="6"/>
  <c r="N251" i="6"/>
  <c r="O251" i="6"/>
  <c r="P251" i="6"/>
  <c r="Q251" i="6"/>
  <c r="R251" i="6"/>
  <c r="S251" i="6"/>
  <c r="T251" i="6"/>
  <c r="U251" i="6"/>
  <c r="V251" i="6"/>
  <c r="W251" i="6"/>
  <c r="X251" i="6"/>
  <c r="N252" i="6"/>
  <c r="O252" i="6"/>
  <c r="P252" i="6"/>
  <c r="Q252" i="6"/>
  <c r="R252" i="6"/>
  <c r="S252" i="6"/>
  <c r="T252" i="6"/>
  <c r="U252" i="6"/>
  <c r="V252" i="6"/>
  <c r="W252" i="6"/>
  <c r="X252" i="6"/>
  <c r="N253" i="6"/>
  <c r="O253" i="6"/>
  <c r="P253" i="6"/>
  <c r="Q253" i="6"/>
  <c r="R253" i="6"/>
  <c r="S253" i="6"/>
  <c r="T253" i="6"/>
  <c r="U253" i="6"/>
  <c r="V253" i="6"/>
  <c r="W253" i="6"/>
  <c r="X253" i="6"/>
  <c r="N254" i="6"/>
  <c r="O254" i="6"/>
  <c r="P254" i="6"/>
  <c r="Q254" i="6"/>
  <c r="R254" i="6"/>
  <c r="S254" i="6"/>
  <c r="T254" i="6"/>
  <c r="U254" i="6"/>
  <c r="V254" i="6"/>
  <c r="W254" i="6"/>
  <c r="X254" i="6"/>
  <c r="N255" i="6"/>
  <c r="O255" i="6"/>
  <c r="P255" i="6"/>
  <c r="Q255" i="6"/>
  <c r="R255" i="6"/>
  <c r="S255" i="6"/>
  <c r="T255" i="6"/>
  <c r="U255" i="6"/>
  <c r="V255" i="6"/>
  <c r="W255" i="6"/>
  <c r="X255" i="6"/>
  <c r="N256" i="6"/>
  <c r="O256" i="6"/>
  <c r="P256" i="6"/>
  <c r="Q256" i="6"/>
  <c r="R256" i="6"/>
  <c r="S256" i="6"/>
  <c r="T256" i="6"/>
  <c r="U256" i="6"/>
  <c r="V256" i="6"/>
  <c r="W256" i="6"/>
  <c r="X256" i="6"/>
  <c r="N257" i="6"/>
  <c r="O257" i="6"/>
  <c r="P257" i="6"/>
  <c r="Q257" i="6"/>
  <c r="R257" i="6"/>
  <c r="S257" i="6"/>
  <c r="T257" i="6"/>
  <c r="U257" i="6"/>
  <c r="V257" i="6"/>
  <c r="W257" i="6"/>
  <c r="X257" i="6"/>
  <c r="N258" i="6"/>
  <c r="O258" i="6"/>
  <c r="P258" i="6"/>
  <c r="Q258" i="6"/>
  <c r="R258" i="6"/>
  <c r="S258" i="6"/>
  <c r="T258" i="6"/>
  <c r="U258" i="6"/>
  <c r="V258" i="6"/>
  <c r="W258" i="6"/>
  <c r="X258" i="6"/>
  <c r="N259" i="6"/>
  <c r="O259" i="6"/>
  <c r="P259" i="6"/>
  <c r="Q259" i="6"/>
  <c r="R259" i="6"/>
  <c r="S259" i="6"/>
  <c r="T259" i="6"/>
  <c r="U259" i="6"/>
  <c r="V259" i="6"/>
  <c r="W259" i="6"/>
  <c r="X259" i="6"/>
  <c r="N260" i="6"/>
  <c r="O260" i="6"/>
  <c r="P260" i="6"/>
  <c r="Q260" i="6"/>
  <c r="R260" i="6"/>
  <c r="S260" i="6"/>
  <c r="T260" i="6"/>
  <c r="U260" i="6"/>
  <c r="V260" i="6"/>
  <c r="W260" i="6"/>
  <c r="X260" i="6"/>
  <c r="N261" i="6"/>
  <c r="O261" i="6"/>
  <c r="P261" i="6"/>
  <c r="Q261" i="6"/>
  <c r="R261" i="6"/>
  <c r="S261" i="6"/>
  <c r="T261" i="6"/>
  <c r="U261" i="6"/>
  <c r="V261" i="6"/>
  <c r="W261" i="6"/>
  <c r="X261" i="6"/>
  <c r="N262" i="6"/>
  <c r="O262" i="6"/>
  <c r="P262" i="6"/>
  <c r="Q262" i="6"/>
  <c r="R262" i="6"/>
  <c r="S262" i="6"/>
  <c r="T262" i="6"/>
  <c r="U262" i="6"/>
  <c r="V262" i="6"/>
  <c r="W262" i="6"/>
  <c r="X262" i="6"/>
  <c r="N263" i="6"/>
  <c r="O263" i="6"/>
  <c r="P263" i="6"/>
  <c r="Q263" i="6"/>
  <c r="R263" i="6"/>
  <c r="S263" i="6"/>
  <c r="T263" i="6"/>
  <c r="U263" i="6"/>
  <c r="V263" i="6"/>
  <c r="W263" i="6"/>
  <c r="X263" i="6"/>
  <c r="N264" i="6"/>
  <c r="O264" i="6"/>
  <c r="P264" i="6"/>
  <c r="Q264" i="6"/>
  <c r="R264" i="6"/>
  <c r="S264" i="6"/>
  <c r="T264" i="6"/>
  <c r="U264" i="6"/>
  <c r="V264" i="6"/>
  <c r="W264" i="6"/>
  <c r="X264" i="6"/>
  <c r="N265" i="6"/>
  <c r="O265" i="6"/>
  <c r="P265" i="6"/>
  <c r="Q265" i="6"/>
  <c r="R265" i="6"/>
  <c r="S265" i="6"/>
  <c r="T265" i="6"/>
  <c r="U265" i="6"/>
  <c r="V265" i="6"/>
  <c r="W265" i="6"/>
  <c r="X265" i="6"/>
  <c r="N266" i="6"/>
  <c r="O266" i="6"/>
  <c r="P266" i="6"/>
  <c r="Q266" i="6"/>
  <c r="R266" i="6"/>
  <c r="S266" i="6"/>
  <c r="T266" i="6"/>
  <c r="U266" i="6"/>
  <c r="V266" i="6"/>
  <c r="W266" i="6"/>
  <c r="X266" i="6"/>
  <c r="N267" i="6"/>
  <c r="O267" i="6"/>
  <c r="P267" i="6"/>
  <c r="Q267" i="6"/>
  <c r="R267" i="6"/>
  <c r="S267" i="6"/>
  <c r="T267" i="6"/>
  <c r="U267" i="6"/>
  <c r="V267" i="6"/>
  <c r="W267" i="6"/>
  <c r="X267" i="6"/>
  <c r="N268" i="6"/>
  <c r="O268" i="6"/>
  <c r="P268" i="6"/>
  <c r="Q268" i="6"/>
  <c r="R268" i="6"/>
  <c r="S268" i="6"/>
  <c r="T268" i="6"/>
  <c r="U268" i="6"/>
  <c r="V268" i="6"/>
  <c r="W268" i="6"/>
  <c r="X268" i="6"/>
  <c r="N269" i="6"/>
  <c r="O269" i="6"/>
  <c r="P269" i="6"/>
  <c r="Q269" i="6"/>
  <c r="R269" i="6"/>
  <c r="S269" i="6"/>
  <c r="T269" i="6"/>
  <c r="U269" i="6"/>
  <c r="V269" i="6"/>
  <c r="W269" i="6"/>
  <c r="X269" i="6"/>
  <c r="N270" i="6"/>
  <c r="O270" i="6"/>
  <c r="P270" i="6"/>
  <c r="Q270" i="6"/>
  <c r="R270" i="6"/>
  <c r="S270" i="6"/>
  <c r="T270" i="6"/>
  <c r="U270" i="6"/>
  <c r="V270" i="6"/>
  <c r="W270" i="6"/>
  <c r="X270" i="6"/>
  <c r="N271" i="6"/>
  <c r="O271" i="6"/>
  <c r="P271" i="6"/>
  <c r="Q271" i="6"/>
  <c r="R271" i="6"/>
  <c r="S271" i="6"/>
  <c r="T271" i="6"/>
  <c r="U271" i="6"/>
  <c r="V271" i="6"/>
  <c r="W271" i="6"/>
  <c r="X271" i="6"/>
  <c r="N272" i="6"/>
  <c r="O272" i="6"/>
  <c r="P272" i="6"/>
  <c r="Q272" i="6"/>
  <c r="R272" i="6"/>
  <c r="S272" i="6"/>
  <c r="T272" i="6"/>
  <c r="U272" i="6"/>
  <c r="V272" i="6"/>
  <c r="W272" i="6"/>
  <c r="X272" i="6"/>
  <c r="N273" i="6"/>
  <c r="O273" i="6"/>
  <c r="P273" i="6"/>
  <c r="Q273" i="6"/>
  <c r="R273" i="6"/>
  <c r="S273" i="6"/>
  <c r="T273" i="6"/>
  <c r="U273" i="6"/>
  <c r="V273" i="6"/>
  <c r="W273" i="6"/>
  <c r="X273" i="6"/>
  <c r="N274" i="6"/>
  <c r="O274" i="6"/>
  <c r="P274" i="6"/>
  <c r="Q274" i="6"/>
  <c r="R274" i="6"/>
  <c r="S274" i="6"/>
  <c r="T274" i="6"/>
  <c r="U274" i="6"/>
  <c r="V274" i="6"/>
  <c r="W274" i="6"/>
  <c r="X274" i="6"/>
  <c r="N275" i="6"/>
  <c r="O275" i="6"/>
  <c r="P275" i="6"/>
  <c r="Q275" i="6"/>
  <c r="R275" i="6"/>
  <c r="S275" i="6"/>
  <c r="T275" i="6"/>
  <c r="U275" i="6"/>
  <c r="V275" i="6"/>
  <c r="W275" i="6"/>
  <c r="X275" i="6"/>
  <c r="N276" i="6"/>
  <c r="O276" i="6"/>
  <c r="P276" i="6"/>
  <c r="Q276" i="6"/>
  <c r="R276" i="6"/>
  <c r="S276" i="6"/>
  <c r="T276" i="6"/>
  <c r="U276" i="6"/>
  <c r="V276" i="6"/>
  <c r="W276" i="6"/>
  <c r="X276" i="6"/>
  <c r="N277" i="6"/>
  <c r="O277" i="6"/>
  <c r="P277" i="6"/>
  <c r="Q277" i="6"/>
  <c r="R277" i="6"/>
  <c r="S277" i="6"/>
  <c r="T277" i="6"/>
  <c r="U277" i="6"/>
  <c r="V277" i="6"/>
  <c r="W277" i="6"/>
  <c r="X277" i="6"/>
  <c r="N278" i="6"/>
  <c r="O278" i="6"/>
  <c r="P278" i="6"/>
  <c r="Q278" i="6"/>
  <c r="R278" i="6"/>
  <c r="S278" i="6"/>
  <c r="T278" i="6"/>
  <c r="U278" i="6"/>
  <c r="V278" i="6"/>
  <c r="W278" i="6"/>
  <c r="X278" i="6"/>
  <c r="N279" i="6"/>
  <c r="O279" i="6"/>
  <c r="P279" i="6"/>
  <c r="Q279" i="6"/>
  <c r="R279" i="6"/>
  <c r="S279" i="6"/>
  <c r="T279" i="6"/>
  <c r="U279" i="6"/>
  <c r="V279" i="6"/>
  <c r="W279" i="6"/>
  <c r="X279" i="6"/>
  <c r="N280" i="6"/>
  <c r="O280" i="6"/>
  <c r="P280" i="6"/>
  <c r="Q280" i="6"/>
  <c r="R280" i="6"/>
  <c r="S280" i="6"/>
  <c r="T280" i="6"/>
  <c r="U280" i="6"/>
  <c r="V280" i="6"/>
  <c r="W280" i="6"/>
  <c r="X280" i="6"/>
  <c r="N281" i="6"/>
  <c r="O281" i="6"/>
  <c r="P281" i="6"/>
  <c r="Q281" i="6"/>
  <c r="R281" i="6"/>
  <c r="S281" i="6"/>
  <c r="T281" i="6"/>
  <c r="U281" i="6"/>
  <c r="V281" i="6"/>
  <c r="W281" i="6"/>
  <c r="X281" i="6"/>
  <c r="N282" i="6"/>
  <c r="O282" i="6"/>
  <c r="P282" i="6"/>
  <c r="Q282" i="6"/>
  <c r="R282" i="6"/>
  <c r="S282" i="6"/>
  <c r="T282" i="6"/>
  <c r="U282" i="6"/>
  <c r="V282" i="6"/>
  <c r="W282" i="6"/>
  <c r="X282" i="6"/>
  <c r="N283" i="6"/>
  <c r="O283" i="6"/>
  <c r="P283" i="6"/>
  <c r="Q283" i="6"/>
  <c r="R283" i="6"/>
  <c r="S283" i="6"/>
  <c r="T283" i="6"/>
  <c r="U283" i="6"/>
  <c r="V283" i="6"/>
  <c r="W283" i="6"/>
  <c r="X283" i="6"/>
  <c r="N284" i="6"/>
  <c r="O284" i="6"/>
  <c r="P284" i="6"/>
  <c r="Q284" i="6"/>
  <c r="R284" i="6"/>
  <c r="S284" i="6"/>
  <c r="T284" i="6"/>
  <c r="U284" i="6"/>
  <c r="V284" i="6"/>
  <c r="W284" i="6"/>
  <c r="X284" i="6"/>
  <c r="N285" i="6"/>
  <c r="O285" i="6"/>
  <c r="P285" i="6"/>
  <c r="Q285" i="6"/>
  <c r="R285" i="6"/>
  <c r="S285" i="6"/>
  <c r="T285" i="6"/>
  <c r="U285" i="6"/>
  <c r="V285" i="6"/>
  <c r="W285" i="6"/>
  <c r="X285" i="6"/>
  <c r="N286" i="6"/>
  <c r="O286" i="6"/>
  <c r="P286" i="6"/>
  <c r="Q286" i="6"/>
  <c r="R286" i="6"/>
  <c r="S286" i="6"/>
  <c r="T286" i="6"/>
  <c r="U286" i="6"/>
  <c r="V286" i="6"/>
  <c r="W286" i="6"/>
  <c r="X286" i="6"/>
  <c r="N287" i="6"/>
  <c r="O287" i="6"/>
  <c r="P287" i="6"/>
  <c r="Q287" i="6"/>
  <c r="R287" i="6"/>
  <c r="S287" i="6"/>
  <c r="T287" i="6"/>
  <c r="U287" i="6"/>
  <c r="V287" i="6"/>
  <c r="W287" i="6"/>
  <c r="X287" i="6"/>
  <c r="N288" i="6"/>
  <c r="O288" i="6"/>
  <c r="P288" i="6"/>
  <c r="Q288" i="6"/>
  <c r="R288" i="6"/>
  <c r="S288" i="6"/>
  <c r="T288" i="6"/>
  <c r="U288" i="6"/>
  <c r="V288" i="6"/>
  <c r="W288" i="6"/>
  <c r="X288" i="6"/>
  <c r="N289" i="6"/>
  <c r="O289" i="6"/>
  <c r="P289" i="6"/>
  <c r="Q289" i="6"/>
  <c r="R289" i="6"/>
  <c r="S289" i="6"/>
  <c r="T289" i="6"/>
  <c r="U289" i="6"/>
  <c r="V289" i="6"/>
  <c r="W289" i="6"/>
  <c r="X289" i="6"/>
  <c r="N290" i="6"/>
  <c r="O290" i="6"/>
  <c r="P290" i="6"/>
  <c r="Q290" i="6"/>
  <c r="R290" i="6"/>
  <c r="S290" i="6"/>
  <c r="T290" i="6"/>
  <c r="U290" i="6"/>
  <c r="V290" i="6"/>
  <c r="W290" i="6"/>
  <c r="X290" i="6"/>
  <c r="N291" i="6"/>
  <c r="O291" i="6"/>
  <c r="P291" i="6"/>
  <c r="Q291" i="6"/>
  <c r="R291" i="6"/>
  <c r="S291" i="6"/>
  <c r="T291" i="6"/>
  <c r="U291" i="6"/>
  <c r="V291" i="6"/>
  <c r="W291" i="6"/>
  <c r="X291" i="6"/>
  <c r="N292" i="6"/>
  <c r="O292" i="6"/>
  <c r="P292" i="6"/>
  <c r="Q292" i="6"/>
  <c r="R292" i="6"/>
  <c r="S292" i="6"/>
  <c r="T292" i="6"/>
  <c r="U292" i="6"/>
  <c r="V292" i="6"/>
  <c r="W292" i="6"/>
  <c r="X292" i="6"/>
  <c r="N293" i="6"/>
  <c r="O293" i="6"/>
  <c r="P293" i="6"/>
  <c r="Q293" i="6"/>
  <c r="R293" i="6"/>
  <c r="S293" i="6"/>
  <c r="T293" i="6"/>
  <c r="U293" i="6"/>
  <c r="V293" i="6"/>
  <c r="W293" i="6"/>
  <c r="X293" i="6"/>
  <c r="N294" i="6"/>
  <c r="O294" i="6"/>
  <c r="P294" i="6"/>
  <c r="Q294" i="6"/>
  <c r="R294" i="6"/>
  <c r="S294" i="6"/>
  <c r="T294" i="6"/>
  <c r="U294" i="6"/>
  <c r="V294" i="6"/>
  <c r="W294" i="6"/>
  <c r="X294" i="6"/>
  <c r="N295" i="6"/>
  <c r="O295" i="6"/>
  <c r="P295" i="6"/>
  <c r="Q295" i="6"/>
  <c r="R295" i="6"/>
  <c r="S295" i="6"/>
  <c r="T295" i="6"/>
  <c r="U295" i="6"/>
  <c r="V295" i="6"/>
  <c r="W295" i="6"/>
  <c r="X295" i="6"/>
  <c r="N296" i="6"/>
  <c r="O296" i="6"/>
  <c r="P296" i="6"/>
  <c r="Q296" i="6"/>
  <c r="R296" i="6"/>
  <c r="S296" i="6"/>
  <c r="T296" i="6"/>
  <c r="U296" i="6"/>
  <c r="V296" i="6"/>
  <c r="W296" i="6"/>
  <c r="X296" i="6"/>
  <c r="N297" i="6"/>
  <c r="O297" i="6"/>
  <c r="P297" i="6"/>
  <c r="Q297" i="6"/>
  <c r="R297" i="6"/>
  <c r="S297" i="6"/>
  <c r="T297" i="6"/>
  <c r="U297" i="6"/>
  <c r="V297" i="6"/>
  <c r="W297" i="6"/>
  <c r="X297" i="6"/>
  <c r="N298" i="6"/>
  <c r="O298" i="6"/>
  <c r="P298" i="6"/>
  <c r="Q298" i="6"/>
  <c r="R298" i="6"/>
  <c r="S298" i="6"/>
  <c r="T298" i="6"/>
  <c r="U298" i="6"/>
  <c r="V298" i="6"/>
  <c r="W298" i="6"/>
  <c r="X298" i="6"/>
  <c r="N299" i="6"/>
  <c r="O299" i="6"/>
  <c r="P299" i="6"/>
  <c r="Q299" i="6"/>
  <c r="R299" i="6"/>
  <c r="S299" i="6"/>
  <c r="T299" i="6"/>
  <c r="U299" i="6"/>
  <c r="V299" i="6"/>
  <c r="W299" i="6"/>
  <c r="X299" i="6"/>
  <c r="N300" i="6"/>
  <c r="O300" i="6"/>
  <c r="P300" i="6"/>
  <c r="Q300" i="6"/>
  <c r="R300" i="6"/>
  <c r="S300" i="6"/>
  <c r="T300" i="6"/>
  <c r="U300" i="6"/>
  <c r="V300" i="6"/>
  <c r="W300" i="6"/>
  <c r="X300" i="6"/>
  <c r="N301" i="6"/>
  <c r="O301" i="6"/>
  <c r="P301" i="6"/>
  <c r="Q301" i="6"/>
  <c r="R301" i="6"/>
  <c r="S301" i="6"/>
  <c r="T301" i="6"/>
  <c r="U301" i="6"/>
  <c r="V301" i="6"/>
  <c r="W301" i="6"/>
  <c r="X301" i="6"/>
  <c r="N302" i="6"/>
  <c r="O302" i="6"/>
  <c r="P302" i="6"/>
  <c r="Q302" i="6"/>
  <c r="R302" i="6"/>
  <c r="S302" i="6"/>
  <c r="T302" i="6"/>
  <c r="U302" i="6"/>
  <c r="V302" i="6"/>
  <c r="W302" i="6"/>
  <c r="X302" i="6"/>
  <c r="N303" i="6"/>
  <c r="O303" i="6"/>
  <c r="P303" i="6"/>
  <c r="Q303" i="6"/>
  <c r="R303" i="6"/>
  <c r="S303" i="6"/>
  <c r="T303" i="6"/>
  <c r="U303" i="6"/>
  <c r="V303" i="6"/>
  <c r="W303" i="6"/>
  <c r="X303" i="6"/>
  <c r="N304" i="6"/>
  <c r="O304" i="6"/>
  <c r="P304" i="6"/>
  <c r="Q304" i="6"/>
  <c r="R304" i="6"/>
  <c r="S304" i="6"/>
  <c r="T304" i="6"/>
  <c r="U304" i="6"/>
  <c r="V304" i="6"/>
  <c r="W304" i="6"/>
  <c r="X304" i="6"/>
  <c r="N305" i="6"/>
  <c r="O305" i="6"/>
  <c r="P305" i="6"/>
  <c r="Q305" i="6"/>
  <c r="R305" i="6"/>
  <c r="S305" i="6"/>
  <c r="T305" i="6"/>
  <c r="U305" i="6"/>
  <c r="V305" i="6"/>
  <c r="W305" i="6"/>
  <c r="X305" i="6"/>
  <c r="N306" i="6"/>
  <c r="O306" i="6"/>
  <c r="P306" i="6"/>
  <c r="Q306" i="6"/>
  <c r="R306" i="6"/>
  <c r="S306" i="6"/>
  <c r="T306" i="6"/>
  <c r="U306" i="6"/>
  <c r="V306" i="6"/>
  <c r="W306" i="6"/>
  <c r="X306" i="6"/>
  <c r="N307" i="6"/>
  <c r="O307" i="6"/>
  <c r="P307" i="6"/>
  <c r="Q307" i="6"/>
  <c r="R307" i="6"/>
  <c r="S307" i="6"/>
  <c r="T307" i="6"/>
  <c r="U307" i="6"/>
  <c r="V307" i="6"/>
  <c r="W307" i="6"/>
  <c r="X307" i="6"/>
  <c r="N308" i="6"/>
  <c r="O308" i="6"/>
  <c r="P308" i="6"/>
  <c r="Q308" i="6"/>
  <c r="R308" i="6"/>
  <c r="S308" i="6"/>
  <c r="T308" i="6"/>
  <c r="U308" i="6"/>
  <c r="V308" i="6"/>
  <c r="W308" i="6"/>
  <c r="X308" i="6"/>
  <c r="N309" i="6"/>
  <c r="O309" i="6"/>
  <c r="P309" i="6"/>
  <c r="Q309" i="6"/>
  <c r="R309" i="6"/>
  <c r="S309" i="6"/>
  <c r="T309" i="6"/>
  <c r="U309" i="6"/>
  <c r="V309" i="6"/>
  <c r="W309" i="6"/>
  <c r="X309" i="6"/>
  <c r="N310" i="6"/>
  <c r="O310" i="6"/>
  <c r="P310" i="6"/>
  <c r="Q310" i="6"/>
  <c r="R310" i="6"/>
  <c r="S310" i="6"/>
  <c r="T310" i="6"/>
  <c r="U310" i="6"/>
  <c r="V310" i="6"/>
  <c r="W310" i="6"/>
  <c r="X310" i="6"/>
  <c r="N311" i="6"/>
  <c r="O311" i="6"/>
  <c r="P311" i="6"/>
  <c r="Q311" i="6"/>
  <c r="R311" i="6"/>
  <c r="S311" i="6"/>
  <c r="T311" i="6"/>
  <c r="U311" i="6"/>
  <c r="V311" i="6"/>
  <c r="W311" i="6"/>
  <c r="X311" i="6"/>
  <c r="N312" i="6"/>
  <c r="O312" i="6"/>
  <c r="P312" i="6"/>
  <c r="Q312" i="6"/>
  <c r="R312" i="6"/>
  <c r="S312" i="6"/>
  <c r="T312" i="6"/>
  <c r="U312" i="6"/>
  <c r="V312" i="6"/>
  <c r="W312" i="6"/>
  <c r="X312" i="6"/>
  <c r="N313" i="6"/>
  <c r="O313" i="6"/>
  <c r="P313" i="6"/>
  <c r="Q313" i="6"/>
  <c r="R313" i="6"/>
  <c r="S313" i="6"/>
  <c r="T313" i="6"/>
  <c r="U313" i="6"/>
  <c r="V313" i="6"/>
  <c r="W313" i="6"/>
  <c r="X313" i="6"/>
  <c r="N314" i="6"/>
  <c r="O314" i="6"/>
  <c r="P314" i="6"/>
  <c r="Q314" i="6"/>
  <c r="R314" i="6"/>
  <c r="S314" i="6"/>
  <c r="T314" i="6"/>
  <c r="U314" i="6"/>
  <c r="V314" i="6"/>
  <c r="W314" i="6"/>
  <c r="X314" i="6"/>
  <c r="N315" i="6"/>
  <c r="O315" i="6"/>
  <c r="P315" i="6"/>
  <c r="Q315" i="6"/>
  <c r="R315" i="6"/>
  <c r="S315" i="6"/>
  <c r="T315" i="6"/>
  <c r="U315" i="6"/>
  <c r="V315" i="6"/>
  <c r="W315" i="6"/>
  <c r="X315" i="6"/>
  <c r="N316" i="6"/>
  <c r="O316" i="6"/>
  <c r="P316" i="6"/>
  <c r="Q316" i="6"/>
  <c r="R316" i="6"/>
  <c r="S316" i="6"/>
  <c r="T316" i="6"/>
  <c r="U316" i="6"/>
  <c r="V316" i="6"/>
  <c r="W316" i="6"/>
  <c r="X316" i="6"/>
  <c r="N317" i="6"/>
  <c r="O317" i="6"/>
  <c r="P317" i="6"/>
  <c r="Q317" i="6"/>
  <c r="R317" i="6"/>
  <c r="S317" i="6"/>
  <c r="T317" i="6"/>
  <c r="U317" i="6"/>
  <c r="V317" i="6"/>
  <c r="W317" i="6"/>
  <c r="X317" i="6"/>
  <c r="N318" i="6"/>
  <c r="O318" i="6"/>
  <c r="P318" i="6"/>
  <c r="Q318" i="6"/>
  <c r="R318" i="6"/>
  <c r="S318" i="6"/>
  <c r="T318" i="6"/>
  <c r="U318" i="6"/>
  <c r="V318" i="6"/>
  <c r="W318" i="6"/>
  <c r="X318" i="6"/>
  <c r="N319" i="6"/>
  <c r="O319" i="6"/>
  <c r="P319" i="6"/>
  <c r="Q319" i="6"/>
  <c r="R319" i="6"/>
  <c r="S319" i="6"/>
  <c r="T319" i="6"/>
  <c r="U319" i="6"/>
  <c r="V319" i="6"/>
  <c r="W319" i="6"/>
  <c r="X319" i="6"/>
  <c r="N320" i="6"/>
  <c r="O320" i="6"/>
  <c r="P320" i="6"/>
  <c r="Q320" i="6"/>
  <c r="R320" i="6"/>
  <c r="S320" i="6"/>
  <c r="T320" i="6"/>
  <c r="U320" i="6"/>
  <c r="V320" i="6"/>
  <c r="W320" i="6"/>
  <c r="X320" i="6"/>
  <c r="N321" i="6"/>
  <c r="O321" i="6"/>
  <c r="P321" i="6"/>
  <c r="Q321" i="6"/>
  <c r="R321" i="6"/>
  <c r="S321" i="6"/>
  <c r="T321" i="6"/>
  <c r="U321" i="6"/>
  <c r="V321" i="6"/>
  <c r="W321" i="6"/>
  <c r="X321" i="6"/>
  <c r="N322" i="6"/>
  <c r="O322" i="6"/>
  <c r="P322" i="6"/>
  <c r="Q322" i="6"/>
  <c r="R322" i="6"/>
  <c r="S322" i="6"/>
  <c r="T322" i="6"/>
  <c r="U322" i="6"/>
  <c r="V322" i="6"/>
  <c r="W322" i="6"/>
  <c r="X322" i="6"/>
  <c r="N323" i="6"/>
  <c r="O323" i="6"/>
  <c r="P323" i="6"/>
  <c r="Q323" i="6"/>
  <c r="R323" i="6"/>
  <c r="S323" i="6"/>
  <c r="T323" i="6"/>
  <c r="U323" i="6"/>
  <c r="V323" i="6"/>
  <c r="W323" i="6"/>
  <c r="X323" i="6"/>
  <c r="N324" i="6"/>
  <c r="O324" i="6"/>
  <c r="P324" i="6"/>
  <c r="Q324" i="6"/>
  <c r="R324" i="6"/>
  <c r="S324" i="6"/>
  <c r="T324" i="6"/>
  <c r="U324" i="6"/>
  <c r="V324" i="6"/>
  <c r="W324" i="6"/>
  <c r="X324" i="6"/>
  <c r="N325" i="6"/>
  <c r="O325" i="6"/>
  <c r="P325" i="6"/>
  <c r="Q325" i="6"/>
  <c r="R325" i="6"/>
  <c r="S325" i="6"/>
  <c r="T325" i="6"/>
  <c r="U325" i="6"/>
  <c r="V325" i="6"/>
  <c r="W325" i="6"/>
  <c r="X325" i="6"/>
  <c r="N326" i="6"/>
  <c r="O326" i="6"/>
  <c r="P326" i="6"/>
  <c r="Q326" i="6"/>
  <c r="R326" i="6"/>
  <c r="S326" i="6"/>
  <c r="T326" i="6"/>
  <c r="U326" i="6"/>
  <c r="V326" i="6"/>
  <c r="W326" i="6"/>
  <c r="X326" i="6"/>
  <c r="N327" i="6"/>
  <c r="O327" i="6"/>
  <c r="P327" i="6"/>
  <c r="Q327" i="6"/>
  <c r="R327" i="6"/>
  <c r="S327" i="6"/>
  <c r="T327" i="6"/>
  <c r="U327" i="6"/>
  <c r="V327" i="6"/>
  <c r="W327" i="6"/>
  <c r="X327" i="6"/>
  <c r="N328" i="6"/>
  <c r="O328" i="6"/>
  <c r="P328" i="6"/>
  <c r="Q328" i="6"/>
  <c r="R328" i="6"/>
  <c r="S328" i="6"/>
  <c r="T328" i="6"/>
  <c r="U328" i="6"/>
  <c r="V328" i="6"/>
  <c r="W328" i="6"/>
  <c r="X328" i="6"/>
  <c r="N329" i="6"/>
  <c r="O329" i="6"/>
  <c r="P329" i="6"/>
  <c r="Q329" i="6"/>
  <c r="R329" i="6"/>
  <c r="S329" i="6"/>
  <c r="T329" i="6"/>
  <c r="U329" i="6"/>
  <c r="V329" i="6"/>
  <c r="W329" i="6"/>
  <c r="X329" i="6"/>
  <c r="N330" i="6"/>
  <c r="O330" i="6"/>
  <c r="P330" i="6"/>
  <c r="Q330" i="6"/>
  <c r="R330" i="6"/>
  <c r="S330" i="6"/>
  <c r="T330" i="6"/>
  <c r="U330" i="6"/>
  <c r="V330" i="6"/>
  <c r="W330" i="6"/>
  <c r="X330" i="6"/>
  <c r="N331" i="6"/>
  <c r="O331" i="6"/>
  <c r="P331" i="6"/>
  <c r="Q331" i="6"/>
  <c r="R331" i="6"/>
  <c r="S331" i="6"/>
  <c r="T331" i="6"/>
  <c r="U331" i="6"/>
  <c r="V331" i="6"/>
  <c r="W331" i="6"/>
  <c r="X331" i="6"/>
  <c r="N332" i="6"/>
  <c r="O332" i="6"/>
  <c r="P332" i="6"/>
  <c r="Q332" i="6"/>
  <c r="R332" i="6"/>
  <c r="S332" i="6"/>
  <c r="T332" i="6"/>
  <c r="U332" i="6"/>
  <c r="V332" i="6"/>
  <c r="W332" i="6"/>
  <c r="X332" i="6"/>
  <c r="N333" i="6"/>
  <c r="O333" i="6"/>
  <c r="P333" i="6"/>
  <c r="Q333" i="6"/>
  <c r="R333" i="6"/>
  <c r="S333" i="6"/>
  <c r="T333" i="6"/>
  <c r="U333" i="6"/>
  <c r="V333" i="6"/>
  <c r="W333" i="6"/>
  <c r="X333" i="6"/>
  <c r="N334" i="6"/>
  <c r="O334" i="6"/>
  <c r="P334" i="6"/>
  <c r="Q334" i="6"/>
  <c r="R334" i="6"/>
  <c r="S334" i="6"/>
  <c r="T334" i="6"/>
  <c r="U334" i="6"/>
  <c r="V334" i="6"/>
  <c r="W334" i="6"/>
  <c r="X334" i="6"/>
  <c r="N335" i="6"/>
  <c r="O335" i="6"/>
  <c r="P335" i="6"/>
  <c r="Q335" i="6"/>
  <c r="R335" i="6"/>
  <c r="S335" i="6"/>
  <c r="T335" i="6"/>
  <c r="U335" i="6"/>
  <c r="V335" i="6"/>
  <c r="W335" i="6"/>
  <c r="X335" i="6"/>
  <c r="N336" i="6"/>
  <c r="O336" i="6"/>
  <c r="P336" i="6"/>
  <c r="Q336" i="6"/>
  <c r="R336" i="6"/>
  <c r="S336" i="6"/>
  <c r="T336" i="6"/>
  <c r="U336" i="6"/>
  <c r="V336" i="6"/>
  <c r="W336" i="6"/>
  <c r="X336" i="6"/>
  <c r="N337" i="6"/>
  <c r="O337" i="6"/>
  <c r="P337" i="6"/>
  <c r="Q337" i="6"/>
  <c r="R337" i="6"/>
  <c r="S337" i="6"/>
  <c r="T337" i="6"/>
  <c r="U337" i="6"/>
  <c r="V337" i="6"/>
  <c r="W337" i="6"/>
  <c r="X337" i="6"/>
  <c r="N338" i="6"/>
  <c r="O338" i="6"/>
  <c r="P338" i="6"/>
  <c r="Q338" i="6"/>
  <c r="R338" i="6"/>
  <c r="S338" i="6"/>
  <c r="T338" i="6"/>
  <c r="U338" i="6"/>
  <c r="V338" i="6"/>
  <c r="W338" i="6"/>
  <c r="X338" i="6"/>
  <c r="N339" i="6"/>
  <c r="O339" i="6"/>
  <c r="P339" i="6"/>
  <c r="Q339" i="6"/>
  <c r="R339" i="6"/>
  <c r="S339" i="6"/>
  <c r="T339" i="6"/>
  <c r="U339" i="6"/>
  <c r="V339" i="6"/>
  <c r="W339" i="6"/>
  <c r="X339" i="6"/>
  <c r="N340" i="6"/>
  <c r="O340" i="6"/>
  <c r="P340" i="6"/>
  <c r="Q340" i="6"/>
  <c r="R340" i="6"/>
  <c r="S340" i="6"/>
  <c r="T340" i="6"/>
  <c r="U340" i="6"/>
  <c r="V340" i="6"/>
  <c r="W340" i="6"/>
  <c r="X340" i="6"/>
  <c r="N341" i="6"/>
  <c r="O341" i="6"/>
  <c r="P341" i="6"/>
  <c r="Q341" i="6"/>
  <c r="R341" i="6"/>
  <c r="S341" i="6"/>
  <c r="T341" i="6"/>
  <c r="U341" i="6"/>
  <c r="V341" i="6"/>
  <c r="W341" i="6"/>
  <c r="X341" i="6"/>
  <c r="N342" i="6"/>
  <c r="O342" i="6"/>
  <c r="P342" i="6"/>
  <c r="Q342" i="6"/>
  <c r="R342" i="6"/>
  <c r="S342" i="6"/>
  <c r="T342" i="6"/>
  <c r="U342" i="6"/>
  <c r="V342" i="6"/>
  <c r="W342" i="6"/>
  <c r="X342" i="6"/>
  <c r="N343" i="6"/>
  <c r="O343" i="6"/>
  <c r="P343" i="6"/>
  <c r="Q343" i="6"/>
  <c r="R343" i="6"/>
  <c r="S343" i="6"/>
  <c r="T343" i="6"/>
  <c r="U343" i="6"/>
  <c r="V343" i="6"/>
  <c r="W343" i="6"/>
  <c r="X343" i="6"/>
  <c r="N344" i="6"/>
  <c r="O344" i="6"/>
  <c r="P344" i="6"/>
  <c r="Q344" i="6"/>
  <c r="R344" i="6"/>
  <c r="S344" i="6"/>
  <c r="T344" i="6"/>
  <c r="U344" i="6"/>
  <c r="V344" i="6"/>
  <c r="W344" i="6"/>
  <c r="X344" i="6"/>
  <c r="N345" i="6"/>
  <c r="O345" i="6"/>
  <c r="P345" i="6"/>
  <c r="Q345" i="6"/>
  <c r="R345" i="6"/>
  <c r="S345" i="6"/>
  <c r="T345" i="6"/>
  <c r="U345" i="6"/>
  <c r="V345" i="6"/>
  <c r="W345" i="6"/>
  <c r="X345" i="6"/>
  <c r="N346" i="6"/>
  <c r="O346" i="6"/>
  <c r="P346" i="6"/>
  <c r="Q346" i="6"/>
  <c r="R346" i="6"/>
  <c r="S346" i="6"/>
  <c r="T346" i="6"/>
  <c r="U346" i="6"/>
  <c r="V346" i="6"/>
  <c r="W346" i="6"/>
  <c r="X346" i="6"/>
  <c r="N347" i="6"/>
  <c r="O347" i="6"/>
  <c r="P347" i="6"/>
  <c r="Q347" i="6"/>
  <c r="R347" i="6"/>
  <c r="S347" i="6"/>
  <c r="T347" i="6"/>
  <c r="U347" i="6"/>
  <c r="V347" i="6"/>
  <c r="W347" i="6"/>
  <c r="X347" i="6"/>
  <c r="N348" i="6"/>
  <c r="O348" i="6"/>
  <c r="P348" i="6"/>
  <c r="Q348" i="6"/>
  <c r="R348" i="6"/>
  <c r="S348" i="6"/>
  <c r="T348" i="6"/>
  <c r="U348" i="6"/>
  <c r="V348" i="6"/>
  <c r="W348" i="6"/>
  <c r="X348" i="6"/>
  <c r="N349" i="6"/>
  <c r="O349" i="6"/>
  <c r="P349" i="6"/>
  <c r="Q349" i="6"/>
  <c r="R349" i="6"/>
  <c r="S349" i="6"/>
  <c r="T349" i="6"/>
  <c r="U349" i="6"/>
  <c r="V349" i="6"/>
  <c r="W349" i="6"/>
  <c r="X349" i="6"/>
  <c r="N350" i="6"/>
  <c r="O350" i="6"/>
  <c r="P350" i="6"/>
  <c r="Q350" i="6"/>
  <c r="R350" i="6"/>
  <c r="S350" i="6"/>
  <c r="T350" i="6"/>
  <c r="U350" i="6"/>
  <c r="V350" i="6"/>
  <c r="W350" i="6"/>
  <c r="X350" i="6"/>
  <c r="N351" i="6"/>
  <c r="O351" i="6"/>
  <c r="P351" i="6"/>
  <c r="Q351" i="6"/>
  <c r="R351" i="6"/>
  <c r="S351" i="6"/>
  <c r="T351" i="6"/>
  <c r="U351" i="6"/>
  <c r="V351" i="6"/>
  <c r="W351" i="6"/>
  <c r="X351" i="6"/>
  <c r="N352" i="6"/>
  <c r="O352" i="6"/>
  <c r="P352" i="6"/>
  <c r="Q352" i="6"/>
  <c r="R352" i="6"/>
  <c r="S352" i="6"/>
  <c r="T352" i="6"/>
  <c r="U352" i="6"/>
  <c r="V352" i="6"/>
  <c r="W352" i="6"/>
  <c r="X352" i="6"/>
  <c r="N353" i="6"/>
  <c r="O353" i="6"/>
  <c r="P353" i="6"/>
  <c r="Q353" i="6"/>
  <c r="R353" i="6"/>
  <c r="S353" i="6"/>
  <c r="T353" i="6"/>
  <c r="U353" i="6"/>
  <c r="V353" i="6"/>
  <c r="W353" i="6"/>
  <c r="X353" i="6"/>
  <c r="N354" i="6"/>
  <c r="O354" i="6"/>
  <c r="P354" i="6"/>
  <c r="Q354" i="6"/>
  <c r="R354" i="6"/>
  <c r="S354" i="6"/>
  <c r="T354" i="6"/>
  <c r="U354" i="6"/>
  <c r="V354" i="6"/>
  <c r="W354" i="6"/>
  <c r="X354" i="6"/>
  <c r="N355" i="6"/>
  <c r="O355" i="6"/>
  <c r="P355" i="6"/>
  <c r="Q355" i="6"/>
  <c r="R355" i="6"/>
  <c r="S355" i="6"/>
  <c r="T355" i="6"/>
  <c r="U355" i="6"/>
  <c r="V355" i="6"/>
  <c r="W355" i="6"/>
  <c r="X355" i="6"/>
  <c r="N356" i="6"/>
  <c r="O356" i="6"/>
  <c r="P356" i="6"/>
  <c r="Q356" i="6"/>
  <c r="R356" i="6"/>
  <c r="S356" i="6"/>
  <c r="T356" i="6"/>
  <c r="U356" i="6"/>
  <c r="V356" i="6"/>
  <c r="W356" i="6"/>
  <c r="X356" i="6"/>
  <c r="N357" i="6"/>
  <c r="O357" i="6"/>
  <c r="P357" i="6"/>
  <c r="Q357" i="6"/>
  <c r="R357" i="6"/>
  <c r="S357" i="6"/>
  <c r="T357" i="6"/>
  <c r="U357" i="6"/>
  <c r="V357" i="6"/>
  <c r="W357" i="6"/>
  <c r="X357" i="6"/>
  <c r="N358" i="6"/>
  <c r="O358" i="6"/>
  <c r="P358" i="6"/>
  <c r="Q358" i="6"/>
  <c r="R358" i="6"/>
  <c r="S358" i="6"/>
  <c r="T358" i="6"/>
  <c r="U358" i="6"/>
  <c r="V358" i="6"/>
  <c r="W358" i="6"/>
  <c r="X358" i="6"/>
  <c r="N359" i="6"/>
  <c r="O359" i="6"/>
  <c r="P359" i="6"/>
  <c r="Q359" i="6"/>
  <c r="R359" i="6"/>
  <c r="S359" i="6"/>
  <c r="T359" i="6"/>
  <c r="U359" i="6"/>
  <c r="V359" i="6"/>
  <c r="W359" i="6"/>
  <c r="X359" i="6"/>
  <c r="N360" i="6"/>
  <c r="O360" i="6"/>
  <c r="P360" i="6"/>
  <c r="Q360" i="6"/>
  <c r="R360" i="6"/>
  <c r="S360" i="6"/>
  <c r="T360" i="6"/>
  <c r="U360" i="6"/>
  <c r="V360" i="6"/>
  <c r="W360" i="6"/>
  <c r="X360" i="6"/>
  <c r="N361" i="6"/>
  <c r="O361" i="6"/>
  <c r="P361" i="6"/>
  <c r="Q361" i="6"/>
  <c r="R361" i="6"/>
  <c r="S361" i="6"/>
  <c r="T361" i="6"/>
  <c r="U361" i="6"/>
  <c r="V361" i="6"/>
  <c r="W361" i="6"/>
  <c r="X361" i="6"/>
  <c r="N362" i="6"/>
  <c r="O362" i="6"/>
  <c r="P362" i="6"/>
  <c r="Q362" i="6"/>
  <c r="R362" i="6"/>
  <c r="S362" i="6"/>
  <c r="T362" i="6"/>
  <c r="U362" i="6"/>
  <c r="V362" i="6"/>
  <c r="W362" i="6"/>
  <c r="X362" i="6"/>
  <c r="N363" i="6"/>
  <c r="O363" i="6"/>
  <c r="P363" i="6"/>
  <c r="Q363" i="6"/>
  <c r="R363" i="6"/>
  <c r="S363" i="6"/>
  <c r="T363" i="6"/>
  <c r="U363" i="6"/>
  <c r="V363" i="6"/>
  <c r="W363" i="6"/>
  <c r="X363" i="6"/>
  <c r="N364" i="6"/>
  <c r="O364" i="6"/>
  <c r="P364" i="6"/>
  <c r="Q364" i="6"/>
  <c r="R364" i="6"/>
  <c r="S364" i="6"/>
  <c r="T364" i="6"/>
  <c r="U364" i="6"/>
  <c r="V364" i="6"/>
  <c r="W364" i="6"/>
  <c r="X364" i="6"/>
  <c r="N365" i="6"/>
  <c r="O365" i="6"/>
  <c r="P365" i="6"/>
  <c r="Q365" i="6"/>
  <c r="R365" i="6"/>
  <c r="S365" i="6"/>
  <c r="T365" i="6"/>
  <c r="U365" i="6"/>
  <c r="V365" i="6"/>
  <c r="W365" i="6"/>
  <c r="X365" i="6"/>
  <c r="N366" i="6"/>
  <c r="O366" i="6"/>
  <c r="P366" i="6"/>
  <c r="Q366" i="6"/>
  <c r="R366" i="6"/>
  <c r="S366" i="6"/>
  <c r="T366" i="6"/>
  <c r="U366" i="6"/>
  <c r="V366" i="6"/>
  <c r="W366" i="6"/>
  <c r="X366" i="6"/>
  <c r="N367" i="6"/>
  <c r="O367" i="6"/>
  <c r="P367" i="6"/>
  <c r="Q367" i="6"/>
  <c r="R367" i="6"/>
  <c r="S367" i="6"/>
  <c r="T367" i="6"/>
  <c r="U367" i="6"/>
  <c r="V367" i="6"/>
  <c r="W367" i="6"/>
  <c r="X367" i="6"/>
  <c r="N368" i="6"/>
  <c r="O368" i="6"/>
  <c r="P368" i="6"/>
  <c r="Q368" i="6"/>
  <c r="R368" i="6"/>
  <c r="S368" i="6"/>
  <c r="T368" i="6"/>
  <c r="U368" i="6"/>
  <c r="V368" i="6"/>
  <c r="W368" i="6"/>
  <c r="X368" i="6"/>
  <c r="N369" i="6"/>
  <c r="O369" i="6"/>
  <c r="P369" i="6"/>
  <c r="Q369" i="6"/>
  <c r="R369" i="6"/>
  <c r="S369" i="6"/>
  <c r="T369" i="6"/>
  <c r="U369" i="6"/>
  <c r="V369" i="6"/>
  <c r="W369" i="6"/>
  <c r="X369" i="6"/>
  <c r="N370" i="6"/>
  <c r="O370" i="6"/>
  <c r="P370" i="6"/>
  <c r="Q370" i="6"/>
  <c r="R370" i="6"/>
  <c r="S370" i="6"/>
  <c r="T370" i="6"/>
  <c r="U370" i="6"/>
  <c r="V370" i="6"/>
  <c r="W370" i="6"/>
  <c r="X370" i="6"/>
  <c r="N371" i="6"/>
  <c r="O371" i="6"/>
  <c r="P371" i="6"/>
  <c r="Q371" i="6"/>
  <c r="R371" i="6"/>
  <c r="S371" i="6"/>
  <c r="T371" i="6"/>
  <c r="U371" i="6"/>
  <c r="V371" i="6"/>
  <c r="W371" i="6"/>
  <c r="X371" i="6"/>
  <c r="N372" i="6"/>
  <c r="O372" i="6"/>
  <c r="P372" i="6"/>
  <c r="Q372" i="6"/>
  <c r="R372" i="6"/>
  <c r="S372" i="6"/>
  <c r="T372" i="6"/>
  <c r="U372" i="6"/>
  <c r="V372" i="6"/>
  <c r="W372" i="6"/>
  <c r="X372" i="6"/>
  <c r="N373" i="6"/>
  <c r="O373" i="6"/>
  <c r="P373" i="6"/>
  <c r="Q373" i="6"/>
  <c r="R373" i="6"/>
  <c r="S373" i="6"/>
  <c r="T373" i="6"/>
  <c r="U373" i="6"/>
  <c r="V373" i="6"/>
  <c r="W373" i="6"/>
  <c r="X373" i="6"/>
  <c r="N374" i="6"/>
  <c r="O374" i="6"/>
  <c r="P374" i="6"/>
  <c r="Q374" i="6"/>
  <c r="R374" i="6"/>
  <c r="S374" i="6"/>
  <c r="T374" i="6"/>
  <c r="U374" i="6"/>
  <c r="V374" i="6"/>
  <c r="W374" i="6"/>
  <c r="X374" i="6"/>
  <c r="N375" i="6"/>
  <c r="O375" i="6"/>
  <c r="P375" i="6"/>
  <c r="Q375" i="6"/>
  <c r="R375" i="6"/>
  <c r="S375" i="6"/>
  <c r="T375" i="6"/>
  <c r="U375" i="6"/>
  <c r="V375" i="6"/>
  <c r="W375" i="6"/>
  <c r="X375" i="6"/>
  <c r="N376" i="6"/>
  <c r="O376" i="6"/>
  <c r="P376" i="6"/>
  <c r="Q376" i="6"/>
  <c r="R376" i="6"/>
  <c r="S376" i="6"/>
  <c r="T376" i="6"/>
  <c r="U376" i="6"/>
  <c r="V376" i="6"/>
  <c r="W376" i="6"/>
  <c r="X376" i="6"/>
  <c r="N377" i="6"/>
  <c r="O377" i="6"/>
  <c r="P377" i="6"/>
  <c r="Q377" i="6"/>
  <c r="R377" i="6"/>
  <c r="S377" i="6"/>
  <c r="T377" i="6"/>
  <c r="U377" i="6"/>
  <c r="V377" i="6"/>
  <c r="W377" i="6"/>
  <c r="X377" i="6"/>
  <c r="N378" i="6"/>
  <c r="O378" i="6"/>
  <c r="P378" i="6"/>
  <c r="Q378" i="6"/>
  <c r="R378" i="6"/>
  <c r="S378" i="6"/>
  <c r="T378" i="6"/>
  <c r="U378" i="6"/>
  <c r="V378" i="6"/>
  <c r="W378" i="6"/>
  <c r="X378" i="6"/>
  <c r="N379" i="6"/>
  <c r="O379" i="6"/>
  <c r="P379" i="6"/>
  <c r="Q379" i="6"/>
  <c r="R379" i="6"/>
  <c r="S379" i="6"/>
  <c r="T379" i="6"/>
  <c r="U379" i="6"/>
  <c r="V379" i="6"/>
  <c r="W379" i="6"/>
  <c r="X379" i="6"/>
  <c r="N380" i="6"/>
  <c r="O380" i="6"/>
  <c r="P380" i="6"/>
  <c r="Q380" i="6"/>
  <c r="R380" i="6"/>
  <c r="S380" i="6"/>
  <c r="T380" i="6"/>
  <c r="U380" i="6"/>
  <c r="V380" i="6"/>
  <c r="W380" i="6"/>
  <c r="X380" i="6"/>
  <c r="N381" i="6"/>
  <c r="O381" i="6"/>
  <c r="P381" i="6"/>
  <c r="Q381" i="6"/>
  <c r="R381" i="6"/>
  <c r="S381" i="6"/>
  <c r="T381" i="6"/>
  <c r="U381" i="6"/>
  <c r="V381" i="6"/>
  <c r="W381" i="6"/>
  <c r="X381" i="6"/>
  <c r="N382" i="6"/>
  <c r="O382" i="6"/>
  <c r="P382" i="6"/>
  <c r="Q382" i="6"/>
  <c r="R382" i="6"/>
  <c r="S382" i="6"/>
  <c r="T382" i="6"/>
  <c r="U382" i="6"/>
  <c r="V382" i="6"/>
  <c r="W382" i="6"/>
  <c r="X382" i="6"/>
  <c r="N383" i="6"/>
  <c r="O383" i="6"/>
  <c r="P383" i="6"/>
  <c r="Q383" i="6"/>
  <c r="R383" i="6"/>
  <c r="S383" i="6"/>
  <c r="T383" i="6"/>
  <c r="U383" i="6"/>
  <c r="V383" i="6"/>
  <c r="W383" i="6"/>
  <c r="X383" i="6"/>
  <c r="N384" i="6"/>
  <c r="O384" i="6"/>
  <c r="P384" i="6"/>
  <c r="Q384" i="6"/>
  <c r="R384" i="6"/>
  <c r="S384" i="6"/>
  <c r="T384" i="6"/>
  <c r="U384" i="6"/>
  <c r="V384" i="6"/>
  <c r="W384" i="6"/>
  <c r="X384" i="6"/>
  <c r="N385" i="6"/>
  <c r="O385" i="6"/>
  <c r="P385" i="6"/>
  <c r="Q385" i="6"/>
  <c r="R385" i="6"/>
  <c r="S385" i="6"/>
  <c r="T385" i="6"/>
  <c r="U385" i="6"/>
  <c r="V385" i="6"/>
  <c r="W385" i="6"/>
  <c r="X385" i="6"/>
  <c r="N386" i="6"/>
  <c r="O386" i="6"/>
  <c r="P386" i="6"/>
  <c r="Q386" i="6"/>
  <c r="R386" i="6"/>
  <c r="S386" i="6"/>
  <c r="T386" i="6"/>
  <c r="U386" i="6"/>
  <c r="V386" i="6"/>
  <c r="W386" i="6"/>
  <c r="X386" i="6"/>
  <c r="N387" i="6"/>
  <c r="O387" i="6"/>
  <c r="P387" i="6"/>
  <c r="Q387" i="6"/>
  <c r="R387" i="6"/>
  <c r="S387" i="6"/>
  <c r="T387" i="6"/>
  <c r="U387" i="6"/>
  <c r="V387" i="6"/>
  <c r="W387" i="6"/>
  <c r="X387" i="6"/>
  <c r="N388" i="6"/>
  <c r="O388" i="6"/>
  <c r="P388" i="6"/>
  <c r="Q388" i="6"/>
  <c r="R388" i="6"/>
  <c r="S388" i="6"/>
  <c r="T388" i="6"/>
  <c r="U388" i="6"/>
  <c r="V388" i="6"/>
  <c r="W388" i="6"/>
  <c r="X388" i="6"/>
  <c r="N389" i="6"/>
  <c r="O389" i="6"/>
  <c r="P389" i="6"/>
  <c r="Q389" i="6"/>
  <c r="R389" i="6"/>
  <c r="S389" i="6"/>
  <c r="T389" i="6"/>
  <c r="U389" i="6"/>
  <c r="V389" i="6"/>
  <c r="W389" i="6"/>
  <c r="X389" i="6"/>
  <c r="N390" i="6"/>
  <c r="O390" i="6"/>
  <c r="P390" i="6"/>
  <c r="Q390" i="6"/>
  <c r="R390" i="6"/>
  <c r="S390" i="6"/>
  <c r="T390" i="6"/>
  <c r="U390" i="6"/>
  <c r="V390" i="6"/>
  <c r="W390" i="6"/>
  <c r="X390" i="6"/>
  <c r="N391" i="6"/>
  <c r="O391" i="6"/>
  <c r="P391" i="6"/>
  <c r="Q391" i="6"/>
  <c r="R391" i="6"/>
  <c r="S391" i="6"/>
  <c r="T391" i="6"/>
  <c r="U391" i="6"/>
  <c r="V391" i="6"/>
  <c r="W391" i="6"/>
  <c r="X391" i="6"/>
  <c r="N392" i="6"/>
  <c r="O392" i="6"/>
  <c r="P392" i="6"/>
  <c r="Q392" i="6"/>
  <c r="R392" i="6"/>
  <c r="S392" i="6"/>
  <c r="T392" i="6"/>
  <c r="U392" i="6"/>
  <c r="V392" i="6"/>
  <c r="W392" i="6"/>
  <c r="X392" i="6"/>
  <c r="N393" i="6"/>
  <c r="O393" i="6"/>
  <c r="P393" i="6"/>
  <c r="Q393" i="6"/>
  <c r="R393" i="6"/>
  <c r="S393" i="6"/>
  <c r="T393" i="6"/>
  <c r="U393" i="6"/>
  <c r="V393" i="6"/>
  <c r="W393" i="6"/>
  <c r="X393" i="6"/>
  <c r="N394" i="6"/>
  <c r="O394" i="6"/>
  <c r="P394" i="6"/>
  <c r="Q394" i="6"/>
  <c r="R394" i="6"/>
  <c r="S394" i="6"/>
  <c r="T394" i="6"/>
  <c r="U394" i="6"/>
  <c r="V394" i="6"/>
  <c r="W394" i="6"/>
  <c r="X394" i="6"/>
  <c r="N395" i="6"/>
  <c r="O395" i="6"/>
  <c r="P395" i="6"/>
  <c r="Q395" i="6"/>
  <c r="R395" i="6"/>
  <c r="S395" i="6"/>
  <c r="T395" i="6"/>
  <c r="U395" i="6"/>
  <c r="V395" i="6"/>
  <c r="W395" i="6"/>
  <c r="X395" i="6"/>
  <c r="N396" i="6"/>
  <c r="O396" i="6"/>
  <c r="P396" i="6"/>
  <c r="Q396" i="6"/>
  <c r="R396" i="6"/>
  <c r="S396" i="6"/>
  <c r="T396" i="6"/>
  <c r="U396" i="6"/>
  <c r="V396" i="6"/>
  <c r="W396" i="6"/>
  <c r="X396" i="6"/>
  <c r="N397" i="6"/>
  <c r="O397" i="6"/>
  <c r="P397" i="6"/>
  <c r="Q397" i="6"/>
  <c r="R397" i="6"/>
  <c r="S397" i="6"/>
  <c r="T397" i="6"/>
  <c r="U397" i="6"/>
  <c r="V397" i="6"/>
  <c r="W397" i="6"/>
  <c r="X397" i="6"/>
  <c r="N398" i="6"/>
  <c r="O398" i="6"/>
  <c r="P398" i="6"/>
  <c r="Q398" i="6"/>
  <c r="R398" i="6"/>
  <c r="S398" i="6"/>
  <c r="T398" i="6"/>
  <c r="U398" i="6"/>
  <c r="V398" i="6"/>
  <c r="W398" i="6"/>
  <c r="X398" i="6"/>
  <c r="N399" i="6"/>
  <c r="O399" i="6"/>
  <c r="P399" i="6"/>
  <c r="Q399" i="6"/>
  <c r="R399" i="6"/>
  <c r="S399" i="6"/>
  <c r="T399" i="6"/>
  <c r="U399" i="6"/>
  <c r="V399" i="6"/>
  <c r="W399" i="6"/>
  <c r="X399" i="6"/>
  <c r="N400" i="6"/>
  <c r="O400" i="6"/>
  <c r="P400" i="6"/>
  <c r="Q400" i="6"/>
  <c r="R400" i="6"/>
  <c r="S400" i="6"/>
  <c r="T400" i="6"/>
  <c r="U400" i="6"/>
  <c r="V400" i="6"/>
  <c r="W400" i="6"/>
  <c r="X400" i="6"/>
  <c r="N401" i="6"/>
  <c r="O401" i="6"/>
  <c r="P401" i="6"/>
  <c r="Q401" i="6"/>
  <c r="R401" i="6"/>
  <c r="S401" i="6"/>
  <c r="T401" i="6"/>
  <c r="U401" i="6"/>
  <c r="V401" i="6"/>
  <c r="W401" i="6"/>
  <c r="X401" i="6"/>
  <c r="N402" i="6"/>
  <c r="O402" i="6"/>
  <c r="P402" i="6"/>
  <c r="Q402" i="6"/>
  <c r="R402" i="6"/>
  <c r="S402" i="6"/>
  <c r="T402" i="6"/>
  <c r="U402" i="6"/>
  <c r="V402" i="6"/>
  <c r="W402" i="6"/>
  <c r="X402" i="6"/>
  <c r="N403" i="6"/>
  <c r="O403" i="6"/>
  <c r="P403" i="6"/>
  <c r="Q403" i="6"/>
  <c r="R403" i="6"/>
  <c r="S403" i="6"/>
  <c r="T403" i="6"/>
  <c r="U403" i="6"/>
  <c r="V403" i="6"/>
  <c r="W403" i="6"/>
  <c r="X403" i="6"/>
  <c r="N404" i="6"/>
  <c r="O404" i="6"/>
  <c r="P404" i="6"/>
  <c r="Q404" i="6"/>
  <c r="R404" i="6"/>
  <c r="S404" i="6"/>
  <c r="T404" i="6"/>
  <c r="U404" i="6"/>
  <c r="V404" i="6"/>
  <c r="W404" i="6"/>
  <c r="X404" i="6"/>
  <c r="N405" i="6"/>
  <c r="O405" i="6"/>
  <c r="P405" i="6"/>
  <c r="Q405" i="6"/>
  <c r="R405" i="6"/>
  <c r="S405" i="6"/>
  <c r="T405" i="6"/>
  <c r="U405" i="6"/>
  <c r="V405" i="6"/>
  <c r="W405" i="6"/>
  <c r="X405" i="6"/>
  <c r="N406" i="6"/>
  <c r="O406" i="6"/>
  <c r="P406" i="6"/>
  <c r="Q406" i="6"/>
  <c r="R406" i="6"/>
  <c r="S406" i="6"/>
  <c r="T406" i="6"/>
  <c r="U406" i="6"/>
  <c r="V406" i="6"/>
  <c r="W406" i="6"/>
  <c r="X406" i="6"/>
  <c r="N407" i="6"/>
  <c r="O407" i="6"/>
  <c r="P407" i="6"/>
  <c r="Q407" i="6"/>
  <c r="R407" i="6"/>
  <c r="S407" i="6"/>
  <c r="T407" i="6"/>
  <c r="U407" i="6"/>
  <c r="V407" i="6"/>
  <c r="W407" i="6"/>
  <c r="X407" i="6"/>
  <c r="N408" i="6"/>
  <c r="O408" i="6"/>
  <c r="P408" i="6"/>
  <c r="Q408" i="6"/>
  <c r="R408" i="6"/>
  <c r="S408" i="6"/>
  <c r="T408" i="6"/>
  <c r="U408" i="6"/>
  <c r="V408" i="6"/>
  <c r="W408" i="6"/>
  <c r="X408" i="6"/>
  <c r="N409" i="6"/>
  <c r="O409" i="6"/>
  <c r="P409" i="6"/>
  <c r="Q409" i="6"/>
  <c r="R409" i="6"/>
  <c r="S409" i="6"/>
  <c r="T409" i="6"/>
  <c r="U409" i="6"/>
  <c r="V409" i="6"/>
  <c r="W409" i="6"/>
  <c r="X409" i="6"/>
  <c r="N410" i="6"/>
  <c r="O410" i="6"/>
  <c r="P410" i="6"/>
  <c r="Q410" i="6"/>
  <c r="R410" i="6"/>
  <c r="S410" i="6"/>
  <c r="T410" i="6"/>
  <c r="U410" i="6"/>
  <c r="V410" i="6"/>
  <c r="W410" i="6"/>
  <c r="X410" i="6"/>
  <c r="N411" i="6"/>
  <c r="O411" i="6"/>
  <c r="P411" i="6"/>
  <c r="Q411" i="6"/>
  <c r="R411" i="6"/>
  <c r="S411" i="6"/>
  <c r="T411" i="6"/>
  <c r="U411" i="6"/>
  <c r="V411" i="6"/>
  <c r="W411" i="6"/>
  <c r="X411" i="6"/>
  <c r="N412" i="6"/>
  <c r="O412" i="6"/>
  <c r="P412" i="6"/>
  <c r="Q412" i="6"/>
  <c r="R412" i="6"/>
  <c r="S412" i="6"/>
  <c r="T412" i="6"/>
  <c r="U412" i="6"/>
  <c r="V412" i="6"/>
  <c r="W412" i="6"/>
  <c r="X412" i="6"/>
  <c r="N413" i="6"/>
  <c r="O413" i="6"/>
  <c r="P413" i="6"/>
  <c r="Q413" i="6"/>
  <c r="R413" i="6"/>
  <c r="S413" i="6"/>
  <c r="T413" i="6"/>
  <c r="U413" i="6"/>
  <c r="V413" i="6"/>
  <c r="W413" i="6"/>
  <c r="X413" i="6"/>
  <c r="N414" i="6"/>
  <c r="O414" i="6"/>
  <c r="P414" i="6"/>
  <c r="Q414" i="6"/>
  <c r="R414" i="6"/>
  <c r="S414" i="6"/>
  <c r="T414" i="6"/>
  <c r="U414" i="6"/>
  <c r="V414" i="6"/>
  <c r="W414" i="6"/>
  <c r="X414" i="6"/>
  <c r="N415" i="6"/>
  <c r="O415" i="6"/>
  <c r="P415" i="6"/>
  <c r="Q415" i="6"/>
  <c r="R415" i="6"/>
  <c r="S415" i="6"/>
  <c r="T415" i="6"/>
  <c r="U415" i="6"/>
  <c r="V415" i="6"/>
  <c r="W415" i="6"/>
  <c r="X415" i="6"/>
  <c r="N416" i="6"/>
  <c r="O416" i="6"/>
  <c r="P416" i="6"/>
  <c r="Q416" i="6"/>
  <c r="R416" i="6"/>
  <c r="S416" i="6"/>
  <c r="T416" i="6"/>
  <c r="U416" i="6"/>
  <c r="V416" i="6"/>
  <c r="W416" i="6"/>
  <c r="X416" i="6"/>
  <c r="N417" i="6"/>
  <c r="O417" i="6"/>
  <c r="P417" i="6"/>
  <c r="Q417" i="6"/>
  <c r="R417" i="6"/>
  <c r="S417" i="6"/>
  <c r="T417" i="6"/>
  <c r="U417" i="6"/>
  <c r="V417" i="6"/>
  <c r="W417" i="6"/>
  <c r="X417" i="6"/>
  <c r="N418" i="6"/>
  <c r="O418" i="6"/>
  <c r="P418" i="6"/>
  <c r="Q418" i="6"/>
  <c r="R418" i="6"/>
  <c r="S418" i="6"/>
  <c r="T418" i="6"/>
  <c r="U418" i="6"/>
  <c r="V418" i="6"/>
  <c r="W418" i="6"/>
  <c r="X418" i="6"/>
  <c r="N419" i="6"/>
  <c r="O419" i="6"/>
  <c r="P419" i="6"/>
  <c r="Q419" i="6"/>
  <c r="R419" i="6"/>
  <c r="S419" i="6"/>
  <c r="T419" i="6"/>
  <c r="U419" i="6"/>
  <c r="V419" i="6"/>
  <c r="W419" i="6"/>
  <c r="X419" i="6"/>
  <c r="N420" i="6"/>
  <c r="O420" i="6"/>
  <c r="P420" i="6"/>
  <c r="Q420" i="6"/>
  <c r="R420" i="6"/>
  <c r="S420" i="6"/>
  <c r="T420" i="6"/>
  <c r="U420" i="6"/>
  <c r="V420" i="6"/>
  <c r="W420" i="6"/>
  <c r="X420" i="6"/>
  <c r="N421" i="6"/>
  <c r="O421" i="6"/>
  <c r="P421" i="6"/>
  <c r="Q421" i="6"/>
  <c r="R421" i="6"/>
  <c r="S421" i="6"/>
  <c r="T421" i="6"/>
  <c r="U421" i="6"/>
  <c r="V421" i="6"/>
  <c r="W421" i="6"/>
  <c r="X421" i="6"/>
  <c r="N422" i="6"/>
  <c r="O422" i="6"/>
  <c r="P422" i="6"/>
  <c r="Q422" i="6"/>
  <c r="R422" i="6"/>
  <c r="S422" i="6"/>
  <c r="T422" i="6"/>
  <c r="U422" i="6"/>
  <c r="V422" i="6"/>
  <c r="W422" i="6"/>
  <c r="X422" i="6"/>
  <c r="N423" i="6"/>
  <c r="O423" i="6"/>
  <c r="P423" i="6"/>
  <c r="Q423" i="6"/>
  <c r="R423" i="6"/>
  <c r="S423" i="6"/>
  <c r="T423" i="6"/>
  <c r="U423" i="6"/>
  <c r="V423" i="6"/>
  <c r="W423" i="6"/>
  <c r="X423" i="6"/>
  <c r="N424" i="6"/>
  <c r="O424" i="6"/>
  <c r="P424" i="6"/>
  <c r="Q424" i="6"/>
  <c r="R424" i="6"/>
  <c r="S424" i="6"/>
  <c r="T424" i="6"/>
  <c r="U424" i="6"/>
  <c r="V424" i="6"/>
  <c r="W424" i="6"/>
  <c r="X424" i="6"/>
  <c r="N425" i="6"/>
  <c r="O425" i="6"/>
  <c r="P425" i="6"/>
  <c r="Q425" i="6"/>
  <c r="R425" i="6"/>
  <c r="S425" i="6"/>
  <c r="T425" i="6"/>
  <c r="U425" i="6"/>
  <c r="V425" i="6"/>
  <c r="W425" i="6"/>
  <c r="X425" i="6"/>
  <c r="N426" i="6"/>
  <c r="O426" i="6"/>
  <c r="P426" i="6"/>
  <c r="Q426" i="6"/>
  <c r="R426" i="6"/>
  <c r="S426" i="6"/>
  <c r="T426" i="6"/>
  <c r="U426" i="6"/>
  <c r="V426" i="6"/>
  <c r="W426" i="6"/>
  <c r="X426" i="6"/>
  <c r="N427" i="6"/>
  <c r="O427" i="6"/>
  <c r="P427" i="6"/>
  <c r="Q427" i="6"/>
  <c r="R427" i="6"/>
  <c r="S427" i="6"/>
  <c r="T427" i="6"/>
  <c r="U427" i="6"/>
  <c r="V427" i="6"/>
  <c r="W427" i="6"/>
  <c r="X427" i="6"/>
  <c r="N428" i="6"/>
  <c r="O428" i="6"/>
  <c r="P428" i="6"/>
  <c r="Q428" i="6"/>
  <c r="R428" i="6"/>
  <c r="S428" i="6"/>
  <c r="T428" i="6"/>
  <c r="U428" i="6"/>
  <c r="V428" i="6"/>
  <c r="W428" i="6"/>
  <c r="X428" i="6"/>
  <c r="N429" i="6"/>
  <c r="O429" i="6"/>
  <c r="P429" i="6"/>
  <c r="Q429" i="6"/>
  <c r="R429" i="6"/>
  <c r="S429" i="6"/>
  <c r="T429" i="6"/>
  <c r="U429" i="6"/>
  <c r="V429" i="6"/>
  <c r="W429" i="6"/>
  <c r="X429" i="6"/>
  <c r="N430" i="6"/>
  <c r="O430" i="6"/>
  <c r="P430" i="6"/>
  <c r="Q430" i="6"/>
  <c r="R430" i="6"/>
  <c r="S430" i="6"/>
  <c r="T430" i="6"/>
  <c r="U430" i="6"/>
  <c r="V430" i="6"/>
  <c r="W430" i="6"/>
  <c r="X430" i="6"/>
  <c r="N431" i="6"/>
  <c r="O431" i="6"/>
  <c r="P431" i="6"/>
  <c r="Q431" i="6"/>
  <c r="R431" i="6"/>
  <c r="S431" i="6"/>
  <c r="T431" i="6"/>
  <c r="U431" i="6"/>
  <c r="V431" i="6"/>
  <c r="W431" i="6"/>
  <c r="X431" i="6"/>
  <c r="N432" i="6"/>
  <c r="O432" i="6"/>
  <c r="P432" i="6"/>
  <c r="Q432" i="6"/>
  <c r="R432" i="6"/>
  <c r="S432" i="6"/>
  <c r="T432" i="6"/>
  <c r="U432" i="6"/>
  <c r="V432" i="6"/>
  <c r="W432" i="6"/>
  <c r="X432" i="6"/>
  <c r="N433" i="6"/>
  <c r="O433" i="6"/>
  <c r="P433" i="6"/>
  <c r="Q433" i="6"/>
  <c r="R433" i="6"/>
  <c r="S433" i="6"/>
  <c r="T433" i="6"/>
  <c r="U433" i="6"/>
  <c r="V433" i="6"/>
  <c r="W433" i="6"/>
  <c r="X433" i="6"/>
  <c r="N434" i="6"/>
  <c r="O434" i="6"/>
  <c r="P434" i="6"/>
  <c r="Q434" i="6"/>
  <c r="R434" i="6"/>
  <c r="S434" i="6"/>
  <c r="T434" i="6"/>
  <c r="U434" i="6"/>
  <c r="V434" i="6"/>
  <c r="W434" i="6"/>
  <c r="X434" i="6"/>
  <c r="N435" i="6"/>
  <c r="O435" i="6"/>
  <c r="P435" i="6"/>
  <c r="Q435" i="6"/>
  <c r="R435" i="6"/>
  <c r="S435" i="6"/>
  <c r="T435" i="6"/>
  <c r="U435" i="6"/>
  <c r="V435" i="6"/>
  <c r="W435" i="6"/>
  <c r="X435" i="6"/>
  <c r="N436" i="6"/>
  <c r="O436" i="6"/>
  <c r="P436" i="6"/>
  <c r="Q436" i="6"/>
  <c r="R436" i="6"/>
  <c r="S436" i="6"/>
  <c r="T436" i="6"/>
  <c r="U436" i="6"/>
  <c r="V436" i="6"/>
  <c r="W436" i="6"/>
  <c r="X436" i="6"/>
  <c r="N437" i="6"/>
  <c r="O437" i="6"/>
  <c r="P437" i="6"/>
  <c r="Q437" i="6"/>
  <c r="R437" i="6"/>
  <c r="S437" i="6"/>
  <c r="T437" i="6"/>
  <c r="U437" i="6"/>
  <c r="V437" i="6"/>
  <c r="W437" i="6"/>
  <c r="X437" i="6"/>
  <c r="N438" i="6"/>
  <c r="O438" i="6"/>
  <c r="P438" i="6"/>
  <c r="Q438" i="6"/>
  <c r="R438" i="6"/>
  <c r="S438" i="6"/>
  <c r="T438" i="6"/>
  <c r="U438" i="6"/>
  <c r="V438" i="6"/>
  <c r="W438" i="6"/>
  <c r="X438" i="6"/>
  <c r="N439" i="6"/>
  <c r="O439" i="6"/>
  <c r="P439" i="6"/>
  <c r="Q439" i="6"/>
  <c r="R439" i="6"/>
  <c r="S439" i="6"/>
  <c r="T439" i="6"/>
  <c r="U439" i="6"/>
  <c r="V439" i="6"/>
  <c r="W439" i="6"/>
  <c r="X439" i="6"/>
  <c r="N440" i="6"/>
  <c r="O440" i="6"/>
  <c r="P440" i="6"/>
  <c r="Q440" i="6"/>
  <c r="R440" i="6"/>
  <c r="S440" i="6"/>
  <c r="T440" i="6"/>
  <c r="U440" i="6"/>
  <c r="V440" i="6"/>
  <c r="W440" i="6"/>
  <c r="X440" i="6"/>
  <c r="N441" i="6"/>
  <c r="O441" i="6"/>
  <c r="P441" i="6"/>
  <c r="Q441" i="6"/>
  <c r="R441" i="6"/>
  <c r="S441" i="6"/>
  <c r="T441" i="6"/>
  <c r="U441" i="6"/>
  <c r="V441" i="6"/>
  <c r="W441" i="6"/>
  <c r="X441" i="6"/>
  <c r="N442" i="6"/>
  <c r="O442" i="6"/>
  <c r="P442" i="6"/>
  <c r="Q442" i="6"/>
  <c r="R442" i="6"/>
  <c r="S442" i="6"/>
  <c r="T442" i="6"/>
  <c r="U442" i="6"/>
  <c r="V442" i="6"/>
  <c r="W442" i="6"/>
  <c r="X442" i="6"/>
  <c r="N443" i="6"/>
  <c r="O443" i="6"/>
  <c r="P443" i="6"/>
  <c r="Q443" i="6"/>
  <c r="R443" i="6"/>
  <c r="S443" i="6"/>
  <c r="T443" i="6"/>
  <c r="U443" i="6"/>
  <c r="V443" i="6"/>
  <c r="W443" i="6"/>
  <c r="X443" i="6"/>
  <c r="N444" i="6"/>
  <c r="O444" i="6"/>
  <c r="P444" i="6"/>
  <c r="Q444" i="6"/>
  <c r="R444" i="6"/>
  <c r="S444" i="6"/>
  <c r="T444" i="6"/>
  <c r="U444" i="6"/>
  <c r="V444" i="6"/>
  <c r="W444" i="6"/>
  <c r="X444" i="6"/>
  <c r="N445" i="6"/>
  <c r="O445" i="6"/>
  <c r="P445" i="6"/>
  <c r="Q445" i="6"/>
  <c r="R445" i="6"/>
  <c r="S445" i="6"/>
  <c r="T445" i="6"/>
  <c r="U445" i="6"/>
  <c r="V445" i="6"/>
  <c r="W445" i="6"/>
  <c r="X445" i="6"/>
  <c r="N446" i="6"/>
  <c r="O446" i="6"/>
  <c r="P446" i="6"/>
  <c r="Q446" i="6"/>
  <c r="R446" i="6"/>
  <c r="S446" i="6"/>
  <c r="T446" i="6"/>
  <c r="U446" i="6"/>
  <c r="V446" i="6"/>
  <c r="W446" i="6"/>
  <c r="X446" i="6"/>
  <c r="N447" i="6"/>
  <c r="O447" i="6"/>
  <c r="P447" i="6"/>
  <c r="Q447" i="6"/>
  <c r="R447" i="6"/>
  <c r="S447" i="6"/>
  <c r="T447" i="6"/>
  <c r="U447" i="6"/>
  <c r="V447" i="6"/>
  <c r="W447" i="6"/>
  <c r="X447" i="6"/>
  <c r="N448" i="6"/>
  <c r="O448" i="6"/>
  <c r="P448" i="6"/>
  <c r="Q448" i="6"/>
  <c r="R448" i="6"/>
  <c r="S448" i="6"/>
  <c r="T448" i="6"/>
  <c r="U448" i="6"/>
  <c r="V448" i="6"/>
  <c r="W448" i="6"/>
  <c r="X448" i="6"/>
  <c r="N449" i="6"/>
  <c r="O449" i="6"/>
  <c r="P449" i="6"/>
  <c r="Q449" i="6"/>
  <c r="R449" i="6"/>
  <c r="S449" i="6"/>
  <c r="T449" i="6"/>
  <c r="U449" i="6"/>
  <c r="V449" i="6"/>
  <c r="W449" i="6"/>
  <c r="X449" i="6"/>
  <c r="N450" i="6"/>
  <c r="O450" i="6"/>
  <c r="P450" i="6"/>
  <c r="Q450" i="6"/>
  <c r="R450" i="6"/>
  <c r="S450" i="6"/>
  <c r="T450" i="6"/>
  <c r="U450" i="6"/>
  <c r="V450" i="6"/>
  <c r="W450" i="6"/>
  <c r="X450" i="6"/>
  <c r="N451" i="6"/>
  <c r="O451" i="6"/>
  <c r="P451" i="6"/>
  <c r="Q451" i="6"/>
  <c r="R451" i="6"/>
  <c r="S451" i="6"/>
  <c r="T451" i="6"/>
  <c r="U451" i="6"/>
  <c r="V451" i="6"/>
  <c r="W451" i="6"/>
  <c r="X451" i="6"/>
  <c r="N452" i="6"/>
  <c r="O452" i="6"/>
  <c r="P452" i="6"/>
  <c r="Q452" i="6"/>
  <c r="R452" i="6"/>
  <c r="S452" i="6"/>
  <c r="T452" i="6"/>
  <c r="U452" i="6"/>
  <c r="V452" i="6"/>
  <c r="W452" i="6"/>
  <c r="X452" i="6"/>
  <c r="N453" i="6"/>
  <c r="O453" i="6"/>
  <c r="P453" i="6"/>
  <c r="Q453" i="6"/>
  <c r="R453" i="6"/>
  <c r="S453" i="6"/>
  <c r="T453" i="6"/>
  <c r="U453" i="6"/>
  <c r="V453" i="6"/>
  <c r="W453" i="6"/>
  <c r="X453" i="6"/>
  <c r="N454" i="6"/>
  <c r="O454" i="6"/>
  <c r="P454" i="6"/>
  <c r="Q454" i="6"/>
  <c r="R454" i="6"/>
  <c r="S454" i="6"/>
  <c r="T454" i="6"/>
  <c r="U454" i="6"/>
  <c r="V454" i="6"/>
  <c r="W454" i="6"/>
  <c r="X454" i="6"/>
  <c r="N455" i="6"/>
  <c r="O455" i="6"/>
  <c r="P455" i="6"/>
  <c r="Q455" i="6"/>
  <c r="R455" i="6"/>
  <c r="S455" i="6"/>
  <c r="T455" i="6"/>
  <c r="U455" i="6"/>
  <c r="V455" i="6"/>
  <c r="W455" i="6"/>
  <c r="X455" i="6"/>
  <c r="N456" i="6"/>
  <c r="O456" i="6"/>
  <c r="P456" i="6"/>
  <c r="Q456" i="6"/>
  <c r="R456" i="6"/>
  <c r="S456" i="6"/>
  <c r="T456" i="6"/>
  <c r="U456" i="6"/>
  <c r="V456" i="6"/>
  <c r="W456" i="6"/>
  <c r="X456" i="6"/>
  <c r="N457" i="6"/>
  <c r="O457" i="6"/>
  <c r="P457" i="6"/>
  <c r="Q457" i="6"/>
  <c r="R457" i="6"/>
  <c r="S457" i="6"/>
  <c r="T457" i="6"/>
  <c r="U457" i="6"/>
  <c r="V457" i="6"/>
  <c r="W457" i="6"/>
  <c r="X457" i="6"/>
  <c r="N458" i="6"/>
  <c r="O458" i="6"/>
  <c r="P458" i="6"/>
  <c r="Q458" i="6"/>
  <c r="R458" i="6"/>
  <c r="S458" i="6"/>
  <c r="T458" i="6"/>
  <c r="U458" i="6"/>
  <c r="V458" i="6"/>
  <c r="W458" i="6"/>
  <c r="X458" i="6"/>
  <c r="N459" i="6"/>
  <c r="O459" i="6"/>
  <c r="P459" i="6"/>
  <c r="Q459" i="6"/>
  <c r="R459" i="6"/>
  <c r="S459" i="6"/>
  <c r="T459" i="6"/>
  <c r="U459" i="6"/>
  <c r="V459" i="6"/>
  <c r="W459" i="6"/>
  <c r="X459" i="6"/>
  <c r="N460" i="6"/>
  <c r="O460" i="6"/>
  <c r="P460" i="6"/>
  <c r="Q460" i="6"/>
  <c r="R460" i="6"/>
  <c r="S460" i="6"/>
  <c r="T460" i="6"/>
  <c r="U460" i="6"/>
  <c r="V460" i="6"/>
  <c r="W460" i="6"/>
  <c r="X460" i="6"/>
  <c r="N461" i="6"/>
  <c r="O461" i="6"/>
  <c r="P461" i="6"/>
  <c r="Q461" i="6"/>
  <c r="R461" i="6"/>
  <c r="S461" i="6"/>
  <c r="T461" i="6"/>
  <c r="U461" i="6"/>
  <c r="V461" i="6"/>
  <c r="W461" i="6"/>
  <c r="X461" i="6"/>
  <c r="N462" i="6"/>
  <c r="O462" i="6"/>
  <c r="P462" i="6"/>
  <c r="Q462" i="6"/>
  <c r="R462" i="6"/>
  <c r="S462" i="6"/>
  <c r="T462" i="6"/>
  <c r="U462" i="6"/>
  <c r="V462" i="6"/>
  <c r="W462" i="6"/>
  <c r="X462" i="6"/>
  <c r="N463" i="6"/>
  <c r="O463" i="6"/>
  <c r="P463" i="6"/>
  <c r="Q463" i="6"/>
  <c r="R463" i="6"/>
  <c r="S463" i="6"/>
  <c r="T463" i="6"/>
  <c r="U463" i="6"/>
  <c r="V463" i="6"/>
  <c r="W463" i="6"/>
  <c r="X463" i="6"/>
  <c r="N464" i="6"/>
  <c r="O464" i="6"/>
  <c r="P464" i="6"/>
  <c r="Q464" i="6"/>
  <c r="R464" i="6"/>
  <c r="S464" i="6"/>
  <c r="T464" i="6"/>
  <c r="U464" i="6"/>
  <c r="V464" i="6"/>
  <c r="W464" i="6"/>
  <c r="X464" i="6"/>
  <c r="N465" i="6"/>
  <c r="O465" i="6"/>
  <c r="P465" i="6"/>
  <c r="Q465" i="6"/>
  <c r="R465" i="6"/>
  <c r="S465" i="6"/>
  <c r="T465" i="6"/>
  <c r="U465" i="6"/>
  <c r="V465" i="6"/>
  <c r="W465" i="6"/>
  <c r="X465" i="6"/>
  <c r="N466" i="6"/>
  <c r="O466" i="6"/>
  <c r="P466" i="6"/>
  <c r="Q466" i="6"/>
  <c r="R466" i="6"/>
  <c r="S466" i="6"/>
  <c r="T466" i="6"/>
  <c r="U466" i="6"/>
  <c r="V466" i="6"/>
  <c r="W466" i="6"/>
  <c r="X466" i="6"/>
  <c r="N467" i="6"/>
  <c r="O467" i="6"/>
  <c r="P467" i="6"/>
  <c r="Q467" i="6"/>
  <c r="R467" i="6"/>
  <c r="S467" i="6"/>
  <c r="T467" i="6"/>
  <c r="U467" i="6"/>
  <c r="V467" i="6"/>
  <c r="W467" i="6"/>
  <c r="X467" i="6"/>
  <c r="N468" i="6"/>
  <c r="O468" i="6"/>
  <c r="P468" i="6"/>
  <c r="Q468" i="6"/>
  <c r="R468" i="6"/>
  <c r="S468" i="6"/>
  <c r="T468" i="6"/>
  <c r="U468" i="6"/>
  <c r="V468" i="6"/>
  <c r="W468" i="6"/>
  <c r="X468" i="6"/>
  <c r="N469" i="6"/>
  <c r="O469" i="6"/>
  <c r="P469" i="6"/>
  <c r="Q469" i="6"/>
  <c r="R469" i="6"/>
  <c r="S469" i="6"/>
  <c r="T469" i="6"/>
  <c r="U469" i="6"/>
  <c r="V469" i="6"/>
  <c r="W469" i="6"/>
  <c r="X469" i="6"/>
  <c r="N470" i="6"/>
  <c r="O470" i="6"/>
  <c r="P470" i="6"/>
  <c r="Q470" i="6"/>
  <c r="R470" i="6"/>
  <c r="S470" i="6"/>
  <c r="T470" i="6"/>
  <c r="U470" i="6"/>
  <c r="V470" i="6"/>
  <c r="W470" i="6"/>
  <c r="X470" i="6"/>
  <c r="N471" i="6"/>
  <c r="O471" i="6"/>
  <c r="P471" i="6"/>
  <c r="Q471" i="6"/>
  <c r="R471" i="6"/>
  <c r="S471" i="6"/>
  <c r="T471" i="6"/>
  <c r="U471" i="6"/>
  <c r="V471" i="6"/>
  <c r="W471" i="6"/>
  <c r="X471" i="6"/>
  <c r="N472" i="6"/>
  <c r="O472" i="6"/>
  <c r="P472" i="6"/>
  <c r="Q472" i="6"/>
  <c r="R472" i="6"/>
  <c r="S472" i="6"/>
  <c r="T472" i="6"/>
  <c r="U472" i="6"/>
  <c r="V472" i="6"/>
  <c r="W472" i="6"/>
  <c r="X472" i="6"/>
  <c r="N473" i="6"/>
  <c r="O473" i="6"/>
  <c r="P473" i="6"/>
  <c r="Q473" i="6"/>
  <c r="R473" i="6"/>
  <c r="S473" i="6"/>
  <c r="T473" i="6"/>
  <c r="U473" i="6"/>
  <c r="V473" i="6"/>
  <c r="W473" i="6"/>
  <c r="X473" i="6"/>
  <c r="N474" i="6"/>
  <c r="O474" i="6"/>
  <c r="P474" i="6"/>
  <c r="Q474" i="6"/>
  <c r="R474" i="6"/>
  <c r="S474" i="6"/>
  <c r="T474" i="6"/>
  <c r="U474" i="6"/>
  <c r="V474" i="6"/>
  <c r="W474" i="6"/>
  <c r="X474" i="6"/>
  <c r="N475" i="6"/>
  <c r="O475" i="6"/>
  <c r="P475" i="6"/>
  <c r="Q475" i="6"/>
  <c r="R475" i="6"/>
  <c r="S475" i="6"/>
  <c r="T475" i="6"/>
  <c r="U475" i="6"/>
  <c r="V475" i="6"/>
  <c r="W475" i="6"/>
  <c r="X475" i="6"/>
  <c r="N476" i="6"/>
  <c r="O476" i="6"/>
  <c r="P476" i="6"/>
  <c r="Q476" i="6"/>
  <c r="R476" i="6"/>
  <c r="S476" i="6"/>
  <c r="T476" i="6"/>
  <c r="U476" i="6"/>
  <c r="V476" i="6"/>
  <c r="W476" i="6"/>
  <c r="X476" i="6"/>
  <c r="N477" i="6"/>
  <c r="O477" i="6"/>
  <c r="P477" i="6"/>
  <c r="Q477" i="6"/>
  <c r="R477" i="6"/>
  <c r="S477" i="6"/>
  <c r="T477" i="6"/>
  <c r="U477" i="6"/>
  <c r="V477" i="6"/>
  <c r="W477" i="6"/>
  <c r="X477" i="6"/>
  <c r="N478" i="6"/>
  <c r="O478" i="6"/>
  <c r="P478" i="6"/>
  <c r="Q478" i="6"/>
  <c r="R478" i="6"/>
  <c r="S478" i="6"/>
  <c r="T478" i="6"/>
  <c r="U478" i="6"/>
  <c r="V478" i="6"/>
  <c r="W478" i="6"/>
  <c r="X478" i="6"/>
  <c r="N479" i="6"/>
  <c r="O479" i="6"/>
  <c r="P479" i="6"/>
  <c r="Q479" i="6"/>
  <c r="R479" i="6"/>
  <c r="S479" i="6"/>
  <c r="T479" i="6"/>
  <c r="U479" i="6"/>
  <c r="V479" i="6"/>
  <c r="W479" i="6"/>
  <c r="X479" i="6"/>
  <c r="N480" i="6"/>
  <c r="O480" i="6"/>
  <c r="P480" i="6"/>
  <c r="Q480" i="6"/>
  <c r="R480" i="6"/>
  <c r="S480" i="6"/>
  <c r="T480" i="6"/>
  <c r="U480" i="6"/>
  <c r="V480" i="6"/>
  <c r="W480" i="6"/>
  <c r="X480" i="6"/>
  <c r="N481" i="6"/>
  <c r="O481" i="6"/>
  <c r="P481" i="6"/>
  <c r="Q481" i="6"/>
  <c r="R481" i="6"/>
  <c r="S481" i="6"/>
  <c r="T481" i="6"/>
  <c r="U481" i="6"/>
  <c r="V481" i="6"/>
  <c r="W481" i="6"/>
  <c r="X481" i="6"/>
  <c r="N482" i="6"/>
  <c r="O482" i="6"/>
  <c r="P482" i="6"/>
  <c r="Q482" i="6"/>
  <c r="R482" i="6"/>
  <c r="S482" i="6"/>
  <c r="T482" i="6"/>
  <c r="U482" i="6"/>
  <c r="V482" i="6"/>
  <c r="W482" i="6"/>
  <c r="X482" i="6"/>
  <c r="N483" i="6"/>
  <c r="O483" i="6"/>
  <c r="P483" i="6"/>
  <c r="Q483" i="6"/>
  <c r="R483" i="6"/>
  <c r="S483" i="6"/>
  <c r="T483" i="6"/>
  <c r="U483" i="6"/>
  <c r="V483" i="6"/>
  <c r="W483" i="6"/>
  <c r="X483" i="6"/>
  <c r="N484" i="6"/>
  <c r="O484" i="6"/>
  <c r="P484" i="6"/>
  <c r="Q484" i="6"/>
  <c r="R484" i="6"/>
  <c r="S484" i="6"/>
  <c r="T484" i="6"/>
  <c r="U484" i="6"/>
  <c r="V484" i="6"/>
  <c r="W484" i="6"/>
  <c r="X484" i="6"/>
  <c r="N485" i="6"/>
  <c r="O485" i="6"/>
  <c r="P485" i="6"/>
  <c r="Q485" i="6"/>
  <c r="R485" i="6"/>
  <c r="S485" i="6"/>
  <c r="T485" i="6"/>
  <c r="U485" i="6"/>
  <c r="V485" i="6"/>
  <c r="W485" i="6"/>
  <c r="X485" i="6"/>
  <c r="N486" i="6"/>
  <c r="O486" i="6"/>
  <c r="P486" i="6"/>
  <c r="Q486" i="6"/>
  <c r="R486" i="6"/>
  <c r="S486" i="6"/>
  <c r="T486" i="6"/>
  <c r="U486" i="6"/>
  <c r="V486" i="6"/>
  <c r="W486" i="6"/>
  <c r="X486" i="6"/>
  <c r="N487" i="6"/>
  <c r="O487" i="6"/>
  <c r="P487" i="6"/>
  <c r="Q487" i="6"/>
  <c r="R487" i="6"/>
  <c r="S487" i="6"/>
  <c r="T487" i="6"/>
  <c r="U487" i="6"/>
  <c r="V487" i="6"/>
  <c r="W487" i="6"/>
  <c r="X487" i="6"/>
  <c r="N488" i="6"/>
  <c r="O488" i="6"/>
  <c r="P488" i="6"/>
  <c r="Q488" i="6"/>
  <c r="R488" i="6"/>
  <c r="S488" i="6"/>
  <c r="T488" i="6"/>
  <c r="U488" i="6"/>
  <c r="V488" i="6"/>
  <c r="W488" i="6"/>
  <c r="X488" i="6"/>
  <c r="N489" i="6"/>
  <c r="O489" i="6"/>
  <c r="P489" i="6"/>
  <c r="Q489" i="6"/>
  <c r="R489" i="6"/>
  <c r="S489" i="6"/>
  <c r="T489" i="6"/>
  <c r="U489" i="6"/>
  <c r="V489" i="6"/>
  <c r="W489" i="6"/>
  <c r="X489" i="6"/>
  <c r="N490" i="6"/>
  <c r="O490" i="6"/>
  <c r="P490" i="6"/>
  <c r="Q490" i="6"/>
  <c r="R490" i="6"/>
  <c r="S490" i="6"/>
  <c r="T490" i="6"/>
  <c r="U490" i="6"/>
  <c r="V490" i="6"/>
  <c r="W490" i="6"/>
  <c r="X490" i="6"/>
  <c r="N491" i="6"/>
  <c r="O491" i="6"/>
  <c r="P491" i="6"/>
  <c r="Q491" i="6"/>
  <c r="R491" i="6"/>
  <c r="S491" i="6"/>
  <c r="T491" i="6"/>
  <c r="U491" i="6"/>
  <c r="V491" i="6"/>
  <c r="W491" i="6"/>
  <c r="X491" i="6"/>
  <c r="N492" i="6"/>
  <c r="O492" i="6"/>
  <c r="P492" i="6"/>
  <c r="Q492" i="6"/>
  <c r="R492" i="6"/>
  <c r="S492" i="6"/>
  <c r="T492" i="6"/>
  <c r="U492" i="6"/>
  <c r="V492" i="6"/>
  <c r="W492" i="6"/>
  <c r="X492" i="6"/>
  <c r="N493" i="6"/>
  <c r="O493" i="6"/>
  <c r="P493" i="6"/>
  <c r="Q493" i="6"/>
  <c r="R493" i="6"/>
  <c r="S493" i="6"/>
  <c r="T493" i="6"/>
  <c r="U493" i="6"/>
  <c r="V493" i="6"/>
  <c r="W493" i="6"/>
  <c r="X493" i="6"/>
  <c r="N494" i="6"/>
  <c r="O494" i="6"/>
  <c r="P494" i="6"/>
  <c r="Q494" i="6"/>
  <c r="R494" i="6"/>
  <c r="S494" i="6"/>
  <c r="T494" i="6"/>
  <c r="U494" i="6"/>
  <c r="V494" i="6"/>
  <c r="W494" i="6"/>
  <c r="X494" i="6"/>
  <c r="N495" i="6"/>
  <c r="O495" i="6"/>
  <c r="P495" i="6"/>
  <c r="Q495" i="6"/>
  <c r="R495" i="6"/>
  <c r="S495" i="6"/>
  <c r="T495" i="6"/>
  <c r="U495" i="6"/>
  <c r="V495" i="6"/>
  <c r="W495" i="6"/>
  <c r="X495" i="6"/>
  <c r="N496" i="6"/>
  <c r="O496" i="6"/>
  <c r="P496" i="6"/>
  <c r="Q496" i="6"/>
  <c r="R496" i="6"/>
  <c r="S496" i="6"/>
  <c r="T496" i="6"/>
  <c r="U496" i="6"/>
  <c r="V496" i="6"/>
  <c r="W496" i="6"/>
  <c r="X496" i="6"/>
  <c r="N497" i="6"/>
  <c r="O497" i="6"/>
  <c r="P497" i="6"/>
  <c r="Q497" i="6"/>
  <c r="R497" i="6"/>
  <c r="S497" i="6"/>
  <c r="T497" i="6"/>
  <c r="U497" i="6"/>
  <c r="V497" i="6"/>
  <c r="W497" i="6"/>
  <c r="X497" i="6"/>
  <c r="N498" i="6"/>
  <c r="O498" i="6"/>
  <c r="P498" i="6"/>
  <c r="Q498" i="6"/>
  <c r="R498" i="6"/>
  <c r="S498" i="6"/>
  <c r="T498" i="6"/>
  <c r="U498" i="6"/>
  <c r="V498" i="6"/>
  <c r="W498" i="6"/>
  <c r="X498" i="6"/>
  <c r="N499" i="6"/>
  <c r="O499" i="6"/>
  <c r="P499" i="6"/>
  <c r="Q499" i="6"/>
  <c r="R499" i="6"/>
  <c r="S499" i="6"/>
  <c r="T499" i="6"/>
  <c r="U499" i="6"/>
  <c r="V499" i="6"/>
  <c r="W499" i="6"/>
  <c r="X499" i="6"/>
  <c r="N500" i="6"/>
  <c r="O500" i="6"/>
  <c r="P500" i="6"/>
  <c r="Q500" i="6"/>
  <c r="R500" i="6"/>
  <c r="S500" i="6"/>
  <c r="T500" i="6"/>
  <c r="U500" i="6"/>
  <c r="V500" i="6"/>
  <c r="W500" i="6"/>
  <c r="X500" i="6"/>
  <c r="N501" i="6"/>
  <c r="O501" i="6"/>
  <c r="P501" i="6"/>
  <c r="Q501" i="6"/>
  <c r="R501" i="6"/>
  <c r="S501" i="6"/>
  <c r="T501" i="6"/>
  <c r="U501" i="6"/>
  <c r="V501" i="6"/>
  <c r="W501" i="6"/>
  <c r="X501" i="6"/>
  <c r="N502" i="6"/>
  <c r="O502" i="6"/>
  <c r="P502" i="6"/>
  <c r="Q502" i="6"/>
  <c r="R502" i="6"/>
  <c r="S502" i="6"/>
  <c r="T502" i="6"/>
  <c r="U502" i="6"/>
  <c r="V502" i="6"/>
  <c r="W502" i="6"/>
  <c r="X502" i="6"/>
  <c r="N503" i="6"/>
  <c r="O503" i="6"/>
  <c r="P503" i="6"/>
  <c r="Q503" i="6"/>
  <c r="R503" i="6"/>
  <c r="S503" i="6"/>
  <c r="T503" i="6"/>
  <c r="U503" i="6"/>
  <c r="V503" i="6"/>
  <c r="W503" i="6"/>
  <c r="X503" i="6"/>
  <c r="N504" i="6"/>
  <c r="O504" i="6"/>
  <c r="P504" i="6"/>
  <c r="Q504" i="6"/>
  <c r="R504" i="6"/>
  <c r="S504" i="6"/>
  <c r="T504" i="6"/>
  <c r="U504" i="6"/>
  <c r="V504" i="6"/>
  <c r="W504" i="6"/>
  <c r="X504" i="6"/>
  <c r="N505" i="6"/>
  <c r="O505" i="6"/>
  <c r="P505" i="6"/>
  <c r="Q505" i="6"/>
  <c r="R505" i="6"/>
  <c r="S505" i="6"/>
  <c r="T505" i="6"/>
  <c r="U505" i="6"/>
  <c r="V505" i="6"/>
  <c r="W505" i="6"/>
  <c r="X505" i="6"/>
  <c r="N506" i="6"/>
  <c r="O506" i="6"/>
  <c r="P506" i="6"/>
  <c r="Q506" i="6"/>
  <c r="R506" i="6"/>
  <c r="S506" i="6"/>
  <c r="T506" i="6"/>
  <c r="U506" i="6"/>
  <c r="V506" i="6"/>
  <c r="W506" i="6"/>
  <c r="X506" i="6"/>
  <c r="N507" i="6"/>
  <c r="O507" i="6"/>
  <c r="P507" i="6"/>
  <c r="Q507" i="6"/>
  <c r="R507" i="6"/>
  <c r="S507" i="6"/>
  <c r="T507" i="6"/>
  <c r="U507" i="6"/>
  <c r="V507" i="6"/>
  <c r="W507" i="6"/>
  <c r="X507" i="6"/>
  <c r="N508" i="6"/>
  <c r="O508" i="6"/>
  <c r="P508" i="6"/>
  <c r="Q508" i="6"/>
  <c r="R508" i="6"/>
  <c r="S508" i="6"/>
  <c r="T508" i="6"/>
  <c r="U508" i="6"/>
  <c r="V508" i="6"/>
  <c r="W508" i="6"/>
  <c r="X508" i="6"/>
  <c r="N509" i="6"/>
  <c r="O509" i="6"/>
  <c r="P509" i="6"/>
  <c r="Q509" i="6"/>
  <c r="R509" i="6"/>
  <c r="S509" i="6"/>
  <c r="T509" i="6"/>
  <c r="U509" i="6"/>
  <c r="V509" i="6"/>
  <c r="W509" i="6"/>
  <c r="X509" i="6"/>
  <c r="N510" i="6"/>
  <c r="O510" i="6"/>
  <c r="P510" i="6"/>
  <c r="Q510" i="6"/>
  <c r="R510" i="6"/>
  <c r="S510" i="6"/>
  <c r="T510" i="6"/>
  <c r="U510" i="6"/>
  <c r="V510" i="6"/>
  <c r="W510" i="6"/>
  <c r="X510" i="6"/>
  <c r="N511" i="6"/>
  <c r="O511" i="6"/>
  <c r="P511" i="6"/>
  <c r="Q511" i="6"/>
  <c r="R511" i="6"/>
  <c r="S511" i="6"/>
  <c r="T511" i="6"/>
  <c r="U511" i="6"/>
  <c r="V511" i="6"/>
  <c r="W511" i="6"/>
  <c r="X511" i="6"/>
  <c r="N512" i="6"/>
  <c r="O512" i="6"/>
  <c r="P512" i="6"/>
  <c r="Q512" i="6"/>
  <c r="R512" i="6"/>
  <c r="S512" i="6"/>
  <c r="T512" i="6"/>
  <c r="U512" i="6"/>
  <c r="V512" i="6"/>
  <c r="W512" i="6"/>
  <c r="X512" i="6"/>
  <c r="N513" i="6"/>
  <c r="O513" i="6"/>
  <c r="P513" i="6"/>
  <c r="Q513" i="6"/>
  <c r="R513" i="6"/>
  <c r="S513" i="6"/>
  <c r="T513" i="6"/>
  <c r="U513" i="6"/>
  <c r="V513" i="6"/>
  <c r="W513" i="6"/>
  <c r="X513" i="6"/>
  <c r="N514" i="6"/>
  <c r="O514" i="6"/>
  <c r="P514" i="6"/>
  <c r="Q514" i="6"/>
  <c r="R514" i="6"/>
  <c r="S514" i="6"/>
  <c r="T514" i="6"/>
  <c r="U514" i="6"/>
  <c r="V514" i="6"/>
  <c r="W514" i="6"/>
  <c r="X514" i="6"/>
  <c r="N515" i="6"/>
  <c r="O515" i="6"/>
  <c r="P515" i="6"/>
  <c r="Q515" i="6"/>
  <c r="R515" i="6"/>
  <c r="S515" i="6"/>
  <c r="T515" i="6"/>
  <c r="U515" i="6"/>
  <c r="V515" i="6"/>
  <c r="W515" i="6"/>
  <c r="X515" i="6"/>
  <c r="N516" i="6"/>
  <c r="O516" i="6"/>
  <c r="P516" i="6"/>
  <c r="Q516" i="6"/>
  <c r="R516" i="6"/>
  <c r="S516" i="6"/>
  <c r="T516" i="6"/>
  <c r="U516" i="6"/>
  <c r="V516" i="6"/>
  <c r="W516" i="6"/>
  <c r="X516" i="6"/>
  <c r="N517" i="6"/>
  <c r="O517" i="6"/>
  <c r="P517" i="6"/>
  <c r="Q517" i="6"/>
  <c r="R517" i="6"/>
  <c r="S517" i="6"/>
  <c r="T517" i="6"/>
  <c r="U517" i="6"/>
  <c r="V517" i="6"/>
  <c r="W517" i="6"/>
  <c r="X517" i="6"/>
  <c r="N518" i="6"/>
  <c r="O518" i="6"/>
  <c r="P518" i="6"/>
  <c r="Q518" i="6"/>
  <c r="R518" i="6"/>
  <c r="S518" i="6"/>
  <c r="T518" i="6"/>
  <c r="U518" i="6"/>
  <c r="V518" i="6"/>
  <c r="W518" i="6"/>
  <c r="X518" i="6"/>
  <c r="N519" i="6"/>
  <c r="O519" i="6"/>
  <c r="P519" i="6"/>
  <c r="Q519" i="6"/>
  <c r="R519" i="6"/>
  <c r="S519" i="6"/>
  <c r="T519" i="6"/>
  <c r="U519" i="6"/>
  <c r="V519" i="6"/>
  <c r="W519" i="6"/>
  <c r="X519" i="6"/>
  <c r="N520" i="6"/>
  <c r="O520" i="6"/>
  <c r="P520" i="6"/>
  <c r="Q520" i="6"/>
  <c r="R520" i="6"/>
  <c r="S520" i="6"/>
  <c r="T520" i="6"/>
  <c r="U520" i="6"/>
  <c r="V520" i="6"/>
  <c r="W520" i="6"/>
  <c r="X520" i="6"/>
  <c r="N521" i="6"/>
  <c r="O521" i="6"/>
  <c r="P521" i="6"/>
  <c r="Q521" i="6"/>
  <c r="R521" i="6"/>
  <c r="S521" i="6"/>
  <c r="T521" i="6"/>
  <c r="U521" i="6"/>
  <c r="V521" i="6"/>
  <c r="W521" i="6"/>
  <c r="X521" i="6"/>
  <c r="N522" i="6"/>
  <c r="O522" i="6"/>
  <c r="P522" i="6"/>
  <c r="Q522" i="6"/>
  <c r="R522" i="6"/>
  <c r="S522" i="6"/>
  <c r="T522" i="6"/>
  <c r="U522" i="6"/>
  <c r="V522" i="6"/>
  <c r="W522" i="6"/>
  <c r="X522" i="6"/>
  <c r="N523" i="6"/>
  <c r="O523" i="6"/>
  <c r="P523" i="6"/>
  <c r="Q523" i="6"/>
  <c r="R523" i="6"/>
  <c r="S523" i="6"/>
  <c r="T523" i="6"/>
  <c r="U523" i="6"/>
  <c r="V523" i="6"/>
  <c r="W523" i="6"/>
  <c r="X523" i="6"/>
  <c r="N524" i="6"/>
  <c r="O524" i="6"/>
  <c r="P524" i="6"/>
  <c r="Q524" i="6"/>
  <c r="R524" i="6"/>
  <c r="S524" i="6"/>
  <c r="T524" i="6"/>
  <c r="U524" i="6"/>
  <c r="V524" i="6"/>
  <c r="W524" i="6"/>
  <c r="X524" i="6"/>
  <c r="N525" i="6"/>
  <c r="O525" i="6"/>
  <c r="P525" i="6"/>
  <c r="Q525" i="6"/>
  <c r="R525" i="6"/>
  <c r="S525" i="6"/>
  <c r="T525" i="6"/>
  <c r="U525" i="6"/>
  <c r="V525" i="6"/>
  <c r="W525" i="6"/>
  <c r="X525" i="6"/>
  <c r="N526" i="6"/>
  <c r="O526" i="6"/>
  <c r="P526" i="6"/>
  <c r="Q526" i="6"/>
  <c r="R526" i="6"/>
  <c r="S526" i="6"/>
  <c r="T526" i="6"/>
  <c r="U526" i="6"/>
  <c r="V526" i="6"/>
  <c r="W526" i="6"/>
  <c r="X526" i="6"/>
  <c r="N527" i="6"/>
  <c r="O527" i="6"/>
  <c r="P527" i="6"/>
  <c r="Q527" i="6"/>
  <c r="R527" i="6"/>
  <c r="S527" i="6"/>
  <c r="T527" i="6"/>
  <c r="U527" i="6"/>
  <c r="V527" i="6"/>
  <c r="W527" i="6"/>
  <c r="X527" i="6"/>
  <c r="N528" i="6"/>
  <c r="O528" i="6"/>
  <c r="P528" i="6"/>
  <c r="Q528" i="6"/>
  <c r="R528" i="6"/>
  <c r="S528" i="6"/>
  <c r="T528" i="6"/>
  <c r="U528" i="6"/>
  <c r="V528" i="6"/>
  <c r="W528" i="6"/>
  <c r="X528" i="6"/>
  <c r="N529" i="6"/>
  <c r="O529" i="6"/>
  <c r="P529" i="6"/>
  <c r="Q529" i="6"/>
  <c r="R529" i="6"/>
  <c r="S529" i="6"/>
  <c r="T529" i="6"/>
  <c r="U529" i="6"/>
  <c r="V529" i="6"/>
  <c r="W529" i="6"/>
  <c r="X529" i="6"/>
  <c r="N530" i="6"/>
  <c r="O530" i="6"/>
  <c r="P530" i="6"/>
  <c r="Q530" i="6"/>
  <c r="R530" i="6"/>
  <c r="S530" i="6"/>
  <c r="T530" i="6"/>
  <c r="U530" i="6"/>
  <c r="V530" i="6"/>
  <c r="W530" i="6"/>
  <c r="X530" i="6"/>
  <c r="N531" i="6"/>
  <c r="O531" i="6"/>
  <c r="P531" i="6"/>
  <c r="Q531" i="6"/>
  <c r="R531" i="6"/>
  <c r="S531" i="6"/>
  <c r="T531" i="6"/>
  <c r="U531" i="6"/>
  <c r="V531" i="6"/>
  <c r="W531" i="6"/>
  <c r="X531" i="6"/>
  <c r="N532" i="6"/>
  <c r="O532" i="6"/>
  <c r="P532" i="6"/>
  <c r="Q532" i="6"/>
  <c r="R532" i="6"/>
  <c r="S532" i="6"/>
  <c r="T532" i="6"/>
  <c r="U532" i="6"/>
  <c r="V532" i="6"/>
  <c r="W532" i="6"/>
  <c r="X532" i="6"/>
  <c r="N533" i="6"/>
  <c r="O533" i="6"/>
  <c r="P533" i="6"/>
  <c r="Q533" i="6"/>
  <c r="R533" i="6"/>
  <c r="S533" i="6"/>
  <c r="T533" i="6"/>
  <c r="U533" i="6"/>
  <c r="V533" i="6"/>
  <c r="W533" i="6"/>
  <c r="X533" i="6"/>
  <c r="N534" i="6"/>
  <c r="O534" i="6"/>
  <c r="P534" i="6"/>
  <c r="Q534" i="6"/>
  <c r="R534" i="6"/>
  <c r="S534" i="6"/>
  <c r="T534" i="6"/>
  <c r="U534" i="6"/>
  <c r="V534" i="6"/>
  <c r="W534" i="6"/>
  <c r="X534" i="6"/>
  <c r="N535" i="6"/>
  <c r="O535" i="6"/>
  <c r="P535" i="6"/>
  <c r="Q535" i="6"/>
  <c r="R535" i="6"/>
  <c r="S535" i="6"/>
  <c r="T535" i="6"/>
  <c r="U535" i="6"/>
  <c r="V535" i="6"/>
  <c r="W535" i="6"/>
  <c r="X535" i="6"/>
  <c r="N536" i="6"/>
  <c r="O536" i="6"/>
  <c r="P536" i="6"/>
  <c r="Q536" i="6"/>
  <c r="R536" i="6"/>
  <c r="S536" i="6"/>
  <c r="T536" i="6"/>
  <c r="U536" i="6"/>
  <c r="V536" i="6"/>
  <c r="W536" i="6"/>
  <c r="X536" i="6"/>
  <c r="N537" i="6"/>
  <c r="O537" i="6"/>
  <c r="P537" i="6"/>
  <c r="Q537" i="6"/>
  <c r="R537" i="6"/>
  <c r="S537" i="6"/>
  <c r="T537" i="6"/>
  <c r="U537" i="6"/>
  <c r="V537" i="6"/>
  <c r="W537" i="6"/>
  <c r="X537" i="6"/>
  <c r="N538" i="6"/>
  <c r="O538" i="6"/>
  <c r="P538" i="6"/>
  <c r="Q538" i="6"/>
  <c r="R538" i="6"/>
  <c r="S538" i="6"/>
  <c r="T538" i="6"/>
  <c r="U538" i="6"/>
  <c r="V538" i="6"/>
  <c r="W538" i="6"/>
  <c r="X538" i="6"/>
  <c r="N539" i="6"/>
  <c r="O539" i="6"/>
  <c r="P539" i="6"/>
  <c r="Q539" i="6"/>
  <c r="R539" i="6"/>
  <c r="S539" i="6"/>
  <c r="T539" i="6"/>
  <c r="U539" i="6"/>
  <c r="V539" i="6"/>
  <c r="W539" i="6"/>
  <c r="X539" i="6"/>
  <c r="N540" i="6"/>
  <c r="O540" i="6"/>
  <c r="P540" i="6"/>
  <c r="Q540" i="6"/>
  <c r="R540" i="6"/>
  <c r="S540" i="6"/>
  <c r="T540" i="6"/>
  <c r="U540" i="6"/>
  <c r="V540" i="6"/>
  <c r="W540" i="6"/>
  <c r="X540" i="6"/>
  <c r="N541" i="6"/>
  <c r="O541" i="6"/>
  <c r="P541" i="6"/>
  <c r="Q541" i="6"/>
  <c r="R541" i="6"/>
  <c r="S541" i="6"/>
  <c r="T541" i="6"/>
  <c r="U541" i="6"/>
  <c r="V541" i="6"/>
  <c r="W541" i="6"/>
  <c r="X541" i="6"/>
  <c r="N542" i="6"/>
  <c r="O542" i="6"/>
  <c r="P542" i="6"/>
  <c r="Q542" i="6"/>
  <c r="R542" i="6"/>
  <c r="S542" i="6"/>
  <c r="T542" i="6"/>
  <c r="U542" i="6"/>
  <c r="V542" i="6"/>
  <c r="W542" i="6"/>
  <c r="X542" i="6"/>
  <c r="N543" i="6"/>
  <c r="O543" i="6"/>
  <c r="P543" i="6"/>
  <c r="Q543" i="6"/>
  <c r="R543" i="6"/>
  <c r="S543" i="6"/>
  <c r="T543" i="6"/>
  <c r="U543" i="6"/>
  <c r="V543" i="6"/>
  <c r="W543" i="6"/>
  <c r="X543" i="6"/>
  <c r="N544" i="6"/>
  <c r="O544" i="6"/>
  <c r="P544" i="6"/>
  <c r="Q544" i="6"/>
  <c r="R544" i="6"/>
  <c r="S544" i="6"/>
  <c r="T544" i="6"/>
  <c r="U544" i="6"/>
  <c r="V544" i="6"/>
  <c r="W544" i="6"/>
  <c r="X544" i="6"/>
  <c r="N545" i="6"/>
  <c r="O545" i="6"/>
  <c r="P545" i="6"/>
  <c r="Q545" i="6"/>
  <c r="R545" i="6"/>
  <c r="S545" i="6"/>
  <c r="T545" i="6"/>
  <c r="U545" i="6"/>
  <c r="V545" i="6"/>
  <c r="W545" i="6"/>
  <c r="X545" i="6"/>
  <c r="N546" i="6"/>
  <c r="O546" i="6"/>
  <c r="P546" i="6"/>
  <c r="Q546" i="6"/>
  <c r="R546" i="6"/>
  <c r="S546" i="6"/>
  <c r="T546" i="6"/>
  <c r="U546" i="6"/>
  <c r="V546" i="6"/>
  <c r="W546" i="6"/>
  <c r="X546" i="6"/>
  <c r="N547" i="6"/>
  <c r="O547" i="6"/>
  <c r="P547" i="6"/>
  <c r="Q547" i="6"/>
  <c r="R547" i="6"/>
  <c r="S547" i="6"/>
  <c r="T547" i="6"/>
  <c r="U547" i="6"/>
  <c r="V547" i="6"/>
  <c r="W547" i="6"/>
  <c r="X547" i="6"/>
  <c r="N548" i="6"/>
  <c r="O548" i="6"/>
  <c r="P548" i="6"/>
  <c r="Q548" i="6"/>
  <c r="R548" i="6"/>
  <c r="S548" i="6"/>
  <c r="T548" i="6"/>
  <c r="U548" i="6"/>
  <c r="V548" i="6"/>
  <c r="W548" i="6"/>
  <c r="X548" i="6"/>
  <c r="N549" i="6"/>
  <c r="O549" i="6"/>
  <c r="P549" i="6"/>
  <c r="Q549" i="6"/>
  <c r="R549" i="6"/>
  <c r="S549" i="6"/>
  <c r="T549" i="6"/>
  <c r="U549" i="6"/>
  <c r="V549" i="6"/>
  <c r="W549" i="6"/>
  <c r="X549" i="6"/>
  <c r="N550" i="6"/>
  <c r="O550" i="6"/>
  <c r="P550" i="6"/>
  <c r="Q550" i="6"/>
  <c r="R550" i="6"/>
  <c r="S550" i="6"/>
  <c r="T550" i="6"/>
  <c r="U550" i="6"/>
  <c r="V550" i="6"/>
  <c r="W550" i="6"/>
  <c r="X550" i="6"/>
  <c r="N551" i="6"/>
  <c r="O551" i="6"/>
  <c r="P551" i="6"/>
  <c r="Q551" i="6"/>
  <c r="R551" i="6"/>
  <c r="S551" i="6"/>
  <c r="T551" i="6"/>
  <c r="U551" i="6"/>
  <c r="V551" i="6"/>
  <c r="W551" i="6"/>
  <c r="X551" i="6"/>
  <c r="N552" i="6"/>
  <c r="O552" i="6"/>
  <c r="P552" i="6"/>
  <c r="Q552" i="6"/>
  <c r="R552" i="6"/>
  <c r="S552" i="6"/>
  <c r="T552" i="6"/>
  <c r="U552" i="6"/>
  <c r="V552" i="6"/>
  <c r="W552" i="6"/>
  <c r="X552" i="6"/>
  <c r="N553" i="6"/>
  <c r="O553" i="6"/>
  <c r="P553" i="6"/>
  <c r="Q553" i="6"/>
  <c r="R553" i="6"/>
  <c r="S553" i="6"/>
  <c r="T553" i="6"/>
  <c r="U553" i="6"/>
  <c r="V553" i="6"/>
  <c r="W553" i="6"/>
  <c r="X553" i="6"/>
  <c r="N554" i="6"/>
  <c r="O554" i="6"/>
  <c r="P554" i="6"/>
  <c r="Q554" i="6"/>
  <c r="R554" i="6"/>
  <c r="S554" i="6"/>
  <c r="T554" i="6"/>
  <c r="U554" i="6"/>
  <c r="V554" i="6"/>
  <c r="W554" i="6"/>
  <c r="X554" i="6"/>
  <c r="N555" i="6"/>
  <c r="O555" i="6"/>
  <c r="P555" i="6"/>
  <c r="Q555" i="6"/>
  <c r="R555" i="6"/>
  <c r="S555" i="6"/>
  <c r="T555" i="6"/>
  <c r="U555" i="6"/>
  <c r="V555" i="6"/>
  <c r="W555" i="6"/>
  <c r="X555" i="6"/>
  <c r="N556" i="6"/>
  <c r="O556" i="6"/>
  <c r="P556" i="6"/>
  <c r="Q556" i="6"/>
  <c r="R556" i="6"/>
  <c r="S556" i="6"/>
  <c r="T556" i="6"/>
  <c r="U556" i="6"/>
  <c r="V556" i="6"/>
  <c r="W556" i="6"/>
  <c r="X556" i="6"/>
  <c r="N557" i="6"/>
  <c r="O557" i="6"/>
  <c r="P557" i="6"/>
  <c r="Q557" i="6"/>
  <c r="R557" i="6"/>
  <c r="S557" i="6"/>
  <c r="T557" i="6"/>
  <c r="U557" i="6"/>
  <c r="V557" i="6"/>
  <c r="W557" i="6"/>
  <c r="X557" i="6"/>
  <c r="N558" i="6"/>
  <c r="O558" i="6"/>
  <c r="P558" i="6"/>
  <c r="Q558" i="6"/>
  <c r="R558" i="6"/>
  <c r="S558" i="6"/>
  <c r="T558" i="6"/>
  <c r="U558" i="6"/>
  <c r="V558" i="6"/>
  <c r="W558" i="6"/>
  <c r="X558" i="6"/>
  <c r="N559" i="6"/>
  <c r="O559" i="6"/>
  <c r="P559" i="6"/>
  <c r="Q559" i="6"/>
  <c r="R559" i="6"/>
  <c r="S559" i="6"/>
  <c r="T559" i="6"/>
  <c r="U559" i="6"/>
  <c r="V559" i="6"/>
  <c r="W559" i="6"/>
  <c r="X559" i="6"/>
  <c r="N560" i="6"/>
  <c r="O560" i="6"/>
  <c r="P560" i="6"/>
  <c r="Q560" i="6"/>
  <c r="R560" i="6"/>
  <c r="S560" i="6"/>
  <c r="T560" i="6"/>
  <c r="U560" i="6"/>
  <c r="V560" i="6"/>
  <c r="W560" i="6"/>
  <c r="X560" i="6"/>
  <c r="N561" i="6"/>
  <c r="O561" i="6"/>
  <c r="P561" i="6"/>
  <c r="Q561" i="6"/>
  <c r="R561" i="6"/>
  <c r="S561" i="6"/>
  <c r="T561" i="6"/>
  <c r="U561" i="6"/>
  <c r="V561" i="6"/>
  <c r="W561" i="6"/>
  <c r="X561" i="6"/>
  <c r="N562" i="6"/>
  <c r="O562" i="6"/>
  <c r="P562" i="6"/>
  <c r="Q562" i="6"/>
  <c r="R562" i="6"/>
  <c r="S562" i="6"/>
  <c r="T562" i="6"/>
  <c r="U562" i="6"/>
  <c r="V562" i="6"/>
  <c r="W562" i="6"/>
  <c r="X562" i="6"/>
  <c r="N563" i="6"/>
  <c r="O563" i="6"/>
  <c r="P563" i="6"/>
  <c r="Q563" i="6"/>
  <c r="R563" i="6"/>
  <c r="S563" i="6"/>
  <c r="T563" i="6"/>
  <c r="U563" i="6"/>
  <c r="V563" i="6"/>
  <c r="W563" i="6"/>
  <c r="X563" i="6"/>
  <c r="N564" i="6"/>
  <c r="O564" i="6"/>
  <c r="P564" i="6"/>
  <c r="Q564" i="6"/>
  <c r="R564" i="6"/>
  <c r="S564" i="6"/>
  <c r="T564" i="6"/>
  <c r="U564" i="6"/>
  <c r="V564" i="6"/>
  <c r="W564" i="6"/>
  <c r="X564" i="6"/>
  <c r="N565" i="6"/>
  <c r="O565" i="6"/>
  <c r="P565" i="6"/>
  <c r="Q565" i="6"/>
  <c r="R565" i="6"/>
  <c r="S565" i="6"/>
  <c r="T565" i="6"/>
  <c r="U565" i="6"/>
  <c r="V565" i="6"/>
  <c r="W565" i="6"/>
  <c r="X565" i="6"/>
  <c r="N566" i="6"/>
  <c r="O566" i="6"/>
  <c r="P566" i="6"/>
  <c r="Q566" i="6"/>
  <c r="R566" i="6"/>
  <c r="S566" i="6"/>
  <c r="T566" i="6"/>
  <c r="U566" i="6"/>
  <c r="V566" i="6"/>
  <c r="W566" i="6"/>
  <c r="X566" i="6"/>
  <c r="N567" i="6"/>
  <c r="O567" i="6"/>
  <c r="P567" i="6"/>
  <c r="Q567" i="6"/>
  <c r="R567" i="6"/>
  <c r="S567" i="6"/>
  <c r="T567" i="6"/>
  <c r="U567" i="6"/>
  <c r="V567" i="6"/>
  <c r="W567" i="6"/>
  <c r="X567" i="6"/>
  <c r="N568" i="6"/>
  <c r="O568" i="6"/>
  <c r="P568" i="6"/>
  <c r="Q568" i="6"/>
  <c r="R568" i="6"/>
  <c r="S568" i="6"/>
  <c r="T568" i="6"/>
  <c r="U568" i="6"/>
  <c r="V568" i="6"/>
  <c r="W568" i="6"/>
  <c r="X568" i="6"/>
  <c r="N569" i="6"/>
  <c r="O569" i="6"/>
  <c r="P569" i="6"/>
  <c r="Q569" i="6"/>
  <c r="R569" i="6"/>
  <c r="S569" i="6"/>
  <c r="T569" i="6"/>
  <c r="U569" i="6"/>
  <c r="V569" i="6"/>
  <c r="W569" i="6"/>
  <c r="X569" i="6"/>
  <c r="N570" i="6"/>
  <c r="O570" i="6"/>
  <c r="P570" i="6"/>
  <c r="Q570" i="6"/>
  <c r="R570" i="6"/>
  <c r="S570" i="6"/>
  <c r="T570" i="6"/>
  <c r="U570" i="6"/>
  <c r="V570" i="6"/>
  <c r="W570" i="6"/>
  <c r="X570" i="6"/>
  <c r="N571" i="6"/>
  <c r="O571" i="6"/>
  <c r="P571" i="6"/>
  <c r="Q571" i="6"/>
  <c r="R571" i="6"/>
  <c r="S571" i="6"/>
  <c r="T571" i="6"/>
  <c r="U571" i="6"/>
  <c r="V571" i="6"/>
  <c r="W571" i="6"/>
  <c r="X571" i="6"/>
  <c r="N572" i="6"/>
  <c r="O572" i="6"/>
  <c r="P572" i="6"/>
  <c r="Q572" i="6"/>
  <c r="R572" i="6"/>
  <c r="S572" i="6"/>
  <c r="T572" i="6"/>
  <c r="U572" i="6"/>
  <c r="V572" i="6"/>
  <c r="W572" i="6"/>
  <c r="X572" i="6"/>
  <c r="N573" i="6"/>
  <c r="O573" i="6"/>
  <c r="P573" i="6"/>
  <c r="Q573" i="6"/>
  <c r="R573" i="6"/>
  <c r="S573" i="6"/>
  <c r="T573" i="6"/>
  <c r="U573" i="6"/>
  <c r="V573" i="6"/>
  <c r="W573" i="6"/>
  <c r="X573" i="6"/>
  <c r="N574" i="6"/>
  <c r="O574" i="6"/>
  <c r="P574" i="6"/>
  <c r="Q574" i="6"/>
  <c r="R574" i="6"/>
  <c r="S574" i="6"/>
  <c r="T574" i="6"/>
  <c r="U574" i="6"/>
  <c r="V574" i="6"/>
  <c r="W574" i="6"/>
  <c r="X574" i="6"/>
  <c r="N575" i="6"/>
  <c r="O575" i="6"/>
  <c r="P575" i="6"/>
  <c r="Q575" i="6"/>
  <c r="R575" i="6"/>
  <c r="S575" i="6"/>
  <c r="T575" i="6"/>
  <c r="U575" i="6"/>
  <c r="V575" i="6"/>
  <c r="W575" i="6"/>
  <c r="X575" i="6"/>
  <c r="N576" i="6"/>
  <c r="O576" i="6"/>
  <c r="P576" i="6"/>
  <c r="Q576" i="6"/>
  <c r="R576" i="6"/>
  <c r="S576" i="6"/>
  <c r="T576" i="6"/>
  <c r="U576" i="6"/>
  <c r="V576" i="6"/>
  <c r="W576" i="6"/>
  <c r="X576" i="6"/>
  <c r="N577" i="6"/>
  <c r="O577" i="6"/>
  <c r="P577" i="6"/>
  <c r="Q577" i="6"/>
  <c r="R577" i="6"/>
  <c r="S577" i="6"/>
  <c r="T577" i="6"/>
  <c r="U577" i="6"/>
  <c r="V577" i="6"/>
  <c r="W577" i="6"/>
  <c r="X577" i="6"/>
  <c r="N578" i="6"/>
  <c r="O578" i="6"/>
  <c r="P578" i="6"/>
  <c r="Q578" i="6"/>
  <c r="R578" i="6"/>
  <c r="S578" i="6"/>
  <c r="T578" i="6"/>
  <c r="U578" i="6"/>
  <c r="V578" i="6"/>
  <c r="W578" i="6"/>
  <c r="X578" i="6"/>
  <c r="N579" i="6"/>
  <c r="O579" i="6"/>
  <c r="P579" i="6"/>
  <c r="Q579" i="6"/>
  <c r="R579" i="6"/>
  <c r="S579" i="6"/>
  <c r="T579" i="6"/>
  <c r="U579" i="6"/>
  <c r="V579" i="6"/>
  <c r="W579" i="6"/>
  <c r="X579" i="6"/>
  <c r="N580" i="6"/>
  <c r="O580" i="6"/>
  <c r="P580" i="6"/>
  <c r="Q580" i="6"/>
  <c r="R580" i="6"/>
  <c r="S580" i="6"/>
  <c r="T580" i="6"/>
  <c r="U580" i="6"/>
  <c r="V580" i="6"/>
  <c r="W580" i="6"/>
  <c r="X580" i="6"/>
  <c r="N581" i="6"/>
  <c r="O581" i="6"/>
  <c r="P581" i="6"/>
  <c r="Q581" i="6"/>
  <c r="R581" i="6"/>
  <c r="S581" i="6"/>
  <c r="T581" i="6"/>
  <c r="U581" i="6"/>
  <c r="V581" i="6"/>
  <c r="W581" i="6"/>
  <c r="X581" i="6"/>
  <c r="N582" i="6"/>
  <c r="O582" i="6"/>
  <c r="P582" i="6"/>
  <c r="Q582" i="6"/>
  <c r="R582" i="6"/>
  <c r="S582" i="6"/>
  <c r="T582" i="6"/>
  <c r="U582" i="6"/>
  <c r="V582" i="6"/>
  <c r="W582" i="6"/>
  <c r="X582" i="6"/>
  <c r="N583" i="6"/>
  <c r="O583" i="6"/>
  <c r="P583" i="6"/>
  <c r="Q583" i="6"/>
  <c r="R583" i="6"/>
  <c r="S583" i="6"/>
  <c r="T583" i="6"/>
  <c r="U583" i="6"/>
  <c r="V583" i="6"/>
  <c r="W583" i="6"/>
  <c r="X583" i="6"/>
  <c r="N584" i="6"/>
  <c r="O584" i="6"/>
  <c r="P584" i="6"/>
  <c r="Q584" i="6"/>
  <c r="R584" i="6"/>
  <c r="S584" i="6"/>
  <c r="T584" i="6"/>
  <c r="U584" i="6"/>
  <c r="V584" i="6"/>
  <c r="W584" i="6"/>
  <c r="X584" i="6"/>
  <c r="N585" i="6"/>
  <c r="O585" i="6"/>
  <c r="P585" i="6"/>
  <c r="Q585" i="6"/>
  <c r="R585" i="6"/>
  <c r="S585" i="6"/>
  <c r="T585" i="6"/>
  <c r="U585" i="6"/>
  <c r="V585" i="6"/>
  <c r="W585" i="6"/>
  <c r="X585" i="6"/>
  <c r="N586" i="6"/>
  <c r="O586" i="6"/>
  <c r="P586" i="6"/>
  <c r="Q586" i="6"/>
  <c r="R586" i="6"/>
  <c r="S586" i="6"/>
  <c r="T586" i="6"/>
  <c r="U586" i="6"/>
  <c r="V586" i="6"/>
  <c r="W586" i="6"/>
  <c r="X586" i="6"/>
  <c r="N587" i="6"/>
  <c r="O587" i="6"/>
  <c r="P587" i="6"/>
  <c r="Q587" i="6"/>
  <c r="R587" i="6"/>
  <c r="S587" i="6"/>
  <c r="T587" i="6"/>
  <c r="U587" i="6"/>
  <c r="V587" i="6"/>
  <c r="W587" i="6"/>
  <c r="X587" i="6"/>
  <c r="N588" i="6"/>
  <c r="O588" i="6"/>
  <c r="P588" i="6"/>
  <c r="Q588" i="6"/>
  <c r="R588" i="6"/>
  <c r="S588" i="6"/>
  <c r="T588" i="6"/>
  <c r="U588" i="6"/>
  <c r="V588" i="6"/>
  <c r="W588" i="6"/>
  <c r="X588" i="6"/>
  <c r="N589" i="6"/>
  <c r="O589" i="6"/>
  <c r="P589" i="6"/>
  <c r="Q589" i="6"/>
  <c r="R589" i="6"/>
  <c r="S589" i="6"/>
  <c r="T589" i="6"/>
  <c r="U589" i="6"/>
  <c r="V589" i="6"/>
  <c r="W589" i="6"/>
  <c r="X589" i="6"/>
  <c r="N590" i="6"/>
  <c r="O590" i="6"/>
  <c r="P590" i="6"/>
  <c r="Q590" i="6"/>
  <c r="R590" i="6"/>
  <c r="S590" i="6"/>
  <c r="T590" i="6"/>
  <c r="U590" i="6"/>
  <c r="V590" i="6"/>
  <c r="W590" i="6"/>
  <c r="X590" i="6"/>
  <c r="N591" i="6"/>
  <c r="O591" i="6"/>
  <c r="P591" i="6"/>
  <c r="Q591" i="6"/>
  <c r="R591" i="6"/>
  <c r="S591" i="6"/>
  <c r="T591" i="6"/>
  <c r="U591" i="6"/>
  <c r="V591" i="6"/>
  <c r="W591" i="6"/>
  <c r="X591" i="6"/>
  <c r="N592" i="6"/>
  <c r="O592" i="6"/>
  <c r="P592" i="6"/>
  <c r="Q592" i="6"/>
  <c r="R592" i="6"/>
  <c r="S592" i="6"/>
  <c r="T592" i="6"/>
  <c r="U592" i="6"/>
  <c r="V592" i="6"/>
  <c r="W592" i="6"/>
  <c r="X592" i="6"/>
  <c r="N593" i="6"/>
  <c r="O593" i="6"/>
  <c r="P593" i="6"/>
  <c r="Q593" i="6"/>
  <c r="R593" i="6"/>
  <c r="S593" i="6"/>
  <c r="T593" i="6"/>
  <c r="U593" i="6"/>
  <c r="V593" i="6"/>
  <c r="W593" i="6"/>
  <c r="X593" i="6"/>
  <c r="N594" i="6"/>
  <c r="O594" i="6"/>
  <c r="P594" i="6"/>
  <c r="Q594" i="6"/>
  <c r="R594" i="6"/>
  <c r="S594" i="6"/>
  <c r="T594" i="6"/>
  <c r="U594" i="6"/>
  <c r="V594" i="6"/>
  <c r="W594" i="6"/>
  <c r="X594" i="6"/>
  <c r="N595" i="6"/>
  <c r="O595" i="6"/>
  <c r="P595" i="6"/>
  <c r="Q595" i="6"/>
  <c r="R595" i="6"/>
  <c r="S595" i="6"/>
  <c r="T595" i="6"/>
  <c r="U595" i="6"/>
  <c r="V595" i="6"/>
  <c r="W595" i="6"/>
  <c r="X595" i="6"/>
  <c r="N596" i="6"/>
  <c r="O596" i="6"/>
  <c r="P596" i="6"/>
  <c r="Q596" i="6"/>
  <c r="R596" i="6"/>
  <c r="S596" i="6"/>
  <c r="T596" i="6"/>
  <c r="U596" i="6"/>
  <c r="V596" i="6"/>
  <c r="W596" i="6"/>
  <c r="X596" i="6"/>
  <c r="N597" i="6"/>
  <c r="O597" i="6"/>
  <c r="P597" i="6"/>
  <c r="Q597" i="6"/>
  <c r="R597" i="6"/>
  <c r="S597" i="6"/>
  <c r="T597" i="6"/>
  <c r="U597" i="6"/>
  <c r="V597" i="6"/>
  <c r="W597" i="6"/>
  <c r="X597" i="6"/>
  <c r="N598" i="6"/>
  <c r="O598" i="6"/>
  <c r="P598" i="6"/>
  <c r="Q598" i="6"/>
  <c r="R598" i="6"/>
  <c r="S598" i="6"/>
  <c r="T598" i="6"/>
  <c r="U598" i="6"/>
  <c r="V598" i="6"/>
  <c r="W598" i="6"/>
  <c r="X598" i="6"/>
  <c r="N599" i="6"/>
  <c r="O599" i="6"/>
  <c r="P599" i="6"/>
  <c r="Q599" i="6"/>
  <c r="R599" i="6"/>
  <c r="S599" i="6"/>
  <c r="T599" i="6"/>
  <c r="U599" i="6"/>
  <c r="V599" i="6"/>
  <c r="W599" i="6"/>
  <c r="X599" i="6"/>
  <c r="N600" i="6"/>
  <c r="O600" i="6"/>
  <c r="P600" i="6"/>
  <c r="Q600" i="6"/>
  <c r="R600" i="6"/>
  <c r="S600" i="6"/>
  <c r="T600" i="6"/>
  <c r="U600" i="6"/>
  <c r="V600" i="6"/>
  <c r="W600" i="6"/>
  <c r="X600" i="6"/>
  <c r="N601" i="6"/>
  <c r="O601" i="6"/>
  <c r="P601" i="6"/>
  <c r="Q601" i="6"/>
  <c r="R601" i="6"/>
  <c r="S601" i="6"/>
  <c r="T601" i="6"/>
  <c r="U601" i="6"/>
  <c r="V601" i="6"/>
  <c r="W601" i="6"/>
  <c r="X601" i="6"/>
  <c r="N602" i="6"/>
  <c r="O602" i="6"/>
  <c r="P602" i="6"/>
  <c r="Q602" i="6"/>
  <c r="R602" i="6"/>
  <c r="S602" i="6"/>
  <c r="T602" i="6"/>
  <c r="U602" i="6"/>
  <c r="V602" i="6"/>
  <c r="W602" i="6"/>
  <c r="X602" i="6"/>
  <c r="N603" i="6"/>
  <c r="O603" i="6"/>
  <c r="P603" i="6"/>
  <c r="Q603" i="6"/>
  <c r="R603" i="6"/>
  <c r="S603" i="6"/>
  <c r="T603" i="6"/>
  <c r="U603" i="6"/>
  <c r="V603" i="6"/>
  <c r="W603" i="6"/>
  <c r="X603" i="6"/>
  <c r="N604" i="6"/>
  <c r="O604" i="6"/>
  <c r="P604" i="6"/>
  <c r="Q604" i="6"/>
  <c r="R604" i="6"/>
  <c r="S604" i="6"/>
  <c r="T604" i="6"/>
  <c r="U604" i="6"/>
  <c r="V604" i="6"/>
  <c r="W604" i="6"/>
  <c r="X604" i="6"/>
  <c r="N605" i="6"/>
  <c r="O605" i="6"/>
  <c r="P605" i="6"/>
  <c r="Q605" i="6"/>
  <c r="R605" i="6"/>
  <c r="S605" i="6"/>
  <c r="T605" i="6"/>
  <c r="U605" i="6"/>
  <c r="V605" i="6"/>
  <c r="W605" i="6"/>
  <c r="X605" i="6"/>
  <c r="N606" i="6"/>
  <c r="O606" i="6"/>
  <c r="P606" i="6"/>
  <c r="Q606" i="6"/>
  <c r="R606" i="6"/>
  <c r="S606" i="6"/>
  <c r="T606" i="6"/>
  <c r="U606" i="6"/>
  <c r="V606" i="6"/>
  <c r="W606" i="6"/>
  <c r="X606" i="6"/>
  <c r="N607" i="6"/>
  <c r="O607" i="6"/>
  <c r="P607" i="6"/>
  <c r="Q607" i="6"/>
  <c r="R607" i="6"/>
  <c r="S607" i="6"/>
  <c r="T607" i="6"/>
  <c r="U607" i="6"/>
  <c r="V607" i="6"/>
  <c r="W607" i="6"/>
  <c r="X607" i="6"/>
  <c r="N608" i="6"/>
  <c r="O608" i="6"/>
  <c r="P608" i="6"/>
  <c r="Q608" i="6"/>
  <c r="R608" i="6"/>
  <c r="S608" i="6"/>
  <c r="T608" i="6"/>
  <c r="U608" i="6"/>
  <c r="V608" i="6"/>
  <c r="W608" i="6"/>
  <c r="X608" i="6"/>
  <c r="N609" i="6"/>
  <c r="O609" i="6"/>
  <c r="P609" i="6"/>
  <c r="Q609" i="6"/>
  <c r="R609" i="6"/>
  <c r="S609" i="6"/>
  <c r="T609" i="6"/>
  <c r="U609" i="6"/>
  <c r="V609" i="6"/>
  <c r="W609" i="6"/>
  <c r="X609" i="6"/>
  <c r="N610" i="6"/>
  <c r="O610" i="6"/>
  <c r="P610" i="6"/>
  <c r="Q610" i="6"/>
  <c r="R610" i="6"/>
  <c r="S610" i="6"/>
  <c r="T610" i="6"/>
  <c r="U610" i="6"/>
  <c r="V610" i="6"/>
  <c r="W610" i="6"/>
  <c r="X610" i="6"/>
  <c r="N611" i="6"/>
  <c r="O611" i="6"/>
  <c r="P611" i="6"/>
  <c r="Q611" i="6"/>
  <c r="R611" i="6"/>
  <c r="S611" i="6"/>
  <c r="T611" i="6"/>
  <c r="U611" i="6"/>
  <c r="V611" i="6"/>
  <c r="W611" i="6"/>
  <c r="X611" i="6"/>
  <c r="N612" i="6"/>
  <c r="O612" i="6"/>
  <c r="P612" i="6"/>
  <c r="Q612" i="6"/>
  <c r="R612" i="6"/>
  <c r="S612" i="6"/>
  <c r="T612" i="6"/>
  <c r="U612" i="6"/>
  <c r="V612" i="6"/>
  <c r="W612" i="6"/>
  <c r="X612" i="6"/>
  <c r="N613" i="6"/>
  <c r="O613" i="6"/>
  <c r="P613" i="6"/>
  <c r="Q613" i="6"/>
  <c r="R613" i="6"/>
  <c r="S613" i="6"/>
  <c r="T613" i="6"/>
  <c r="U613" i="6"/>
  <c r="V613" i="6"/>
  <c r="W613" i="6"/>
  <c r="X613" i="6"/>
  <c r="N614" i="6"/>
  <c r="O614" i="6"/>
  <c r="P614" i="6"/>
  <c r="Q614" i="6"/>
  <c r="R614" i="6"/>
  <c r="S614" i="6"/>
  <c r="T614" i="6"/>
  <c r="U614" i="6"/>
  <c r="V614" i="6"/>
  <c r="W614" i="6"/>
  <c r="X614" i="6"/>
  <c r="N615" i="6"/>
  <c r="O615" i="6"/>
  <c r="P615" i="6"/>
  <c r="Q615" i="6"/>
  <c r="R615" i="6"/>
  <c r="S615" i="6"/>
  <c r="T615" i="6"/>
  <c r="U615" i="6"/>
  <c r="V615" i="6"/>
  <c r="W615" i="6"/>
  <c r="X615" i="6"/>
  <c r="N616" i="6"/>
  <c r="O616" i="6"/>
  <c r="P616" i="6"/>
  <c r="Q616" i="6"/>
  <c r="R616" i="6"/>
  <c r="S616" i="6"/>
  <c r="T616" i="6"/>
  <c r="U616" i="6"/>
  <c r="V616" i="6"/>
  <c r="W616" i="6"/>
  <c r="X616" i="6"/>
  <c r="N617" i="6"/>
  <c r="O617" i="6"/>
  <c r="P617" i="6"/>
  <c r="Q617" i="6"/>
  <c r="R617" i="6"/>
  <c r="S617" i="6"/>
  <c r="T617" i="6"/>
  <c r="U617" i="6"/>
  <c r="V617" i="6"/>
  <c r="W617" i="6"/>
  <c r="X617" i="6"/>
  <c r="N618" i="6"/>
  <c r="O618" i="6"/>
  <c r="P618" i="6"/>
  <c r="Q618" i="6"/>
  <c r="R618" i="6"/>
  <c r="S618" i="6"/>
  <c r="T618" i="6"/>
  <c r="U618" i="6"/>
  <c r="V618" i="6"/>
  <c r="W618" i="6"/>
  <c r="X618" i="6"/>
  <c r="N619" i="6"/>
  <c r="O619" i="6"/>
  <c r="P619" i="6"/>
  <c r="Q619" i="6"/>
  <c r="R619" i="6"/>
  <c r="S619" i="6"/>
  <c r="T619" i="6"/>
  <c r="U619" i="6"/>
  <c r="V619" i="6"/>
  <c r="W619" i="6"/>
  <c r="X619" i="6"/>
  <c r="N620" i="6"/>
  <c r="O620" i="6"/>
  <c r="P620" i="6"/>
  <c r="Q620" i="6"/>
  <c r="R620" i="6"/>
  <c r="S620" i="6"/>
  <c r="T620" i="6"/>
  <c r="U620" i="6"/>
  <c r="V620" i="6"/>
  <c r="W620" i="6"/>
  <c r="X620" i="6"/>
  <c r="N621" i="6"/>
  <c r="O621" i="6"/>
  <c r="P621" i="6"/>
  <c r="Q621" i="6"/>
  <c r="R621" i="6"/>
  <c r="S621" i="6"/>
  <c r="T621" i="6"/>
  <c r="U621" i="6"/>
  <c r="V621" i="6"/>
  <c r="W621" i="6"/>
  <c r="X621" i="6"/>
  <c r="N622" i="6"/>
  <c r="O622" i="6"/>
  <c r="P622" i="6"/>
  <c r="Q622" i="6"/>
  <c r="R622" i="6"/>
  <c r="S622" i="6"/>
  <c r="T622" i="6"/>
  <c r="U622" i="6"/>
  <c r="V622" i="6"/>
  <c r="W622" i="6"/>
  <c r="X622" i="6"/>
  <c r="N623" i="6"/>
  <c r="O623" i="6"/>
  <c r="P623" i="6"/>
  <c r="Q623" i="6"/>
  <c r="R623" i="6"/>
  <c r="S623" i="6"/>
  <c r="T623" i="6"/>
  <c r="U623" i="6"/>
  <c r="V623" i="6"/>
  <c r="W623" i="6"/>
  <c r="X623" i="6"/>
  <c r="N624" i="6"/>
  <c r="O624" i="6"/>
  <c r="P624" i="6"/>
  <c r="Q624" i="6"/>
  <c r="R624" i="6"/>
  <c r="S624" i="6"/>
  <c r="T624" i="6"/>
  <c r="U624" i="6"/>
  <c r="V624" i="6"/>
  <c r="W624" i="6"/>
  <c r="X624" i="6"/>
  <c r="N625" i="6"/>
  <c r="O625" i="6"/>
  <c r="P625" i="6"/>
  <c r="Q625" i="6"/>
  <c r="R625" i="6"/>
  <c r="S625" i="6"/>
  <c r="T625" i="6"/>
  <c r="U625" i="6"/>
  <c r="V625" i="6"/>
  <c r="W625" i="6"/>
  <c r="X625" i="6"/>
  <c r="N626" i="6"/>
  <c r="O626" i="6"/>
  <c r="P626" i="6"/>
  <c r="Q626" i="6"/>
  <c r="R626" i="6"/>
  <c r="S626" i="6"/>
  <c r="T626" i="6"/>
  <c r="U626" i="6"/>
  <c r="V626" i="6"/>
  <c r="W626" i="6"/>
  <c r="X626" i="6"/>
  <c r="N627" i="6"/>
  <c r="O627" i="6"/>
  <c r="P627" i="6"/>
  <c r="Q627" i="6"/>
  <c r="R627" i="6"/>
  <c r="S627" i="6"/>
  <c r="T627" i="6"/>
  <c r="U627" i="6"/>
  <c r="V627" i="6"/>
  <c r="W627" i="6"/>
  <c r="X627" i="6"/>
  <c r="N628" i="6"/>
  <c r="O628" i="6"/>
  <c r="P628" i="6"/>
  <c r="Q628" i="6"/>
  <c r="R628" i="6"/>
  <c r="S628" i="6"/>
  <c r="T628" i="6"/>
  <c r="U628" i="6"/>
  <c r="V628" i="6"/>
  <c r="W628" i="6"/>
  <c r="X628" i="6"/>
  <c r="N629" i="6"/>
  <c r="O629" i="6"/>
  <c r="P629" i="6"/>
  <c r="Q629" i="6"/>
  <c r="R629" i="6"/>
  <c r="S629" i="6"/>
  <c r="T629" i="6"/>
  <c r="U629" i="6"/>
  <c r="V629" i="6"/>
  <c r="W629" i="6"/>
  <c r="X629" i="6"/>
  <c r="N630" i="6"/>
  <c r="O630" i="6"/>
  <c r="P630" i="6"/>
  <c r="Q630" i="6"/>
  <c r="R630" i="6"/>
  <c r="S630" i="6"/>
  <c r="T630" i="6"/>
  <c r="U630" i="6"/>
  <c r="V630" i="6"/>
  <c r="W630" i="6"/>
  <c r="X630" i="6"/>
  <c r="N631" i="6"/>
  <c r="O631" i="6"/>
  <c r="P631" i="6"/>
  <c r="Q631" i="6"/>
  <c r="R631" i="6"/>
  <c r="S631" i="6"/>
  <c r="T631" i="6"/>
  <c r="U631" i="6"/>
  <c r="V631" i="6"/>
  <c r="W631" i="6"/>
  <c r="X631" i="6"/>
  <c r="N632" i="6"/>
  <c r="O632" i="6"/>
  <c r="P632" i="6"/>
  <c r="Q632" i="6"/>
  <c r="R632" i="6"/>
  <c r="S632" i="6"/>
  <c r="T632" i="6"/>
  <c r="U632" i="6"/>
  <c r="V632" i="6"/>
  <c r="W632" i="6"/>
  <c r="X632" i="6"/>
  <c r="N633" i="6"/>
  <c r="O633" i="6"/>
  <c r="P633" i="6"/>
  <c r="Q633" i="6"/>
  <c r="R633" i="6"/>
  <c r="S633" i="6"/>
  <c r="T633" i="6"/>
  <c r="U633" i="6"/>
  <c r="V633" i="6"/>
  <c r="W633" i="6"/>
  <c r="X633" i="6"/>
  <c r="N634" i="6"/>
  <c r="O634" i="6"/>
  <c r="P634" i="6"/>
  <c r="Q634" i="6"/>
  <c r="R634" i="6"/>
  <c r="S634" i="6"/>
  <c r="T634" i="6"/>
  <c r="U634" i="6"/>
  <c r="V634" i="6"/>
  <c r="W634" i="6"/>
  <c r="X634" i="6"/>
  <c r="N635" i="6"/>
  <c r="O635" i="6"/>
  <c r="P635" i="6"/>
  <c r="Q635" i="6"/>
  <c r="R635" i="6"/>
  <c r="S635" i="6"/>
  <c r="T635" i="6"/>
  <c r="U635" i="6"/>
  <c r="V635" i="6"/>
  <c r="W635" i="6"/>
  <c r="X635" i="6"/>
  <c r="N636" i="6"/>
  <c r="O636" i="6"/>
  <c r="P636" i="6"/>
  <c r="Q636" i="6"/>
  <c r="R636" i="6"/>
  <c r="S636" i="6"/>
  <c r="T636" i="6"/>
  <c r="U636" i="6"/>
  <c r="V636" i="6"/>
  <c r="W636" i="6"/>
  <c r="X636" i="6"/>
  <c r="N637" i="6"/>
  <c r="O637" i="6"/>
  <c r="P637" i="6"/>
  <c r="Q637" i="6"/>
  <c r="R637" i="6"/>
  <c r="S637" i="6"/>
  <c r="T637" i="6"/>
  <c r="U637" i="6"/>
  <c r="V637" i="6"/>
  <c r="W637" i="6"/>
  <c r="X637" i="6"/>
  <c r="N638" i="6"/>
  <c r="O638" i="6"/>
  <c r="P638" i="6"/>
  <c r="Q638" i="6"/>
  <c r="R638" i="6"/>
  <c r="S638" i="6"/>
  <c r="T638" i="6"/>
  <c r="U638" i="6"/>
  <c r="V638" i="6"/>
  <c r="W638" i="6"/>
  <c r="X638" i="6"/>
  <c r="N639" i="6"/>
  <c r="O639" i="6"/>
  <c r="P639" i="6"/>
  <c r="Q639" i="6"/>
  <c r="R639" i="6"/>
  <c r="S639" i="6"/>
  <c r="T639" i="6"/>
  <c r="U639" i="6"/>
  <c r="V639" i="6"/>
  <c r="W639" i="6"/>
  <c r="X639" i="6"/>
  <c r="N640" i="6"/>
  <c r="O640" i="6"/>
  <c r="P640" i="6"/>
  <c r="Q640" i="6"/>
  <c r="R640" i="6"/>
  <c r="S640" i="6"/>
  <c r="T640" i="6"/>
  <c r="U640" i="6"/>
  <c r="V640" i="6"/>
  <c r="W640" i="6"/>
  <c r="X640" i="6"/>
  <c r="N641" i="6"/>
  <c r="O641" i="6"/>
  <c r="P641" i="6"/>
  <c r="Q641" i="6"/>
  <c r="R641" i="6"/>
  <c r="S641" i="6"/>
  <c r="T641" i="6"/>
  <c r="U641" i="6"/>
  <c r="V641" i="6"/>
  <c r="W641" i="6"/>
  <c r="X641" i="6"/>
  <c r="N642" i="6"/>
  <c r="O642" i="6"/>
  <c r="P642" i="6"/>
  <c r="Q642" i="6"/>
  <c r="R642" i="6"/>
  <c r="S642" i="6"/>
  <c r="T642" i="6"/>
  <c r="U642" i="6"/>
  <c r="V642" i="6"/>
  <c r="W642" i="6"/>
  <c r="X642" i="6"/>
  <c r="N643" i="6"/>
  <c r="O643" i="6"/>
  <c r="P643" i="6"/>
  <c r="Q643" i="6"/>
  <c r="R643" i="6"/>
  <c r="S643" i="6"/>
  <c r="T643" i="6"/>
  <c r="U643" i="6"/>
  <c r="V643" i="6"/>
  <c r="W643" i="6"/>
  <c r="X643" i="6"/>
  <c r="N644" i="6"/>
  <c r="O644" i="6"/>
  <c r="P644" i="6"/>
  <c r="Q644" i="6"/>
  <c r="R644" i="6"/>
  <c r="S644" i="6"/>
  <c r="T644" i="6"/>
  <c r="U644" i="6"/>
  <c r="V644" i="6"/>
  <c r="W644" i="6"/>
  <c r="X644" i="6"/>
  <c r="N645" i="6"/>
  <c r="O645" i="6"/>
  <c r="P645" i="6"/>
  <c r="Q645" i="6"/>
  <c r="R645" i="6"/>
  <c r="S645" i="6"/>
  <c r="T645" i="6"/>
  <c r="U645" i="6"/>
  <c r="V645" i="6"/>
  <c r="W645" i="6"/>
  <c r="X645" i="6"/>
  <c r="N646" i="6"/>
  <c r="O646" i="6"/>
  <c r="P646" i="6"/>
  <c r="Q646" i="6"/>
  <c r="R646" i="6"/>
  <c r="S646" i="6"/>
  <c r="T646" i="6"/>
  <c r="U646" i="6"/>
  <c r="V646" i="6"/>
  <c r="W646" i="6"/>
  <c r="X646" i="6"/>
  <c r="N647" i="6"/>
  <c r="O647" i="6"/>
  <c r="P647" i="6"/>
  <c r="Q647" i="6"/>
  <c r="R647" i="6"/>
  <c r="S647" i="6"/>
  <c r="T647" i="6"/>
  <c r="U647" i="6"/>
  <c r="V647" i="6"/>
  <c r="W647" i="6"/>
  <c r="X647" i="6"/>
  <c r="N648" i="6"/>
  <c r="O648" i="6"/>
  <c r="P648" i="6"/>
  <c r="Q648" i="6"/>
  <c r="R648" i="6"/>
  <c r="S648" i="6"/>
  <c r="T648" i="6"/>
  <c r="U648" i="6"/>
  <c r="V648" i="6"/>
  <c r="W648" i="6"/>
  <c r="X648" i="6"/>
  <c r="N649" i="6"/>
  <c r="O649" i="6"/>
  <c r="P649" i="6"/>
  <c r="Q649" i="6"/>
  <c r="R649" i="6"/>
  <c r="S649" i="6"/>
  <c r="T649" i="6"/>
  <c r="U649" i="6"/>
  <c r="V649" i="6"/>
  <c r="W649" i="6"/>
  <c r="X649" i="6"/>
  <c r="N650" i="6"/>
  <c r="O650" i="6"/>
  <c r="P650" i="6"/>
  <c r="Q650" i="6"/>
  <c r="R650" i="6"/>
  <c r="S650" i="6"/>
  <c r="T650" i="6"/>
  <c r="U650" i="6"/>
  <c r="V650" i="6"/>
  <c r="W650" i="6"/>
  <c r="X650" i="6"/>
  <c r="N651" i="6"/>
  <c r="O651" i="6"/>
  <c r="P651" i="6"/>
  <c r="Q651" i="6"/>
  <c r="R651" i="6"/>
  <c r="S651" i="6"/>
  <c r="T651" i="6"/>
  <c r="U651" i="6"/>
  <c r="V651" i="6"/>
  <c r="W651" i="6"/>
  <c r="X651" i="6"/>
  <c r="N652" i="6"/>
  <c r="O652" i="6"/>
  <c r="P652" i="6"/>
  <c r="Q652" i="6"/>
  <c r="R652" i="6"/>
  <c r="S652" i="6"/>
  <c r="T652" i="6"/>
  <c r="U652" i="6"/>
  <c r="V652" i="6"/>
  <c r="W652" i="6"/>
  <c r="X652" i="6"/>
  <c r="N653" i="6"/>
  <c r="O653" i="6"/>
  <c r="P653" i="6"/>
  <c r="Q653" i="6"/>
  <c r="R653" i="6"/>
  <c r="S653" i="6"/>
  <c r="T653" i="6"/>
  <c r="U653" i="6"/>
  <c r="V653" i="6"/>
  <c r="W653" i="6"/>
  <c r="X653" i="6"/>
  <c r="N654" i="6"/>
  <c r="O654" i="6"/>
  <c r="P654" i="6"/>
  <c r="Q654" i="6"/>
  <c r="R654" i="6"/>
  <c r="S654" i="6"/>
  <c r="T654" i="6"/>
  <c r="U654" i="6"/>
  <c r="V654" i="6"/>
  <c r="W654" i="6"/>
  <c r="X654" i="6"/>
  <c r="N655" i="6"/>
  <c r="O655" i="6"/>
  <c r="P655" i="6"/>
  <c r="Q655" i="6"/>
  <c r="R655" i="6"/>
  <c r="S655" i="6"/>
  <c r="T655" i="6"/>
  <c r="U655" i="6"/>
  <c r="V655" i="6"/>
  <c r="W655" i="6"/>
  <c r="X655" i="6"/>
  <c r="N656" i="6"/>
  <c r="O656" i="6"/>
  <c r="P656" i="6"/>
  <c r="Q656" i="6"/>
  <c r="R656" i="6"/>
  <c r="S656" i="6"/>
  <c r="T656" i="6"/>
  <c r="U656" i="6"/>
  <c r="V656" i="6"/>
  <c r="W656" i="6"/>
  <c r="X656" i="6"/>
  <c r="N657" i="6"/>
  <c r="O657" i="6"/>
  <c r="P657" i="6"/>
  <c r="Q657" i="6"/>
  <c r="R657" i="6"/>
  <c r="S657" i="6"/>
  <c r="T657" i="6"/>
  <c r="U657" i="6"/>
  <c r="V657" i="6"/>
  <c r="W657" i="6"/>
  <c r="X657" i="6"/>
  <c r="N658" i="6"/>
  <c r="O658" i="6"/>
  <c r="P658" i="6"/>
  <c r="Q658" i="6"/>
  <c r="R658" i="6"/>
  <c r="S658" i="6"/>
  <c r="T658" i="6"/>
  <c r="U658" i="6"/>
  <c r="V658" i="6"/>
  <c r="W658" i="6"/>
  <c r="X658" i="6"/>
  <c r="N659" i="6"/>
  <c r="O659" i="6"/>
  <c r="P659" i="6"/>
  <c r="Q659" i="6"/>
  <c r="R659" i="6"/>
  <c r="S659" i="6"/>
  <c r="T659" i="6"/>
  <c r="U659" i="6"/>
  <c r="V659" i="6"/>
  <c r="W659" i="6"/>
  <c r="X659" i="6"/>
  <c r="N660" i="6"/>
  <c r="O660" i="6"/>
  <c r="P660" i="6"/>
  <c r="Q660" i="6"/>
  <c r="R660" i="6"/>
  <c r="S660" i="6"/>
  <c r="T660" i="6"/>
  <c r="U660" i="6"/>
  <c r="V660" i="6"/>
  <c r="W660" i="6"/>
  <c r="X660" i="6"/>
  <c r="N661" i="6"/>
  <c r="O661" i="6"/>
  <c r="P661" i="6"/>
  <c r="Q661" i="6"/>
  <c r="R661" i="6"/>
  <c r="S661" i="6"/>
  <c r="T661" i="6"/>
  <c r="U661" i="6"/>
  <c r="V661" i="6"/>
  <c r="W661" i="6"/>
  <c r="X661" i="6"/>
  <c r="N662" i="6"/>
  <c r="O662" i="6"/>
  <c r="P662" i="6"/>
  <c r="Q662" i="6"/>
  <c r="R662" i="6"/>
  <c r="S662" i="6"/>
  <c r="T662" i="6"/>
  <c r="U662" i="6"/>
  <c r="V662" i="6"/>
  <c r="W662" i="6"/>
  <c r="X662" i="6"/>
  <c r="N663" i="6"/>
  <c r="O663" i="6"/>
  <c r="P663" i="6"/>
  <c r="Q663" i="6"/>
  <c r="R663" i="6"/>
  <c r="S663" i="6"/>
  <c r="T663" i="6"/>
  <c r="U663" i="6"/>
  <c r="V663" i="6"/>
  <c r="W663" i="6"/>
  <c r="X663" i="6"/>
  <c r="N664" i="6"/>
  <c r="O664" i="6"/>
  <c r="P664" i="6"/>
  <c r="Q664" i="6"/>
  <c r="R664" i="6"/>
  <c r="S664" i="6"/>
  <c r="T664" i="6"/>
  <c r="U664" i="6"/>
  <c r="V664" i="6"/>
  <c r="W664" i="6"/>
  <c r="X664" i="6"/>
  <c r="N665" i="6"/>
  <c r="O665" i="6"/>
  <c r="P665" i="6"/>
  <c r="Q665" i="6"/>
  <c r="R665" i="6"/>
  <c r="S665" i="6"/>
  <c r="T665" i="6"/>
  <c r="U665" i="6"/>
  <c r="V665" i="6"/>
  <c r="W665" i="6"/>
  <c r="X665" i="6"/>
  <c r="N666" i="6"/>
  <c r="O666" i="6"/>
  <c r="P666" i="6"/>
  <c r="Q666" i="6"/>
  <c r="R666" i="6"/>
  <c r="S666" i="6"/>
  <c r="T666" i="6"/>
  <c r="U666" i="6"/>
  <c r="V666" i="6"/>
  <c r="W666" i="6"/>
  <c r="X666" i="6"/>
  <c r="N667" i="6"/>
  <c r="O667" i="6"/>
  <c r="P667" i="6"/>
  <c r="Q667" i="6"/>
  <c r="R667" i="6"/>
  <c r="S667" i="6"/>
  <c r="T667" i="6"/>
  <c r="U667" i="6"/>
  <c r="V667" i="6"/>
  <c r="W667" i="6"/>
  <c r="X667" i="6"/>
  <c r="N668" i="6"/>
  <c r="O668" i="6"/>
  <c r="P668" i="6"/>
  <c r="Q668" i="6"/>
  <c r="R668" i="6"/>
  <c r="S668" i="6"/>
  <c r="T668" i="6"/>
  <c r="U668" i="6"/>
  <c r="V668" i="6"/>
  <c r="W668" i="6"/>
  <c r="X668" i="6"/>
  <c r="N669" i="6"/>
  <c r="O669" i="6"/>
  <c r="P669" i="6"/>
  <c r="Q669" i="6"/>
  <c r="R669" i="6"/>
  <c r="S669" i="6"/>
  <c r="T669" i="6"/>
  <c r="U669" i="6"/>
  <c r="V669" i="6"/>
  <c r="W669" i="6"/>
  <c r="X669" i="6"/>
  <c r="N670" i="6"/>
  <c r="O670" i="6"/>
  <c r="P670" i="6"/>
  <c r="Q670" i="6"/>
  <c r="R670" i="6"/>
  <c r="S670" i="6"/>
  <c r="T670" i="6"/>
  <c r="U670" i="6"/>
  <c r="V670" i="6"/>
  <c r="W670" i="6"/>
  <c r="X670" i="6"/>
  <c r="N671" i="6"/>
  <c r="O671" i="6"/>
  <c r="P671" i="6"/>
  <c r="Q671" i="6"/>
  <c r="R671" i="6"/>
  <c r="S671" i="6"/>
  <c r="T671" i="6"/>
  <c r="U671" i="6"/>
  <c r="V671" i="6"/>
  <c r="W671" i="6"/>
  <c r="X671" i="6"/>
  <c r="N672" i="6"/>
  <c r="O672" i="6"/>
  <c r="P672" i="6"/>
  <c r="Q672" i="6"/>
  <c r="R672" i="6"/>
  <c r="S672" i="6"/>
  <c r="T672" i="6"/>
  <c r="U672" i="6"/>
  <c r="V672" i="6"/>
  <c r="W672" i="6"/>
  <c r="X672" i="6"/>
  <c r="N673" i="6"/>
  <c r="O673" i="6"/>
  <c r="P673" i="6"/>
  <c r="Q673" i="6"/>
  <c r="R673" i="6"/>
  <c r="S673" i="6"/>
  <c r="T673" i="6"/>
  <c r="U673" i="6"/>
  <c r="V673" i="6"/>
  <c r="W673" i="6"/>
  <c r="X673" i="6"/>
  <c r="N674" i="6"/>
  <c r="O674" i="6"/>
  <c r="P674" i="6"/>
  <c r="Q674" i="6"/>
  <c r="R674" i="6"/>
  <c r="S674" i="6"/>
  <c r="T674" i="6"/>
  <c r="U674" i="6"/>
  <c r="V674" i="6"/>
  <c r="W674" i="6"/>
  <c r="X674" i="6"/>
  <c r="N675" i="6"/>
  <c r="O675" i="6"/>
  <c r="P675" i="6"/>
  <c r="Q675" i="6"/>
  <c r="R675" i="6"/>
  <c r="S675" i="6"/>
  <c r="T675" i="6"/>
  <c r="U675" i="6"/>
  <c r="V675" i="6"/>
  <c r="W675" i="6"/>
  <c r="X675" i="6"/>
  <c r="N676" i="6"/>
  <c r="O676" i="6"/>
  <c r="P676" i="6"/>
  <c r="Q676" i="6"/>
  <c r="R676" i="6"/>
  <c r="S676" i="6"/>
  <c r="T676" i="6"/>
  <c r="U676" i="6"/>
  <c r="V676" i="6"/>
  <c r="W676" i="6"/>
  <c r="X676" i="6"/>
  <c r="N677" i="6"/>
  <c r="O677" i="6"/>
  <c r="P677" i="6"/>
  <c r="Q677" i="6"/>
  <c r="R677" i="6"/>
  <c r="S677" i="6"/>
  <c r="T677" i="6"/>
  <c r="U677" i="6"/>
  <c r="V677" i="6"/>
  <c r="W677" i="6"/>
  <c r="X677" i="6"/>
  <c r="N678" i="6"/>
  <c r="O678" i="6"/>
  <c r="P678" i="6"/>
  <c r="Q678" i="6"/>
  <c r="R678" i="6"/>
  <c r="S678" i="6"/>
  <c r="T678" i="6"/>
  <c r="U678" i="6"/>
  <c r="V678" i="6"/>
  <c r="W678" i="6"/>
  <c r="X678" i="6"/>
  <c r="N679" i="6"/>
  <c r="O679" i="6"/>
  <c r="P679" i="6"/>
  <c r="Q679" i="6"/>
  <c r="R679" i="6"/>
  <c r="S679" i="6"/>
  <c r="T679" i="6"/>
  <c r="U679" i="6"/>
  <c r="V679" i="6"/>
  <c r="W679" i="6"/>
  <c r="X679" i="6"/>
  <c r="N680" i="6"/>
  <c r="O680" i="6"/>
  <c r="P680" i="6"/>
  <c r="Q680" i="6"/>
  <c r="R680" i="6"/>
  <c r="S680" i="6"/>
  <c r="T680" i="6"/>
  <c r="U680" i="6"/>
  <c r="V680" i="6"/>
  <c r="W680" i="6"/>
  <c r="X680" i="6"/>
  <c r="N681" i="6"/>
  <c r="O681" i="6"/>
  <c r="P681" i="6"/>
  <c r="Q681" i="6"/>
  <c r="R681" i="6"/>
  <c r="S681" i="6"/>
  <c r="T681" i="6"/>
  <c r="U681" i="6"/>
  <c r="V681" i="6"/>
  <c r="W681" i="6"/>
  <c r="X681" i="6"/>
  <c r="N682" i="6"/>
  <c r="O682" i="6"/>
  <c r="P682" i="6"/>
  <c r="Q682" i="6"/>
  <c r="R682" i="6"/>
  <c r="S682" i="6"/>
  <c r="T682" i="6"/>
  <c r="U682" i="6"/>
  <c r="V682" i="6"/>
  <c r="W682" i="6"/>
  <c r="X682" i="6"/>
  <c r="N683" i="6"/>
  <c r="O683" i="6"/>
  <c r="P683" i="6"/>
  <c r="Q683" i="6"/>
  <c r="R683" i="6"/>
  <c r="S683" i="6"/>
  <c r="T683" i="6"/>
  <c r="U683" i="6"/>
  <c r="V683" i="6"/>
  <c r="W683" i="6"/>
  <c r="X683" i="6"/>
  <c r="N684" i="6"/>
  <c r="O684" i="6"/>
  <c r="P684" i="6"/>
  <c r="Q684" i="6"/>
  <c r="R684" i="6"/>
  <c r="S684" i="6"/>
  <c r="T684" i="6"/>
  <c r="U684" i="6"/>
  <c r="V684" i="6"/>
  <c r="W684" i="6"/>
  <c r="X684" i="6"/>
  <c r="N685" i="6"/>
  <c r="O685" i="6"/>
  <c r="P685" i="6"/>
  <c r="Q685" i="6"/>
  <c r="R685" i="6"/>
  <c r="S685" i="6"/>
  <c r="T685" i="6"/>
  <c r="U685" i="6"/>
  <c r="V685" i="6"/>
  <c r="W685" i="6"/>
  <c r="X685" i="6"/>
  <c r="N686" i="6"/>
  <c r="O686" i="6"/>
  <c r="P686" i="6"/>
  <c r="Q686" i="6"/>
  <c r="R686" i="6"/>
  <c r="S686" i="6"/>
  <c r="T686" i="6"/>
  <c r="U686" i="6"/>
  <c r="V686" i="6"/>
  <c r="W686" i="6"/>
  <c r="X686" i="6"/>
  <c r="N687" i="6"/>
  <c r="O687" i="6"/>
  <c r="P687" i="6"/>
  <c r="Q687" i="6"/>
  <c r="R687" i="6"/>
  <c r="S687" i="6"/>
  <c r="T687" i="6"/>
  <c r="U687" i="6"/>
  <c r="V687" i="6"/>
  <c r="W687" i="6"/>
  <c r="X687" i="6"/>
  <c r="N688" i="6"/>
  <c r="O688" i="6"/>
  <c r="P688" i="6"/>
  <c r="Q688" i="6"/>
  <c r="R688" i="6"/>
  <c r="S688" i="6"/>
  <c r="T688" i="6"/>
  <c r="U688" i="6"/>
  <c r="V688" i="6"/>
  <c r="W688" i="6"/>
  <c r="X688" i="6"/>
  <c r="N689" i="6"/>
  <c r="O689" i="6"/>
  <c r="P689" i="6"/>
  <c r="Q689" i="6"/>
  <c r="R689" i="6"/>
  <c r="S689" i="6"/>
  <c r="T689" i="6"/>
  <c r="U689" i="6"/>
  <c r="V689" i="6"/>
  <c r="W689" i="6"/>
  <c r="X689" i="6"/>
  <c r="N690" i="6"/>
  <c r="O690" i="6"/>
  <c r="P690" i="6"/>
  <c r="Q690" i="6"/>
  <c r="R690" i="6"/>
  <c r="S690" i="6"/>
  <c r="T690" i="6"/>
  <c r="U690" i="6"/>
  <c r="V690" i="6"/>
  <c r="W690" i="6"/>
  <c r="X690" i="6"/>
  <c r="N691" i="6"/>
  <c r="O691" i="6"/>
  <c r="P691" i="6"/>
  <c r="Q691" i="6"/>
  <c r="R691" i="6"/>
  <c r="S691" i="6"/>
  <c r="T691" i="6"/>
  <c r="U691" i="6"/>
  <c r="V691" i="6"/>
  <c r="W691" i="6"/>
  <c r="X691" i="6"/>
  <c r="N692" i="6"/>
  <c r="O692" i="6"/>
  <c r="P692" i="6"/>
  <c r="Q692" i="6"/>
  <c r="R692" i="6"/>
  <c r="S692" i="6"/>
  <c r="T692" i="6"/>
  <c r="U692" i="6"/>
  <c r="V692" i="6"/>
  <c r="W692" i="6"/>
  <c r="X692" i="6"/>
  <c r="N693" i="6"/>
  <c r="O693" i="6"/>
  <c r="P693" i="6"/>
  <c r="Q693" i="6"/>
  <c r="R693" i="6"/>
  <c r="S693" i="6"/>
  <c r="T693" i="6"/>
  <c r="U693" i="6"/>
  <c r="V693" i="6"/>
  <c r="W693" i="6"/>
  <c r="X693" i="6"/>
  <c r="N694" i="6"/>
  <c r="O694" i="6"/>
  <c r="P694" i="6"/>
  <c r="Q694" i="6"/>
  <c r="R694" i="6"/>
  <c r="S694" i="6"/>
  <c r="T694" i="6"/>
  <c r="U694" i="6"/>
  <c r="V694" i="6"/>
  <c r="W694" i="6"/>
  <c r="X694" i="6"/>
  <c r="N695" i="6"/>
  <c r="O695" i="6"/>
  <c r="P695" i="6"/>
  <c r="Q695" i="6"/>
  <c r="R695" i="6"/>
  <c r="S695" i="6"/>
  <c r="T695" i="6"/>
  <c r="U695" i="6"/>
  <c r="V695" i="6"/>
  <c r="W695" i="6"/>
  <c r="X695" i="6"/>
  <c r="N696" i="6"/>
  <c r="O696" i="6"/>
  <c r="P696" i="6"/>
  <c r="Q696" i="6"/>
  <c r="R696" i="6"/>
  <c r="S696" i="6"/>
  <c r="T696" i="6"/>
  <c r="U696" i="6"/>
  <c r="V696" i="6"/>
  <c r="W696" i="6"/>
  <c r="X696" i="6"/>
  <c r="N697" i="6"/>
  <c r="O697" i="6"/>
  <c r="P697" i="6"/>
  <c r="Q697" i="6"/>
  <c r="R697" i="6"/>
  <c r="S697" i="6"/>
  <c r="T697" i="6"/>
  <c r="U697" i="6"/>
  <c r="V697" i="6"/>
  <c r="W697" i="6"/>
  <c r="X697" i="6"/>
  <c r="N698" i="6"/>
  <c r="O698" i="6"/>
  <c r="P698" i="6"/>
  <c r="Q698" i="6"/>
  <c r="R698" i="6"/>
  <c r="S698" i="6"/>
  <c r="T698" i="6"/>
  <c r="U698" i="6"/>
  <c r="V698" i="6"/>
  <c r="W698" i="6"/>
  <c r="X698" i="6"/>
  <c r="N699" i="6"/>
  <c r="O699" i="6"/>
  <c r="P699" i="6"/>
  <c r="Q699" i="6"/>
  <c r="R699" i="6"/>
  <c r="S699" i="6"/>
  <c r="T699" i="6"/>
  <c r="U699" i="6"/>
  <c r="V699" i="6"/>
  <c r="W699" i="6"/>
  <c r="X699" i="6"/>
  <c r="N700" i="6"/>
  <c r="O700" i="6"/>
  <c r="P700" i="6"/>
  <c r="Q700" i="6"/>
  <c r="R700" i="6"/>
  <c r="S700" i="6"/>
  <c r="T700" i="6"/>
  <c r="U700" i="6"/>
  <c r="V700" i="6"/>
  <c r="W700" i="6"/>
  <c r="X700" i="6"/>
  <c r="N701" i="6"/>
  <c r="O701" i="6"/>
  <c r="P701" i="6"/>
  <c r="Q701" i="6"/>
  <c r="R701" i="6"/>
  <c r="S701" i="6"/>
  <c r="T701" i="6"/>
  <c r="U701" i="6"/>
  <c r="V701" i="6"/>
  <c r="W701" i="6"/>
  <c r="X701" i="6"/>
  <c r="N702" i="6"/>
  <c r="O702" i="6"/>
  <c r="P702" i="6"/>
  <c r="Q702" i="6"/>
  <c r="R702" i="6"/>
  <c r="S702" i="6"/>
  <c r="T702" i="6"/>
  <c r="U702" i="6"/>
  <c r="V702" i="6"/>
  <c r="W702" i="6"/>
  <c r="X702" i="6"/>
  <c r="N703" i="6"/>
  <c r="O703" i="6"/>
  <c r="P703" i="6"/>
  <c r="Q703" i="6"/>
  <c r="R703" i="6"/>
  <c r="S703" i="6"/>
  <c r="T703" i="6"/>
  <c r="U703" i="6"/>
  <c r="V703" i="6"/>
  <c r="W703" i="6"/>
  <c r="X703" i="6"/>
  <c r="N704" i="6"/>
  <c r="O704" i="6"/>
  <c r="P704" i="6"/>
  <c r="Q704" i="6"/>
  <c r="R704" i="6"/>
  <c r="S704" i="6"/>
  <c r="T704" i="6"/>
  <c r="U704" i="6"/>
  <c r="V704" i="6"/>
  <c r="W704" i="6"/>
  <c r="X704" i="6"/>
  <c r="N705" i="6"/>
  <c r="O705" i="6"/>
  <c r="P705" i="6"/>
  <c r="Q705" i="6"/>
  <c r="R705" i="6"/>
  <c r="S705" i="6"/>
  <c r="T705" i="6"/>
  <c r="U705" i="6"/>
  <c r="V705" i="6"/>
  <c r="W705" i="6"/>
  <c r="X705" i="6"/>
  <c r="N706" i="6"/>
  <c r="O706" i="6"/>
  <c r="P706" i="6"/>
  <c r="Q706" i="6"/>
  <c r="R706" i="6"/>
  <c r="S706" i="6"/>
  <c r="T706" i="6"/>
  <c r="U706" i="6"/>
  <c r="V706" i="6"/>
  <c r="W706" i="6"/>
  <c r="X706" i="6"/>
  <c r="N707" i="6"/>
  <c r="O707" i="6"/>
  <c r="P707" i="6"/>
  <c r="Q707" i="6"/>
  <c r="R707" i="6"/>
  <c r="S707" i="6"/>
  <c r="T707" i="6"/>
  <c r="U707" i="6"/>
  <c r="V707" i="6"/>
  <c r="W707" i="6"/>
  <c r="X707" i="6"/>
  <c r="N708" i="6"/>
  <c r="O708" i="6"/>
  <c r="P708" i="6"/>
  <c r="Q708" i="6"/>
  <c r="R708" i="6"/>
  <c r="S708" i="6"/>
  <c r="T708" i="6"/>
  <c r="U708" i="6"/>
  <c r="V708" i="6"/>
  <c r="W708" i="6"/>
  <c r="X708" i="6"/>
  <c r="N709" i="6"/>
  <c r="O709" i="6"/>
  <c r="P709" i="6"/>
  <c r="Q709" i="6"/>
  <c r="R709" i="6"/>
  <c r="S709" i="6"/>
  <c r="T709" i="6"/>
  <c r="U709" i="6"/>
  <c r="V709" i="6"/>
  <c r="W709" i="6"/>
  <c r="X709" i="6"/>
  <c r="N710" i="6"/>
  <c r="O710" i="6"/>
  <c r="P710" i="6"/>
  <c r="Q710" i="6"/>
  <c r="R710" i="6"/>
  <c r="S710" i="6"/>
  <c r="T710" i="6"/>
  <c r="U710" i="6"/>
  <c r="V710" i="6"/>
  <c r="W710" i="6"/>
  <c r="X710" i="6"/>
  <c r="N711" i="6"/>
  <c r="O711" i="6"/>
  <c r="P711" i="6"/>
  <c r="Q711" i="6"/>
  <c r="R711" i="6"/>
  <c r="S711" i="6"/>
  <c r="T711" i="6"/>
  <c r="U711" i="6"/>
  <c r="V711" i="6"/>
  <c r="W711" i="6"/>
  <c r="X711" i="6"/>
  <c r="N712" i="6"/>
  <c r="O712" i="6"/>
  <c r="P712" i="6"/>
  <c r="Q712" i="6"/>
  <c r="R712" i="6"/>
  <c r="S712" i="6"/>
  <c r="T712" i="6"/>
  <c r="U712" i="6"/>
  <c r="V712" i="6"/>
  <c r="W712" i="6"/>
  <c r="X712" i="6"/>
  <c r="N713" i="6"/>
  <c r="O713" i="6"/>
  <c r="P713" i="6"/>
  <c r="Q713" i="6"/>
  <c r="R713" i="6"/>
  <c r="S713" i="6"/>
  <c r="T713" i="6"/>
  <c r="U713" i="6"/>
  <c r="V713" i="6"/>
  <c r="W713" i="6"/>
  <c r="X713" i="6"/>
  <c r="N714" i="6"/>
  <c r="O714" i="6"/>
  <c r="P714" i="6"/>
  <c r="Q714" i="6"/>
  <c r="R714" i="6"/>
  <c r="S714" i="6"/>
  <c r="T714" i="6"/>
  <c r="U714" i="6"/>
  <c r="V714" i="6"/>
  <c r="W714" i="6"/>
  <c r="X714" i="6"/>
  <c r="N715" i="6"/>
  <c r="O715" i="6"/>
  <c r="P715" i="6"/>
  <c r="Q715" i="6"/>
  <c r="R715" i="6"/>
  <c r="S715" i="6"/>
  <c r="T715" i="6"/>
  <c r="U715" i="6"/>
  <c r="V715" i="6"/>
  <c r="W715" i="6"/>
  <c r="X715" i="6"/>
  <c r="N716" i="6"/>
  <c r="O716" i="6"/>
  <c r="P716" i="6"/>
  <c r="Q716" i="6"/>
  <c r="R716" i="6"/>
  <c r="S716" i="6"/>
  <c r="T716" i="6"/>
  <c r="U716" i="6"/>
  <c r="V716" i="6"/>
  <c r="W716" i="6"/>
  <c r="X716" i="6"/>
  <c r="N717" i="6"/>
  <c r="O717" i="6"/>
  <c r="P717" i="6"/>
  <c r="Q717" i="6"/>
  <c r="R717" i="6"/>
  <c r="S717" i="6"/>
  <c r="T717" i="6"/>
  <c r="U717" i="6"/>
  <c r="V717" i="6"/>
  <c r="W717" i="6"/>
  <c r="X717" i="6"/>
  <c r="N718" i="6"/>
  <c r="O718" i="6"/>
  <c r="P718" i="6"/>
  <c r="Q718" i="6"/>
  <c r="R718" i="6"/>
  <c r="S718" i="6"/>
  <c r="T718" i="6"/>
  <c r="U718" i="6"/>
  <c r="V718" i="6"/>
  <c r="W718" i="6"/>
  <c r="X718" i="6"/>
  <c r="N719" i="6"/>
  <c r="O719" i="6"/>
  <c r="P719" i="6"/>
  <c r="Q719" i="6"/>
  <c r="R719" i="6"/>
  <c r="S719" i="6"/>
  <c r="T719" i="6"/>
  <c r="U719" i="6"/>
  <c r="V719" i="6"/>
  <c r="W719" i="6"/>
  <c r="X719" i="6"/>
  <c r="N720" i="6"/>
  <c r="O720" i="6"/>
  <c r="P720" i="6"/>
  <c r="Q720" i="6"/>
  <c r="R720" i="6"/>
  <c r="S720" i="6"/>
  <c r="T720" i="6"/>
  <c r="U720" i="6"/>
  <c r="V720" i="6"/>
  <c r="W720" i="6"/>
  <c r="X720" i="6"/>
  <c r="N721" i="6"/>
  <c r="O721" i="6"/>
  <c r="P721" i="6"/>
  <c r="Q721" i="6"/>
  <c r="R721" i="6"/>
  <c r="S721" i="6"/>
  <c r="T721" i="6"/>
  <c r="U721" i="6"/>
  <c r="V721" i="6"/>
  <c r="W721" i="6"/>
  <c r="X721" i="6"/>
  <c r="N722" i="6"/>
  <c r="O722" i="6"/>
  <c r="P722" i="6"/>
  <c r="Q722" i="6"/>
  <c r="R722" i="6"/>
  <c r="S722" i="6"/>
  <c r="T722" i="6"/>
  <c r="U722" i="6"/>
  <c r="V722" i="6"/>
  <c r="W722" i="6"/>
  <c r="X722" i="6"/>
  <c r="N723" i="6"/>
  <c r="O723" i="6"/>
  <c r="P723" i="6"/>
  <c r="Q723" i="6"/>
  <c r="R723" i="6"/>
  <c r="S723" i="6"/>
  <c r="T723" i="6"/>
  <c r="U723" i="6"/>
  <c r="V723" i="6"/>
  <c r="W723" i="6"/>
  <c r="X723" i="6"/>
  <c r="N724" i="6"/>
  <c r="O724" i="6"/>
  <c r="P724" i="6"/>
  <c r="Q724" i="6"/>
  <c r="R724" i="6"/>
  <c r="S724" i="6"/>
  <c r="T724" i="6"/>
  <c r="U724" i="6"/>
  <c r="V724" i="6"/>
  <c r="W724" i="6"/>
  <c r="X724" i="6"/>
  <c r="N725" i="6"/>
  <c r="O725" i="6"/>
  <c r="P725" i="6"/>
  <c r="Q725" i="6"/>
  <c r="R725" i="6"/>
  <c r="S725" i="6"/>
  <c r="T725" i="6"/>
  <c r="U725" i="6"/>
  <c r="V725" i="6"/>
  <c r="W725" i="6"/>
  <c r="X725" i="6"/>
  <c r="N726" i="6"/>
  <c r="O726" i="6"/>
  <c r="P726" i="6"/>
  <c r="Q726" i="6"/>
  <c r="R726" i="6"/>
  <c r="S726" i="6"/>
  <c r="T726" i="6"/>
  <c r="U726" i="6"/>
  <c r="V726" i="6"/>
  <c r="W726" i="6"/>
  <c r="X726" i="6"/>
  <c r="N727" i="6"/>
  <c r="O727" i="6"/>
  <c r="P727" i="6"/>
  <c r="Q727" i="6"/>
  <c r="R727" i="6"/>
  <c r="S727" i="6"/>
  <c r="T727" i="6"/>
  <c r="U727" i="6"/>
  <c r="V727" i="6"/>
  <c r="W727" i="6"/>
  <c r="X727" i="6"/>
  <c r="N728" i="6"/>
  <c r="O728" i="6"/>
  <c r="P728" i="6"/>
  <c r="Q728" i="6"/>
  <c r="R728" i="6"/>
  <c r="S728" i="6"/>
  <c r="T728" i="6"/>
  <c r="U728" i="6"/>
  <c r="V728" i="6"/>
  <c r="W728" i="6"/>
  <c r="X728" i="6"/>
  <c r="N729" i="6"/>
  <c r="O729" i="6"/>
  <c r="P729" i="6"/>
  <c r="Q729" i="6"/>
  <c r="R729" i="6"/>
  <c r="S729" i="6"/>
  <c r="T729" i="6"/>
  <c r="U729" i="6"/>
  <c r="V729" i="6"/>
  <c r="W729" i="6"/>
  <c r="X729" i="6"/>
  <c r="N730" i="6"/>
  <c r="O730" i="6"/>
  <c r="P730" i="6"/>
  <c r="Q730" i="6"/>
  <c r="R730" i="6"/>
  <c r="S730" i="6"/>
  <c r="T730" i="6"/>
  <c r="U730" i="6"/>
  <c r="V730" i="6"/>
  <c r="W730" i="6"/>
  <c r="X730" i="6"/>
  <c r="N731" i="6"/>
  <c r="O731" i="6"/>
  <c r="P731" i="6"/>
  <c r="Q731" i="6"/>
  <c r="R731" i="6"/>
  <c r="S731" i="6"/>
  <c r="T731" i="6"/>
  <c r="U731" i="6"/>
  <c r="V731" i="6"/>
  <c r="W731" i="6"/>
  <c r="X731" i="6"/>
  <c r="N732" i="6"/>
  <c r="O732" i="6"/>
  <c r="P732" i="6"/>
  <c r="Q732" i="6"/>
  <c r="R732" i="6"/>
  <c r="S732" i="6"/>
  <c r="T732" i="6"/>
  <c r="U732" i="6"/>
  <c r="V732" i="6"/>
  <c r="W732" i="6"/>
  <c r="X732" i="6"/>
  <c r="N733" i="6"/>
  <c r="O733" i="6"/>
  <c r="P733" i="6"/>
  <c r="Q733" i="6"/>
  <c r="R733" i="6"/>
  <c r="S733" i="6"/>
  <c r="T733" i="6"/>
  <c r="U733" i="6"/>
  <c r="V733" i="6"/>
  <c r="W733" i="6"/>
  <c r="X733" i="6"/>
  <c r="N734" i="6"/>
  <c r="O734" i="6"/>
  <c r="P734" i="6"/>
  <c r="Q734" i="6"/>
  <c r="R734" i="6"/>
  <c r="S734" i="6"/>
  <c r="T734" i="6"/>
  <c r="U734" i="6"/>
  <c r="V734" i="6"/>
  <c r="W734" i="6"/>
  <c r="X734" i="6"/>
  <c r="N735" i="6"/>
  <c r="O735" i="6"/>
  <c r="P735" i="6"/>
  <c r="Q735" i="6"/>
  <c r="R735" i="6"/>
  <c r="S735" i="6"/>
  <c r="T735" i="6"/>
  <c r="U735" i="6"/>
  <c r="V735" i="6"/>
  <c r="W735" i="6"/>
  <c r="X735" i="6"/>
  <c r="N736" i="6"/>
  <c r="O736" i="6"/>
  <c r="P736" i="6"/>
  <c r="Q736" i="6"/>
  <c r="R736" i="6"/>
  <c r="S736" i="6"/>
  <c r="T736" i="6"/>
  <c r="U736" i="6"/>
  <c r="V736" i="6"/>
  <c r="W736" i="6"/>
  <c r="X736" i="6"/>
  <c r="N737" i="6"/>
  <c r="O737" i="6"/>
  <c r="P737" i="6"/>
  <c r="Q737" i="6"/>
  <c r="R737" i="6"/>
  <c r="S737" i="6"/>
  <c r="T737" i="6"/>
  <c r="U737" i="6"/>
  <c r="V737" i="6"/>
  <c r="W737" i="6"/>
  <c r="X737" i="6"/>
  <c r="N738" i="6"/>
  <c r="O738" i="6"/>
  <c r="P738" i="6"/>
  <c r="Q738" i="6"/>
  <c r="R738" i="6"/>
  <c r="S738" i="6"/>
  <c r="T738" i="6"/>
  <c r="U738" i="6"/>
  <c r="V738" i="6"/>
  <c r="W738" i="6"/>
  <c r="X738" i="6"/>
  <c r="N739" i="6"/>
  <c r="O739" i="6"/>
  <c r="P739" i="6"/>
  <c r="Q739" i="6"/>
  <c r="R739" i="6"/>
  <c r="S739" i="6"/>
  <c r="T739" i="6"/>
  <c r="U739" i="6"/>
  <c r="V739" i="6"/>
  <c r="W739" i="6"/>
  <c r="X739" i="6"/>
  <c r="N740" i="6"/>
  <c r="O740" i="6"/>
  <c r="P740" i="6"/>
  <c r="Q740" i="6"/>
  <c r="R740" i="6"/>
  <c r="S740" i="6"/>
  <c r="T740" i="6"/>
  <c r="U740" i="6"/>
  <c r="V740" i="6"/>
  <c r="W740" i="6"/>
  <c r="X740" i="6"/>
  <c r="N741" i="6"/>
  <c r="O741" i="6"/>
  <c r="P741" i="6"/>
  <c r="Q741" i="6"/>
  <c r="R741" i="6"/>
  <c r="S741" i="6"/>
  <c r="T741" i="6"/>
  <c r="U741" i="6"/>
  <c r="V741" i="6"/>
  <c r="W741" i="6"/>
  <c r="X741" i="6"/>
  <c r="N742" i="6"/>
  <c r="O742" i="6"/>
  <c r="P742" i="6"/>
  <c r="Q742" i="6"/>
  <c r="R742" i="6"/>
  <c r="S742" i="6"/>
  <c r="T742" i="6"/>
  <c r="U742" i="6"/>
  <c r="V742" i="6"/>
  <c r="W742" i="6"/>
  <c r="X742" i="6"/>
  <c r="N743" i="6"/>
  <c r="O743" i="6"/>
  <c r="P743" i="6"/>
  <c r="Q743" i="6"/>
  <c r="R743" i="6"/>
  <c r="S743" i="6"/>
  <c r="T743" i="6"/>
  <c r="U743" i="6"/>
  <c r="V743" i="6"/>
  <c r="W743" i="6"/>
  <c r="X743" i="6"/>
  <c r="N744" i="6"/>
  <c r="O744" i="6"/>
  <c r="P744" i="6"/>
  <c r="Q744" i="6"/>
  <c r="R744" i="6"/>
  <c r="S744" i="6"/>
  <c r="T744" i="6"/>
  <c r="U744" i="6"/>
  <c r="V744" i="6"/>
  <c r="W744" i="6"/>
  <c r="X744" i="6"/>
  <c r="N745" i="6"/>
  <c r="O745" i="6"/>
  <c r="P745" i="6"/>
  <c r="Q745" i="6"/>
  <c r="R745" i="6"/>
  <c r="S745" i="6"/>
  <c r="T745" i="6"/>
  <c r="U745" i="6"/>
  <c r="V745" i="6"/>
  <c r="W745" i="6"/>
  <c r="X745" i="6"/>
  <c r="N746" i="6"/>
  <c r="O746" i="6"/>
  <c r="P746" i="6"/>
  <c r="Q746" i="6"/>
  <c r="R746" i="6"/>
  <c r="S746" i="6"/>
  <c r="T746" i="6"/>
  <c r="U746" i="6"/>
  <c r="V746" i="6"/>
  <c r="W746" i="6"/>
  <c r="X746" i="6"/>
  <c r="N747" i="6"/>
  <c r="O747" i="6"/>
  <c r="P747" i="6"/>
  <c r="Q747" i="6"/>
  <c r="R747" i="6"/>
  <c r="S747" i="6"/>
  <c r="T747" i="6"/>
  <c r="U747" i="6"/>
  <c r="V747" i="6"/>
  <c r="W747" i="6"/>
  <c r="X747" i="6"/>
  <c r="N748" i="6"/>
  <c r="O748" i="6"/>
  <c r="P748" i="6"/>
  <c r="Q748" i="6"/>
  <c r="R748" i="6"/>
  <c r="S748" i="6"/>
  <c r="T748" i="6"/>
  <c r="U748" i="6"/>
  <c r="V748" i="6"/>
  <c r="W748" i="6"/>
  <c r="X748" i="6"/>
  <c r="N749" i="6"/>
  <c r="O749" i="6"/>
  <c r="P749" i="6"/>
  <c r="Q749" i="6"/>
  <c r="R749" i="6"/>
  <c r="S749" i="6"/>
  <c r="T749" i="6"/>
  <c r="U749" i="6"/>
  <c r="V749" i="6"/>
  <c r="W749" i="6"/>
  <c r="X749" i="6"/>
  <c r="N750" i="6"/>
  <c r="O750" i="6"/>
  <c r="P750" i="6"/>
  <c r="Q750" i="6"/>
  <c r="R750" i="6"/>
  <c r="S750" i="6"/>
  <c r="T750" i="6"/>
  <c r="U750" i="6"/>
  <c r="V750" i="6"/>
  <c r="W750" i="6"/>
  <c r="X750" i="6"/>
  <c r="N751" i="6"/>
  <c r="O751" i="6"/>
  <c r="P751" i="6"/>
  <c r="Q751" i="6"/>
  <c r="R751" i="6"/>
  <c r="S751" i="6"/>
  <c r="T751" i="6"/>
  <c r="U751" i="6"/>
  <c r="V751" i="6"/>
  <c r="W751" i="6"/>
  <c r="X751" i="6"/>
  <c r="N752" i="6"/>
  <c r="O752" i="6"/>
  <c r="P752" i="6"/>
  <c r="Q752" i="6"/>
  <c r="R752" i="6"/>
  <c r="S752" i="6"/>
  <c r="T752" i="6"/>
  <c r="U752" i="6"/>
  <c r="V752" i="6"/>
  <c r="W752" i="6"/>
  <c r="X752" i="6"/>
  <c r="N753" i="6"/>
  <c r="O753" i="6"/>
  <c r="P753" i="6"/>
  <c r="Q753" i="6"/>
  <c r="R753" i="6"/>
  <c r="S753" i="6"/>
  <c r="T753" i="6"/>
  <c r="U753" i="6"/>
  <c r="V753" i="6"/>
  <c r="W753" i="6"/>
  <c r="X753" i="6"/>
  <c r="N754" i="6"/>
  <c r="O754" i="6"/>
  <c r="P754" i="6"/>
  <c r="Q754" i="6"/>
  <c r="R754" i="6"/>
  <c r="S754" i="6"/>
  <c r="T754" i="6"/>
  <c r="U754" i="6"/>
  <c r="V754" i="6"/>
  <c r="W754" i="6"/>
  <c r="X754" i="6"/>
  <c r="N755" i="6"/>
  <c r="O755" i="6"/>
  <c r="P755" i="6"/>
  <c r="Q755" i="6"/>
  <c r="R755" i="6"/>
  <c r="S755" i="6"/>
  <c r="T755" i="6"/>
  <c r="U755" i="6"/>
  <c r="V755" i="6"/>
  <c r="W755" i="6"/>
  <c r="X755" i="6"/>
  <c r="N756" i="6"/>
  <c r="O756" i="6"/>
  <c r="P756" i="6"/>
  <c r="Q756" i="6"/>
  <c r="R756" i="6"/>
  <c r="S756" i="6"/>
  <c r="T756" i="6"/>
  <c r="U756" i="6"/>
  <c r="V756" i="6"/>
  <c r="W756" i="6"/>
  <c r="X756" i="6"/>
  <c r="N757" i="6"/>
  <c r="O757" i="6"/>
  <c r="P757" i="6"/>
  <c r="Q757" i="6"/>
  <c r="R757" i="6"/>
  <c r="S757" i="6"/>
  <c r="T757" i="6"/>
  <c r="U757" i="6"/>
  <c r="V757" i="6"/>
  <c r="W757" i="6"/>
  <c r="X757" i="6"/>
  <c r="N758" i="6"/>
  <c r="O758" i="6"/>
  <c r="P758" i="6"/>
  <c r="Q758" i="6"/>
  <c r="R758" i="6"/>
  <c r="S758" i="6"/>
  <c r="T758" i="6"/>
  <c r="U758" i="6"/>
  <c r="V758" i="6"/>
  <c r="W758" i="6"/>
  <c r="X758" i="6"/>
  <c r="N759" i="6"/>
  <c r="O759" i="6"/>
  <c r="P759" i="6"/>
  <c r="Q759" i="6"/>
  <c r="R759" i="6"/>
  <c r="S759" i="6"/>
  <c r="T759" i="6"/>
  <c r="U759" i="6"/>
  <c r="V759" i="6"/>
  <c r="W759" i="6"/>
  <c r="X759" i="6"/>
  <c r="N760" i="6"/>
  <c r="O760" i="6"/>
  <c r="P760" i="6"/>
  <c r="Q760" i="6"/>
  <c r="R760" i="6"/>
  <c r="S760" i="6"/>
  <c r="T760" i="6"/>
  <c r="U760" i="6"/>
  <c r="V760" i="6"/>
  <c r="W760" i="6"/>
  <c r="X760" i="6"/>
  <c r="N761" i="6"/>
  <c r="O761" i="6"/>
  <c r="P761" i="6"/>
  <c r="Q761" i="6"/>
  <c r="R761" i="6"/>
  <c r="S761" i="6"/>
  <c r="T761" i="6"/>
  <c r="U761" i="6"/>
  <c r="V761" i="6"/>
  <c r="W761" i="6"/>
  <c r="X761" i="6"/>
  <c r="N762" i="6"/>
  <c r="O762" i="6"/>
  <c r="P762" i="6"/>
  <c r="Q762" i="6"/>
  <c r="R762" i="6"/>
  <c r="S762" i="6"/>
  <c r="T762" i="6"/>
  <c r="U762" i="6"/>
  <c r="V762" i="6"/>
  <c r="W762" i="6"/>
  <c r="X762" i="6"/>
  <c r="N763" i="6"/>
  <c r="O763" i="6"/>
  <c r="P763" i="6"/>
  <c r="Q763" i="6"/>
  <c r="R763" i="6"/>
  <c r="S763" i="6"/>
  <c r="T763" i="6"/>
  <c r="U763" i="6"/>
  <c r="V763" i="6"/>
  <c r="W763" i="6"/>
  <c r="X763" i="6"/>
  <c r="N764" i="6"/>
  <c r="O764" i="6"/>
  <c r="P764" i="6"/>
  <c r="Q764" i="6"/>
  <c r="R764" i="6"/>
  <c r="S764" i="6"/>
  <c r="T764" i="6"/>
  <c r="U764" i="6"/>
  <c r="V764" i="6"/>
  <c r="W764" i="6"/>
  <c r="X764" i="6"/>
  <c r="N765" i="6"/>
  <c r="O765" i="6"/>
  <c r="P765" i="6"/>
  <c r="Q765" i="6"/>
  <c r="R765" i="6"/>
  <c r="S765" i="6"/>
  <c r="T765" i="6"/>
  <c r="U765" i="6"/>
  <c r="V765" i="6"/>
  <c r="W765" i="6"/>
  <c r="X765" i="6"/>
  <c r="N766" i="6"/>
  <c r="O766" i="6"/>
  <c r="P766" i="6"/>
  <c r="Q766" i="6"/>
  <c r="R766" i="6"/>
  <c r="S766" i="6"/>
  <c r="T766" i="6"/>
  <c r="U766" i="6"/>
  <c r="V766" i="6"/>
  <c r="W766" i="6"/>
  <c r="X766" i="6"/>
  <c r="N767" i="6"/>
  <c r="O767" i="6"/>
  <c r="P767" i="6"/>
  <c r="Q767" i="6"/>
  <c r="R767" i="6"/>
  <c r="S767" i="6"/>
  <c r="T767" i="6"/>
  <c r="U767" i="6"/>
  <c r="V767" i="6"/>
  <c r="W767" i="6"/>
  <c r="X767" i="6"/>
  <c r="N768" i="6"/>
  <c r="O768" i="6"/>
  <c r="P768" i="6"/>
  <c r="Q768" i="6"/>
  <c r="R768" i="6"/>
  <c r="S768" i="6"/>
  <c r="T768" i="6"/>
  <c r="U768" i="6"/>
  <c r="V768" i="6"/>
  <c r="W768" i="6"/>
  <c r="X768" i="6"/>
  <c r="N769" i="6"/>
  <c r="O769" i="6"/>
  <c r="P769" i="6"/>
  <c r="Q769" i="6"/>
  <c r="R769" i="6"/>
  <c r="S769" i="6"/>
  <c r="T769" i="6"/>
  <c r="U769" i="6"/>
  <c r="V769" i="6"/>
  <c r="W769" i="6"/>
  <c r="X769" i="6"/>
  <c r="N770" i="6"/>
  <c r="O770" i="6"/>
  <c r="P770" i="6"/>
  <c r="Q770" i="6"/>
  <c r="R770" i="6"/>
  <c r="S770" i="6"/>
  <c r="T770" i="6"/>
  <c r="U770" i="6"/>
  <c r="V770" i="6"/>
  <c r="W770" i="6"/>
  <c r="X770" i="6"/>
  <c r="N771" i="6"/>
  <c r="O771" i="6"/>
  <c r="P771" i="6"/>
  <c r="Q771" i="6"/>
  <c r="R771" i="6"/>
  <c r="S771" i="6"/>
  <c r="T771" i="6"/>
  <c r="U771" i="6"/>
  <c r="V771" i="6"/>
  <c r="W771" i="6"/>
  <c r="X771" i="6"/>
  <c r="N772" i="6"/>
  <c r="O772" i="6"/>
  <c r="P772" i="6"/>
  <c r="Q772" i="6"/>
  <c r="R772" i="6"/>
  <c r="S772" i="6"/>
  <c r="T772" i="6"/>
  <c r="U772" i="6"/>
  <c r="V772" i="6"/>
  <c r="W772" i="6"/>
  <c r="X772" i="6"/>
  <c r="N773" i="6"/>
  <c r="O773" i="6"/>
  <c r="P773" i="6"/>
  <c r="Q773" i="6"/>
  <c r="R773" i="6"/>
  <c r="S773" i="6"/>
  <c r="T773" i="6"/>
  <c r="U773" i="6"/>
  <c r="V773" i="6"/>
  <c r="W773" i="6"/>
  <c r="X773" i="6"/>
  <c r="N774" i="6"/>
  <c r="O774" i="6"/>
  <c r="P774" i="6"/>
  <c r="Q774" i="6"/>
  <c r="R774" i="6"/>
  <c r="S774" i="6"/>
  <c r="T774" i="6"/>
  <c r="U774" i="6"/>
  <c r="V774" i="6"/>
  <c r="W774" i="6"/>
  <c r="X774" i="6"/>
  <c r="N775" i="6"/>
  <c r="O775" i="6"/>
  <c r="P775" i="6"/>
  <c r="Q775" i="6"/>
  <c r="R775" i="6"/>
  <c r="S775" i="6"/>
  <c r="T775" i="6"/>
  <c r="U775" i="6"/>
  <c r="V775" i="6"/>
  <c r="W775" i="6"/>
  <c r="X775" i="6"/>
  <c r="N776" i="6"/>
  <c r="O776" i="6"/>
  <c r="P776" i="6"/>
  <c r="Q776" i="6"/>
  <c r="R776" i="6"/>
  <c r="S776" i="6"/>
  <c r="T776" i="6"/>
  <c r="U776" i="6"/>
  <c r="V776" i="6"/>
  <c r="W776" i="6"/>
  <c r="X776" i="6"/>
  <c r="N777" i="6"/>
  <c r="O777" i="6"/>
  <c r="P777" i="6"/>
  <c r="Q777" i="6"/>
  <c r="R777" i="6"/>
  <c r="S777" i="6"/>
  <c r="T777" i="6"/>
  <c r="U777" i="6"/>
  <c r="V777" i="6"/>
  <c r="W777" i="6"/>
  <c r="X777" i="6"/>
  <c r="N778" i="6"/>
  <c r="O778" i="6"/>
  <c r="P778" i="6"/>
  <c r="Q778" i="6"/>
  <c r="R778" i="6"/>
  <c r="S778" i="6"/>
  <c r="T778" i="6"/>
  <c r="U778" i="6"/>
  <c r="V778" i="6"/>
  <c r="W778" i="6"/>
  <c r="X778" i="6"/>
  <c r="N779" i="6"/>
  <c r="O779" i="6"/>
  <c r="P779" i="6"/>
  <c r="Q779" i="6"/>
  <c r="R779" i="6"/>
  <c r="S779" i="6"/>
  <c r="T779" i="6"/>
  <c r="U779" i="6"/>
  <c r="V779" i="6"/>
  <c r="W779" i="6"/>
  <c r="X779" i="6"/>
  <c r="N780" i="6"/>
  <c r="O780" i="6"/>
  <c r="P780" i="6"/>
  <c r="Q780" i="6"/>
  <c r="R780" i="6"/>
  <c r="S780" i="6"/>
  <c r="T780" i="6"/>
  <c r="U780" i="6"/>
  <c r="V780" i="6"/>
  <c r="W780" i="6"/>
  <c r="X780" i="6"/>
  <c r="N781" i="6"/>
  <c r="O781" i="6"/>
  <c r="P781" i="6"/>
  <c r="Q781" i="6"/>
  <c r="R781" i="6"/>
  <c r="S781" i="6"/>
  <c r="T781" i="6"/>
  <c r="U781" i="6"/>
  <c r="V781" i="6"/>
  <c r="W781" i="6"/>
  <c r="X781" i="6"/>
  <c r="N782" i="6"/>
  <c r="O782" i="6"/>
  <c r="P782" i="6"/>
  <c r="Q782" i="6"/>
  <c r="R782" i="6"/>
  <c r="S782" i="6"/>
  <c r="T782" i="6"/>
  <c r="U782" i="6"/>
  <c r="V782" i="6"/>
  <c r="W782" i="6"/>
  <c r="X782" i="6"/>
  <c r="N783" i="6"/>
  <c r="O783" i="6"/>
  <c r="P783" i="6"/>
  <c r="Q783" i="6"/>
  <c r="R783" i="6"/>
  <c r="S783" i="6"/>
  <c r="T783" i="6"/>
  <c r="U783" i="6"/>
  <c r="V783" i="6"/>
  <c r="W783" i="6"/>
  <c r="X783" i="6"/>
  <c r="N784" i="6"/>
  <c r="O784" i="6"/>
  <c r="P784" i="6"/>
  <c r="Q784" i="6"/>
  <c r="R784" i="6"/>
  <c r="S784" i="6"/>
  <c r="T784" i="6"/>
  <c r="U784" i="6"/>
  <c r="V784" i="6"/>
  <c r="W784" i="6"/>
  <c r="X784" i="6"/>
  <c r="N785" i="6"/>
  <c r="O785" i="6"/>
  <c r="P785" i="6"/>
  <c r="Q785" i="6"/>
  <c r="R785" i="6"/>
  <c r="S785" i="6"/>
  <c r="T785" i="6"/>
  <c r="U785" i="6"/>
  <c r="V785" i="6"/>
  <c r="W785" i="6"/>
  <c r="X785" i="6"/>
  <c r="N786" i="6"/>
  <c r="O786" i="6"/>
  <c r="P786" i="6"/>
  <c r="Q786" i="6"/>
  <c r="R786" i="6"/>
  <c r="S786" i="6"/>
  <c r="T786" i="6"/>
  <c r="U786" i="6"/>
  <c r="V786" i="6"/>
  <c r="W786" i="6"/>
  <c r="X786" i="6"/>
  <c r="N787" i="6"/>
  <c r="O787" i="6"/>
  <c r="P787" i="6"/>
  <c r="Q787" i="6"/>
  <c r="R787" i="6"/>
  <c r="S787" i="6"/>
  <c r="T787" i="6"/>
  <c r="U787" i="6"/>
  <c r="V787" i="6"/>
  <c r="W787" i="6"/>
  <c r="X787" i="6"/>
  <c r="N788" i="6"/>
  <c r="O788" i="6"/>
  <c r="P788" i="6"/>
  <c r="Q788" i="6"/>
  <c r="R788" i="6"/>
  <c r="S788" i="6"/>
  <c r="T788" i="6"/>
  <c r="U788" i="6"/>
  <c r="V788" i="6"/>
  <c r="W788" i="6"/>
  <c r="X788" i="6"/>
  <c r="N789" i="6"/>
  <c r="O789" i="6"/>
  <c r="P789" i="6"/>
  <c r="Q789" i="6"/>
  <c r="R789" i="6"/>
  <c r="S789" i="6"/>
  <c r="T789" i="6"/>
  <c r="U789" i="6"/>
  <c r="V789" i="6"/>
  <c r="W789" i="6"/>
  <c r="X789" i="6"/>
  <c r="N790" i="6"/>
  <c r="O790" i="6"/>
  <c r="P790" i="6"/>
  <c r="Q790" i="6"/>
  <c r="R790" i="6"/>
  <c r="S790" i="6"/>
  <c r="T790" i="6"/>
  <c r="U790" i="6"/>
  <c r="V790" i="6"/>
  <c r="W790" i="6"/>
  <c r="X790" i="6"/>
  <c r="N791" i="6"/>
  <c r="O791" i="6"/>
  <c r="P791" i="6"/>
  <c r="Q791" i="6"/>
  <c r="R791" i="6"/>
  <c r="S791" i="6"/>
  <c r="T791" i="6"/>
  <c r="U791" i="6"/>
  <c r="V791" i="6"/>
  <c r="W791" i="6"/>
  <c r="X791" i="6"/>
  <c r="N792" i="6"/>
  <c r="O792" i="6"/>
  <c r="P792" i="6"/>
  <c r="Q792" i="6"/>
  <c r="R792" i="6"/>
  <c r="S792" i="6"/>
  <c r="T792" i="6"/>
  <c r="U792" i="6"/>
  <c r="V792" i="6"/>
  <c r="W792" i="6"/>
  <c r="X792" i="6"/>
  <c r="N793" i="6"/>
  <c r="O793" i="6"/>
  <c r="P793" i="6"/>
  <c r="Q793" i="6"/>
  <c r="R793" i="6"/>
  <c r="S793" i="6"/>
  <c r="T793" i="6"/>
  <c r="U793" i="6"/>
  <c r="V793" i="6"/>
  <c r="W793" i="6"/>
  <c r="X793" i="6"/>
  <c r="N794" i="6"/>
  <c r="O794" i="6"/>
  <c r="P794" i="6"/>
  <c r="Q794" i="6"/>
  <c r="R794" i="6"/>
  <c r="S794" i="6"/>
  <c r="T794" i="6"/>
  <c r="U794" i="6"/>
  <c r="V794" i="6"/>
  <c r="W794" i="6"/>
  <c r="X794" i="6"/>
  <c r="N795" i="6"/>
  <c r="O795" i="6"/>
  <c r="P795" i="6"/>
  <c r="Q795" i="6"/>
  <c r="R795" i="6"/>
  <c r="S795" i="6"/>
  <c r="T795" i="6"/>
  <c r="U795" i="6"/>
  <c r="V795" i="6"/>
  <c r="W795" i="6"/>
  <c r="X795" i="6"/>
  <c r="N796" i="6"/>
  <c r="O796" i="6"/>
  <c r="P796" i="6"/>
  <c r="Q796" i="6"/>
  <c r="R796" i="6"/>
  <c r="S796" i="6"/>
  <c r="T796" i="6"/>
  <c r="U796" i="6"/>
  <c r="V796" i="6"/>
  <c r="W796" i="6"/>
  <c r="X796" i="6"/>
  <c r="N797" i="6"/>
  <c r="O797" i="6"/>
  <c r="P797" i="6"/>
  <c r="Q797" i="6"/>
  <c r="R797" i="6"/>
  <c r="S797" i="6"/>
  <c r="T797" i="6"/>
  <c r="U797" i="6"/>
  <c r="V797" i="6"/>
  <c r="W797" i="6"/>
  <c r="X797" i="6"/>
  <c r="N798" i="6"/>
  <c r="O798" i="6"/>
  <c r="P798" i="6"/>
  <c r="Q798" i="6"/>
  <c r="R798" i="6"/>
  <c r="S798" i="6"/>
  <c r="T798" i="6"/>
  <c r="U798" i="6"/>
  <c r="V798" i="6"/>
  <c r="W798" i="6"/>
  <c r="X798" i="6"/>
  <c r="N799" i="6"/>
  <c r="O799" i="6"/>
  <c r="P799" i="6"/>
  <c r="Q799" i="6"/>
  <c r="R799" i="6"/>
  <c r="S799" i="6"/>
  <c r="T799" i="6"/>
  <c r="U799" i="6"/>
  <c r="V799" i="6"/>
  <c r="W799" i="6"/>
  <c r="X799" i="6"/>
  <c r="N800" i="6"/>
  <c r="O800" i="6"/>
  <c r="P800" i="6"/>
  <c r="Q800" i="6"/>
  <c r="R800" i="6"/>
  <c r="S800" i="6"/>
  <c r="T800" i="6"/>
  <c r="U800" i="6"/>
  <c r="V800" i="6"/>
  <c r="W800" i="6"/>
  <c r="X800" i="6"/>
  <c r="N801" i="6"/>
  <c r="O801" i="6"/>
  <c r="P801" i="6"/>
  <c r="Q801" i="6"/>
  <c r="R801" i="6"/>
  <c r="S801" i="6"/>
  <c r="T801" i="6"/>
  <c r="U801" i="6"/>
  <c r="V801" i="6"/>
  <c r="W801" i="6"/>
  <c r="X801" i="6"/>
  <c r="N802" i="6"/>
  <c r="O802" i="6"/>
  <c r="P802" i="6"/>
  <c r="Q802" i="6"/>
  <c r="R802" i="6"/>
  <c r="S802" i="6"/>
  <c r="T802" i="6"/>
  <c r="U802" i="6"/>
  <c r="V802" i="6"/>
  <c r="W802" i="6"/>
  <c r="X802" i="6"/>
  <c r="N803" i="6"/>
  <c r="O803" i="6"/>
  <c r="P803" i="6"/>
  <c r="Q803" i="6"/>
  <c r="R803" i="6"/>
  <c r="S803" i="6"/>
  <c r="T803" i="6"/>
  <c r="U803" i="6"/>
  <c r="V803" i="6"/>
  <c r="W803" i="6"/>
  <c r="X803" i="6"/>
  <c r="N804" i="6"/>
  <c r="O804" i="6"/>
  <c r="P804" i="6"/>
  <c r="Q804" i="6"/>
  <c r="R804" i="6"/>
  <c r="S804" i="6"/>
  <c r="T804" i="6"/>
  <c r="U804" i="6"/>
  <c r="V804" i="6"/>
  <c r="W804" i="6"/>
  <c r="X804" i="6"/>
  <c r="N805" i="6"/>
  <c r="O805" i="6"/>
  <c r="P805" i="6"/>
  <c r="Q805" i="6"/>
  <c r="R805" i="6"/>
  <c r="S805" i="6"/>
  <c r="T805" i="6"/>
  <c r="U805" i="6"/>
  <c r="V805" i="6"/>
  <c r="W805" i="6"/>
  <c r="X805" i="6"/>
  <c r="N806" i="6"/>
  <c r="O806" i="6"/>
  <c r="P806" i="6"/>
  <c r="Q806" i="6"/>
  <c r="R806" i="6"/>
  <c r="S806" i="6"/>
  <c r="T806" i="6"/>
  <c r="U806" i="6"/>
  <c r="V806" i="6"/>
  <c r="W806" i="6"/>
  <c r="X806" i="6"/>
  <c r="N807" i="6"/>
  <c r="O807" i="6"/>
  <c r="P807" i="6"/>
  <c r="Q807" i="6"/>
  <c r="R807" i="6"/>
  <c r="S807" i="6"/>
  <c r="T807" i="6"/>
  <c r="U807" i="6"/>
  <c r="V807" i="6"/>
  <c r="W807" i="6"/>
  <c r="X807" i="6"/>
  <c r="N808" i="6"/>
  <c r="O808" i="6"/>
  <c r="P808" i="6"/>
  <c r="Q808" i="6"/>
  <c r="R808" i="6"/>
  <c r="S808" i="6"/>
  <c r="T808" i="6"/>
  <c r="U808" i="6"/>
  <c r="V808" i="6"/>
  <c r="W808" i="6"/>
  <c r="X808" i="6"/>
  <c r="N809" i="6"/>
  <c r="O809" i="6"/>
  <c r="P809" i="6"/>
  <c r="Q809" i="6"/>
  <c r="R809" i="6"/>
  <c r="S809" i="6"/>
  <c r="T809" i="6"/>
  <c r="U809" i="6"/>
  <c r="V809" i="6"/>
  <c r="W809" i="6"/>
  <c r="X809" i="6"/>
  <c r="N810" i="6"/>
  <c r="O810" i="6"/>
  <c r="P810" i="6"/>
  <c r="Q810" i="6"/>
  <c r="R810" i="6"/>
  <c r="S810" i="6"/>
  <c r="T810" i="6"/>
  <c r="U810" i="6"/>
  <c r="V810" i="6"/>
  <c r="W810" i="6"/>
  <c r="X810" i="6"/>
  <c r="N811" i="6"/>
  <c r="O811" i="6"/>
  <c r="P811" i="6"/>
  <c r="Q811" i="6"/>
  <c r="R811" i="6"/>
  <c r="S811" i="6"/>
  <c r="T811" i="6"/>
  <c r="U811" i="6"/>
  <c r="V811" i="6"/>
  <c r="W811" i="6"/>
  <c r="X811" i="6"/>
  <c r="N812" i="6"/>
  <c r="O812" i="6"/>
  <c r="P812" i="6"/>
  <c r="Q812" i="6"/>
  <c r="R812" i="6"/>
  <c r="S812" i="6"/>
  <c r="T812" i="6"/>
  <c r="U812" i="6"/>
  <c r="V812" i="6"/>
  <c r="W812" i="6"/>
  <c r="X812" i="6"/>
  <c r="N813" i="6"/>
  <c r="O813" i="6"/>
  <c r="P813" i="6"/>
  <c r="Q813" i="6"/>
  <c r="R813" i="6"/>
  <c r="S813" i="6"/>
  <c r="T813" i="6"/>
  <c r="U813" i="6"/>
  <c r="V813" i="6"/>
  <c r="W813" i="6"/>
  <c r="X813" i="6"/>
  <c r="N814" i="6"/>
  <c r="O814" i="6"/>
  <c r="P814" i="6"/>
  <c r="Q814" i="6"/>
  <c r="R814" i="6"/>
  <c r="S814" i="6"/>
  <c r="T814" i="6"/>
  <c r="U814" i="6"/>
  <c r="V814" i="6"/>
  <c r="W814" i="6"/>
  <c r="X814" i="6"/>
  <c r="N815" i="6"/>
  <c r="O815" i="6"/>
  <c r="P815" i="6"/>
  <c r="Q815" i="6"/>
  <c r="R815" i="6"/>
  <c r="S815" i="6"/>
  <c r="T815" i="6"/>
  <c r="U815" i="6"/>
  <c r="V815" i="6"/>
  <c r="W815" i="6"/>
  <c r="X815" i="6"/>
  <c r="N816" i="6"/>
  <c r="O816" i="6"/>
  <c r="P816" i="6"/>
  <c r="Q816" i="6"/>
  <c r="R816" i="6"/>
  <c r="S816" i="6"/>
  <c r="T816" i="6"/>
  <c r="U816" i="6"/>
  <c r="V816" i="6"/>
  <c r="W816" i="6"/>
  <c r="X816" i="6"/>
  <c r="N817" i="6"/>
  <c r="O817" i="6"/>
  <c r="P817" i="6"/>
  <c r="Q817" i="6"/>
  <c r="R817" i="6"/>
  <c r="S817" i="6"/>
  <c r="T817" i="6"/>
  <c r="U817" i="6"/>
  <c r="V817" i="6"/>
  <c r="W817" i="6"/>
  <c r="X817" i="6"/>
  <c r="N818" i="6"/>
  <c r="O818" i="6"/>
  <c r="P818" i="6"/>
  <c r="Q818" i="6"/>
  <c r="R818" i="6"/>
  <c r="S818" i="6"/>
  <c r="T818" i="6"/>
  <c r="U818" i="6"/>
  <c r="V818" i="6"/>
  <c r="W818" i="6"/>
  <c r="X818" i="6"/>
  <c r="N819" i="6"/>
  <c r="O819" i="6"/>
  <c r="P819" i="6"/>
  <c r="Q819" i="6"/>
  <c r="R819" i="6"/>
  <c r="S819" i="6"/>
  <c r="T819" i="6"/>
  <c r="U819" i="6"/>
  <c r="V819" i="6"/>
  <c r="W819" i="6"/>
  <c r="X819" i="6"/>
  <c r="N820" i="6"/>
  <c r="O820" i="6"/>
  <c r="P820" i="6"/>
  <c r="Q820" i="6"/>
  <c r="R820" i="6"/>
  <c r="S820" i="6"/>
  <c r="T820" i="6"/>
  <c r="U820" i="6"/>
  <c r="V820" i="6"/>
  <c r="W820" i="6"/>
  <c r="X820" i="6"/>
  <c r="N821" i="6"/>
  <c r="O821" i="6"/>
  <c r="P821" i="6"/>
  <c r="Q821" i="6"/>
  <c r="R821" i="6"/>
  <c r="S821" i="6"/>
  <c r="T821" i="6"/>
  <c r="U821" i="6"/>
  <c r="V821" i="6"/>
  <c r="W821" i="6"/>
  <c r="X821" i="6"/>
  <c r="N822" i="6"/>
  <c r="O822" i="6"/>
  <c r="P822" i="6"/>
  <c r="Q822" i="6"/>
  <c r="R822" i="6"/>
  <c r="S822" i="6"/>
  <c r="T822" i="6"/>
  <c r="U822" i="6"/>
  <c r="V822" i="6"/>
  <c r="W822" i="6"/>
  <c r="X822" i="6"/>
  <c r="N823" i="6"/>
  <c r="O823" i="6"/>
  <c r="P823" i="6"/>
  <c r="Q823" i="6"/>
  <c r="R823" i="6"/>
  <c r="S823" i="6"/>
  <c r="T823" i="6"/>
  <c r="U823" i="6"/>
  <c r="V823" i="6"/>
  <c r="W823" i="6"/>
  <c r="X823" i="6"/>
  <c r="N824" i="6"/>
  <c r="O824" i="6"/>
  <c r="P824" i="6"/>
  <c r="Q824" i="6"/>
  <c r="R824" i="6"/>
  <c r="S824" i="6"/>
  <c r="T824" i="6"/>
  <c r="U824" i="6"/>
  <c r="V824" i="6"/>
  <c r="W824" i="6"/>
  <c r="X824" i="6"/>
  <c r="N825" i="6"/>
  <c r="O825" i="6"/>
  <c r="P825" i="6"/>
  <c r="Q825" i="6"/>
  <c r="R825" i="6"/>
  <c r="S825" i="6"/>
  <c r="T825" i="6"/>
  <c r="U825" i="6"/>
  <c r="V825" i="6"/>
  <c r="W825" i="6"/>
  <c r="X825" i="6"/>
  <c r="N826" i="6"/>
  <c r="O826" i="6"/>
  <c r="P826" i="6"/>
  <c r="Q826" i="6"/>
  <c r="R826" i="6"/>
  <c r="S826" i="6"/>
  <c r="T826" i="6"/>
  <c r="U826" i="6"/>
  <c r="V826" i="6"/>
  <c r="W826" i="6"/>
  <c r="X826" i="6"/>
  <c r="N827" i="6"/>
  <c r="O827" i="6"/>
  <c r="P827" i="6"/>
  <c r="Q827" i="6"/>
  <c r="R827" i="6"/>
  <c r="S827" i="6"/>
  <c r="T827" i="6"/>
  <c r="U827" i="6"/>
  <c r="V827" i="6"/>
  <c r="W827" i="6"/>
  <c r="X827" i="6"/>
  <c r="N828" i="6"/>
  <c r="O828" i="6"/>
  <c r="P828" i="6"/>
  <c r="Q828" i="6"/>
  <c r="R828" i="6"/>
  <c r="S828" i="6"/>
  <c r="T828" i="6"/>
  <c r="U828" i="6"/>
  <c r="V828" i="6"/>
  <c r="W828" i="6"/>
  <c r="X828" i="6"/>
  <c r="N829" i="6"/>
  <c r="O829" i="6"/>
  <c r="P829" i="6"/>
  <c r="Q829" i="6"/>
  <c r="R829" i="6"/>
  <c r="S829" i="6"/>
  <c r="T829" i="6"/>
  <c r="U829" i="6"/>
  <c r="V829" i="6"/>
  <c r="W829" i="6"/>
  <c r="X829" i="6"/>
  <c r="N830" i="6"/>
  <c r="O830" i="6"/>
  <c r="P830" i="6"/>
  <c r="Q830" i="6"/>
  <c r="R830" i="6"/>
  <c r="S830" i="6"/>
  <c r="T830" i="6"/>
  <c r="U830" i="6"/>
  <c r="V830" i="6"/>
  <c r="W830" i="6"/>
  <c r="X830" i="6"/>
  <c r="N831" i="6"/>
  <c r="O831" i="6"/>
  <c r="P831" i="6"/>
  <c r="Q831" i="6"/>
  <c r="R831" i="6"/>
  <c r="S831" i="6"/>
  <c r="T831" i="6"/>
  <c r="U831" i="6"/>
  <c r="V831" i="6"/>
  <c r="W831" i="6"/>
  <c r="X831" i="6"/>
  <c r="N832" i="6"/>
  <c r="O832" i="6"/>
  <c r="P832" i="6"/>
  <c r="Q832" i="6"/>
  <c r="R832" i="6"/>
  <c r="S832" i="6"/>
  <c r="T832" i="6"/>
  <c r="U832" i="6"/>
  <c r="V832" i="6"/>
  <c r="W832" i="6"/>
  <c r="X832" i="6"/>
  <c r="N833" i="6"/>
  <c r="O833" i="6"/>
  <c r="P833" i="6"/>
  <c r="Q833" i="6"/>
  <c r="R833" i="6"/>
  <c r="S833" i="6"/>
  <c r="T833" i="6"/>
  <c r="U833" i="6"/>
  <c r="V833" i="6"/>
  <c r="W833" i="6"/>
  <c r="X833" i="6"/>
  <c r="N834" i="6"/>
  <c r="O834" i="6"/>
  <c r="P834" i="6"/>
  <c r="Q834" i="6"/>
  <c r="R834" i="6"/>
  <c r="S834" i="6"/>
  <c r="T834" i="6"/>
  <c r="U834" i="6"/>
  <c r="V834" i="6"/>
  <c r="W834" i="6"/>
  <c r="X834" i="6"/>
  <c r="N835" i="6"/>
  <c r="O835" i="6"/>
  <c r="P835" i="6"/>
  <c r="Q835" i="6"/>
  <c r="R835" i="6"/>
  <c r="S835" i="6"/>
  <c r="T835" i="6"/>
  <c r="U835" i="6"/>
  <c r="V835" i="6"/>
  <c r="W835" i="6"/>
  <c r="X835" i="6"/>
  <c r="N836" i="6"/>
  <c r="O836" i="6"/>
  <c r="P836" i="6"/>
  <c r="Q836" i="6"/>
  <c r="R836" i="6"/>
  <c r="S836" i="6"/>
  <c r="T836" i="6"/>
  <c r="U836" i="6"/>
  <c r="V836" i="6"/>
  <c r="W836" i="6"/>
  <c r="X836" i="6"/>
  <c r="N837" i="6"/>
  <c r="O837" i="6"/>
  <c r="P837" i="6"/>
  <c r="Q837" i="6"/>
  <c r="R837" i="6"/>
  <c r="S837" i="6"/>
  <c r="T837" i="6"/>
  <c r="U837" i="6"/>
  <c r="V837" i="6"/>
  <c r="W837" i="6"/>
  <c r="X837" i="6"/>
  <c r="N838" i="6"/>
  <c r="O838" i="6"/>
  <c r="P838" i="6"/>
  <c r="Q838" i="6"/>
  <c r="R838" i="6"/>
  <c r="S838" i="6"/>
  <c r="T838" i="6"/>
  <c r="U838" i="6"/>
  <c r="V838" i="6"/>
  <c r="W838" i="6"/>
  <c r="X838" i="6"/>
  <c r="N839" i="6"/>
  <c r="O839" i="6"/>
  <c r="P839" i="6"/>
  <c r="Q839" i="6"/>
  <c r="R839" i="6"/>
  <c r="S839" i="6"/>
  <c r="T839" i="6"/>
  <c r="U839" i="6"/>
  <c r="V839" i="6"/>
  <c r="W839" i="6"/>
  <c r="X839" i="6"/>
  <c r="N840" i="6"/>
  <c r="O840" i="6"/>
  <c r="P840" i="6"/>
  <c r="Q840" i="6"/>
  <c r="R840" i="6"/>
  <c r="S840" i="6"/>
  <c r="T840" i="6"/>
  <c r="U840" i="6"/>
  <c r="V840" i="6"/>
  <c r="W840" i="6"/>
  <c r="X840" i="6"/>
  <c r="N841" i="6"/>
  <c r="O841" i="6"/>
  <c r="P841" i="6"/>
  <c r="Q841" i="6"/>
  <c r="R841" i="6"/>
  <c r="S841" i="6"/>
  <c r="T841" i="6"/>
  <c r="U841" i="6"/>
  <c r="V841" i="6"/>
  <c r="W841" i="6"/>
  <c r="X841" i="6"/>
  <c r="N842" i="6"/>
  <c r="O842" i="6"/>
  <c r="P842" i="6"/>
  <c r="Q842" i="6"/>
  <c r="R842" i="6"/>
  <c r="S842" i="6"/>
  <c r="T842" i="6"/>
  <c r="U842" i="6"/>
  <c r="V842" i="6"/>
  <c r="W842" i="6"/>
  <c r="X842" i="6"/>
  <c r="N843" i="6"/>
  <c r="O843" i="6"/>
  <c r="P843" i="6"/>
  <c r="Q843" i="6"/>
  <c r="R843" i="6"/>
  <c r="S843" i="6"/>
  <c r="T843" i="6"/>
  <c r="U843" i="6"/>
  <c r="V843" i="6"/>
  <c r="W843" i="6"/>
  <c r="X843" i="6"/>
  <c r="N844" i="6"/>
  <c r="O844" i="6"/>
  <c r="P844" i="6"/>
  <c r="Q844" i="6"/>
  <c r="R844" i="6"/>
  <c r="S844" i="6"/>
  <c r="T844" i="6"/>
  <c r="U844" i="6"/>
  <c r="V844" i="6"/>
  <c r="W844" i="6"/>
  <c r="X844" i="6"/>
  <c r="N845" i="6"/>
  <c r="O845" i="6"/>
  <c r="P845" i="6"/>
  <c r="Q845" i="6"/>
  <c r="R845" i="6"/>
  <c r="S845" i="6"/>
  <c r="T845" i="6"/>
  <c r="U845" i="6"/>
  <c r="V845" i="6"/>
  <c r="W845" i="6"/>
  <c r="X845" i="6"/>
  <c r="N846" i="6"/>
  <c r="O846" i="6"/>
  <c r="P846" i="6"/>
  <c r="Q846" i="6"/>
  <c r="R846" i="6"/>
  <c r="S846" i="6"/>
  <c r="T846" i="6"/>
  <c r="U846" i="6"/>
  <c r="V846" i="6"/>
  <c r="W846" i="6"/>
  <c r="X846" i="6"/>
  <c r="N847" i="6"/>
  <c r="O847" i="6"/>
  <c r="P847" i="6"/>
  <c r="Q847" i="6"/>
  <c r="R847" i="6"/>
  <c r="S847" i="6"/>
  <c r="T847" i="6"/>
  <c r="U847" i="6"/>
  <c r="V847" i="6"/>
  <c r="W847" i="6"/>
  <c r="X847" i="6"/>
  <c r="N848" i="6"/>
  <c r="O848" i="6"/>
  <c r="P848" i="6"/>
  <c r="Q848" i="6"/>
  <c r="R848" i="6"/>
  <c r="S848" i="6"/>
  <c r="T848" i="6"/>
  <c r="U848" i="6"/>
  <c r="V848" i="6"/>
  <c r="W848" i="6"/>
  <c r="X848" i="6"/>
  <c r="N849" i="6"/>
  <c r="O849" i="6"/>
  <c r="P849" i="6"/>
  <c r="Q849" i="6"/>
  <c r="R849" i="6"/>
  <c r="S849" i="6"/>
  <c r="T849" i="6"/>
  <c r="U849" i="6"/>
  <c r="V849" i="6"/>
  <c r="W849" i="6"/>
  <c r="X849" i="6"/>
  <c r="N850" i="6"/>
  <c r="O850" i="6"/>
  <c r="P850" i="6"/>
  <c r="Q850" i="6"/>
  <c r="R850" i="6"/>
  <c r="S850" i="6"/>
  <c r="T850" i="6"/>
  <c r="U850" i="6"/>
  <c r="V850" i="6"/>
  <c r="W850" i="6"/>
  <c r="X850" i="6"/>
  <c r="N851" i="6"/>
  <c r="O851" i="6"/>
  <c r="P851" i="6"/>
  <c r="Q851" i="6"/>
  <c r="R851" i="6"/>
  <c r="S851" i="6"/>
  <c r="T851" i="6"/>
  <c r="U851" i="6"/>
  <c r="V851" i="6"/>
  <c r="W851" i="6"/>
  <c r="X851" i="6"/>
  <c r="N852" i="6"/>
  <c r="O852" i="6"/>
  <c r="P852" i="6"/>
  <c r="Q852" i="6"/>
  <c r="R852" i="6"/>
  <c r="S852" i="6"/>
  <c r="T852" i="6"/>
  <c r="U852" i="6"/>
  <c r="V852" i="6"/>
  <c r="W852" i="6"/>
  <c r="X852" i="6"/>
  <c r="N853" i="6"/>
  <c r="O853" i="6"/>
  <c r="P853" i="6"/>
  <c r="Q853" i="6"/>
  <c r="R853" i="6"/>
  <c r="S853" i="6"/>
  <c r="T853" i="6"/>
  <c r="U853" i="6"/>
  <c r="V853" i="6"/>
  <c r="W853" i="6"/>
  <c r="X853" i="6"/>
  <c r="N854" i="6"/>
  <c r="O854" i="6"/>
  <c r="P854" i="6"/>
  <c r="Q854" i="6"/>
  <c r="R854" i="6"/>
  <c r="S854" i="6"/>
  <c r="T854" i="6"/>
  <c r="U854" i="6"/>
  <c r="V854" i="6"/>
  <c r="W854" i="6"/>
  <c r="X854" i="6"/>
  <c r="N855" i="6"/>
  <c r="O855" i="6"/>
  <c r="P855" i="6"/>
  <c r="Q855" i="6"/>
  <c r="R855" i="6"/>
  <c r="S855" i="6"/>
  <c r="T855" i="6"/>
  <c r="U855" i="6"/>
  <c r="V855" i="6"/>
  <c r="W855" i="6"/>
  <c r="X855" i="6"/>
  <c r="N856" i="6"/>
  <c r="O856" i="6"/>
  <c r="P856" i="6"/>
  <c r="Q856" i="6"/>
  <c r="R856" i="6"/>
  <c r="S856" i="6"/>
  <c r="T856" i="6"/>
  <c r="U856" i="6"/>
  <c r="V856" i="6"/>
  <c r="W856" i="6"/>
  <c r="X856" i="6"/>
  <c r="N857" i="6"/>
  <c r="O857" i="6"/>
  <c r="P857" i="6"/>
  <c r="Q857" i="6"/>
  <c r="R857" i="6"/>
  <c r="S857" i="6"/>
  <c r="T857" i="6"/>
  <c r="U857" i="6"/>
  <c r="V857" i="6"/>
  <c r="W857" i="6"/>
  <c r="X857" i="6"/>
  <c r="N858" i="6"/>
  <c r="O858" i="6"/>
  <c r="P858" i="6"/>
  <c r="Q858" i="6"/>
  <c r="R858" i="6"/>
  <c r="S858" i="6"/>
  <c r="T858" i="6"/>
  <c r="U858" i="6"/>
  <c r="V858" i="6"/>
  <c r="W858" i="6"/>
  <c r="X858" i="6"/>
  <c r="N859" i="6"/>
  <c r="O859" i="6"/>
  <c r="P859" i="6"/>
  <c r="Q859" i="6"/>
  <c r="R859" i="6"/>
  <c r="S859" i="6"/>
  <c r="T859" i="6"/>
  <c r="U859" i="6"/>
  <c r="V859" i="6"/>
  <c r="W859" i="6"/>
  <c r="X859" i="6"/>
  <c r="N860" i="6"/>
  <c r="O860" i="6"/>
  <c r="P860" i="6"/>
  <c r="Q860" i="6"/>
  <c r="R860" i="6"/>
  <c r="S860" i="6"/>
  <c r="T860" i="6"/>
  <c r="U860" i="6"/>
  <c r="V860" i="6"/>
  <c r="W860" i="6"/>
  <c r="X860" i="6"/>
  <c r="N861" i="6"/>
  <c r="O861" i="6"/>
  <c r="P861" i="6"/>
  <c r="Q861" i="6"/>
  <c r="R861" i="6"/>
  <c r="S861" i="6"/>
  <c r="T861" i="6"/>
  <c r="U861" i="6"/>
  <c r="V861" i="6"/>
  <c r="W861" i="6"/>
  <c r="X861" i="6"/>
  <c r="N862" i="6"/>
  <c r="O862" i="6"/>
  <c r="P862" i="6"/>
  <c r="Q862" i="6"/>
  <c r="R862" i="6"/>
  <c r="S862" i="6"/>
  <c r="T862" i="6"/>
  <c r="U862" i="6"/>
  <c r="V862" i="6"/>
  <c r="W862" i="6"/>
  <c r="X862" i="6"/>
  <c r="N863" i="6"/>
  <c r="O863" i="6"/>
  <c r="P863" i="6"/>
  <c r="Q863" i="6"/>
  <c r="R863" i="6"/>
  <c r="S863" i="6"/>
  <c r="T863" i="6"/>
  <c r="U863" i="6"/>
  <c r="V863" i="6"/>
  <c r="W863" i="6"/>
  <c r="X863" i="6"/>
  <c r="N864" i="6"/>
  <c r="O864" i="6"/>
  <c r="P864" i="6"/>
  <c r="Q864" i="6"/>
  <c r="R864" i="6"/>
  <c r="S864" i="6"/>
  <c r="T864" i="6"/>
  <c r="U864" i="6"/>
  <c r="V864" i="6"/>
  <c r="W864" i="6"/>
  <c r="X864" i="6"/>
  <c r="N865" i="6"/>
  <c r="O865" i="6"/>
  <c r="P865" i="6"/>
  <c r="Q865" i="6"/>
  <c r="R865" i="6"/>
  <c r="S865" i="6"/>
  <c r="T865" i="6"/>
  <c r="U865" i="6"/>
  <c r="V865" i="6"/>
  <c r="W865" i="6"/>
  <c r="X865" i="6"/>
  <c r="N866" i="6"/>
  <c r="O866" i="6"/>
  <c r="P866" i="6"/>
  <c r="Q866" i="6"/>
  <c r="R866" i="6"/>
  <c r="S866" i="6"/>
  <c r="T866" i="6"/>
  <c r="U866" i="6"/>
  <c r="V866" i="6"/>
  <c r="W866" i="6"/>
  <c r="X866" i="6"/>
  <c r="N867" i="6"/>
  <c r="O867" i="6"/>
  <c r="P867" i="6"/>
  <c r="Q867" i="6"/>
  <c r="R867" i="6"/>
  <c r="S867" i="6"/>
  <c r="T867" i="6"/>
  <c r="U867" i="6"/>
  <c r="V867" i="6"/>
  <c r="W867" i="6"/>
  <c r="X867" i="6"/>
  <c r="N868" i="6"/>
  <c r="O868" i="6"/>
  <c r="P868" i="6"/>
  <c r="Q868" i="6"/>
  <c r="R868" i="6"/>
  <c r="S868" i="6"/>
  <c r="T868" i="6"/>
  <c r="U868" i="6"/>
  <c r="V868" i="6"/>
  <c r="W868" i="6"/>
  <c r="X868" i="6"/>
  <c r="N869" i="6"/>
  <c r="O869" i="6"/>
  <c r="P869" i="6"/>
  <c r="Q869" i="6"/>
  <c r="R869" i="6"/>
  <c r="S869" i="6"/>
  <c r="T869" i="6"/>
  <c r="U869" i="6"/>
  <c r="V869" i="6"/>
  <c r="W869" i="6"/>
  <c r="X869" i="6"/>
  <c r="N870" i="6"/>
  <c r="O870" i="6"/>
  <c r="P870" i="6"/>
  <c r="Q870" i="6"/>
  <c r="R870" i="6"/>
  <c r="S870" i="6"/>
  <c r="T870" i="6"/>
  <c r="U870" i="6"/>
  <c r="V870" i="6"/>
  <c r="W870" i="6"/>
  <c r="X870" i="6"/>
  <c r="N871" i="6"/>
  <c r="O871" i="6"/>
  <c r="P871" i="6"/>
  <c r="Q871" i="6"/>
  <c r="R871" i="6"/>
  <c r="S871" i="6"/>
  <c r="T871" i="6"/>
  <c r="U871" i="6"/>
  <c r="V871" i="6"/>
  <c r="W871" i="6"/>
  <c r="X871" i="6"/>
  <c r="N872" i="6"/>
  <c r="O872" i="6"/>
  <c r="P872" i="6"/>
  <c r="Q872" i="6"/>
  <c r="R872" i="6"/>
  <c r="S872" i="6"/>
  <c r="T872" i="6"/>
  <c r="U872" i="6"/>
  <c r="V872" i="6"/>
  <c r="W872" i="6"/>
  <c r="X872" i="6"/>
  <c r="N873" i="6"/>
  <c r="O873" i="6"/>
  <c r="P873" i="6"/>
  <c r="Q873" i="6"/>
  <c r="R873" i="6"/>
  <c r="S873" i="6"/>
  <c r="T873" i="6"/>
  <c r="U873" i="6"/>
  <c r="V873" i="6"/>
  <c r="W873" i="6"/>
  <c r="X873" i="6"/>
  <c r="N874" i="6"/>
  <c r="O874" i="6"/>
  <c r="P874" i="6"/>
  <c r="Q874" i="6"/>
  <c r="R874" i="6"/>
  <c r="S874" i="6"/>
  <c r="T874" i="6"/>
  <c r="U874" i="6"/>
  <c r="V874" i="6"/>
  <c r="W874" i="6"/>
  <c r="X874" i="6"/>
  <c r="N875" i="6"/>
  <c r="O875" i="6"/>
  <c r="P875" i="6"/>
  <c r="Q875" i="6"/>
  <c r="R875" i="6"/>
  <c r="S875" i="6"/>
  <c r="T875" i="6"/>
  <c r="U875" i="6"/>
  <c r="V875" i="6"/>
  <c r="W875" i="6"/>
  <c r="X875" i="6"/>
  <c r="N876" i="6"/>
  <c r="O876" i="6"/>
  <c r="P876" i="6"/>
  <c r="Q876" i="6"/>
  <c r="R876" i="6"/>
  <c r="S876" i="6"/>
  <c r="T876" i="6"/>
  <c r="U876" i="6"/>
  <c r="V876" i="6"/>
  <c r="W876" i="6"/>
  <c r="X876" i="6"/>
  <c r="N877" i="6"/>
  <c r="O877" i="6"/>
  <c r="P877" i="6"/>
  <c r="Q877" i="6"/>
  <c r="R877" i="6"/>
  <c r="S877" i="6"/>
  <c r="T877" i="6"/>
  <c r="U877" i="6"/>
  <c r="V877" i="6"/>
  <c r="W877" i="6"/>
  <c r="X877" i="6"/>
  <c r="N878" i="6"/>
  <c r="O878" i="6"/>
  <c r="P878" i="6"/>
  <c r="Q878" i="6"/>
  <c r="R878" i="6"/>
  <c r="S878" i="6"/>
  <c r="T878" i="6"/>
  <c r="U878" i="6"/>
  <c r="V878" i="6"/>
  <c r="W878" i="6"/>
  <c r="X878" i="6"/>
  <c r="N879" i="6"/>
  <c r="O879" i="6"/>
  <c r="P879" i="6"/>
  <c r="Q879" i="6"/>
  <c r="R879" i="6"/>
  <c r="S879" i="6"/>
  <c r="T879" i="6"/>
  <c r="U879" i="6"/>
  <c r="V879" i="6"/>
  <c r="W879" i="6"/>
  <c r="X879" i="6"/>
  <c r="N880" i="6"/>
  <c r="O880" i="6"/>
  <c r="P880" i="6"/>
  <c r="Q880" i="6"/>
  <c r="R880" i="6"/>
  <c r="S880" i="6"/>
  <c r="T880" i="6"/>
  <c r="U880" i="6"/>
  <c r="V880" i="6"/>
  <c r="W880" i="6"/>
  <c r="X880" i="6"/>
  <c r="N881" i="6"/>
  <c r="O881" i="6"/>
  <c r="P881" i="6"/>
  <c r="Q881" i="6"/>
  <c r="R881" i="6"/>
  <c r="S881" i="6"/>
  <c r="T881" i="6"/>
  <c r="U881" i="6"/>
  <c r="V881" i="6"/>
  <c r="W881" i="6"/>
  <c r="X881" i="6"/>
  <c r="N882" i="6"/>
  <c r="O882" i="6"/>
  <c r="P882" i="6"/>
  <c r="Q882" i="6"/>
  <c r="R882" i="6"/>
  <c r="S882" i="6"/>
  <c r="T882" i="6"/>
  <c r="U882" i="6"/>
  <c r="V882" i="6"/>
  <c r="W882" i="6"/>
  <c r="X882" i="6"/>
  <c r="N883" i="6"/>
  <c r="O883" i="6"/>
  <c r="P883" i="6"/>
  <c r="Q883" i="6"/>
  <c r="R883" i="6"/>
  <c r="S883" i="6"/>
  <c r="T883" i="6"/>
  <c r="U883" i="6"/>
  <c r="V883" i="6"/>
  <c r="W883" i="6"/>
  <c r="X883" i="6"/>
  <c r="N884" i="6"/>
  <c r="O884" i="6"/>
  <c r="P884" i="6"/>
  <c r="Q884" i="6"/>
  <c r="R884" i="6"/>
  <c r="S884" i="6"/>
  <c r="T884" i="6"/>
  <c r="U884" i="6"/>
  <c r="V884" i="6"/>
  <c r="W884" i="6"/>
  <c r="X884" i="6"/>
  <c r="N885" i="6"/>
  <c r="O885" i="6"/>
  <c r="P885" i="6"/>
  <c r="Q885" i="6"/>
  <c r="R885" i="6"/>
  <c r="S885" i="6"/>
  <c r="T885" i="6"/>
  <c r="U885" i="6"/>
  <c r="V885" i="6"/>
  <c r="W885" i="6"/>
  <c r="X885" i="6"/>
  <c r="N886" i="6"/>
  <c r="O886" i="6"/>
  <c r="P886" i="6"/>
  <c r="Q886" i="6"/>
  <c r="R886" i="6"/>
  <c r="S886" i="6"/>
  <c r="T886" i="6"/>
  <c r="U886" i="6"/>
  <c r="V886" i="6"/>
  <c r="W886" i="6"/>
  <c r="X886" i="6"/>
  <c r="N887" i="6"/>
  <c r="O887" i="6"/>
  <c r="P887" i="6"/>
  <c r="Q887" i="6"/>
  <c r="R887" i="6"/>
  <c r="S887" i="6"/>
  <c r="T887" i="6"/>
  <c r="U887" i="6"/>
  <c r="V887" i="6"/>
  <c r="W887" i="6"/>
  <c r="X887" i="6"/>
  <c r="N888" i="6"/>
  <c r="O888" i="6"/>
  <c r="P888" i="6"/>
  <c r="Q888" i="6"/>
  <c r="R888" i="6"/>
  <c r="S888" i="6"/>
  <c r="T888" i="6"/>
  <c r="U888" i="6"/>
  <c r="V888" i="6"/>
  <c r="W888" i="6"/>
  <c r="X888" i="6"/>
  <c r="N889" i="6"/>
  <c r="O889" i="6"/>
  <c r="P889" i="6"/>
  <c r="Q889" i="6"/>
  <c r="R889" i="6"/>
  <c r="S889" i="6"/>
  <c r="T889" i="6"/>
  <c r="U889" i="6"/>
  <c r="V889" i="6"/>
  <c r="W889" i="6"/>
  <c r="X889" i="6"/>
  <c r="N890" i="6"/>
  <c r="O890" i="6"/>
  <c r="P890" i="6"/>
  <c r="Q890" i="6"/>
  <c r="R890" i="6"/>
  <c r="S890" i="6"/>
  <c r="T890" i="6"/>
  <c r="U890" i="6"/>
  <c r="V890" i="6"/>
  <c r="W890" i="6"/>
  <c r="X890" i="6"/>
  <c r="N891" i="6"/>
  <c r="O891" i="6"/>
  <c r="P891" i="6"/>
  <c r="Q891" i="6"/>
  <c r="R891" i="6"/>
  <c r="S891" i="6"/>
  <c r="T891" i="6"/>
  <c r="U891" i="6"/>
  <c r="V891" i="6"/>
  <c r="W891" i="6"/>
  <c r="X891" i="6"/>
  <c r="N892" i="6"/>
  <c r="O892" i="6"/>
  <c r="P892" i="6"/>
  <c r="Q892" i="6"/>
  <c r="R892" i="6"/>
  <c r="S892" i="6"/>
  <c r="T892" i="6"/>
  <c r="U892" i="6"/>
  <c r="V892" i="6"/>
  <c r="W892" i="6"/>
  <c r="X892" i="6"/>
  <c r="N893" i="6"/>
  <c r="O893" i="6"/>
  <c r="P893" i="6"/>
  <c r="Q893" i="6"/>
  <c r="R893" i="6"/>
  <c r="S893" i="6"/>
  <c r="T893" i="6"/>
  <c r="U893" i="6"/>
  <c r="V893" i="6"/>
  <c r="W893" i="6"/>
  <c r="X893" i="6"/>
  <c r="N894" i="6"/>
  <c r="O894" i="6"/>
  <c r="P894" i="6"/>
  <c r="Q894" i="6"/>
  <c r="R894" i="6"/>
  <c r="S894" i="6"/>
  <c r="T894" i="6"/>
  <c r="U894" i="6"/>
  <c r="V894" i="6"/>
  <c r="W894" i="6"/>
  <c r="X894" i="6"/>
  <c r="N895" i="6"/>
  <c r="O895" i="6"/>
  <c r="P895" i="6"/>
  <c r="Q895" i="6"/>
  <c r="R895" i="6"/>
  <c r="S895" i="6"/>
  <c r="T895" i="6"/>
  <c r="U895" i="6"/>
  <c r="V895" i="6"/>
  <c r="W895" i="6"/>
  <c r="X895" i="6"/>
  <c r="N896" i="6"/>
  <c r="O896" i="6"/>
  <c r="P896" i="6"/>
  <c r="Q896" i="6"/>
  <c r="R896" i="6"/>
  <c r="S896" i="6"/>
  <c r="T896" i="6"/>
  <c r="U896" i="6"/>
  <c r="V896" i="6"/>
  <c r="W896" i="6"/>
  <c r="X896" i="6"/>
  <c r="N897" i="6"/>
  <c r="O897" i="6"/>
  <c r="P897" i="6"/>
  <c r="Q897" i="6"/>
  <c r="R897" i="6"/>
  <c r="S897" i="6"/>
  <c r="T897" i="6"/>
  <c r="U897" i="6"/>
  <c r="V897" i="6"/>
  <c r="W897" i="6"/>
  <c r="X897" i="6"/>
  <c r="N898" i="6"/>
  <c r="O898" i="6"/>
  <c r="P898" i="6"/>
  <c r="Q898" i="6"/>
  <c r="R898" i="6"/>
  <c r="S898" i="6"/>
  <c r="T898" i="6"/>
  <c r="U898" i="6"/>
  <c r="V898" i="6"/>
  <c r="W898" i="6"/>
  <c r="X898" i="6"/>
  <c r="N899" i="6"/>
  <c r="O899" i="6"/>
  <c r="P899" i="6"/>
  <c r="Q899" i="6"/>
  <c r="R899" i="6"/>
  <c r="S899" i="6"/>
  <c r="T899" i="6"/>
  <c r="U899" i="6"/>
  <c r="V899" i="6"/>
  <c r="W899" i="6"/>
  <c r="X899" i="6"/>
  <c r="N900" i="6"/>
  <c r="O900" i="6"/>
  <c r="P900" i="6"/>
  <c r="Q900" i="6"/>
  <c r="R900" i="6"/>
  <c r="S900" i="6"/>
  <c r="T900" i="6"/>
  <c r="U900" i="6"/>
  <c r="V900" i="6"/>
  <c r="W900" i="6"/>
  <c r="X900" i="6"/>
  <c r="N901" i="6"/>
  <c r="O901" i="6"/>
  <c r="P901" i="6"/>
  <c r="Q901" i="6"/>
  <c r="R901" i="6"/>
  <c r="S901" i="6"/>
  <c r="T901" i="6"/>
  <c r="U901" i="6"/>
  <c r="V901" i="6"/>
  <c r="W901" i="6"/>
  <c r="X901" i="6"/>
  <c r="N902" i="6"/>
  <c r="O902" i="6"/>
  <c r="P902" i="6"/>
  <c r="Q902" i="6"/>
  <c r="R902" i="6"/>
  <c r="S902" i="6"/>
  <c r="T902" i="6"/>
  <c r="U902" i="6"/>
  <c r="V902" i="6"/>
  <c r="W902" i="6"/>
  <c r="X902" i="6"/>
  <c r="N903" i="6"/>
  <c r="O903" i="6"/>
  <c r="P903" i="6"/>
  <c r="Q903" i="6"/>
  <c r="R903" i="6"/>
  <c r="S903" i="6"/>
  <c r="T903" i="6"/>
  <c r="U903" i="6"/>
  <c r="V903" i="6"/>
  <c r="W903" i="6"/>
  <c r="X903" i="6"/>
  <c r="N904" i="6"/>
  <c r="O904" i="6"/>
  <c r="P904" i="6"/>
  <c r="Q904" i="6"/>
  <c r="R904" i="6"/>
  <c r="S904" i="6"/>
  <c r="T904" i="6"/>
  <c r="U904" i="6"/>
  <c r="V904" i="6"/>
  <c r="W904" i="6"/>
  <c r="X904" i="6"/>
  <c r="N905" i="6"/>
  <c r="O905" i="6"/>
  <c r="P905" i="6"/>
  <c r="Q905" i="6"/>
  <c r="R905" i="6"/>
  <c r="S905" i="6"/>
  <c r="T905" i="6"/>
  <c r="U905" i="6"/>
  <c r="V905" i="6"/>
  <c r="W905" i="6"/>
  <c r="X905" i="6"/>
  <c r="N906" i="6"/>
  <c r="O906" i="6"/>
  <c r="P906" i="6"/>
  <c r="Q906" i="6"/>
  <c r="R906" i="6"/>
  <c r="S906" i="6"/>
  <c r="T906" i="6"/>
  <c r="U906" i="6"/>
  <c r="V906" i="6"/>
  <c r="W906" i="6"/>
  <c r="X906" i="6"/>
  <c r="N907" i="6"/>
  <c r="O907" i="6"/>
  <c r="P907" i="6"/>
  <c r="Q907" i="6"/>
  <c r="R907" i="6"/>
  <c r="S907" i="6"/>
  <c r="T907" i="6"/>
  <c r="U907" i="6"/>
  <c r="V907" i="6"/>
  <c r="W907" i="6"/>
  <c r="X907" i="6"/>
  <c r="N908" i="6"/>
  <c r="O908" i="6"/>
  <c r="P908" i="6"/>
  <c r="Q908" i="6"/>
  <c r="R908" i="6"/>
  <c r="S908" i="6"/>
  <c r="T908" i="6"/>
  <c r="U908" i="6"/>
  <c r="V908" i="6"/>
  <c r="W908" i="6"/>
  <c r="X908" i="6"/>
  <c r="N909" i="6"/>
  <c r="O909" i="6"/>
  <c r="P909" i="6"/>
  <c r="Q909" i="6"/>
  <c r="R909" i="6"/>
  <c r="S909" i="6"/>
  <c r="T909" i="6"/>
  <c r="U909" i="6"/>
  <c r="V909" i="6"/>
  <c r="W909" i="6"/>
  <c r="X909" i="6"/>
  <c r="N910" i="6"/>
  <c r="O910" i="6"/>
  <c r="P910" i="6"/>
  <c r="Q910" i="6"/>
  <c r="R910" i="6"/>
  <c r="S910" i="6"/>
  <c r="T910" i="6"/>
  <c r="U910" i="6"/>
  <c r="V910" i="6"/>
  <c r="W910" i="6"/>
  <c r="X910" i="6"/>
  <c r="N911" i="6"/>
  <c r="O911" i="6"/>
  <c r="P911" i="6"/>
  <c r="Q911" i="6"/>
  <c r="R911" i="6"/>
  <c r="S911" i="6"/>
  <c r="T911" i="6"/>
  <c r="U911" i="6"/>
  <c r="V911" i="6"/>
  <c r="W911" i="6"/>
  <c r="X911" i="6"/>
  <c r="N912" i="6"/>
  <c r="O912" i="6"/>
  <c r="P912" i="6"/>
  <c r="Q912" i="6"/>
  <c r="R912" i="6"/>
  <c r="S912" i="6"/>
  <c r="T912" i="6"/>
  <c r="U912" i="6"/>
  <c r="V912" i="6"/>
  <c r="W912" i="6"/>
  <c r="X912" i="6"/>
  <c r="N913" i="6"/>
  <c r="O913" i="6"/>
  <c r="P913" i="6"/>
  <c r="Q913" i="6"/>
  <c r="R913" i="6"/>
  <c r="S913" i="6"/>
  <c r="T913" i="6"/>
  <c r="U913" i="6"/>
  <c r="V913" i="6"/>
  <c r="W913" i="6"/>
  <c r="X913" i="6"/>
  <c r="N914" i="6"/>
  <c r="O914" i="6"/>
  <c r="P914" i="6"/>
  <c r="Q914" i="6"/>
  <c r="R914" i="6"/>
  <c r="S914" i="6"/>
  <c r="T914" i="6"/>
  <c r="U914" i="6"/>
  <c r="V914" i="6"/>
  <c r="W914" i="6"/>
  <c r="X914" i="6"/>
  <c r="N915" i="6"/>
  <c r="O915" i="6"/>
  <c r="P915" i="6"/>
  <c r="Q915" i="6"/>
  <c r="R915" i="6"/>
  <c r="S915" i="6"/>
  <c r="T915" i="6"/>
  <c r="U915" i="6"/>
  <c r="V915" i="6"/>
  <c r="W915" i="6"/>
  <c r="X915" i="6"/>
  <c r="N916" i="6"/>
  <c r="O916" i="6"/>
  <c r="P916" i="6"/>
  <c r="Q916" i="6"/>
  <c r="R916" i="6"/>
  <c r="S916" i="6"/>
  <c r="T916" i="6"/>
  <c r="U916" i="6"/>
  <c r="V916" i="6"/>
  <c r="W916" i="6"/>
  <c r="X916" i="6"/>
  <c r="N917" i="6"/>
  <c r="O917" i="6"/>
  <c r="P917" i="6"/>
  <c r="Q917" i="6"/>
  <c r="R917" i="6"/>
  <c r="S917" i="6"/>
  <c r="T917" i="6"/>
  <c r="U917" i="6"/>
  <c r="V917" i="6"/>
  <c r="W917" i="6"/>
  <c r="X917" i="6"/>
  <c r="N918" i="6"/>
  <c r="O918" i="6"/>
  <c r="P918" i="6"/>
  <c r="Q918" i="6"/>
  <c r="R918" i="6"/>
  <c r="S918" i="6"/>
  <c r="T918" i="6"/>
  <c r="U918" i="6"/>
  <c r="V918" i="6"/>
  <c r="W918" i="6"/>
  <c r="X918" i="6"/>
  <c r="N919" i="6"/>
  <c r="O919" i="6"/>
  <c r="P919" i="6"/>
  <c r="Q919" i="6"/>
  <c r="R919" i="6"/>
  <c r="S919" i="6"/>
  <c r="T919" i="6"/>
  <c r="U919" i="6"/>
  <c r="V919" i="6"/>
  <c r="W919" i="6"/>
  <c r="X919" i="6"/>
  <c r="N920" i="6"/>
  <c r="O920" i="6"/>
  <c r="P920" i="6"/>
  <c r="Q920" i="6"/>
  <c r="R920" i="6"/>
  <c r="S920" i="6"/>
  <c r="T920" i="6"/>
  <c r="U920" i="6"/>
  <c r="V920" i="6"/>
  <c r="W920" i="6"/>
  <c r="X920" i="6"/>
  <c r="N921" i="6"/>
  <c r="O921" i="6"/>
  <c r="P921" i="6"/>
  <c r="Q921" i="6"/>
  <c r="R921" i="6"/>
  <c r="S921" i="6"/>
  <c r="T921" i="6"/>
  <c r="U921" i="6"/>
  <c r="V921" i="6"/>
  <c r="W921" i="6"/>
  <c r="X921" i="6"/>
  <c r="N922" i="6"/>
  <c r="O922" i="6"/>
  <c r="P922" i="6"/>
  <c r="Q922" i="6"/>
  <c r="R922" i="6"/>
  <c r="S922" i="6"/>
  <c r="T922" i="6"/>
  <c r="U922" i="6"/>
  <c r="V922" i="6"/>
  <c r="W922" i="6"/>
  <c r="X922" i="6"/>
  <c r="N923" i="6"/>
  <c r="O923" i="6"/>
  <c r="P923" i="6"/>
  <c r="Q923" i="6"/>
  <c r="R923" i="6"/>
  <c r="S923" i="6"/>
  <c r="T923" i="6"/>
  <c r="U923" i="6"/>
  <c r="V923" i="6"/>
  <c r="W923" i="6"/>
  <c r="X923" i="6"/>
  <c r="N924" i="6"/>
  <c r="O924" i="6"/>
  <c r="P924" i="6"/>
  <c r="Q924" i="6"/>
  <c r="R924" i="6"/>
  <c r="S924" i="6"/>
  <c r="T924" i="6"/>
  <c r="U924" i="6"/>
  <c r="V924" i="6"/>
  <c r="W924" i="6"/>
  <c r="X924" i="6"/>
  <c r="N925" i="6"/>
  <c r="O925" i="6"/>
  <c r="P925" i="6"/>
  <c r="Q925" i="6"/>
  <c r="R925" i="6"/>
  <c r="S925" i="6"/>
  <c r="T925" i="6"/>
  <c r="U925" i="6"/>
  <c r="V925" i="6"/>
  <c r="W925" i="6"/>
  <c r="X925" i="6"/>
  <c r="N926" i="6"/>
  <c r="O926" i="6"/>
  <c r="P926" i="6"/>
  <c r="Q926" i="6"/>
  <c r="R926" i="6"/>
  <c r="S926" i="6"/>
  <c r="T926" i="6"/>
  <c r="U926" i="6"/>
  <c r="V926" i="6"/>
  <c r="W926" i="6"/>
  <c r="X926" i="6"/>
  <c r="N927" i="6"/>
  <c r="O927" i="6"/>
  <c r="P927" i="6"/>
  <c r="Q927" i="6"/>
  <c r="R927" i="6"/>
  <c r="S927" i="6"/>
  <c r="T927" i="6"/>
  <c r="U927" i="6"/>
  <c r="V927" i="6"/>
  <c r="W927" i="6"/>
  <c r="X927" i="6"/>
  <c r="N928" i="6"/>
  <c r="O928" i="6"/>
  <c r="P928" i="6"/>
  <c r="Q928" i="6"/>
  <c r="R928" i="6"/>
  <c r="S928" i="6"/>
  <c r="T928" i="6"/>
  <c r="U928" i="6"/>
  <c r="V928" i="6"/>
  <c r="W928" i="6"/>
  <c r="X928" i="6"/>
  <c r="N929" i="6"/>
  <c r="O929" i="6"/>
  <c r="P929" i="6"/>
  <c r="Q929" i="6"/>
  <c r="R929" i="6"/>
  <c r="S929" i="6"/>
  <c r="T929" i="6"/>
  <c r="U929" i="6"/>
  <c r="V929" i="6"/>
  <c r="W929" i="6"/>
  <c r="X929" i="6"/>
  <c r="N930" i="6"/>
  <c r="O930" i="6"/>
  <c r="P930" i="6"/>
  <c r="Q930" i="6"/>
  <c r="R930" i="6"/>
  <c r="S930" i="6"/>
  <c r="T930" i="6"/>
  <c r="U930" i="6"/>
  <c r="V930" i="6"/>
  <c r="W930" i="6"/>
  <c r="X930" i="6"/>
  <c r="N931" i="6"/>
  <c r="O931" i="6"/>
  <c r="P931" i="6"/>
  <c r="Q931" i="6"/>
  <c r="R931" i="6"/>
  <c r="S931" i="6"/>
  <c r="T931" i="6"/>
  <c r="U931" i="6"/>
  <c r="V931" i="6"/>
  <c r="W931" i="6"/>
  <c r="X931" i="6"/>
  <c r="N932" i="6"/>
  <c r="O932" i="6"/>
  <c r="P932" i="6"/>
  <c r="Q932" i="6"/>
  <c r="R932" i="6"/>
  <c r="S932" i="6"/>
  <c r="T932" i="6"/>
  <c r="U932" i="6"/>
  <c r="V932" i="6"/>
  <c r="W932" i="6"/>
  <c r="X932" i="6"/>
  <c r="N933" i="6"/>
  <c r="O933" i="6"/>
  <c r="P933" i="6"/>
  <c r="Q933" i="6"/>
  <c r="R933" i="6"/>
  <c r="S933" i="6"/>
  <c r="T933" i="6"/>
  <c r="U933" i="6"/>
  <c r="V933" i="6"/>
  <c r="W933" i="6"/>
  <c r="X933" i="6"/>
  <c r="N934" i="6"/>
  <c r="O934" i="6"/>
  <c r="P934" i="6"/>
  <c r="Q934" i="6"/>
  <c r="R934" i="6"/>
  <c r="S934" i="6"/>
  <c r="T934" i="6"/>
  <c r="U934" i="6"/>
  <c r="V934" i="6"/>
  <c r="W934" i="6"/>
  <c r="X934" i="6"/>
  <c r="N935" i="6"/>
  <c r="O935" i="6"/>
  <c r="P935" i="6"/>
  <c r="Q935" i="6"/>
  <c r="R935" i="6"/>
  <c r="S935" i="6"/>
  <c r="T935" i="6"/>
  <c r="U935" i="6"/>
  <c r="V935" i="6"/>
  <c r="W935" i="6"/>
  <c r="X935" i="6"/>
  <c r="N936" i="6"/>
  <c r="O936" i="6"/>
  <c r="P936" i="6"/>
  <c r="Q936" i="6"/>
  <c r="R936" i="6"/>
  <c r="S936" i="6"/>
  <c r="T936" i="6"/>
  <c r="U936" i="6"/>
  <c r="V936" i="6"/>
  <c r="W936" i="6"/>
  <c r="X936" i="6"/>
  <c r="N937" i="6"/>
  <c r="O937" i="6"/>
  <c r="P937" i="6"/>
  <c r="Q937" i="6"/>
  <c r="R937" i="6"/>
  <c r="S937" i="6"/>
  <c r="T937" i="6"/>
  <c r="U937" i="6"/>
  <c r="V937" i="6"/>
  <c r="W937" i="6"/>
  <c r="X937" i="6"/>
  <c r="N938" i="6"/>
  <c r="O938" i="6"/>
  <c r="P938" i="6"/>
  <c r="Q938" i="6"/>
  <c r="R938" i="6"/>
  <c r="S938" i="6"/>
  <c r="T938" i="6"/>
  <c r="U938" i="6"/>
  <c r="V938" i="6"/>
  <c r="W938" i="6"/>
  <c r="X938" i="6"/>
  <c r="N939" i="6"/>
  <c r="O939" i="6"/>
  <c r="P939" i="6"/>
  <c r="Q939" i="6"/>
  <c r="R939" i="6"/>
  <c r="S939" i="6"/>
  <c r="T939" i="6"/>
  <c r="U939" i="6"/>
  <c r="V939" i="6"/>
  <c r="W939" i="6"/>
  <c r="X939" i="6"/>
  <c r="N940" i="6"/>
  <c r="O940" i="6"/>
  <c r="P940" i="6"/>
  <c r="Q940" i="6"/>
  <c r="R940" i="6"/>
  <c r="S940" i="6"/>
  <c r="T940" i="6"/>
  <c r="U940" i="6"/>
  <c r="V940" i="6"/>
  <c r="W940" i="6"/>
  <c r="X940" i="6"/>
  <c r="N941" i="6"/>
  <c r="O941" i="6"/>
  <c r="P941" i="6"/>
  <c r="Q941" i="6"/>
  <c r="R941" i="6"/>
  <c r="S941" i="6"/>
  <c r="T941" i="6"/>
  <c r="U941" i="6"/>
  <c r="V941" i="6"/>
  <c r="W941" i="6"/>
  <c r="X941" i="6"/>
  <c r="N942" i="6"/>
  <c r="O942" i="6"/>
  <c r="P942" i="6"/>
  <c r="Q942" i="6"/>
  <c r="R942" i="6"/>
  <c r="S942" i="6"/>
  <c r="T942" i="6"/>
  <c r="U942" i="6"/>
  <c r="V942" i="6"/>
  <c r="W942" i="6"/>
  <c r="X942" i="6"/>
  <c r="N943" i="6"/>
  <c r="O943" i="6"/>
  <c r="P943" i="6"/>
  <c r="Q943" i="6"/>
  <c r="R943" i="6"/>
  <c r="S943" i="6"/>
  <c r="T943" i="6"/>
  <c r="U943" i="6"/>
  <c r="V943" i="6"/>
  <c r="W943" i="6"/>
  <c r="X943" i="6"/>
  <c r="N944" i="6"/>
  <c r="O944" i="6"/>
  <c r="P944" i="6"/>
  <c r="Q944" i="6"/>
  <c r="R944" i="6"/>
  <c r="S944" i="6"/>
  <c r="T944" i="6"/>
  <c r="U944" i="6"/>
  <c r="V944" i="6"/>
  <c r="W944" i="6"/>
  <c r="X944" i="6"/>
  <c r="N945" i="6"/>
  <c r="O945" i="6"/>
  <c r="P945" i="6"/>
  <c r="Q945" i="6"/>
  <c r="R945" i="6"/>
  <c r="S945" i="6"/>
  <c r="T945" i="6"/>
  <c r="U945" i="6"/>
  <c r="V945" i="6"/>
  <c r="W945" i="6"/>
  <c r="X945" i="6"/>
  <c r="N946" i="6"/>
  <c r="O946" i="6"/>
  <c r="P946" i="6"/>
  <c r="Q946" i="6"/>
  <c r="R946" i="6"/>
  <c r="S946" i="6"/>
  <c r="T946" i="6"/>
  <c r="U946" i="6"/>
  <c r="V946" i="6"/>
  <c r="W946" i="6"/>
  <c r="X946" i="6"/>
  <c r="N947" i="6"/>
  <c r="O947" i="6"/>
  <c r="P947" i="6"/>
  <c r="Q947" i="6"/>
  <c r="R947" i="6"/>
  <c r="S947" i="6"/>
  <c r="T947" i="6"/>
  <c r="U947" i="6"/>
  <c r="V947" i="6"/>
  <c r="W947" i="6"/>
  <c r="X947" i="6"/>
  <c r="N948" i="6"/>
  <c r="O948" i="6"/>
  <c r="P948" i="6"/>
  <c r="Q948" i="6"/>
  <c r="R948" i="6"/>
  <c r="S948" i="6"/>
  <c r="T948" i="6"/>
  <c r="U948" i="6"/>
  <c r="V948" i="6"/>
  <c r="W948" i="6"/>
  <c r="X948" i="6"/>
  <c r="N949" i="6"/>
  <c r="O949" i="6"/>
  <c r="P949" i="6"/>
  <c r="Q949" i="6"/>
  <c r="R949" i="6"/>
  <c r="S949" i="6"/>
  <c r="T949" i="6"/>
  <c r="U949" i="6"/>
  <c r="V949" i="6"/>
  <c r="W949" i="6"/>
  <c r="X949" i="6"/>
  <c r="N950" i="6"/>
  <c r="O950" i="6"/>
  <c r="P950" i="6"/>
  <c r="Q950" i="6"/>
  <c r="R950" i="6"/>
  <c r="S950" i="6"/>
  <c r="T950" i="6"/>
  <c r="U950" i="6"/>
  <c r="V950" i="6"/>
  <c r="W950" i="6"/>
  <c r="X950" i="6"/>
  <c r="N951" i="6"/>
  <c r="O951" i="6"/>
  <c r="P951" i="6"/>
  <c r="Q951" i="6"/>
  <c r="R951" i="6"/>
  <c r="S951" i="6"/>
  <c r="T951" i="6"/>
  <c r="U951" i="6"/>
  <c r="V951" i="6"/>
  <c r="W951" i="6"/>
  <c r="X951" i="6"/>
  <c r="N952" i="6"/>
  <c r="O952" i="6"/>
  <c r="P952" i="6"/>
  <c r="Q952" i="6"/>
  <c r="R952" i="6"/>
  <c r="S952" i="6"/>
  <c r="T952" i="6"/>
  <c r="U952" i="6"/>
  <c r="V952" i="6"/>
  <c r="W952" i="6"/>
  <c r="X952" i="6"/>
  <c r="N953" i="6"/>
  <c r="O953" i="6"/>
  <c r="P953" i="6"/>
  <c r="Q953" i="6"/>
  <c r="R953" i="6"/>
  <c r="S953" i="6"/>
  <c r="T953" i="6"/>
  <c r="U953" i="6"/>
  <c r="V953" i="6"/>
  <c r="W953" i="6"/>
  <c r="X953" i="6"/>
  <c r="N954" i="6"/>
  <c r="O954" i="6"/>
  <c r="P954" i="6"/>
  <c r="Q954" i="6"/>
  <c r="R954" i="6"/>
  <c r="S954" i="6"/>
  <c r="T954" i="6"/>
  <c r="U954" i="6"/>
  <c r="V954" i="6"/>
  <c r="W954" i="6"/>
  <c r="X954" i="6"/>
  <c r="N955" i="6"/>
  <c r="O955" i="6"/>
  <c r="P955" i="6"/>
  <c r="Q955" i="6"/>
  <c r="R955" i="6"/>
  <c r="S955" i="6"/>
  <c r="T955" i="6"/>
  <c r="U955" i="6"/>
  <c r="V955" i="6"/>
  <c r="W955" i="6"/>
  <c r="X955" i="6"/>
  <c r="N956" i="6"/>
  <c r="O956" i="6"/>
  <c r="P956" i="6"/>
  <c r="Q956" i="6"/>
  <c r="R956" i="6"/>
  <c r="S956" i="6"/>
  <c r="T956" i="6"/>
  <c r="U956" i="6"/>
  <c r="V956" i="6"/>
  <c r="W956" i="6"/>
  <c r="X956" i="6"/>
  <c r="N957" i="6"/>
  <c r="O957" i="6"/>
  <c r="P957" i="6"/>
  <c r="Q957" i="6"/>
  <c r="R957" i="6"/>
  <c r="S957" i="6"/>
  <c r="T957" i="6"/>
  <c r="U957" i="6"/>
  <c r="V957" i="6"/>
  <c r="W957" i="6"/>
  <c r="X957" i="6"/>
  <c r="N958" i="6"/>
  <c r="O958" i="6"/>
  <c r="P958" i="6"/>
  <c r="Q958" i="6"/>
  <c r="R958" i="6"/>
  <c r="S958" i="6"/>
  <c r="T958" i="6"/>
  <c r="U958" i="6"/>
  <c r="V958" i="6"/>
  <c r="W958" i="6"/>
  <c r="X958" i="6"/>
  <c r="N959" i="6"/>
  <c r="O959" i="6"/>
  <c r="P959" i="6"/>
  <c r="Q959" i="6"/>
  <c r="R959" i="6"/>
  <c r="S959" i="6"/>
  <c r="T959" i="6"/>
  <c r="U959" i="6"/>
  <c r="V959" i="6"/>
  <c r="W959" i="6"/>
  <c r="X959" i="6"/>
  <c r="N960" i="6"/>
  <c r="O960" i="6"/>
  <c r="P960" i="6"/>
  <c r="Q960" i="6"/>
  <c r="R960" i="6"/>
  <c r="S960" i="6"/>
  <c r="T960" i="6"/>
  <c r="U960" i="6"/>
  <c r="V960" i="6"/>
  <c r="W960" i="6"/>
  <c r="X960" i="6"/>
  <c r="N961" i="6"/>
  <c r="O961" i="6"/>
  <c r="P961" i="6"/>
  <c r="Q961" i="6"/>
  <c r="R961" i="6"/>
  <c r="S961" i="6"/>
  <c r="T961" i="6"/>
  <c r="U961" i="6"/>
  <c r="V961" i="6"/>
  <c r="W961" i="6"/>
  <c r="X961" i="6"/>
  <c r="N962" i="6"/>
  <c r="O962" i="6"/>
  <c r="P962" i="6"/>
  <c r="Q962" i="6"/>
  <c r="R962" i="6"/>
  <c r="S962" i="6"/>
  <c r="T962" i="6"/>
  <c r="U962" i="6"/>
  <c r="V962" i="6"/>
  <c r="W962" i="6"/>
  <c r="X962" i="6"/>
  <c r="N963" i="6"/>
  <c r="O963" i="6"/>
  <c r="P963" i="6"/>
  <c r="Q963" i="6"/>
  <c r="R963" i="6"/>
  <c r="S963" i="6"/>
  <c r="T963" i="6"/>
  <c r="U963" i="6"/>
  <c r="V963" i="6"/>
  <c r="W963" i="6"/>
  <c r="X963" i="6"/>
  <c r="N964" i="6"/>
  <c r="O964" i="6"/>
  <c r="P964" i="6"/>
  <c r="Q964" i="6"/>
  <c r="R964" i="6"/>
  <c r="S964" i="6"/>
  <c r="T964" i="6"/>
  <c r="U964" i="6"/>
  <c r="V964" i="6"/>
  <c r="W964" i="6"/>
  <c r="X964" i="6"/>
  <c r="N965" i="6"/>
  <c r="O965" i="6"/>
  <c r="P965" i="6"/>
  <c r="Q965" i="6"/>
  <c r="R965" i="6"/>
  <c r="S965" i="6"/>
  <c r="T965" i="6"/>
  <c r="U965" i="6"/>
  <c r="V965" i="6"/>
  <c r="W965" i="6"/>
  <c r="X965" i="6"/>
  <c r="N966" i="6"/>
  <c r="O966" i="6"/>
  <c r="P966" i="6"/>
  <c r="Q966" i="6"/>
  <c r="R966" i="6"/>
  <c r="S966" i="6"/>
  <c r="T966" i="6"/>
  <c r="U966" i="6"/>
  <c r="V966" i="6"/>
  <c r="W966" i="6"/>
  <c r="X966" i="6"/>
  <c r="N967" i="6"/>
  <c r="O967" i="6"/>
  <c r="P967" i="6"/>
  <c r="Q967" i="6"/>
  <c r="R967" i="6"/>
  <c r="S967" i="6"/>
  <c r="T967" i="6"/>
  <c r="U967" i="6"/>
  <c r="V967" i="6"/>
  <c r="W967" i="6"/>
  <c r="X967" i="6"/>
  <c r="N968" i="6"/>
  <c r="O968" i="6"/>
  <c r="P968" i="6"/>
  <c r="Q968" i="6"/>
  <c r="R968" i="6"/>
  <c r="S968" i="6"/>
  <c r="T968" i="6"/>
  <c r="U968" i="6"/>
  <c r="V968" i="6"/>
  <c r="W968" i="6"/>
  <c r="X968" i="6"/>
  <c r="N969" i="6"/>
  <c r="O969" i="6"/>
  <c r="P969" i="6"/>
  <c r="Q969" i="6"/>
  <c r="R969" i="6"/>
  <c r="S969" i="6"/>
  <c r="T969" i="6"/>
  <c r="U969" i="6"/>
  <c r="V969" i="6"/>
  <c r="W969" i="6"/>
  <c r="X969" i="6"/>
  <c r="N970" i="6"/>
  <c r="O970" i="6"/>
  <c r="P970" i="6"/>
  <c r="Q970" i="6"/>
  <c r="R970" i="6"/>
  <c r="S970" i="6"/>
  <c r="T970" i="6"/>
  <c r="U970" i="6"/>
  <c r="V970" i="6"/>
  <c r="W970" i="6"/>
  <c r="X970" i="6"/>
  <c r="N971" i="6"/>
  <c r="O971" i="6"/>
  <c r="P971" i="6"/>
  <c r="Q971" i="6"/>
  <c r="R971" i="6"/>
  <c r="S971" i="6"/>
  <c r="T971" i="6"/>
  <c r="U971" i="6"/>
  <c r="V971" i="6"/>
  <c r="W971" i="6"/>
  <c r="X971" i="6"/>
  <c r="N972" i="6"/>
  <c r="O972" i="6"/>
  <c r="P972" i="6"/>
  <c r="Q972" i="6"/>
  <c r="R972" i="6"/>
  <c r="S972" i="6"/>
  <c r="T972" i="6"/>
  <c r="U972" i="6"/>
  <c r="V972" i="6"/>
  <c r="W972" i="6"/>
  <c r="X972" i="6"/>
  <c r="N973" i="6"/>
  <c r="O973" i="6"/>
  <c r="P973" i="6"/>
  <c r="Q973" i="6"/>
  <c r="R973" i="6"/>
  <c r="S973" i="6"/>
  <c r="T973" i="6"/>
  <c r="U973" i="6"/>
  <c r="V973" i="6"/>
  <c r="W973" i="6"/>
  <c r="X973" i="6"/>
  <c r="N974" i="6"/>
  <c r="O974" i="6"/>
  <c r="P974" i="6"/>
  <c r="Q974" i="6"/>
  <c r="R974" i="6"/>
  <c r="S974" i="6"/>
  <c r="T974" i="6"/>
  <c r="U974" i="6"/>
  <c r="V974" i="6"/>
  <c r="W974" i="6"/>
  <c r="X974" i="6"/>
  <c r="N975" i="6"/>
  <c r="O975" i="6"/>
  <c r="P975" i="6"/>
  <c r="Q975" i="6"/>
  <c r="R975" i="6"/>
  <c r="S975" i="6"/>
  <c r="T975" i="6"/>
  <c r="U975" i="6"/>
  <c r="V975" i="6"/>
  <c r="W975" i="6"/>
  <c r="X975" i="6"/>
  <c r="N976" i="6"/>
  <c r="O976" i="6"/>
  <c r="P976" i="6"/>
  <c r="Q976" i="6"/>
  <c r="R976" i="6"/>
  <c r="S976" i="6"/>
  <c r="T976" i="6"/>
  <c r="U976" i="6"/>
  <c r="V976" i="6"/>
  <c r="W976" i="6"/>
  <c r="X976" i="6"/>
  <c r="N977" i="6"/>
  <c r="O977" i="6"/>
  <c r="P977" i="6"/>
  <c r="Q977" i="6"/>
  <c r="R977" i="6"/>
  <c r="S977" i="6"/>
  <c r="T977" i="6"/>
  <c r="U977" i="6"/>
  <c r="V977" i="6"/>
  <c r="W977" i="6"/>
  <c r="X977" i="6"/>
  <c r="N978" i="6"/>
  <c r="O978" i="6"/>
  <c r="P978" i="6"/>
  <c r="Q978" i="6"/>
  <c r="R978" i="6"/>
  <c r="S978" i="6"/>
  <c r="T978" i="6"/>
  <c r="U978" i="6"/>
  <c r="V978" i="6"/>
  <c r="W978" i="6"/>
  <c r="X978" i="6"/>
  <c r="N979" i="6"/>
  <c r="O979" i="6"/>
  <c r="P979" i="6"/>
  <c r="Q979" i="6"/>
  <c r="R979" i="6"/>
  <c r="S979" i="6"/>
  <c r="T979" i="6"/>
  <c r="U979" i="6"/>
  <c r="V979" i="6"/>
  <c r="W979" i="6"/>
  <c r="X979" i="6"/>
  <c r="N980" i="6"/>
  <c r="O980" i="6"/>
  <c r="P980" i="6"/>
  <c r="Q980" i="6"/>
  <c r="R980" i="6"/>
  <c r="S980" i="6"/>
  <c r="T980" i="6"/>
  <c r="U980" i="6"/>
  <c r="V980" i="6"/>
  <c r="W980" i="6"/>
  <c r="X980" i="6"/>
  <c r="N981" i="6"/>
  <c r="O981" i="6"/>
  <c r="P981" i="6"/>
  <c r="Q981" i="6"/>
  <c r="R981" i="6"/>
  <c r="S981" i="6"/>
  <c r="T981" i="6"/>
  <c r="U981" i="6"/>
  <c r="V981" i="6"/>
  <c r="W981" i="6"/>
  <c r="X981" i="6"/>
  <c r="N982" i="6"/>
  <c r="O982" i="6"/>
  <c r="P982" i="6"/>
  <c r="Q982" i="6"/>
  <c r="R982" i="6"/>
  <c r="S982" i="6"/>
  <c r="T982" i="6"/>
  <c r="U982" i="6"/>
  <c r="V982" i="6"/>
  <c r="W982" i="6"/>
  <c r="X982" i="6"/>
  <c r="N983" i="6"/>
  <c r="O983" i="6"/>
  <c r="P983" i="6"/>
  <c r="Q983" i="6"/>
  <c r="R983" i="6"/>
  <c r="S983" i="6"/>
  <c r="T983" i="6"/>
  <c r="U983" i="6"/>
  <c r="V983" i="6"/>
  <c r="W983" i="6"/>
  <c r="X983" i="6"/>
  <c r="N984" i="6"/>
  <c r="O984" i="6"/>
  <c r="P984" i="6"/>
  <c r="Q984" i="6"/>
  <c r="R984" i="6"/>
  <c r="S984" i="6"/>
  <c r="T984" i="6"/>
  <c r="U984" i="6"/>
  <c r="V984" i="6"/>
  <c r="W984" i="6"/>
  <c r="X984" i="6"/>
  <c r="N985" i="6"/>
  <c r="O985" i="6"/>
  <c r="P985" i="6"/>
  <c r="Q985" i="6"/>
  <c r="R985" i="6"/>
  <c r="S985" i="6"/>
  <c r="T985" i="6"/>
  <c r="U985" i="6"/>
  <c r="V985" i="6"/>
  <c r="W985" i="6"/>
  <c r="X985" i="6"/>
  <c r="N986" i="6"/>
  <c r="O986" i="6"/>
  <c r="P986" i="6"/>
  <c r="Q986" i="6"/>
  <c r="R986" i="6"/>
  <c r="S986" i="6"/>
  <c r="T986" i="6"/>
  <c r="U986" i="6"/>
  <c r="V986" i="6"/>
  <c r="W986" i="6"/>
  <c r="X986" i="6"/>
  <c r="N987" i="6"/>
  <c r="O987" i="6"/>
  <c r="P987" i="6"/>
  <c r="Q987" i="6"/>
  <c r="R987" i="6"/>
  <c r="S987" i="6"/>
  <c r="T987" i="6"/>
  <c r="U987" i="6"/>
  <c r="V987" i="6"/>
  <c r="W987" i="6"/>
  <c r="X987" i="6"/>
  <c r="N988" i="6"/>
  <c r="O988" i="6"/>
  <c r="P988" i="6"/>
  <c r="Q988" i="6"/>
  <c r="R988" i="6"/>
  <c r="S988" i="6"/>
  <c r="T988" i="6"/>
  <c r="U988" i="6"/>
  <c r="V988" i="6"/>
  <c r="W988" i="6"/>
  <c r="X988" i="6"/>
  <c r="N989" i="6"/>
  <c r="O989" i="6"/>
  <c r="P989" i="6"/>
  <c r="Q989" i="6"/>
  <c r="R989" i="6"/>
  <c r="S989" i="6"/>
  <c r="T989" i="6"/>
  <c r="U989" i="6"/>
  <c r="V989" i="6"/>
  <c r="W989" i="6"/>
  <c r="X989" i="6"/>
  <c r="N990" i="6"/>
  <c r="O990" i="6"/>
  <c r="P990" i="6"/>
  <c r="Q990" i="6"/>
  <c r="R990" i="6"/>
  <c r="S990" i="6"/>
  <c r="T990" i="6"/>
  <c r="U990" i="6"/>
  <c r="V990" i="6"/>
  <c r="W990" i="6"/>
  <c r="X990" i="6"/>
  <c r="N991" i="6"/>
  <c r="O991" i="6"/>
  <c r="P991" i="6"/>
  <c r="Q991" i="6"/>
  <c r="R991" i="6"/>
  <c r="S991" i="6"/>
  <c r="T991" i="6"/>
  <c r="U991" i="6"/>
  <c r="V991" i="6"/>
  <c r="W991" i="6"/>
  <c r="X991" i="6"/>
  <c r="N992" i="6"/>
  <c r="O992" i="6"/>
  <c r="P992" i="6"/>
  <c r="Q992" i="6"/>
  <c r="R992" i="6"/>
  <c r="S992" i="6"/>
  <c r="T992" i="6"/>
  <c r="U992" i="6"/>
  <c r="V992" i="6"/>
  <c r="W992" i="6"/>
  <c r="X992" i="6"/>
  <c r="N993" i="6"/>
  <c r="O993" i="6"/>
  <c r="P993" i="6"/>
  <c r="Q993" i="6"/>
  <c r="R993" i="6"/>
  <c r="S993" i="6"/>
  <c r="T993" i="6"/>
  <c r="U993" i="6"/>
  <c r="V993" i="6"/>
  <c r="W993" i="6"/>
  <c r="X993" i="6"/>
  <c r="N994" i="6"/>
  <c r="O994" i="6"/>
  <c r="P994" i="6"/>
  <c r="Q994" i="6"/>
  <c r="R994" i="6"/>
  <c r="S994" i="6"/>
  <c r="T994" i="6"/>
  <c r="U994" i="6"/>
  <c r="V994" i="6"/>
  <c r="W994" i="6"/>
  <c r="X994" i="6"/>
  <c r="N995" i="6"/>
  <c r="O995" i="6"/>
  <c r="P995" i="6"/>
  <c r="Q995" i="6"/>
  <c r="R995" i="6"/>
  <c r="S995" i="6"/>
  <c r="T995" i="6"/>
  <c r="U995" i="6"/>
  <c r="V995" i="6"/>
  <c r="W995" i="6"/>
  <c r="X995" i="6"/>
  <c r="N996" i="6"/>
  <c r="O996" i="6"/>
  <c r="P996" i="6"/>
  <c r="Q996" i="6"/>
  <c r="R996" i="6"/>
  <c r="S996" i="6"/>
  <c r="T996" i="6"/>
  <c r="U996" i="6"/>
  <c r="V996" i="6"/>
  <c r="W996" i="6"/>
  <c r="X996" i="6"/>
  <c r="N997" i="6"/>
  <c r="O997" i="6"/>
  <c r="P997" i="6"/>
  <c r="Q997" i="6"/>
  <c r="R997" i="6"/>
  <c r="S997" i="6"/>
  <c r="T997" i="6"/>
  <c r="U997" i="6"/>
  <c r="V997" i="6"/>
  <c r="W997" i="6"/>
  <c r="X997" i="6"/>
  <c r="N998" i="6"/>
  <c r="O998" i="6"/>
  <c r="P998" i="6"/>
  <c r="Q998" i="6"/>
  <c r="R998" i="6"/>
  <c r="S998" i="6"/>
  <c r="T998" i="6"/>
  <c r="U998" i="6"/>
  <c r="V998" i="6"/>
  <c r="W998" i="6"/>
  <c r="X998" i="6"/>
  <c r="N999" i="6"/>
  <c r="O999" i="6"/>
  <c r="P999" i="6"/>
  <c r="Q999" i="6"/>
  <c r="R999" i="6"/>
  <c r="S999" i="6"/>
  <c r="T999" i="6"/>
  <c r="U999" i="6"/>
  <c r="V999" i="6"/>
  <c r="W999" i="6"/>
  <c r="X999" i="6"/>
  <c r="N1000" i="6"/>
  <c r="O1000" i="6"/>
  <c r="P1000" i="6"/>
  <c r="Q1000" i="6"/>
  <c r="R1000" i="6"/>
  <c r="S1000" i="6"/>
  <c r="T1000" i="6"/>
  <c r="U1000" i="6"/>
  <c r="V1000" i="6"/>
  <c r="W1000" i="6"/>
  <c r="X1000" i="6"/>
  <c r="N1001" i="6"/>
  <c r="O1001" i="6"/>
  <c r="P1001" i="6"/>
  <c r="Q1001" i="6"/>
  <c r="R1001" i="6"/>
  <c r="S1001" i="6"/>
  <c r="T1001" i="6"/>
  <c r="U1001" i="6"/>
  <c r="V1001" i="6"/>
  <c r="W1001" i="6"/>
  <c r="X1001" i="6"/>
  <c r="N1002" i="6"/>
  <c r="O1002" i="6"/>
  <c r="P1002" i="6"/>
  <c r="Q1002" i="6"/>
  <c r="R1002" i="6"/>
  <c r="S1002" i="6"/>
  <c r="T1002" i="6"/>
  <c r="U1002" i="6"/>
  <c r="V1002" i="6"/>
  <c r="W1002" i="6"/>
  <c r="X1002" i="6"/>
  <c r="N1003" i="6"/>
  <c r="O1003" i="6"/>
  <c r="P1003" i="6"/>
  <c r="Q1003" i="6"/>
  <c r="R1003" i="6"/>
  <c r="S1003" i="6"/>
  <c r="T1003" i="6"/>
  <c r="U1003" i="6"/>
  <c r="V1003" i="6"/>
  <c r="W1003" i="6"/>
  <c r="X1003" i="6"/>
  <c r="N1004" i="6"/>
  <c r="O1004" i="6"/>
  <c r="P1004" i="6"/>
  <c r="Q1004" i="6"/>
  <c r="R1004" i="6"/>
  <c r="S1004" i="6"/>
  <c r="T1004" i="6"/>
  <c r="U1004" i="6"/>
  <c r="V1004" i="6"/>
  <c r="W1004" i="6"/>
  <c r="X1004" i="6"/>
  <c r="N1005" i="6"/>
  <c r="O1005" i="6"/>
  <c r="P1005" i="6"/>
  <c r="Q1005" i="6"/>
  <c r="R1005" i="6"/>
  <c r="S1005" i="6"/>
  <c r="T1005" i="6"/>
  <c r="U1005" i="6"/>
  <c r="V1005" i="6"/>
  <c r="W1005" i="6"/>
  <c r="X1005" i="6"/>
  <c r="N1006" i="6"/>
  <c r="O1006" i="6"/>
  <c r="P1006" i="6"/>
  <c r="Q1006" i="6"/>
  <c r="R1006" i="6"/>
  <c r="S1006" i="6"/>
  <c r="T1006" i="6"/>
  <c r="U1006" i="6"/>
  <c r="V1006" i="6"/>
  <c r="W1006" i="6"/>
  <c r="X1006" i="6"/>
  <c r="N1007" i="6"/>
  <c r="O1007" i="6"/>
  <c r="P1007" i="6"/>
  <c r="Q1007" i="6"/>
  <c r="R1007" i="6"/>
  <c r="S1007" i="6"/>
  <c r="T1007" i="6"/>
  <c r="U1007" i="6"/>
  <c r="V1007" i="6"/>
  <c r="W1007" i="6"/>
  <c r="X1007" i="6"/>
  <c r="N1008" i="6"/>
  <c r="O1008" i="6"/>
  <c r="P1008" i="6"/>
  <c r="Q1008" i="6"/>
  <c r="R1008" i="6"/>
  <c r="S1008" i="6"/>
  <c r="T1008" i="6"/>
  <c r="U1008" i="6"/>
  <c r="V1008" i="6"/>
  <c r="W1008" i="6"/>
  <c r="X1008" i="6"/>
  <c r="X9" i="6"/>
  <c r="W9" i="6"/>
  <c r="V9" i="6"/>
  <c r="U9" i="6"/>
  <c r="T9" i="6"/>
  <c r="S9" i="6"/>
  <c r="R9" i="6"/>
  <c r="Q9" i="6"/>
  <c r="P9" i="6"/>
  <c r="O9" i="6"/>
  <c r="N9" i="6"/>
  <c r="AC6" i="6"/>
  <c r="C1012" i="6"/>
  <c r="D1012" i="6"/>
  <c r="E1012" i="6"/>
  <c r="F1012" i="6"/>
  <c r="G1012" i="6"/>
  <c r="H1012" i="6"/>
  <c r="I1012" i="6"/>
  <c r="J1012" i="6"/>
  <c r="K1012" i="6"/>
  <c r="L1012" i="6"/>
  <c r="B1012" i="6"/>
  <c r="C1011" i="6"/>
  <c r="D1011" i="6"/>
  <c r="E1011" i="6"/>
  <c r="F1011" i="6"/>
  <c r="G1011" i="6"/>
  <c r="H1011" i="6"/>
  <c r="I1011" i="6"/>
  <c r="J1011" i="6"/>
  <c r="K1011" i="6"/>
  <c r="L1011" i="6"/>
  <c r="B1011" i="6"/>
  <c r="B256" i="5"/>
  <c r="N79" i="5"/>
  <c r="C256" i="5"/>
  <c r="O79" i="5"/>
  <c r="D256" i="5"/>
  <c r="P79" i="5"/>
  <c r="E256" i="5"/>
  <c r="Q79" i="5"/>
  <c r="F256" i="5"/>
  <c r="R79" i="5"/>
  <c r="G256" i="5"/>
  <c r="S79" i="5"/>
  <c r="N80" i="5"/>
  <c r="O80" i="5"/>
  <c r="P80" i="5"/>
  <c r="Q80" i="5"/>
  <c r="R80" i="5"/>
  <c r="S80" i="5"/>
  <c r="N81" i="5"/>
  <c r="O81" i="5"/>
  <c r="P81" i="5"/>
  <c r="Q81" i="5"/>
  <c r="R81" i="5"/>
  <c r="S81" i="5"/>
  <c r="N82" i="5"/>
  <c r="O82" i="5"/>
  <c r="P82" i="5"/>
  <c r="Q82" i="5"/>
  <c r="R82" i="5"/>
  <c r="S82" i="5"/>
  <c r="N83" i="5"/>
  <c r="O83" i="5"/>
  <c r="P83" i="5"/>
  <c r="Q83" i="5"/>
  <c r="R83" i="5"/>
  <c r="S83" i="5"/>
  <c r="N84" i="5"/>
  <c r="O84" i="5"/>
  <c r="P84" i="5"/>
  <c r="Q84" i="5"/>
  <c r="R84" i="5"/>
  <c r="S84" i="5"/>
  <c r="N85" i="5"/>
  <c r="O85" i="5"/>
  <c r="P85" i="5"/>
  <c r="Q85" i="5"/>
  <c r="R85" i="5"/>
  <c r="S85" i="5"/>
  <c r="N86" i="5"/>
  <c r="O86" i="5"/>
  <c r="P86" i="5"/>
  <c r="Q86" i="5"/>
  <c r="R86" i="5"/>
  <c r="S86" i="5"/>
  <c r="N87" i="5"/>
  <c r="O87" i="5"/>
  <c r="P87" i="5"/>
  <c r="Q87" i="5"/>
  <c r="R87" i="5"/>
  <c r="S87" i="5"/>
  <c r="N88" i="5"/>
  <c r="O88" i="5"/>
  <c r="P88" i="5"/>
  <c r="Q88" i="5"/>
  <c r="R88" i="5"/>
  <c r="S88" i="5"/>
  <c r="N89" i="5"/>
  <c r="O89" i="5"/>
  <c r="P89" i="5"/>
  <c r="Q89" i="5"/>
  <c r="R89" i="5"/>
  <c r="S89" i="5"/>
  <c r="N90" i="5"/>
  <c r="O90" i="5"/>
  <c r="P90" i="5"/>
  <c r="Q90" i="5"/>
  <c r="R90" i="5"/>
  <c r="S90" i="5"/>
  <c r="N91" i="5"/>
  <c r="O91" i="5"/>
  <c r="P91" i="5"/>
  <c r="Q91" i="5"/>
  <c r="R91" i="5"/>
  <c r="S91" i="5"/>
  <c r="N92" i="5"/>
  <c r="O92" i="5"/>
  <c r="P92" i="5"/>
  <c r="Q92" i="5"/>
  <c r="R92" i="5"/>
  <c r="S92" i="5"/>
  <c r="N93" i="5"/>
  <c r="O93" i="5"/>
  <c r="P93" i="5"/>
  <c r="Q93" i="5"/>
  <c r="R93" i="5"/>
  <c r="S93" i="5"/>
  <c r="N94" i="5"/>
  <c r="O94" i="5"/>
  <c r="P94" i="5"/>
  <c r="Q94" i="5"/>
  <c r="R94" i="5"/>
  <c r="S94" i="5"/>
  <c r="N95" i="5"/>
  <c r="O95" i="5"/>
  <c r="P95" i="5"/>
  <c r="Q95" i="5"/>
  <c r="R95" i="5"/>
  <c r="S95" i="5"/>
  <c r="N96" i="5"/>
  <c r="O96" i="5"/>
  <c r="P96" i="5"/>
  <c r="Q96" i="5"/>
  <c r="R96" i="5"/>
  <c r="S96" i="5"/>
  <c r="N97" i="5"/>
  <c r="O97" i="5"/>
  <c r="P97" i="5"/>
  <c r="Q97" i="5"/>
  <c r="R97" i="5"/>
  <c r="S97" i="5"/>
  <c r="N98" i="5"/>
  <c r="O98" i="5"/>
  <c r="P98" i="5"/>
  <c r="Q98" i="5"/>
  <c r="R98" i="5"/>
  <c r="S98" i="5"/>
  <c r="N99" i="5"/>
  <c r="O99" i="5"/>
  <c r="P99" i="5"/>
  <c r="Q99" i="5"/>
  <c r="R99" i="5"/>
  <c r="S99" i="5"/>
  <c r="N100" i="5"/>
  <c r="O100" i="5"/>
  <c r="P100" i="5"/>
  <c r="Q100" i="5"/>
  <c r="R100" i="5"/>
  <c r="S100" i="5"/>
  <c r="N101" i="5"/>
  <c r="O101" i="5"/>
  <c r="P101" i="5"/>
  <c r="Q101" i="5"/>
  <c r="R101" i="5"/>
  <c r="S101" i="5"/>
  <c r="N102" i="5"/>
  <c r="O102" i="5"/>
  <c r="P102" i="5"/>
  <c r="Q102" i="5"/>
  <c r="R102" i="5"/>
  <c r="S102" i="5"/>
  <c r="N103" i="5"/>
  <c r="O103" i="5"/>
  <c r="P103" i="5"/>
  <c r="Q103" i="5"/>
  <c r="R103" i="5"/>
  <c r="S103" i="5"/>
  <c r="N104" i="5"/>
  <c r="O104" i="5"/>
  <c r="P104" i="5"/>
  <c r="Q104" i="5"/>
  <c r="R104" i="5"/>
  <c r="S104" i="5"/>
  <c r="N105" i="5"/>
  <c r="O105" i="5"/>
  <c r="P105" i="5"/>
  <c r="Q105" i="5"/>
  <c r="R105" i="5"/>
  <c r="S105" i="5"/>
  <c r="N106" i="5"/>
  <c r="O106" i="5"/>
  <c r="P106" i="5"/>
  <c r="Q106" i="5"/>
  <c r="R106" i="5"/>
  <c r="S106" i="5"/>
  <c r="N107" i="5"/>
  <c r="O107" i="5"/>
  <c r="P107" i="5"/>
  <c r="Q107" i="5"/>
  <c r="R107" i="5"/>
  <c r="S107" i="5"/>
  <c r="N108" i="5"/>
  <c r="O108" i="5"/>
  <c r="P108" i="5"/>
  <c r="Q108" i="5"/>
  <c r="R108" i="5"/>
  <c r="S108" i="5"/>
  <c r="N109" i="5"/>
  <c r="O109" i="5"/>
  <c r="P109" i="5"/>
  <c r="Q109" i="5"/>
  <c r="R109" i="5"/>
  <c r="S109" i="5"/>
  <c r="N110" i="5"/>
  <c r="O110" i="5"/>
  <c r="P110" i="5"/>
  <c r="Q110" i="5"/>
  <c r="R110" i="5"/>
  <c r="S110" i="5"/>
  <c r="N111" i="5"/>
  <c r="O111" i="5"/>
  <c r="P111" i="5"/>
  <c r="Q111" i="5"/>
  <c r="R111" i="5"/>
  <c r="S111" i="5"/>
  <c r="N112" i="5"/>
  <c r="O112" i="5"/>
  <c r="P112" i="5"/>
  <c r="Q112" i="5"/>
  <c r="R112" i="5"/>
  <c r="S112" i="5"/>
  <c r="N113" i="5"/>
  <c r="O113" i="5"/>
  <c r="P113" i="5"/>
  <c r="Q113" i="5"/>
  <c r="R113" i="5"/>
  <c r="S113" i="5"/>
  <c r="N114" i="5"/>
  <c r="O114" i="5"/>
  <c r="P114" i="5"/>
  <c r="Q114" i="5"/>
  <c r="R114" i="5"/>
  <c r="S114" i="5"/>
  <c r="N115" i="5"/>
  <c r="O115" i="5"/>
  <c r="P115" i="5"/>
  <c r="Q115" i="5"/>
  <c r="R115" i="5"/>
  <c r="S115" i="5"/>
  <c r="N116" i="5"/>
  <c r="O116" i="5"/>
  <c r="P116" i="5"/>
  <c r="Q116" i="5"/>
  <c r="R116" i="5"/>
  <c r="S116" i="5"/>
  <c r="N117" i="5"/>
  <c r="O117" i="5"/>
  <c r="P117" i="5"/>
  <c r="Q117" i="5"/>
  <c r="R117" i="5"/>
  <c r="S117" i="5"/>
  <c r="N118" i="5"/>
  <c r="O118" i="5"/>
  <c r="P118" i="5"/>
  <c r="Q118" i="5"/>
  <c r="R118" i="5"/>
  <c r="S118" i="5"/>
  <c r="N119" i="5"/>
  <c r="O119" i="5"/>
  <c r="P119" i="5"/>
  <c r="Q119" i="5"/>
  <c r="R119" i="5"/>
  <c r="S119" i="5"/>
  <c r="N120" i="5"/>
  <c r="O120" i="5"/>
  <c r="P120" i="5"/>
  <c r="Q120" i="5"/>
  <c r="R120" i="5"/>
  <c r="S120" i="5"/>
  <c r="N121" i="5"/>
  <c r="O121" i="5"/>
  <c r="P121" i="5"/>
  <c r="Q121" i="5"/>
  <c r="R121" i="5"/>
  <c r="S121" i="5"/>
  <c r="N122" i="5"/>
  <c r="O122" i="5"/>
  <c r="P122" i="5"/>
  <c r="Q122" i="5"/>
  <c r="R122" i="5"/>
  <c r="S122" i="5"/>
  <c r="N123" i="5"/>
  <c r="O123" i="5"/>
  <c r="P123" i="5"/>
  <c r="Q123" i="5"/>
  <c r="R123" i="5"/>
  <c r="S123" i="5"/>
  <c r="N124" i="5"/>
  <c r="O124" i="5"/>
  <c r="P124" i="5"/>
  <c r="Q124" i="5"/>
  <c r="R124" i="5"/>
  <c r="S124" i="5"/>
  <c r="N125" i="5"/>
  <c r="O125" i="5"/>
  <c r="P125" i="5"/>
  <c r="Q125" i="5"/>
  <c r="R125" i="5"/>
  <c r="S125" i="5"/>
  <c r="N126" i="5"/>
  <c r="O126" i="5"/>
  <c r="P126" i="5"/>
  <c r="Q126" i="5"/>
  <c r="R126" i="5"/>
  <c r="S126" i="5"/>
  <c r="N127" i="5"/>
  <c r="O127" i="5"/>
  <c r="P127" i="5"/>
  <c r="Q127" i="5"/>
  <c r="R127" i="5"/>
  <c r="S127" i="5"/>
  <c r="N128" i="5"/>
  <c r="O128" i="5"/>
  <c r="P128" i="5"/>
  <c r="Q128" i="5"/>
  <c r="R128" i="5"/>
  <c r="S128" i="5"/>
  <c r="N129" i="5"/>
  <c r="O129" i="5"/>
  <c r="P129" i="5"/>
  <c r="Q129" i="5"/>
  <c r="R129" i="5"/>
  <c r="S129" i="5"/>
  <c r="N130" i="5"/>
  <c r="O130" i="5"/>
  <c r="P130" i="5"/>
  <c r="Q130" i="5"/>
  <c r="R130" i="5"/>
  <c r="S130" i="5"/>
  <c r="N131" i="5"/>
  <c r="O131" i="5"/>
  <c r="P131" i="5"/>
  <c r="Q131" i="5"/>
  <c r="R131" i="5"/>
  <c r="S131" i="5"/>
  <c r="N132" i="5"/>
  <c r="O132" i="5"/>
  <c r="P132" i="5"/>
  <c r="Q132" i="5"/>
  <c r="R132" i="5"/>
  <c r="S132" i="5"/>
  <c r="N133" i="5"/>
  <c r="O133" i="5"/>
  <c r="P133" i="5"/>
  <c r="Q133" i="5"/>
  <c r="R133" i="5"/>
  <c r="S133" i="5"/>
  <c r="N134" i="5"/>
  <c r="O134" i="5"/>
  <c r="P134" i="5"/>
  <c r="Q134" i="5"/>
  <c r="R134" i="5"/>
  <c r="S134" i="5"/>
  <c r="N135" i="5"/>
  <c r="O135" i="5"/>
  <c r="P135" i="5"/>
  <c r="Q135" i="5"/>
  <c r="R135" i="5"/>
  <c r="S135" i="5"/>
  <c r="N136" i="5"/>
  <c r="O136" i="5"/>
  <c r="P136" i="5"/>
  <c r="Q136" i="5"/>
  <c r="R136" i="5"/>
  <c r="S136" i="5"/>
  <c r="N137" i="5"/>
  <c r="O137" i="5"/>
  <c r="P137" i="5"/>
  <c r="Q137" i="5"/>
  <c r="R137" i="5"/>
  <c r="S137" i="5"/>
  <c r="N138" i="5"/>
  <c r="O138" i="5"/>
  <c r="P138" i="5"/>
  <c r="Q138" i="5"/>
  <c r="R138" i="5"/>
  <c r="S138" i="5"/>
  <c r="N139" i="5"/>
  <c r="O139" i="5"/>
  <c r="P139" i="5"/>
  <c r="Q139" i="5"/>
  <c r="R139" i="5"/>
  <c r="S139" i="5"/>
  <c r="N140" i="5"/>
  <c r="O140" i="5"/>
  <c r="P140" i="5"/>
  <c r="Q140" i="5"/>
  <c r="R140" i="5"/>
  <c r="S140" i="5"/>
  <c r="N141" i="5"/>
  <c r="O141" i="5"/>
  <c r="P141" i="5"/>
  <c r="Q141" i="5"/>
  <c r="R141" i="5"/>
  <c r="S141" i="5"/>
  <c r="N142" i="5"/>
  <c r="O142" i="5"/>
  <c r="P142" i="5"/>
  <c r="Q142" i="5"/>
  <c r="R142" i="5"/>
  <c r="S142" i="5"/>
  <c r="N143" i="5"/>
  <c r="O143" i="5"/>
  <c r="P143" i="5"/>
  <c r="Q143" i="5"/>
  <c r="R143" i="5"/>
  <c r="S143" i="5"/>
  <c r="N144" i="5"/>
  <c r="O144" i="5"/>
  <c r="P144" i="5"/>
  <c r="Q144" i="5"/>
  <c r="R144" i="5"/>
  <c r="S144" i="5"/>
  <c r="N145" i="5"/>
  <c r="O145" i="5"/>
  <c r="P145" i="5"/>
  <c r="Q145" i="5"/>
  <c r="R145" i="5"/>
  <c r="S145" i="5"/>
  <c r="N146" i="5"/>
  <c r="O146" i="5"/>
  <c r="P146" i="5"/>
  <c r="Q146" i="5"/>
  <c r="R146" i="5"/>
  <c r="S146" i="5"/>
  <c r="N147" i="5"/>
  <c r="O147" i="5"/>
  <c r="P147" i="5"/>
  <c r="Q147" i="5"/>
  <c r="R147" i="5"/>
  <c r="S147" i="5"/>
  <c r="N148" i="5"/>
  <c r="O148" i="5"/>
  <c r="P148" i="5"/>
  <c r="Q148" i="5"/>
  <c r="R148" i="5"/>
  <c r="S148" i="5"/>
  <c r="N149" i="5"/>
  <c r="O149" i="5"/>
  <c r="P149" i="5"/>
  <c r="Q149" i="5"/>
  <c r="R149" i="5"/>
  <c r="S149" i="5"/>
  <c r="N150" i="5"/>
  <c r="O150" i="5"/>
  <c r="P150" i="5"/>
  <c r="Q150" i="5"/>
  <c r="R150" i="5"/>
  <c r="S150" i="5"/>
  <c r="N151" i="5"/>
  <c r="O151" i="5"/>
  <c r="P151" i="5"/>
  <c r="Q151" i="5"/>
  <c r="R151" i="5"/>
  <c r="S151" i="5"/>
  <c r="N152" i="5"/>
  <c r="O152" i="5"/>
  <c r="P152" i="5"/>
  <c r="Q152" i="5"/>
  <c r="R152" i="5"/>
  <c r="S152" i="5"/>
  <c r="N153" i="5"/>
  <c r="O153" i="5"/>
  <c r="P153" i="5"/>
  <c r="Q153" i="5"/>
  <c r="R153" i="5"/>
  <c r="S153" i="5"/>
  <c r="N154" i="5"/>
  <c r="O154" i="5"/>
  <c r="P154" i="5"/>
  <c r="Q154" i="5"/>
  <c r="R154" i="5"/>
  <c r="S154" i="5"/>
  <c r="N155" i="5"/>
  <c r="O155" i="5"/>
  <c r="P155" i="5"/>
  <c r="Q155" i="5"/>
  <c r="R155" i="5"/>
  <c r="S155" i="5"/>
  <c r="N156" i="5"/>
  <c r="O156" i="5"/>
  <c r="P156" i="5"/>
  <c r="Q156" i="5"/>
  <c r="R156" i="5"/>
  <c r="S156" i="5"/>
  <c r="N157" i="5"/>
  <c r="O157" i="5"/>
  <c r="P157" i="5"/>
  <c r="Q157" i="5"/>
  <c r="R157" i="5"/>
  <c r="S157" i="5"/>
  <c r="N158" i="5"/>
  <c r="O158" i="5"/>
  <c r="P158" i="5"/>
  <c r="Q158" i="5"/>
  <c r="R158" i="5"/>
  <c r="S158" i="5"/>
  <c r="N159" i="5"/>
  <c r="O159" i="5"/>
  <c r="P159" i="5"/>
  <c r="Q159" i="5"/>
  <c r="R159" i="5"/>
  <c r="S159" i="5"/>
  <c r="N160" i="5"/>
  <c r="O160" i="5"/>
  <c r="P160" i="5"/>
  <c r="Q160" i="5"/>
  <c r="R160" i="5"/>
  <c r="S160" i="5"/>
  <c r="N161" i="5"/>
  <c r="O161" i="5"/>
  <c r="P161" i="5"/>
  <c r="Q161" i="5"/>
  <c r="R161" i="5"/>
  <c r="S161" i="5"/>
  <c r="N162" i="5"/>
  <c r="O162" i="5"/>
  <c r="P162" i="5"/>
  <c r="Q162" i="5"/>
  <c r="R162" i="5"/>
  <c r="S162" i="5"/>
  <c r="N163" i="5"/>
  <c r="O163" i="5"/>
  <c r="P163" i="5"/>
  <c r="Q163" i="5"/>
  <c r="R163" i="5"/>
  <c r="S163" i="5"/>
  <c r="N164" i="5"/>
  <c r="O164" i="5"/>
  <c r="P164" i="5"/>
  <c r="Q164" i="5"/>
  <c r="R164" i="5"/>
  <c r="S164" i="5"/>
  <c r="N165" i="5"/>
  <c r="O165" i="5"/>
  <c r="P165" i="5"/>
  <c r="Q165" i="5"/>
  <c r="R165" i="5"/>
  <c r="S165" i="5"/>
  <c r="N166" i="5"/>
  <c r="O166" i="5"/>
  <c r="P166" i="5"/>
  <c r="Q166" i="5"/>
  <c r="R166" i="5"/>
  <c r="S166" i="5"/>
  <c r="N167" i="5"/>
  <c r="O167" i="5"/>
  <c r="P167" i="5"/>
  <c r="Q167" i="5"/>
  <c r="R167" i="5"/>
  <c r="S167" i="5"/>
  <c r="N168" i="5"/>
  <c r="O168" i="5"/>
  <c r="P168" i="5"/>
  <c r="Q168" i="5"/>
  <c r="R168" i="5"/>
  <c r="S168" i="5"/>
  <c r="N169" i="5"/>
  <c r="O169" i="5"/>
  <c r="P169" i="5"/>
  <c r="Q169" i="5"/>
  <c r="R169" i="5"/>
  <c r="S169" i="5"/>
  <c r="N170" i="5"/>
  <c r="O170" i="5"/>
  <c r="P170" i="5"/>
  <c r="Q170" i="5"/>
  <c r="R170" i="5"/>
  <c r="S170" i="5"/>
  <c r="N171" i="5"/>
  <c r="O171" i="5"/>
  <c r="P171" i="5"/>
  <c r="Q171" i="5"/>
  <c r="R171" i="5"/>
  <c r="S171" i="5"/>
  <c r="N172" i="5"/>
  <c r="O172" i="5"/>
  <c r="P172" i="5"/>
  <c r="Q172" i="5"/>
  <c r="R172" i="5"/>
  <c r="S172" i="5"/>
  <c r="N173" i="5"/>
  <c r="O173" i="5"/>
  <c r="P173" i="5"/>
  <c r="Q173" i="5"/>
  <c r="R173" i="5"/>
  <c r="S173" i="5"/>
  <c r="N174" i="5"/>
  <c r="O174" i="5"/>
  <c r="P174" i="5"/>
  <c r="Q174" i="5"/>
  <c r="R174" i="5"/>
  <c r="S174" i="5"/>
  <c r="N175" i="5"/>
  <c r="O175" i="5"/>
  <c r="P175" i="5"/>
  <c r="Q175" i="5"/>
  <c r="R175" i="5"/>
  <c r="S175" i="5"/>
  <c r="N176" i="5"/>
  <c r="O176" i="5"/>
  <c r="P176" i="5"/>
  <c r="Q176" i="5"/>
  <c r="R176" i="5"/>
  <c r="S176" i="5"/>
  <c r="N177" i="5"/>
  <c r="O177" i="5"/>
  <c r="P177" i="5"/>
  <c r="Q177" i="5"/>
  <c r="R177" i="5"/>
  <c r="S177" i="5"/>
  <c r="N178" i="5"/>
  <c r="O178" i="5"/>
  <c r="P178" i="5"/>
  <c r="Q178" i="5"/>
  <c r="R178" i="5"/>
  <c r="S178" i="5"/>
  <c r="N179" i="5"/>
  <c r="O179" i="5"/>
  <c r="P179" i="5"/>
  <c r="Q179" i="5"/>
  <c r="R179" i="5"/>
  <c r="S179" i="5"/>
  <c r="N180" i="5"/>
  <c r="O180" i="5"/>
  <c r="P180" i="5"/>
  <c r="Q180" i="5"/>
  <c r="R180" i="5"/>
  <c r="S180" i="5"/>
  <c r="N181" i="5"/>
  <c r="O181" i="5"/>
  <c r="P181" i="5"/>
  <c r="Q181" i="5"/>
  <c r="R181" i="5"/>
  <c r="S181" i="5"/>
  <c r="N182" i="5"/>
  <c r="O182" i="5"/>
  <c r="P182" i="5"/>
  <c r="Q182" i="5"/>
  <c r="R182" i="5"/>
  <c r="S182" i="5"/>
  <c r="N183" i="5"/>
  <c r="O183" i="5"/>
  <c r="P183" i="5"/>
  <c r="Q183" i="5"/>
  <c r="R183" i="5"/>
  <c r="S183" i="5"/>
  <c r="N184" i="5"/>
  <c r="O184" i="5"/>
  <c r="P184" i="5"/>
  <c r="Q184" i="5"/>
  <c r="R184" i="5"/>
  <c r="S184" i="5"/>
  <c r="N185" i="5"/>
  <c r="O185" i="5"/>
  <c r="P185" i="5"/>
  <c r="Q185" i="5"/>
  <c r="R185" i="5"/>
  <c r="S185" i="5"/>
  <c r="N186" i="5"/>
  <c r="O186" i="5"/>
  <c r="P186" i="5"/>
  <c r="Q186" i="5"/>
  <c r="R186" i="5"/>
  <c r="S186" i="5"/>
  <c r="N187" i="5"/>
  <c r="O187" i="5"/>
  <c r="P187" i="5"/>
  <c r="Q187" i="5"/>
  <c r="R187" i="5"/>
  <c r="S187" i="5"/>
  <c r="N188" i="5"/>
  <c r="O188" i="5"/>
  <c r="P188" i="5"/>
  <c r="Q188" i="5"/>
  <c r="R188" i="5"/>
  <c r="S188" i="5"/>
  <c r="N189" i="5"/>
  <c r="O189" i="5"/>
  <c r="P189" i="5"/>
  <c r="Q189" i="5"/>
  <c r="R189" i="5"/>
  <c r="S189" i="5"/>
  <c r="N190" i="5"/>
  <c r="O190" i="5"/>
  <c r="P190" i="5"/>
  <c r="Q190" i="5"/>
  <c r="R190" i="5"/>
  <c r="S190" i="5"/>
  <c r="N191" i="5"/>
  <c r="O191" i="5"/>
  <c r="P191" i="5"/>
  <c r="Q191" i="5"/>
  <c r="R191" i="5"/>
  <c r="S191" i="5"/>
  <c r="N192" i="5"/>
  <c r="O192" i="5"/>
  <c r="P192" i="5"/>
  <c r="Q192" i="5"/>
  <c r="R192" i="5"/>
  <c r="S192" i="5"/>
  <c r="N193" i="5"/>
  <c r="O193" i="5"/>
  <c r="P193" i="5"/>
  <c r="Q193" i="5"/>
  <c r="R193" i="5"/>
  <c r="S193" i="5"/>
  <c r="N194" i="5"/>
  <c r="O194" i="5"/>
  <c r="P194" i="5"/>
  <c r="Q194" i="5"/>
  <c r="R194" i="5"/>
  <c r="S194" i="5"/>
  <c r="N195" i="5"/>
  <c r="O195" i="5"/>
  <c r="P195" i="5"/>
  <c r="Q195" i="5"/>
  <c r="R195" i="5"/>
  <c r="S195" i="5"/>
  <c r="N196" i="5"/>
  <c r="O196" i="5"/>
  <c r="P196" i="5"/>
  <c r="Q196" i="5"/>
  <c r="R196" i="5"/>
  <c r="S196" i="5"/>
  <c r="N197" i="5"/>
  <c r="O197" i="5"/>
  <c r="P197" i="5"/>
  <c r="Q197" i="5"/>
  <c r="R197" i="5"/>
  <c r="S197" i="5"/>
  <c r="N198" i="5"/>
  <c r="O198" i="5"/>
  <c r="P198" i="5"/>
  <c r="Q198" i="5"/>
  <c r="R198" i="5"/>
  <c r="S198" i="5"/>
  <c r="N199" i="5"/>
  <c r="O199" i="5"/>
  <c r="P199" i="5"/>
  <c r="Q199" i="5"/>
  <c r="R199" i="5"/>
  <c r="S199" i="5"/>
  <c r="N200" i="5"/>
  <c r="O200" i="5"/>
  <c r="P200" i="5"/>
  <c r="Q200" i="5"/>
  <c r="R200" i="5"/>
  <c r="S200" i="5"/>
  <c r="N201" i="5"/>
  <c r="O201" i="5"/>
  <c r="P201" i="5"/>
  <c r="Q201" i="5"/>
  <c r="R201" i="5"/>
  <c r="S201" i="5"/>
  <c r="N202" i="5"/>
  <c r="O202" i="5"/>
  <c r="P202" i="5"/>
  <c r="Q202" i="5"/>
  <c r="R202" i="5"/>
  <c r="S202" i="5"/>
  <c r="N203" i="5"/>
  <c r="O203" i="5"/>
  <c r="P203" i="5"/>
  <c r="Q203" i="5"/>
  <c r="R203" i="5"/>
  <c r="S203" i="5"/>
  <c r="N204" i="5"/>
  <c r="O204" i="5"/>
  <c r="P204" i="5"/>
  <c r="Q204" i="5"/>
  <c r="R204" i="5"/>
  <c r="S204" i="5"/>
  <c r="N205" i="5"/>
  <c r="O205" i="5"/>
  <c r="P205" i="5"/>
  <c r="Q205" i="5"/>
  <c r="R205" i="5"/>
  <c r="S205" i="5"/>
  <c r="N206" i="5"/>
  <c r="O206" i="5"/>
  <c r="P206" i="5"/>
  <c r="Q206" i="5"/>
  <c r="R206" i="5"/>
  <c r="S206" i="5"/>
  <c r="N207" i="5"/>
  <c r="O207" i="5"/>
  <c r="P207" i="5"/>
  <c r="Q207" i="5"/>
  <c r="R207" i="5"/>
  <c r="S207" i="5"/>
  <c r="N208" i="5"/>
  <c r="O208" i="5"/>
  <c r="P208" i="5"/>
  <c r="Q208" i="5"/>
  <c r="R208" i="5"/>
  <c r="S208" i="5"/>
  <c r="N209" i="5"/>
  <c r="O209" i="5"/>
  <c r="P209" i="5"/>
  <c r="Q209" i="5"/>
  <c r="R209" i="5"/>
  <c r="S209" i="5"/>
  <c r="N210" i="5"/>
  <c r="O210" i="5"/>
  <c r="P210" i="5"/>
  <c r="Q210" i="5"/>
  <c r="R210" i="5"/>
  <c r="S210" i="5"/>
  <c r="N211" i="5"/>
  <c r="O211" i="5"/>
  <c r="P211" i="5"/>
  <c r="Q211" i="5"/>
  <c r="R211" i="5"/>
  <c r="S211" i="5"/>
  <c r="N212" i="5"/>
  <c r="O212" i="5"/>
  <c r="P212" i="5"/>
  <c r="Q212" i="5"/>
  <c r="R212" i="5"/>
  <c r="S212" i="5"/>
  <c r="N213" i="5"/>
  <c r="O213" i="5"/>
  <c r="P213" i="5"/>
  <c r="Q213" i="5"/>
  <c r="R213" i="5"/>
  <c r="S213" i="5"/>
  <c r="N214" i="5"/>
  <c r="O214" i="5"/>
  <c r="P214" i="5"/>
  <c r="Q214" i="5"/>
  <c r="R214" i="5"/>
  <c r="S214" i="5"/>
  <c r="N215" i="5"/>
  <c r="O215" i="5"/>
  <c r="P215" i="5"/>
  <c r="Q215" i="5"/>
  <c r="R215" i="5"/>
  <c r="S215" i="5"/>
  <c r="N216" i="5"/>
  <c r="O216" i="5"/>
  <c r="P216" i="5"/>
  <c r="Q216" i="5"/>
  <c r="R216" i="5"/>
  <c r="S216" i="5"/>
  <c r="N217" i="5"/>
  <c r="O217" i="5"/>
  <c r="P217" i="5"/>
  <c r="Q217" i="5"/>
  <c r="R217" i="5"/>
  <c r="S217" i="5"/>
  <c r="N218" i="5"/>
  <c r="O218" i="5"/>
  <c r="P218" i="5"/>
  <c r="Q218" i="5"/>
  <c r="R218" i="5"/>
  <c r="S218" i="5"/>
  <c r="N219" i="5"/>
  <c r="O219" i="5"/>
  <c r="P219" i="5"/>
  <c r="Q219" i="5"/>
  <c r="R219" i="5"/>
  <c r="S219" i="5"/>
  <c r="N220" i="5"/>
  <c r="O220" i="5"/>
  <c r="P220" i="5"/>
  <c r="Q220" i="5"/>
  <c r="R220" i="5"/>
  <c r="S220" i="5"/>
  <c r="N221" i="5"/>
  <c r="O221" i="5"/>
  <c r="P221" i="5"/>
  <c r="Q221" i="5"/>
  <c r="R221" i="5"/>
  <c r="S221" i="5"/>
  <c r="N222" i="5"/>
  <c r="O222" i="5"/>
  <c r="P222" i="5"/>
  <c r="Q222" i="5"/>
  <c r="R222" i="5"/>
  <c r="S222" i="5"/>
  <c r="N223" i="5"/>
  <c r="O223" i="5"/>
  <c r="P223" i="5"/>
  <c r="Q223" i="5"/>
  <c r="R223" i="5"/>
  <c r="S223" i="5"/>
  <c r="N224" i="5"/>
  <c r="O224" i="5"/>
  <c r="P224" i="5"/>
  <c r="Q224" i="5"/>
  <c r="R224" i="5"/>
  <c r="S224" i="5"/>
  <c r="N225" i="5"/>
  <c r="O225" i="5"/>
  <c r="P225" i="5"/>
  <c r="Q225" i="5"/>
  <c r="R225" i="5"/>
  <c r="S225" i="5"/>
  <c r="N226" i="5"/>
  <c r="O226" i="5"/>
  <c r="P226" i="5"/>
  <c r="Q226" i="5"/>
  <c r="R226" i="5"/>
  <c r="S226" i="5"/>
  <c r="N227" i="5"/>
  <c r="O227" i="5"/>
  <c r="P227" i="5"/>
  <c r="Q227" i="5"/>
  <c r="R227" i="5"/>
  <c r="S227" i="5"/>
  <c r="N228" i="5"/>
  <c r="O228" i="5"/>
  <c r="P228" i="5"/>
  <c r="Q228" i="5"/>
  <c r="R228" i="5"/>
  <c r="S228" i="5"/>
  <c r="N229" i="5"/>
  <c r="O229" i="5"/>
  <c r="P229" i="5"/>
  <c r="Q229" i="5"/>
  <c r="R229" i="5"/>
  <c r="S229" i="5"/>
  <c r="N230" i="5"/>
  <c r="O230" i="5"/>
  <c r="P230" i="5"/>
  <c r="Q230" i="5"/>
  <c r="R230" i="5"/>
  <c r="S230" i="5"/>
  <c r="N231" i="5"/>
  <c r="O231" i="5"/>
  <c r="P231" i="5"/>
  <c r="Q231" i="5"/>
  <c r="R231" i="5"/>
  <c r="S231" i="5"/>
  <c r="N232" i="5"/>
  <c r="O232" i="5"/>
  <c r="P232" i="5"/>
  <c r="Q232" i="5"/>
  <c r="R232" i="5"/>
  <c r="S232" i="5"/>
  <c r="N233" i="5"/>
  <c r="O233" i="5"/>
  <c r="P233" i="5"/>
  <c r="Q233" i="5"/>
  <c r="R233" i="5"/>
  <c r="S233" i="5"/>
  <c r="N234" i="5"/>
  <c r="O234" i="5"/>
  <c r="P234" i="5"/>
  <c r="Q234" i="5"/>
  <c r="R234" i="5"/>
  <c r="S234" i="5"/>
  <c r="L25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6" i="5"/>
  <c r="X254" i="5"/>
  <c r="K25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6" i="5"/>
  <c r="W254" i="5"/>
  <c r="J25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6" i="5"/>
  <c r="V254" i="5"/>
  <c r="I25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6" i="5"/>
  <c r="U254" i="5"/>
  <c r="H25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6" i="5"/>
  <c r="T254" i="5"/>
  <c r="G25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S254" i="5"/>
  <c r="F25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R254" i="5"/>
  <c r="E25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Q254" i="5"/>
  <c r="D25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P254" i="5"/>
  <c r="C25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O254" i="5"/>
  <c r="B25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N254" i="5"/>
  <c r="X253" i="5"/>
  <c r="W253" i="5"/>
  <c r="V253" i="5"/>
  <c r="U253" i="5"/>
  <c r="T253" i="5"/>
  <c r="S253" i="5"/>
  <c r="R253" i="5"/>
  <c r="Q253" i="5"/>
  <c r="P253" i="5"/>
  <c r="O253" i="5"/>
  <c r="N253" i="5"/>
  <c r="X252" i="5"/>
  <c r="W252" i="5"/>
  <c r="V252" i="5"/>
  <c r="U252" i="5"/>
  <c r="T252" i="5"/>
  <c r="S252" i="5"/>
  <c r="R252" i="5"/>
  <c r="Q252" i="5"/>
  <c r="P252" i="5"/>
  <c r="O252" i="5"/>
  <c r="N252" i="5"/>
  <c r="X251" i="5"/>
  <c r="W251" i="5"/>
  <c r="V251" i="5"/>
  <c r="U251" i="5"/>
  <c r="T251" i="5"/>
  <c r="S251" i="5"/>
  <c r="R251" i="5"/>
  <c r="Q251" i="5"/>
  <c r="P251" i="5"/>
  <c r="O251" i="5"/>
  <c r="N251" i="5"/>
  <c r="X250" i="5"/>
  <c r="W250" i="5"/>
  <c r="V250" i="5"/>
  <c r="U250" i="5"/>
  <c r="T250" i="5"/>
  <c r="S250" i="5"/>
  <c r="R250" i="5"/>
  <c r="Q250" i="5"/>
  <c r="P250" i="5"/>
  <c r="O250" i="5"/>
  <c r="N250" i="5"/>
  <c r="X249" i="5"/>
  <c r="W249" i="5"/>
  <c r="V249" i="5"/>
  <c r="U249" i="5"/>
  <c r="T249" i="5"/>
  <c r="S249" i="5"/>
  <c r="R249" i="5"/>
  <c r="Q249" i="5"/>
  <c r="P249" i="5"/>
  <c r="O249" i="5"/>
  <c r="N249" i="5"/>
  <c r="X248" i="5"/>
  <c r="W248" i="5"/>
  <c r="V248" i="5"/>
  <c r="U248" i="5"/>
  <c r="T248" i="5"/>
  <c r="S248" i="5"/>
  <c r="R248" i="5"/>
  <c r="Q248" i="5"/>
  <c r="P248" i="5"/>
  <c r="O248" i="5"/>
  <c r="N248" i="5"/>
  <c r="X247" i="5"/>
  <c r="W247" i="5"/>
  <c r="V247" i="5"/>
  <c r="U247" i="5"/>
  <c r="T247" i="5"/>
  <c r="S247" i="5"/>
  <c r="R247" i="5"/>
  <c r="Q247" i="5"/>
  <c r="P247" i="5"/>
  <c r="O247" i="5"/>
  <c r="N247" i="5"/>
  <c r="X246" i="5"/>
  <c r="W246" i="5"/>
  <c r="V246" i="5"/>
  <c r="U246" i="5"/>
  <c r="T246" i="5"/>
  <c r="S246" i="5"/>
  <c r="R246" i="5"/>
  <c r="Q246" i="5"/>
  <c r="P246" i="5"/>
  <c r="O246" i="5"/>
  <c r="N246" i="5"/>
  <c r="X245" i="5"/>
  <c r="W245" i="5"/>
  <c r="V245" i="5"/>
  <c r="U245" i="5"/>
  <c r="T245" i="5"/>
  <c r="S245" i="5"/>
  <c r="R245" i="5"/>
  <c r="Q245" i="5"/>
  <c r="P245" i="5"/>
  <c r="O245" i="5"/>
  <c r="N245" i="5"/>
  <c r="X244" i="5"/>
  <c r="W244" i="5"/>
  <c r="V244" i="5"/>
  <c r="U244" i="5"/>
  <c r="T244" i="5"/>
  <c r="S244" i="5"/>
  <c r="R244" i="5"/>
  <c r="Q244" i="5"/>
  <c r="P244" i="5"/>
  <c r="O244" i="5"/>
  <c r="N244" i="5"/>
  <c r="X243" i="5"/>
  <c r="W243" i="5"/>
  <c r="V243" i="5"/>
  <c r="U243" i="5"/>
  <c r="T243" i="5"/>
  <c r="S243" i="5"/>
  <c r="R243" i="5"/>
  <c r="Q243" i="5"/>
  <c r="P243" i="5"/>
  <c r="O243" i="5"/>
  <c r="N243" i="5"/>
  <c r="X242" i="5"/>
  <c r="W242" i="5"/>
  <c r="V242" i="5"/>
  <c r="U242" i="5"/>
  <c r="T242" i="5"/>
  <c r="S242" i="5"/>
  <c r="R242" i="5"/>
  <c r="Q242" i="5"/>
  <c r="P242" i="5"/>
  <c r="O242" i="5"/>
  <c r="N242" i="5"/>
  <c r="X241" i="5"/>
  <c r="W241" i="5"/>
  <c r="V241" i="5"/>
  <c r="U241" i="5"/>
  <c r="T241" i="5"/>
  <c r="S241" i="5"/>
  <c r="R241" i="5"/>
  <c r="Q241" i="5"/>
  <c r="P241" i="5"/>
  <c r="O241" i="5"/>
  <c r="N241" i="5"/>
  <c r="X240" i="5"/>
  <c r="W240" i="5"/>
  <c r="V240" i="5"/>
  <c r="U240" i="5"/>
  <c r="T240" i="5"/>
  <c r="S240" i="5"/>
  <c r="R240" i="5"/>
  <c r="Q240" i="5"/>
  <c r="P240" i="5"/>
  <c r="O240" i="5"/>
  <c r="N240" i="5"/>
  <c r="X239" i="5"/>
  <c r="W239" i="5"/>
  <c r="V239" i="5"/>
  <c r="U239" i="5"/>
  <c r="T239" i="5"/>
  <c r="S239" i="5"/>
  <c r="R239" i="5"/>
  <c r="Q239" i="5"/>
  <c r="P239" i="5"/>
  <c r="O239" i="5"/>
  <c r="N239" i="5"/>
  <c r="X238" i="5"/>
  <c r="W238" i="5"/>
  <c r="V238" i="5"/>
  <c r="U238" i="5"/>
  <c r="T238" i="5"/>
  <c r="S238" i="5"/>
  <c r="R238" i="5"/>
  <c r="Q238" i="5"/>
  <c r="P238" i="5"/>
  <c r="O238" i="5"/>
  <c r="N238" i="5"/>
  <c r="X237" i="5"/>
  <c r="W237" i="5"/>
  <c r="V237" i="5"/>
  <c r="U237" i="5"/>
  <c r="T237" i="5"/>
  <c r="S237" i="5"/>
  <c r="R237" i="5"/>
  <c r="Q237" i="5"/>
  <c r="P237" i="5"/>
  <c r="O237" i="5"/>
  <c r="N237" i="5"/>
  <c r="X236" i="5"/>
  <c r="W236" i="5"/>
  <c r="V236" i="5"/>
  <c r="U236" i="5"/>
  <c r="T236" i="5"/>
  <c r="S236" i="5"/>
  <c r="R236" i="5"/>
  <c r="Q236" i="5"/>
  <c r="P236" i="5"/>
  <c r="O236" i="5"/>
  <c r="N236" i="5"/>
  <c r="X235" i="5"/>
  <c r="W235" i="5"/>
  <c r="V235" i="5"/>
  <c r="U235" i="5"/>
  <c r="T235" i="5"/>
  <c r="S235" i="5"/>
  <c r="R235" i="5"/>
  <c r="Q235" i="5"/>
  <c r="P235" i="5"/>
  <c r="O235" i="5"/>
  <c r="N235" i="5"/>
  <c r="X234" i="5"/>
  <c r="W234" i="5"/>
  <c r="V234" i="5"/>
  <c r="U234" i="5"/>
  <c r="T234" i="5"/>
  <c r="X233" i="5"/>
  <c r="W233" i="5"/>
  <c r="V233" i="5"/>
  <c r="U233" i="5"/>
  <c r="T233" i="5"/>
  <c r="X232" i="5"/>
  <c r="W232" i="5"/>
  <c r="V232" i="5"/>
  <c r="U232" i="5"/>
  <c r="T232" i="5"/>
  <c r="X231" i="5"/>
  <c r="W231" i="5"/>
  <c r="V231" i="5"/>
  <c r="U231" i="5"/>
  <c r="T231" i="5"/>
  <c r="X230" i="5"/>
  <c r="W230" i="5"/>
  <c r="V230" i="5"/>
  <c r="U230" i="5"/>
  <c r="T230" i="5"/>
  <c r="X229" i="5"/>
  <c r="W229" i="5"/>
  <c r="V229" i="5"/>
  <c r="U229" i="5"/>
  <c r="T229" i="5"/>
  <c r="X228" i="5"/>
  <c r="W228" i="5"/>
  <c r="V228" i="5"/>
  <c r="U228" i="5"/>
  <c r="T228" i="5"/>
  <c r="X227" i="5"/>
  <c r="W227" i="5"/>
  <c r="V227" i="5"/>
  <c r="U227" i="5"/>
  <c r="T227" i="5"/>
  <c r="X226" i="5"/>
  <c r="W226" i="5"/>
  <c r="V226" i="5"/>
  <c r="U226" i="5"/>
  <c r="T226" i="5"/>
  <c r="X225" i="5"/>
  <c r="W225" i="5"/>
  <c r="V225" i="5"/>
  <c r="U225" i="5"/>
  <c r="T225" i="5"/>
  <c r="X224" i="5"/>
  <c r="W224" i="5"/>
  <c r="V224" i="5"/>
  <c r="U224" i="5"/>
  <c r="T224" i="5"/>
  <c r="X223" i="5"/>
  <c r="W223" i="5"/>
  <c r="V223" i="5"/>
  <c r="U223" i="5"/>
  <c r="T223" i="5"/>
  <c r="X222" i="5"/>
  <c r="W222" i="5"/>
  <c r="V222" i="5"/>
  <c r="U222" i="5"/>
  <c r="T222" i="5"/>
  <c r="X221" i="5"/>
  <c r="W221" i="5"/>
  <c r="V221" i="5"/>
  <c r="U221" i="5"/>
  <c r="T221" i="5"/>
  <c r="X220" i="5"/>
  <c r="W220" i="5"/>
  <c r="V220" i="5"/>
  <c r="U220" i="5"/>
  <c r="T220" i="5"/>
  <c r="X219" i="5"/>
  <c r="W219" i="5"/>
  <c r="V219" i="5"/>
  <c r="U219" i="5"/>
  <c r="T219" i="5"/>
  <c r="X218" i="5"/>
  <c r="W218" i="5"/>
  <c r="V218" i="5"/>
  <c r="U218" i="5"/>
  <c r="T218" i="5"/>
  <c r="X217" i="5"/>
  <c r="W217" i="5"/>
  <c r="V217" i="5"/>
  <c r="U217" i="5"/>
  <c r="T217" i="5"/>
  <c r="X216" i="5"/>
  <c r="W216" i="5"/>
  <c r="V216" i="5"/>
  <c r="U216" i="5"/>
  <c r="T216" i="5"/>
  <c r="X215" i="5"/>
  <c r="W215" i="5"/>
  <c r="V215" i="5"/>
  <c r="U215" i="5"/>
  <c r="T215" i="5"/>
  <c r="X214" i="5"/>
  <c r="W214" i="5"/>
  <c r="V214" i="5"/>
  <c r="U214" i="5"/>
  <c r="T214" i="5"/>
  <c r="X213" i="5"/>
  <c r="W213" i="5"/>
  <c r="V213" i="5"/>
  <c r="U213" i="5"/>
  <c r="T213" i="5"/>
  <c r="X212" i="5"/>
  <c r="W212" i="5"/>
  <c r="V212" i="5"/>
  <c r="U212" i="5"/>
  <c r="T212" i="5"/>
  <c r="X211" i="5"/>
  <c r="W211" i="5"/>
  <c r="V211" i="5"/>
  <c r="U211" i="5"/>
  <c r="T211" i="5"/>
  <c r="X210" i="5"/>
  <c r="W210" i="5"/>
  <c r="V210" i="5"/>
  <c r="U210" i="5"/>
  <c r="T210" i="5"/>
  <c r="X209" i="5"/>
  <c r="W209" i="5"/>
  <c r="V209" i="5"/>
  <c r="U209" i="5"/>
  <c r="T209" i="5"/>
  <c r="X208" i="5"/>
  <c r="W208" i="5"/>
  <c r="V208" i="5"/>
  <c r="U208" i="5"/>
  <c r="T208" i="5"/>
  <c r="X207" i="5"/>
  <c r="W207" i="5"/>
  <c r="V207" i="5"/>
  <c r="U207" i="5"/>
  <c r="T207" i="5"/>
  <c r="X206" i="5"/>
  <c r="W206" i="5"/>
  <c r="V206" i="5"/>
  <c r="U206" i="5"/>
  <c r="T206" i="5"/>
  <c r="X205" i="5"/>
  <c r="W205" i="5"/>
  <c r="V205" i="5"/>
  <c r="U205" i="5"/>
  <c r="T205" i="5"/>
  <c r="X204" i="5"/>
  <c r="W204" i="5"/>
  <c r="V204" i="5"/>
  <c r="U204" i="5"/>
  <c r="T204" i="5"/>
  <c r="X203" i="5"/>
  <c r="W203" i="5"/>
  <c r="V203" i="5"/>
  <c r="U203" i="5"/>
  <c r="T203" i="5"/>
  <c r="X202" i="5"/>
  <c r="W202" i="5"/>
  <c r="V202" i="5"/>
  <c r="U202" i="5"/>
  <c r="T202" i="5"/>
  <c r="X201" i="5"/>
  <c r="W201" i="5"/>
  <c r="V201" i="5"/>
  <c r="U201" i="5"/>
  <c r="T201" i="5"/>
  <c r="X200" i="5"/>
  <c r="W200" i="5"/>
  <c r="V200" i="5"/>
  <c r="U200" i="5"/>
  <c r="T200" i="5"/>
  <c r="X199" i="5"/>
  <c r="W199" i="5"/>
  <c r="V199" i="5"/>
  <c r="U199" i="5"/>
  <c r="T199" i="5"/>
  <c r="X198" i="5"/>
  <c r="W198" i="5"/>
  <c r="V198" i="5"/>
  <c r="U198" i="5"/>
  <c r="T198" i="5"/>
  <c r="X197" i="5"/>
  <c r="W197" i="5"/>
  <c r="V197" i="5"/>
  <c r="U197" i="5"/>
  <c r="T197" i="5"/>
  <c r="X196" i="5"/>
  <c r="W196" i="5"/>
  <c r="V196" i="5"/>
  <c r="U196" i="5"/>
  <c r="T196" i="5"/>
  <c r="X195" i="5"/>
  <c r="W195" i="5"/>
  <c r="V195" i="5"/>
  <c r="U195" i="5"/>
  <c r="T195" i="5"/>
  <c r="X194" i="5"/>
  <c r="W194" i="5"/>
  <c r="V194" i="5"/>
  <c r="U194" i="5"/>
  <c r="T194" i="5"/>
  <c r="X193" i="5"/>
  <c r="W193" i="5"/>
  <c r="V193" i="5"/>
  <c r="U193" i="5"/>
  <c r="T193" i="5"/>
  <c r="X192" i="5"/>
  <c r="W192" i="5"/>
  <c r="V192" i="5"/>
  <c r="U192" i="5"/>
  <c r="T192" i="5"/>
  <c r="X191" i="5"/>
  <c r="W191" i="5"/>
  <c r="V191" i="5"/>
  <c r="U191" i="5"/>
  <c r="T191" i="5"/>
  <c r="X190" i="5"/>
  <c r="W190" i="5"/>
  <c r="V190" i="5"/>
  <c r="U190" i="5"/>
  <c r="T190" i="5"/>
  <c r="X189" i="5"/>
  <c r="W189" i="5"/>
  <c r="V189" i="5"/>
  <c r="U189" i="5"/>
  <c r="T189" i="5"/>
  <c r="X188" i="5"/>
  <c r="W188" i="5"/>
  <c r="V188" i="5"/>
  <c r="U188" i="5"/>
  <c r="T188" i="5"/>
  <c r="X187" i="5"/>
  <c r="W187" i="5"/>
  <c r="V187" i="5"/>
  <c r="U187" i="5"/>
  <c r="T187" i="5"/>
  <c r="X186" i="5"/>
  <c r="W186" i="5"/>
  <c r="V186" i="5"/>
  <c r="U186" i="5"/>
  <c r="T186" i="5"/>
  <c r="X185" i="5"/>
  <c r="W185" i="5"/>
  <c r="V185" i="5"/>
  <c r="U185" i="5"/>
  <c r="T185" i="5"/>
  <c r="X184" i="5"/>
  <c r="W184" i="5"/>
  <c r="V184" i="5"/>
  <c r="U184" i="5"/>
  <c r="T184" i="5"/>
  <c r="X183" i="5"/>
  <c r="W183" i="5"/>
  <c r="V183" i="5"/>
  <c r="U183" i="5"/>
  <c r="T183" i="5"/>
  <c r="X182" i="5"/>
  <c r="W182" i="5"/>
  <c r="V182" i="5"/>
  <c r="U182" i="5"/>
  <c r="T182" i="5"/>
  <c r="X181" i="5"/>
  <c r="W181" i="5"/>
  <c r="V181" i="5"/>
  <c r="U181" i="5"/>
  <c r="T181" i="5"/>
  <c r="X180" i="5"/>
  <c r="W180" i="5"/>
  <c r="V180" i="5"/>
  <c r="U180" i="5"/>
  <c r="T180" i="5"/>
  <c r="X179" i="5"/>
  <c r="W179" i="5"/>
  <c r="V179" i="5"/>
  <c r="U179" i="5"/>
  <c r="T179" i="5"/>
  <c r="X178" i="5"/>
  <c r="W178" i="5"/>
  <c r="V178" i="5"/>
  <c r="U178" i="5"/>
  <c r="T178" i="5"/>
  <c r="X177" i="5"/>
  <c r="W177" i="5"/>
  <c r="V177" i="5"/>
  <c r="U177" i="5"/>
  <c r="T177" i="5"/>
  <c r="X176" i="5"/>
  <c r="W176" i="5"/>
  <c r="V176" i="5"/>
  <c r="U176" i="5"/>
  <c r="T176" i="5"/>
  <c r="X175" i="5"/>
  <c r="W175" i="5"/>
  <c r="V175" i="5"/>
  <c r="U175" i="5"/>
  <c r="T175" i="5"/>
  <c r="X174" i="5"/>
  <c r="W174" i="5"/>
  <c r="V174" i="5"/>
  <c r="U174" i="5"/>
  <c r="T174" i="5"/>
  <c r="X173" i="5"/>
  <c r="W173" i="5"/>
  <c r="V173" i="5"/>
  <c r="U173" i="5"/>
  <c r="T173" i="5"/>
  <c r="X172" i="5"/>
  <c r="W172" i="5"/>
  <c r="V172" i="5"/>
  <c r="U172" i="5"/>
  <c r="T172" i="5"/>
  <c r="X171" i="5"/>
  <c r="W171" i="5"/>
  <c r="V171" i="5"/>
  <c r="U171" i="5"/>
  <c r="T171" i="5"/>
  <c r="X170" i="5"/>
  <c r="W170" i="5"/>
  <c r="V170" i="5"/>
  <c r="U170" i="5"/>
  <c r="T170" i="5"/>
  <c r="X169" i="5"/>
  <c r="W169" i="5"/>
  <c r="V169" i="5"/>
  <c r="U169" i="5"/>
  <c r="T169" i="5"/>
  <c r="X168" i="5"/>
  <c r="W168" i="5"/>
  <c r="V168" i="5"/>
  <c r="U168" i="5"/>
  <c r="T168" i="5"/>
  <c r="X167" i="5"/>
  <c r="W167" i="5"/>
  <c r="V167" i="5"/>
  <c r="U167" i="5"/>
  <c r="T167" i="5"/>
  <c r="X166" i="5"/>
  <c r="W166" i="5"/>
  <c r="V166" i="5"/>
  <c r="U166" i="5"/>
  <c r="T166" i="5"/>
  <c r="X165" i="5"/>
  <c r="W165" i="5"/>
  <c r="V165" i="5"/>
  <c r="U165" i="5"/>
  <c r="T165" i="5"/>
  <c r="X164" i="5"/>
  <c r="W164" i="5"/>
  <c r="V164" i="5"/>
  <c r="U164" i="5"/>
  <c r="T164" i="5"/>
  <c r="X163" i="5"/>
  <c r="W163" i="5"/>
  <c r="V163" i="5"/>
  <c r="U163" i="5"/>
  <c r="T163" i="5"/>
  <c r="X162" i="5"/>
  <c r="W162" i="5"/>
  <c r="V162" i="5"/>
  <c r="U162" i="5"/>
  <c r="T162" i="5"/>
  <c r="X161" i="5"/>
  <c r="W161" i="5"/>
  <c r="V161" i="5"/>
  <c r="U161" i="5"/>
  <c r="T161" i="5"/>
  <c r="X160" i="5"/>
  <c r="W160" i="5"/>
  <c r="V160" i="5"/>
  <c r="U160" i="5"/>
  <c r="T160" i="5"/>
  <c r="X159" i="5"/>
  <c r="W159" i="5"/>
  <c r="V159" i="5"/>
  <c r="U159" i="5"/>
  <c r="T159" i="5"/>
  <c r="X158" i="5"/>
  <c r="W158" i="5"/>
  <c r="V158" i="5"/>
  <c r="U158" i="5"/>
  <c r="T158" i="5"/>
  <c r="X157" i="5"/>
  <c r="W157" i="5"/>
  <c r="V157" i="5"/>
  <c r="U157" i="5"/>
  <c r="T157" i="5"/>
  <c r="X156" i="5"/>
  <c r="W156" i="5"/>
  <c r="V156" i="5"/>
  <c r="U156" i="5"/>
  <c r="T156" i="5"/>
  <c r="X155" i="5"/>
  <c r="W155" i="5"/>
  <c r="V155" i="5"/>
  <c r="U155" i="5"/>
  <c r="T155" i="5"/>
  <c r="X154" i="5"/>
  <c r="W154" i="5"/>
  <c r="V154" i="5"/>
  <c r="U154" i="5"/>
  <c r="T154" i="5"/>
  <c r="X153" i="5"/>
  <c r="W153" i="5"/>
  <c r="V153" i="5"/>
  <c r="U153" i="5"/>
  <c r="T153" i="5"/>
  <c r="X152" i="5"/>
  <c r="W152" i="5"/>
  <c r="V152" i="5"/>
  <c r="U152" i="5"/>
  <c r="T152" i="5"/>
  <c r="X151" i="5"/>
  <c r="W151" i="5"/>
  <c r="V151" i="5"/>
  <c r="U151" i="5"/>
  <c r="T151" i="5"/>
  <c r="X150" i="5"/>
  <c r="W150" i="5"/>
  <c r="V150" i="5"/>
  <c r="U150" i="5"/>
  <c r="T150" i="5"/>
  <c r="X149" i="5"/>
  <c r="W149" i="5"/>
  <c r="V149" i="5"/>
  <c r="U149" i="5"/>
  <c r="T149" i="5"/>
  <c r="X148" i="5"/>
  <c r="W148" i="5"/>
  <c r="V148" i="5"/>
  <c r="U148" i="5"/>
  <c r="T148" i="5"/>
  <c r="X147" i="5"/>
  <c r="W147" i="5"/>
  <c r="V147" i="5"/>
  <c r="U147" i="5"/>
  <c r="T147" i="5"/>
  <c r="X146" i="5"/>
  <c r="W146" i="5"/>
  <c r="V146" i="5"/>
  <c r="U146" i="5"/>
  <c r="T146" i="5"/>
  <c r="X145" i="5"/>
  <c r="W145" i="5"/>
  <c r="V145" i="5"/>
  <c r="U145" i="5"/>
  <c r="T145" i="5"/>
  <c r="X144" i="5"/>
  <c r="W144" i="5"/>
  <c r="V144" i="5"/>
  <c r="U144" i="5"/>
  <c r="T144" i="5"/>
  <c r="X143" i="5"/>
  <c r="W143" i="5"/>
  <c r="V143" i="5"/>
  <c r="U143" i="5"/>
  <c r="T143" i="5"/>
  <c r="X142" i="5"/>
  <c r="W142" i="5"/>
  <c r="V142" i="5"/>
  <c r="U142" i="5"/>
  <c r="T142" i="5"/>
  <c r="X141" i="5"/>
  <c r="W141" i="5"/>
  <c r="V141" i="5"/>
  <c r="U141" i="5"/>
  <c r="T141" i="5"/>
  <c r="X140" i="5"/>
  <c r="W140" i="5"/>
  <c r="V140" i="5"/>
  <c r="U140" i="5"/>
  <c r="T140" i="5"/>
  <c r="X139" i="5"/>
  <c r="W139" i="5"/>
  <c r="V139" i="5"/>
  <c r="U139" i="5"/>
  <c r="T139" i="5"/>
  <c r="X138" i="5"/>
  <c r="W138" i="5"/>
  <c r="V138" i="5"/>
  <c r="U138" i="5"/>
  <c r="T138" i="5"/>
  <c r="X137" i="5"/>
  <c r="W137" i="5"/>
  <c r="V137" i="5"/>
  <c r="U137" i="5"/>
  <c r="T137" i="5"/>
  <c r="X136" i="5"/>
  <c r="W136" i="5"/>
  <c r="V136" i="5"/>
  <c r="U136" i="5"/>
  <c r="T136" i="5"/>
  <c r="X135" i="5"/>
  <c r="W135" i="5"/>
  <c r="V135" i="5"/>
  <c r="U135" i="5"/>
  <c r="T135" i="5"/>
  <c r="X134" i="5"/>
  <c r="W134" i="5"/>
  <c r="V134" i="5"/>
  <c r="U134" i="5"/>
  <c r="T134" i="5"/>
  <c r="X133" i="5"/>
  <c r="W133" i="5"/>
  <c r="V133" i="5"/>
  <c r="U133" i="5"/>
  <c r="T133" i="5"/>
  <c r="X132" i="5"/>
  <c r="W132" i="5"/>
  <c r="V132" i="5"/>
  <c r="U132" i="5"/>
  <c r="T132" i="5"/>
  <c r="X131" i="5"/>
  <c r="W131" i="5"/>
  <c r="V131" i="5"/>
  <c r="U131" i="5"/>
  <c r="T131" i="5"/>
  <c r="X130" i="5"/>
  <c r="W130" i="5"/>
  <c r="V130" i="5"/>
  <c r="U130" i="5"/>
  <c r="T130" i="5"/>
  <c r="X129" i="5"/>
  <c r="W129" i="5"/>
  <c r="V129" i="5"/>
  <c r="U129" i="5"/>
  <c r="T129" i="5"/>
  <c r="X128" i="5"/>
  <c r="W128" i="5"/>
  <c r="V128" i="5"/>
  <c r="U128" i="5"/>
  <c r="T128" i="5"/>
  <c r="X127" i="5"/>
  <c r="W127" i="5"/>
  <c r="V127" i="5"/>
  <c r="U127" i="5"/>
  <c r="T127" i="5"/>
  <c r="X126" i="5"/>
  <c r="W126" i="5"/>
  <c r="V126" i="5"/>
  <c r="U126" i="5"/>
  <c r="T126" i="5"/>
  <c r="X125" i="5"/>
  <c r="W125" i="5"/>
  <c r="V125" i="5"/>
  <c r="U125" i="5"/>
  <c r="T125" i="5"/>
  <c r="X124" i="5"/>
  <c r="W124" i="5"/>
  <c r="V124" i="5"/>
  <c r="U124" i="5"/>
  <c r="T124" i="5"/>
  <c r="X123" i="5"/>
  <c r="W123" i="5"/>
  <c r="V123" i="5"/>
  <c r="U123" i="5"/>
  <c r="T123" i="5"/>
  <c r="X122" i="5"/>
  <c r="W122" i="5"/>
  <c r="V122" i="5"/>
  <c r="U122" i="5"/>
  <c r="T122" i="5"/>
  <c r="X121" i="5"/>
  <c r="W121" i="5"/>
  <c r="V121" i="5"/>
  <c r="U121" i="5"/>
  <c r="T121" i="5"/>
  <c r="X120" i="5"/>
  <c r="W120" i="5"/>
  <c r="V120" i="5"/>
  <c r="U120" i="5"/>
  <c r="T120" i="5"/>
  <c r="X119" i="5"/>
  <c r="W119" i="5"/>
  <c r="V119" i="5"/>
  <c r="U119" i="5"/>
  <c r="T119" i="5"/>
  <c r="X118" i="5"/>
  <c r="W118" i="5"/>
  <c r="V118" i="5"/>
  <c r="U118" i="5"/>
  <c r="T118" i="5"/>
  <c r="X117" i="5"/>
  <c r="W117" i="5"/>
  <c r="V117" i="5"/>
  <c r="U117" i="5"/>
  <c r="T117" i="5"/>
  <c r="X116" i="5"/>
  <c r="W116" i="5"/>
  <c r="V116" i="5"/>
  <c r="U116" i="5"/>
  <c r="T116" i="5"/>
  <c r="X115" i="5"/>
  <c r="W115" i="5"/>
  <c r="V115" i="5"/>
  <c r="U115" i="5"/>
  <c r="T115" i="5"/>
  <c r="X114" i="5"/>
  <c r="W114" i="5"/>
  <c r="V114" i="5"/>
  <c r="U114" i="5"/>
  <c r="T114" i="5"/>
  <c r="X113" i="5"/>
  <c r="W113" i="5"/>
  <c r="V113" i="5"/>
  <c r="U113" i="5"/>
  <c r="T113" i="5"/>
  <c r="X112" i="5"/>
  <c r="W112" i="5"/>
  <c r="V112" i="5"/>
  <c r="U112" i="5"/>
  <c r="T112" i="5"/>
  <c r="X111" i="5"/>
  <c r="W111" i="5"/>
  <c r="V111" i="5"/>
  <c r="U111" i="5"/>
  <c r="T111" i="5"/>
  <c r="X110" i="5"/>
  <c r="W110" i="5"/>
  <c r="V110" i="5"/>
  <c r="U110" i="5"/>
  <c r="T110" i="5"/>
  <c r="X109" i="5"/>
  <c r="W109" i="5"/>
  <c r="V109" i="5"/>
  <c r="U109" i="5"/>
  <c r="T109" i="5"/>
  <c r="X108" i="5"/>
  <c r="W108" i="5"/>
  <c r="V108" i="5"/>
  <c r="U108" i="5"/>
  <c r="T108" i="5"/>
  <c r="X107" i="5"/>
  <c r="W107" i="5"/>
  <c r="V107" i="5"/>
  <c r="U107" i="5"/>
  <c r="T107" i="5"/>
  <c r="X106" i="5"/>
  <c r="W106" i="5"/>
  <c r="V106" i="5"/>
  <c r="U106" i="5"/>
  <c r="T106" i="5"/>
  <c r="X105" i="5"/>
  <c r="W105" i="5"/>
  <c r="V105" i="5"/>
  <c r="U105" i="5"/>
  <c r="T105" i="5"/>
  <c r="X104" i="5"/>
  <c r="W104" i="5"/>
  <c r="V104" i="5"/>
  <c r="U104" i="5"/>
  <c r="T104" i="5"/>
  <c r="X103" i="5"/>
  <c r="W103" i="5"/>
  <c r="V103" i="5"/>
  <c r="U103" i="5"/>
  <c r="T103" i="5"/>
  <c r="X102" i="5"/>
  <c r="W102" i="5"/>
  <c r="V102" i="5"/>
  <c r="U102" i="5"/>
  <c r="T102" i="5"/>
  <c r="X101" i="5"/>
  <c r="W101" i="5"/>
  <c r="V101" i="5"/>
  <c r="U101" i="5"/>
  <c r="T101" i="5"/>
  <c r="X100" i="5"/>
  <c r="W100" i="5"/>
  <c r="V100" i="5"/>
  <c r="U100" i="5"/>
  <c r="T100" i="5"/>
  <c r="X99" i="5"/>
  <c r="W99" i="5"/>
  <c r="V99" i="5"/>
  <c r="U99" i="5"/>
  <c r="T99" i="5"/>
  <c r="X98" i="5"/>
  <c r="W98" i="5"/>
  <c r="V98" i="5"/>
  <c r="U98" i="5"/>
  <c r="T98" i="5"/>
  <c r="X97" i="5"/>
  <c r="W97" i="5"/>
  <c r="V97" i="5"/>
  <c r="U97" i="5"/>
  <c r="T97" i="5"/>
  <c r="X96" i="5"/>
  <c r="W96" i="5"/>
  <c r="V96" i="5"/>
  <c r="U96" i="5"/>
  <c r="T96" i="5"/>
  <c r="X95" i="5"/>
  <c r="W95" i="5"/>
  <c r="V95" i="5"/>
  <c r="U95" i="5"/>
  <c r="T95" i="5"/>
  <c r="X94" i="5"/>
  <c r="W94" i="5"/>
  <c r="V94" i="5"/>
  <c r="U94" i="5"/>
  <c r="T94" i="5"/>
  <c r="X93" i="5"/>
  <c r="W93" i="5"/>
  <c r="V93" i="5"/>
  <c r="U93" i="5"/>
  <c r="T93" i="5"/>
  <c r="X92" i="5"/>
  <c r="W92" i="5"/>
  <c r="V92" i="5"/>
  <c r="U92" i="5"/>
  <c r="T92" i="5"/>
  <c r="X91" i="5"/>
  <c r="W91" i="5"/>
  <c r="V91" i="5"/>
  <c r="U91" i="5"/>
  <c r="T91" i="5"/>
  <c r="X90" i="5"/>
  <c r="W90" i="5"/>
  <c r="V90" i="5"/>
  <c r="U90" i="5"/>
  <c r="T90" i="5"/>
  <c r="X89" i="5"/>
  <c r="W89" i="5"/>
  <c r="V89" i="5"/>
  <c r="U89" i="5"/>
  <c r="T89" i="5"/>
  <c r="X88" i="5"/>
  <c r="W88" i="5"/>
  <c r="V88" i="5"/>
  <c r="U88" i="5"/>
  <c r="T88" i="5"/>
  <c r="X87" i="5"/>
  <c r="W87" i="5"/>
  <c r="V87" i="5"/>
  <c r="U87" i="5"/>
  <c r="T87" i="5"/>
  <c r="X86" i="5"/>
  <c r="W86" i="5"/>
  <c r="V86" i="5"/>
  <c r="U86" i="5"/>
  <c r="T86" i="5"/>
  <c r="X85" i="5"/>
  <c r="W85" i="5"/>
  <c r="V85" i="5"/>
  <c r="U85" i="5"/>
  <c r="T85" i="5"/>
  <c r="X84" i="5"/>
  <c r="W84" i="5"/>
  <c r="V84" i="5"/>
  <c r="U84" i="5"/>
  <c r="T84" i="5"/>
  <c r="X83" i="5"/>
  <c r="W83" i="5"/>
  <c r="V83" i="5"/>
  <c r="U83" i="5"/>
  <c r="T83" i="5"/>
  <c r="X82" i="5"/>
  <c r="W82" i="5"/>
  <c r="V82" i="5"/>
  <c r="U82" i="5"/>
  <c r="T82" i="5"/>
  <c r="X81" i="5"/>
  <c r="W81" i="5"/>
  <c r="V81" i="5"/>
  <c r="U81" i="5"/>
  <c r="T81" i="5"/>
  <c r="X80" i="5"/>
  <c r="W80" i="5"/>
  <c r="V80" i="5"/>
  <c r="U80" i="5"/>
  <c r="T80" i="5"/>
  <c r="X79" i="5"/>
  <c r="W79" i="5"/>
  <c r="V79" i="5"/>
  <c r="U79" i="5"/>
  <c r="T79" i="5"/>
  <c r="X78" i="5"/>
  <c r="W78" i="5"/>
  <c r="V78" i="5"/>
  <c r="U78" i="5"/>
  <c r="T78" i="5"/>
  <c r="S78" i="5"/>
  <c r="R78" i="5"/>
  <c r="Q78" i="5"/>
  <c r="P78" i="5"/>
  <c r="O78" i="5"/>
  <c r="N78" i="5"/>
  <c r="X77" i="5"/>
  <c r="W77" i="5"/>
  <c r="V77" i="5"/>
  <c r="U77" i="5"/>
  <c r="T77" i="5"/>
  <c r="S77" i="5"/>
  <c r="R77" i="5"/>
  <c r="Q77" i="5"/>
  <c r="P77" i="5"/>
  <c r="O77" i="5"/>
  <c r="N77" i="5"/>
  <c r="X76" i="5"/>
  <c r="W76" i="5"/>
  <c r="V76" i="5"/>
  <c r="U76" i="5"/>
  <c r="T76" i="5"/>
  <c r="S76" i="5"/>
  <c r="R76" i="5"/>
  <c r="Q76" i="5"/>
  <c r="P76" i="5"/>
  <c r="O76" i="5"/>
  <c r="N76" i="5"/>
  <c r="X75" i="5"/>
  <c r="W75" i="5"/>
  <c r="V75" i="5"/>
  <c r="U75" i="5"/>
  <c r="T75" i="5"/>
  <c r="S75" i="5"/>
  <c r="R75" i="5"/>
  <c r="Q75" i="5"/>
  <c r="P75" i="5"/>
  <c r="O75" i="5"/>
  <c r="N75" i="5"/>
  <c r="X74" i="5"/>
  <c r="W74" i="5"/>
  <c r="V74" i="5"/>
  <c r="U74" i="5"/>
  <c r="T74" i="5"/>
  <c r="S74" i="5"/>
  <c r="R74" i="5"/>
  <c r="Q74" i="5"/>
  <c r="P74" i="5"/>
  <c r="O74" i="5"/>
  <c r="N74" i="5"/>
  <c r="X73" i="5"/>
  <c r="W73" i="5"/>
  <c r="V73" i="5"/>
  <c r="U73" i="5"/>
  <c r="T73" i="5"/>
  <c r="S73" i="5"/>
  <c r="R73" i="5"/>
  <c r="Q73" i="5"/>
  <c r="P73" i="5"/>
  <c r="O73" i="5"/>
  <c r="N73" i="5"/>
  <c r="X72" i="5"/>
  <c r="W72" i="5"/>
  <c r="V72" i="5"/>
  <c r="U72" i="5"/>
  <c r="T72" i="5"/>
  <c r="S72" i="5"/>
  <c r="R72" i="5"/>
  <c r="Q72" i="5"/>
  <c r="P72" i="5"/>
  <c r="O72" i="5"/>
  <c r="N72" i="5"/>
  <c r="X71" i="5"/>
  <c r="W71" i="5"/>
  <c r="V71" i="5"/>
  <c r="U71" i="5"/>
  <c r="T71" i="5"/>
  <c r="S71" i="5"/>
  <c r="R71" i="5"/>
  <c r="Q71" i="5"/>
  <c r="P71" i="5"/>
  <c r="O71" i="5"/>
  <c r="N71" i="5"/>
  <c r="X70" i="5"/>
  <c r="W70" i="5"/>
  <c r="V70" i="5"/>
  <c r="U70" i="5"/>
  <c r="T70" i="5"/>
  <c r="S70" i="5"/>
  <c r="R70" i="5"/>
  <c r="Q70" i="5"/>
  <c r="P70" i="5"/>
  <c r="O70" i="5"/>
  <c r="N70" i="5"/>
  <c r="X69" i="5"/>
  <c r="W69" i="5"/>
  <c r="V69" i="5"/>
  <c r="U69" i="5"/>
  <c r="T69" i="5"/>
  <c r="S69" i="5"/>
  <c r="R69" i="5"/>
  <c r="Q69" i="5"/>
  <c r="P69" i="5"/>
  <c r="O69" i="5"/>
  <c r="N69" i="5"/>
  <c r="X68" i="5"/>
  <c r="W68" i="5"/>
  <c r="V68" i="5"/>
  <c r="U68" i="5"/>
  <c r="T68" i="5"/>
  <c r="S68" i="5"/>
  <c r="R68" i="5"/>
  <c r="Q68" i="5"/>
  <c r="P68" i="5"/>
  <c r="O68" i="5"/>
  <c r="N68" i="5"/>
  <c r="X67" i="5"/>
  <c r="W67" i="5"/>
  <c r="V67" i="5"/>
  <c r="U67" i="5"/>
  <c r="T67" i="5"/>
  <c r="S67" i="5"/>
  <c r="R67" i="5"/>
  <c r="Q67" i="5"/>
  <c r="P67" i="5"/>
  <c r="O67" i="5"/>
  <c r="N67" i="5"/>
  <c r="X66" i="5"/>
  <c r="W66" i="5"/>
  <c r="V66" i="5"/>
  <c r="U66" i="5"/>
  <c r="T66" i="5"/>
  <c r="S66" i="5"/>
  <c r="R66" i="5"/>
  <c r="Q66" i="5"/>
  <c r="P66" i="5"/>
  <c r="O66" i="5"/>
  <c r="N66" i="5"/>
  <c r="X65" i="5"/>
  <c r="W65" i="5"/>
  <c r="V65" i="5"/>
  <c r="U65" i="5"/>
  <c r="T65" i="5"/>
  <c r="S65" i="5"/>
  <c r="R65" i="5"/>
  <c r="Q65" i="5"/>
  <c r="P65" i="5"/>
  <c r="O65" i="5"/>
  <c r="N65" i="5"/>
  <c r="X64" i="5"/>
  <c r="W64" i="5"/>
  <c r="V64" i="5"/>
  <c r="U64" i="5"/>
  <c r="T64" i="5"/>
  <c r="S64" i="5"/>
  <c r="R64" i="5"/>
  <c r="Q64" i="5"/>
  <c r="P64" i="5"/>
  <c r="O64" i="5"/>
  <c r="N64" i="5"/>
  <c r="X63" i="5"/>
  <c r="W63" i="5"/>
  <c r="V63" i="5"/>
  <c r="U63" i="5"/>
  <c r="T63" i="5"/>
  <c r="S63" i="5"/>
  <c r="R63" i="5"/>
  <c r="Q63" i="5"/>
  <c r="P63" i="5"/>
  <c r="O63" i="5"/>
  <c r="N63" i="5"/>
  <c r="X62" i="5"/>
  <c r="W62" i="5"/>
  <c r="V62" i="5"/>
  <c r="U62" i="5"/>
  <c r="T62" i="5"/>
  <c r="S62" i="5"/>
  <c r="R62" i="5"/>
  <c r="Q62" i="5"/>
  <c r="P62" i="5"/>
  <c r="O62" i="5"/>
  <c r="N62" i="5"/>
  <c r="X61" i="5"/>
  <c r="W61" i="5"/>
  <c r="V61" i="5"/>
  <c r="U61" i="5"/>
  <c r="T61" i="5"/>
  <c r="S61" i="5"/>
  <c r="R61" i="5"/>
  <c r="Q61" i="5"/>
  <c r="P61" i="5"/>
  <c r="O61" i="5"/>
  <c r="N61" i="5"/>
  <c r="X60" i="5"/>
  <c r="W60" i="5"/>
  <c r="V60" i="5"/>
  <c r="U60" i="5"/>
  <c r="T60" i="5"/>
  <c r="S60" i="5"/>
  <c r="R60" i="5"/>
  <c r="Q60" i="5"/>
  <c r="P60" i="5"/>
  <c r="O60" i="5"/>
  <c r="N60" i="5"/>
  <c r="X59" i="5"/>
  <c r="W59" i="5"/>
  <c r="V59" i="5"/>
  <c r="U59" i="5"/>
  <c r="T59" i="5"/>
  <c r="S59" i="5"/>
  <c r="R59" i="5"/>
  <c r="Q59" i="5"/>
  <c r="P59" i="5"/>
  <c r="O59" i="5"/>
  <c r="N59" i="5"/>
  <c r="X58" i="5"/>
  <c r="W58" i="5"/>
  <c r="V58" i="5"/>
  <c r="U58" i="5"/>
  <c r="T58" i="5"/>
  <c r="S58" i="5"/>
  <c r="R58" i="5"/>
  <c r="Q58" i="5"/>
  <c r="P58" i="5"/>
  <c r="O58" i="5"/>
  <c r="N58" i="5"/>
  <c r="X57" i="5"/>
  <c r="W57" i="5"/>
  <c r="V57" i="5"/>
  <c r="U57" i="5"/>
  <c r="T57" i="5"/>
  <c r="S57" i="5"/>
  <c r="R57" i="5"/>
  <c r="Q57" i="5"/>
  <c r="P57" i="5"/>
  <c r="O57" i="5"/>
  <c r="N57" i="5"/>
  <c r="X56" i="5"/>
  <c r="W56" i="5"/>
  <c r="V56" i="5"/>
  <c r="U56" i="5"/>
  <c r="T56" i="5"/>
  <c r="S56" i="5"/>
  <c r="R56" i="5"/>
  <c r="Q56" i="5"/>
  <c r="P56" i="5"/>
  <c r="O56" i="5"/>
  <c r="N56" i="5"/>
  <c r="X55" i="5"/>
  <c r="W55" i="5"/>
  <c r="V55" i="5"/>
  <c r="U55" i="5"/>
  <c r="T55" i="5"/>
  <c r="S55" i="5"/>
  <c r="R55" i="5"/>
  <c r="Q55" i="5"/>
  <c r="P55" i="5"/>
  <c r="O55" i="5"/>
  <c r="N55" i="5"/>
  <c r="X54" i="5"/>
  <c r="W54" i="5"/>
  <c r="V54" i="5"/>
  <c r="U54" i="5"/>
  <c r="T54" i="5"/>
  <c r="S54" i="5"/>
  <c r="R54" i="5"/>
  <c r="Q54" i="5"/>
  <c r="P54" i="5"/>
  <c r="O54" i="5"/>
  <c r="N54" i="5"/>
  <c r="X53" i="5"/>
  <c r="W53" i="5"/>
  <c r="V53" i="5"/>
  <c r="U53" i="5"/>
  <c r="T53" i="5"/>
  <c r="S53" i="5"/>
  <c r="R53" i="5"/>
  <c r="Q53" i="5"/>
  <c r="P53" i="5"/>
  <c r="O53" i="5"/>
  <c r="N53" i="5"/>
  <c r="X52" i="5"/>
  <c r="W52" i="5"/>
  <c r="V52" i="5"/>
  <c r="U52" i="5"/>
  <c r="T52" i="5"/>
  <c r="S52" i="5"/>
  <c r="R52" i="5"/>
  <c r="Q52" i="5"/>
  <c r="P52" i="5"/>
  <c r="O52" i="5"/>
  <c r="N52" i="5"/>
  <c r="X51" i="5"/>
  <c r="W51" i="5"/>
  <c r="V51" i="5"/>
  <c r="U51" i="5"/>
  <c r="T51" i="5"/>
  <c r="S51" i="5"/>
  <c r="R51" i="5"/>
  <c r="Q51" i="5"/>
  <c r="P51" i="5"/>
  <c r="O51" i="5"/>
  <c r="N51" i="5"/>
  <c r="X50" i="5"/>
  <c r="W50" i="5"/>
  <c r="V50" i="5"/>
  <c r="U50" i="5"/>
  <c r="T50" i="5"/>
  <c r="S50" i="5"/>
  <c r="R50" i="5"/>
  <c r="Q50" i="5"/>
  <c r="P50" i="5"/>
  <c r="O50" i="5"/>
  <c r="N50" i="5"/>
  <c r="X49" i="5"/>
  <c r="W49" i="5"/>
  <c r="V49" i="5"/>
  <c r="U49" i="5"/>
  <c r="T49" i="5"/>
  <c r="S49" i="5"/>
  <c r="R49" i="5"/>
  <c r="Q49" i="5"/>
  <c r="P49" i="5"/>
  <c r="O49" i="5"/>
  <c r="N49" i="5"/>
  <c r="X48" i="5"/>
  <c r="W48" i="5"/>
  <c r="V48" i="5"/>
  <c r="U48" i="5"/>
  <c r="T48" i="5"/>
  <c r="S48" i="5"/>
  <c r="R48" i="5"/>
  <c r="Q48" i="5"/>
  <c r="P48" i="5"/>
  <c r="O48" i="5"/>
  <c r="N48" i="5"/>
  <c r="X47" i="5"/>
  <c r="W47" i="5"/>
  <c r="V47" i="5"/>
  <c r="U47" i="5"/>
  <c r="T47" i="5"/>
  <c r="S47" i="5"/>
  <c r="R47" i="5"/>
  <c r="Q47" i="5"/>
  <c r="P47" i="5"/>
  <c r="O47" i="5"/>
  <c r="N47" i="5"/>
  <c r="X46" i="5"/>
  <c r="W46" i="5"/>
  <c r="V46" i="5"/>
  <c r="U46" i="5"/>
  <c r="T46" i="5"/>
  <c r="S46" i="5"/>
  <c r="R46" i="5"/>
  <c r="Q46" i="5"/>
  <c r="P46" i="5"/>
  <c r="O46" i="5"/>
  <c r="N46" i="5"/>
  <c r="X45" i="5"/>
  <c r="W45" i="5"/>
  <c r="V45" i="5"/>
  <c r="U45" i="5"/>
  <c r="T45" i="5"/>
  <c r="S45" i="5"/>
  <c r="R45" i="5"/>
  <c r="Q45" i="5"/>
  <c r="P45" i="5"/>
  <c r="O45" i="5"/>
  <c r="N45" i="5"/>
  <c r="X44" i="5"/>
  <c r="W44" i="5"/>
  <c r="V44" i="5"/>
  <c r="U44" i="5"/>
  <c r="T44" i="5"/>
  <c r="S44" i="5"/>
  <c r="R44" i="5"/>
  <c r="Q44" i="5"/>
  <c r="P44" i="5"/>
  <c r="O44" i="5"/>
  <c r="N44" i="5"/>
  <c r="X43" i="5"/>
  <c r="W43" i="5"/>
  <c r="V43" i="5"/>
  <c r="U43" i="5"/>
  <c r="T43" i="5"/>
  <c r="S43" i="5"/>
  <c r="R43" i="5"/>
  <c r="Q43" i="5"/>
  <c r="P43" i="5"/>
  <c r="O43" i="5"/>
  <c r="N43" i="5"/>
  <c r="X42" i="5"/>
  <c r="W42" i="5"/>
  <c r="V42" i="5"/>
  <c r="U42" i="5"/>
  <c r="T42" i="5"/>
  <c r="S42" i="5"/>
  <c r="R42" i="5"/>
  <c r="Q42" i="5"/>
  <c r="P42" i="5"/>
  <c r="O42" i="5"/>
  <c r="N42" i="5"/>
  <c r="X41" i="5"/>
  <c r="W41" i="5"/>
  <c r="V41" i="5"/>
  <c r="U41" i="5"/>
  <c r="T41" i="5"/>
  <c r="S41" i="5"/>
  <c r="R41" i="5"/>
  <c r="Q41" i="5"/>
  <c r="P41" i="5"/>
  <c r="O41" i="5"/>
  <c r="N41" i="5"/>
  <c r="X40" i="5"/>
  <c r="W40" i="5"/>
  <c r="V40" i="5"/>
  <c r="U40" i="5"/>
  <c r="T40" i="5"/>
  <c r="S40" i="5"/>
  <c r="R40" i="5"/>
  <c r="Q40" i="5"/>
  <c r="P40" i="5"/>
  <c r="O40" i="5"/>
  <c r="N40" i="5"/>
  <c r="X39" i="5"/>
  <c r="W39" i="5"/>
  <c r="V39" i="5"/>
  <c r="U39" i="5"/>
  <c r="T39" i="5"/>
  <c r="S39" i="5"/>
  <c r="R39" i="5"/>
  <c r="Q39" i="5"/>
  <c r="P39" i="5"/>
  <c r="O39" i="5"/>
  <c r="N39" i="5"/>
  <c r="X38" i="5"/>
  <c r="W38" i="5"/>
  <c r="V38" i="5"/>
  <c r="U38" i="5"/>
  <c r="T38" i="5"/>
  <c r="S38" i="5"/>
  <c r="R38" i="5"/>
  <c r="Q38" i="5"/>
  <c r="P38" i="5"/>
  <c r="O38" i="5"/>
  <c r="N38" i="5"/>
  <c r="X37" i="5"/>
  <c r="W37" i="5"/>
  <c r="V37" i="5"/>
  <c r="U37" i="5"/>
  <c r="T37" i="5"/>
  <c r="S37" i="5"/>
  <c r="R37" i="5"/>
  <c r="Q37" i="5"/>
  <c r="P37" i="5"/>
  <c r="O37" i="5"/>
  <c r="N37" i="5"/>
  <c r="X36" i="5"/>
  <c r="W36" i="5"/>
  <c r="V36" i="5"/>
  <c r="U36" i="5"/>
  <c r="T36" i="5"/>
  <c r="S36" i="5"/>
  <c r="R36" i="5"/>
  <c r="Q36" i="5"/>
  <c r="P36" i="5"/>
  <c r="O36" i="5"/>
  <c r="N36" i="5"/>
  <c r="X35" i="5"/>
  <c r="W35" i="5"/>
  <c r="V35" i="5"/>
  <c r="U35" i="5"/>
  <c r="T35" i="5"/>
  <c r="S35" i="5"/>
  <c r="R35" i="5"/>
  <c r="Q35" i="5"/>
  <c r="P35" i="5"/>
  <c r="O35" i="5"/>
  <c r="N35" i="5"/>
  <c r="X34" i="5"/>
  <c r="W34" i="5"/>
  <c r="V34" i="5"/>
  <c r="U34" i="5"/>
  <c r="T34" i="5"/>
  <c r="S34" i="5"/>
  <c r="R34" i="5"/>
  <c r="Q34" i="5"/>
  <c r="P34" i="5"/>
  <c r="O34" i="5"/>
  <c r="N34" i="5"/>
  <c r="X33" i="5"/>
  <c r="W33" i="5"/>
  <c r="V33" i="5"/>
  <c r="U33" i="5"/>
  <c r="T33" i="5"/>
  <c r="S33" i="5"/>
  <c r="R33" i="5"/>
  <c r="Q33" i="5"/>
  <c r="P33" i="5"/>
  <c r="O33" i="5"/>
  <c r="N33" i="5"/>
  <c r="X32" i="5"/>
  <c r="W32" i="5"/>
  <c r="V32" i="5"/>
  <c r="U32" i="5"/>
  <c r="T32" i="5"/>
  <c r="S32" i="5"/>
  <c r="R32" i="5"/>
  <c r="Q32" i="5"/>
  <c r="P32" i="5"/>
  <c r="O32" i="5"/>
  <c r="N32" i="5"/>
  <c r="X31" i="5"/>
  <c r="W31" i="5"/>
  <c r="V31" i="5"/>
  <c r="U31" i="5"/>
  <c r="T31" i="5"/>
  <c r="S31" i="5"/>
  <c r="R31" i="5"/>
  <c r="Q31" i="5"/>
  <c r="P31" i="5"/>
  <c r="O31" i="5"/>
  <c r="N31" i="5"/>
  <c r="X30" i="5"/>
  <c r="W30" i="5"/>
  <c r="V30" i="5"/>
  <c r="U30" i="5"/>
  <c r="T30" i="5"/>
  <c r="S30" i="5"/>
  <c r="R30" i="5"/>
  <c r="Q30" i="5"/>
  <c r="P30" i="5"/>
  <c r="O30" i="5"/>
  <c r="N30" i="5"/>
  <c r="X29" i="5"/>
  <c r="W29" i="5"/>
  <c r="V29" i="5"/>
  <c r="U29" i="5"/>
  <c r="T29" i="5"/>
  <c r="S29" i="5"/>
  <c r="R29" i="5"/>
  <c r="Q29" i="5"/>
  <c r="P29" i="5"/>
  <c r="O29" i="5"/>
  <c r="N29" i="5"/>
  <c r="X28" i="5"/>
  <c r="W28" i="5"/>
  <c r="V28" i="5"/>
  <c r="U28" i="5"/>
  <c r="T28" i="5"/>
  <c r="S28" i="5"/>
  <c r="R28" i="5"/>
  <c r="Q28" i="5"/>
  <c r="P28" i="5"/>
  <c r="O28" i="5"/>
  <c r="N28" i="5"/>
  <c r="X27" i="5"/>
  <c r="W27" i="5"/>
  <c r="V27" i="5"/>
  <c r="U27" i="5"/>
  <c r="T27" i="5"/>
  <c r="S27" i="5"/>
  <c r="R27" i="5"/>
  <c r="Q27" i="5"/>
  <c r="P27" i="5"/>
  <c r="O27" i="5"/>
  <c r="N27" i="5"/>
  <c r="X26" i="5"/>
  <c r="W26" i="5"/>
  <c r="V26" i="5"/>
  <c r="U26" i="5"/>
  <c r="T26" i="5"/>
  <c r="S26" i="5"/>
  <c r="R26" i="5"/>
  <c r="Q26" i="5"/>
  <c r="P26" i="5"/>
  <c r="O26" i="5"/>
  <c r="N26" i="5"/>
  <c r="X25" i="5"/>
  <c r="W25" i="5"/>
  <c r="V25" i="5"/>
  <c r="U25" i="5"/>
  <c r="T25" i="5"/>
  <c r="S25" i="5"/>
  <c r="R25" i="5"/>
  <c r="Q25" i="5"/>
  <c r="P25" i="5"/>
  <c r="O25" i="5"/>
  <c r="N25" i="5"/>
  <c r="X24" i="5"/>
  <c r="W24" i="5"/>
  <c r="V24" i="5"/>
  <c r="U24" i="5"/>
  <c r="T24" i="5"/>
  <c r="S24" i="5"/>
  <c r="R24" i="5"/>
  <c r="Q24" i="5"/>
  <c r="P24" i="5"/>
  <c r="O24" i="5"/>
  <c r="N24" i="5"/>
  <c r="X23" i="5"/>
  <c r="W23" i="5"/>
  <c r="V23" i="5"/>
  <c r="U23" i="5"/>
  <c r="T23" i="5"/>
  <c r="S23" i="5"/>
  <c r="R23" i="5"/>
  <c r="Q23" i="5"/>
  <c r="P23" i="5"/>
  <c r="O23" i="5"/>
  <c r="N23" i="5"/>
  <c r="X22" i="5"/>
  <c r="W22" i="5"/>
  <c r="V22" i="5"/>
  <c r="U22" i="5"/>
  <c r="T22" i="5"/>
  <c r="S22" i="5"/>
  <c r="R22" i="5"/>
  <c r="Q22" i="5"/>
  <c r="P22" i="5"/>
  <c r="O22" i="5"/>
  <c r="N22" i="5"/>
  <c r="X21" i="5"/>
  <c r="W21" i="5"/>
  <c r="V21" i="5"/>
  <c r="U21" i="5"/>
  <c r="T21" i="5"/>
  <c r="S21" i="5"/>
  <c r="R21" i="5"/>
  <c r="Q21" i="5"/>
  <c r="P21" i="5"/>
  <c r="O21" i="5"/>
  <c r="N21" i="5"/>
  <c r="X20" i="5"/>
  <c r="W20" i="5"/>
  <c r="V20" i="5"/>
  <c r="U20" i="5"/>
  <c r="T20" i="5"/>
  <c r="S20" i="5"/>
  <c r="R20" i="5"/>
  <c r="Q20" i="5"/>
  <c r="P20" i="5"/>
  <c r="O20" i="5"/>
  <c r="N20" i="5"/>
  <c r="X19" i="5"/>
  <c r="W19" i="5"/>
  <c r="V19" i="5"/>
  <c r="U19" i="5"/>
  <c r="T19" i="5"/>
  <c r="S19" i="5"/>
  <c r="R19" i="5"/>
  <c r="Q19" i="5"/>
  <c r="P19" i="5"/>
  <c r="O19" i="5"/>
  <c r="N19" i="5"/>
  <c r="X18" i="5"/>
  <c r="W18" i="5"/>
  <c r="V18" i="5"/>
  <c r="U18" i="5"/>
  <c r="T18" i="5"/>
  <c r="S18" i="5"/>
  <c r="R18" i="5"/>
  <c r="Q18" i="5"/>
  <c r="P18" i="5"/>
  <c r="O18" i="5"/>
  <c r="N18" i="5"/>
  <c r="X17" i="5"/>
  <c r="W17" i="5"/>
  <c r="V17" i="5"/>
  <c r="U17" i="5"/>
  <c r="T17" i="5"/>
  <c r="S17" i="5"/>
  <c r="R17" i="5"/>
  <c r="Q17" i="5"/>
  <c r="P17" i="5"/>
  <c r="O17" i="5"/>
  <c r="N17" i="5"/>
  <c r="X16" i="5"/>
  <c r="W16" i="5"/>
  <c r="V16" i="5"/>
  <c r="U16" i="5"/>
  <c r="T16" i="5"/>
  <c r="S16" i="5"/>
  <c r="R16" i="5"/>
  <c r="Q16" i="5"/>
  <c r="P16" i="5"/>
  <c r="O16" i="5"/>
  <c r="N16" i="5"/>
  <c r="X15" i="5"/>
  <c r="W15" i="5"/>
  <c r="V15" i="5"/>
  <c r="U15" i="5"/>
  <c r="T15" i="5"/>
  <c r="S15" i="5"/>
  <c r="R15" i="5"/>
  <c r="Q15" i="5"/>
  <c r="P15" i="5"/>
  <c r="O15" i="5"/>
  <c r="N15" i="5"/>
  <c r="X14" i="5"/>
  <c r="W14" i="5"/>
  <c r="V14" i="5"/>
  <c r="U14" i="5"/>
  <c r="T14" i="5"/>
  <c r="S14" i="5"/>
  <c r="R14" i="5"/>
  <c r="Q14" i="5"/>
  <c r="P14" i="5"/>
  <c r="O14" i="5"/>
  <c r="N14" i="5"/>
  <c r="X13" i="5"/>
  <c r="W13" i="5"/>
  <c r="V13" i="5"/>
  <c r="U13" i="5"/>
  <c r="T13" i="5"/>
  <c r="S13" i="5"/>
  <c r="R13" i="5"/>
  <c r="Q13" i="5"/>
  <c r="P13" i="5"/>
  <c r="O13" i="5"/>
  <c r="N13" i="5"/>
  <c r="X12" i="5"/>
  <c r="W12" i="5"/>
  <c r="V12" i="5"/>
  <c r="U12" i="5"/>
  <c r="T12" i="5"/>
  <c r="S12" i="5"/>
  <c r="R12" i="5"/>
  <c r="Q12" i="5"/>
  <c r="P12" i="5"/>
  <c r="O12" i="5"/>
  <c r="N12" i="5"/>
  <c r="X11" i="5"/>
  <c r="W11" i="5"/>
  <c r="V11" i="5"/>
  <c r="U11" i="5"/>
  <c r="T11" i="5"/>
  <c r="S11" i="5"/>
  <c r="R11" i="5"/>
  <c r="Q11" i="5"/>
  <c r="P11" i="5"/>
  <c r="O11" i="5"/>
  <c r="N11" i="5"/>
  <c r="X10" i="5"/>
  <c r="W10" i="5"/>
  <c r="V10" i="5"/>
  <c r="U10" i="5"/>
  <c r="T10" i="5"/>
  <c r="S10" i="5"/>
  <c r="R10" i="5"/>
  <c r="Q10" i="5"/>
  <c r="P10" i="5"/>
  <c r="O10" i="5"/>
  <c r="N10" i="5"/>
  <c r="X9" i="5"/>
  <c r="W9" i="5"/>
  <c r="V9" i="5"/>
  <c r="U9" i="5"/>
  <c r="T9" i="5"/>
  <c r="S9" i="5"/>
  <c r="R9" i="5"/>
  <c r="Q9" i="5"/>
  <c r="P9" i="5"/>
  <c r="O9" i="5"/>
  <c r="N9" i="5"/>
  <c r="X8" i="5"/>
  <c r="W8" i="5"/>
  <c r="V8" i="5"/>
  <c r="U8" i="5"/>
  <c r="T8" i="5"/>
  <c r="S8" i="5"/>
  <c r="R8" i="5"/>
  <c r="Q8" i="5"/>
  <c r="P8" i="5"/>
  <c r="O8" i="5"/>
  <c r="N8" i="5"/>
  <c r="X7" i="5"/>
  <c r="W7" i="5"/>
  <c r="V7" i="5"/>
  <c r="U7" i="5"/>
  <c r="T7" i="5"/>
  <c r="S7" i="5"/>
  <c r="R7" i="5"/>
  <c r="Q7" i="5"/>
  <c r="P7" i="5"/>
  <c r="O7" i="5"/>
  <c r="N7" i="5"/>
  <c r="X6" i="5"/>
  <c r="W6" i="5"/>
  <c r="V6" i="5"/>
  <c r="U6" i="5"/>
  <c r="T6" i="5"/>
  <c r="S6" i="5"/>
  <c r="R6" i="5"/>
  <c r="Q6" i="5"/>
  <c r="P6" i="5"/>
  <c r="O6" i="5"/>
  <c r="N6" i="5"/>
  <c r="X5" i="5"/>
  <c r="W5" i="5"/>
  <c r="V5" i="5"/>
  <c r="U5" i="5"/>
  <c r="T5" i="5"/>
  <c r="S5" i="5"/>
  <c r="R5" i="5"/>
  <c r="Q5" i="5"/>
  <c r="P5" i="5"/>
  <c r="O5" i="5"/>
  <c r="N5" i="5"/>
  <c r="AB2" i="5"/>
  <c r="AA5" i="5" a="1"/>
  <c r="AA5" i="5"/>
  <c r="AB5" i="5"/>
  <c r="AC5" i="5"/>
  <c r="AD5" i="5"/>
  <c r="AE5" i="5"/>
  <c r="AF5" i="5"/>
  <c r="AG5" i="5"/>
  <c r="AH5" i="5"/>
  <c r="AI5" i="5"/>
  <c r="AJ5" i="5"/>
  <c r="AK5" i="5"/>
  <c r="AA6" i="5"/>
  <c r="AB6" i="5"/>
  <c r="AC6" i="5"/>
  <c r="AD6" i="5"/>
  <c r="AE6" i="5"/>
  <c r="AF6" i="5"/>
  <c r="AG6" i="5"/>
  <c r="AH6" i="5"/>
  <c r="AI6" i="5"/>
  <c r="AJ6" i="5"/>
  <c r="AK6" i="5"/>
  <c r="AA7" i="5"/>
  <c r="AB7" i="5"/>
  <c r="AC7" i="5"/>
  <c r="AD7" i="5"/>
  <c r="AE7" i="5"/>
  <c r="AF7" i="5"/>
  <c r="AG7" i="5"/>
  <c r="AH7" i="5"/>
  <c r="AI7" i="5"/>
  <c r="AJ7" i="5"/>
  <c r="AK7" i="5"/>
  <c r="AA8" i="5"/>
  <c r="AB8" i="5"/>
  <c r="AC8" i="5"/>
  <c r="AD8" i="5"/>
  <c r="AE8" i="5"/>
  <c r="AF8" i="5"/>
  <c r="AG8" i="5"/>
  <c r="AH8" i="5"/>
  <c r="AI8" i="5"/>
  <c r="AJ8" i="5"/>
  <c r="AK8" i="5"/>
  <c r="AA9" i="5"/>
  <c r="AB9" i="5"/>
  <c r="AC9" i="5"/>
  <c r="AD9" i="5"/>
  <c r="AE9" i="5"/>
  <c r="AF9" i="5"/>
  <c r="AG9" i="5"/>
  <c r="AH9" i="5"/>
  <c r="AI9" i="5"/>
  <c r="AJ9" i="5"/>
  <c r="AK9" i="5"/>
  <c r="AA10" i="5"/>
  <c r="AB10" i="5"/>
  <c r="AC10" i="5"/>
  <c r="AD10" i="5"/>
  <c r="AE10" i="5"/>
  <c r="AF10" i="5"/>
  <c r="AG10" i="5"/>
  <c r="AH10" i="5"/>
  <c r="AI10" i="5"/>
  <c r="AJ10" i="5"/>
  <c r="AK10" i="5"/>
  <c r="AA11" i="5"/>
  <c r="AB11" i="5"/>
  <c r="AC11" i="5"/>
  <c r="AD11" i="5"/>
  <c r="AE11" i="5"/>
  <c r="AF11" i="5"/>
  <c r="AG11" i="5"/>
  <c r="AH11" i="5"/>
  <c r="AI11" i="5"/>
  <c r="AJ11" i="5"/>
  <c r="AK11" i="5"/>
  <c r="AA12" i="5"/>
  <c r="AB12" i="5"/>
  <c r="AC12" i="5"/>
  <c r="AD12" i="5"/>
  <c r="AE12" i="5"/>
  <c r="AF12" i="5"/>
  <c r="AG12" i="5"/>
  <c r="AH12" i="5"/>
  <c r="AI12" i="5"/>
  <c r="AJ12" i="5"/>
  <c r="AK12" i="5"/>
  <c r="AA13" i="5"/>
  <c r="AB13" i="5"/>
  <c r="AC13" i="5"/>
  <c r="AD13" i="5"/>
  <c r="AE13" i="5"/>
  <c r="AF13" i="5"/>
  <c r="AG13" i="5"/>
  <c r="AH13" i="5"/>
  <c r="AI13" i="5"/>
  <c r="AJ13" i="5"/>
  <c r="AK13" i="5"/>
  <c r="AA14" i="5"/>
  <c r="AB14" i="5"/>
  <c r="AC14" i="5"/>
  <c r="AD14" i="5"/>
  <c r="AE14" i="5"/>
  <c r="AF14" i="5"/>
  <c r="AG14" i="5"/>
  <c r="AH14" i="5"/>
  <c r="AI14" i="5"/>
  <c r="AJ14" i="5"/>
  <c r="AK14" i="5"/>
  <c r="AA15" i="5"/>
  <c r="AB15" i="5"/>
  <c r="AC15" i="5"/>
  <c r="AD15" i="5"/>
  <c r="AE15" i="5"/>
  <c r="AF15" i="5"/>
  <c r="AG15" i="5"/>
  <c r="AH15" i="5"/>
  <c r="AI15" i="5"/>
  <c r="AJ15" i="5"/>
  <c r="AK15" i="5"/>
  <c r="AM20" i="5" a="1"/>
  <c r="AM20" i="5"/>
  <c r="AN20" i="5"/>
  <c r="AO20" i="5"/>
  <c r="AP20" i="5"/>
  <c r="AQ20" i="5"/>
  <c r="AR20" i="5"/>
  <c r="AS20" i="5"/>
  <c r="AT20" i="5"/>
  <c r="AU20" i="5"/>
  <c r="AV20" i="5"/>
  <c r="AW20" i="5"/>
  <c r="AM21" i="5"/>
  <c r="AN21" i="5"/>
  <c r="AO21" i="5"/>
  <c r="AP21" i="5"/>
  <c r="AQ21" i="5"/>
  <c r="AR21" i="5"/>
  <c r="AS21" i="5"/>
  <c r="AT21" i="5"/>
  <c r="AU21" i="5"/>
  <c r="AV21" i="5"/>
  <c r="AW21" i="5"/>
  <c r="AM22" i="5"/>
  <c r="AN22" i="5"/>
  <c r="AO22" i="5"/>
  <c r="AP22" i="5"/>
  <c r="AQ22" i="5"/>
  <c r="AR22" i="5"/>
  <c r="AS22" i="5"/>
  <c r="AT22" i="5"/>
  <c r="AU22" i="5"/>
  <c r="AV22" i="5"/>
  <c r="AW22" i="5"/>
  <c r="AM23" i="5"/>
  <c r="AN23" i="5"/>
  <c r="AO23" i="5"/>
  <c r="AP23" i="5"/>
  <c r="AQ23" i="5"/>
  <c r="AR23" i="5"/>
  <c r="AS23" i="5"/>
  <c r="AT23" i="5"/>
  <c r="AU23" i="5"/>
  <c r="AV23" i="5"/>
  <c r="AW23" i="5"/>
  <c r="AM24" i="5"/>
  <c r="AN24" i="5"/>
  <c r="AO24" i="5"/>
  <c r="AP24" i="5"/>
  <c r="AQ24" i="5"/>
  <c r="AR24" i="5"/>
  <c r="AS24" i="5"/>
  <c r="AT24" i="5"/>
  <c r="AU24" i="5"/>
  <c r="AV24" i="5"/>
  <c r="AW24" i="5"/>
  <c r="AM25" i="5"/>
  <c r="AN25" i="5"/>
  <c r="AO25" i="5"/>
  <c r="AP25" i="5"/>
  <c r="AQ25" i="5"/>
  <c r="AR25" i="5"/>
  <c r="AS25" i="5"/>
  <c r="AT25" i="5"/>
  <c r="AU25" i="5"/>
  <c r="AV25" i="5"/>
  <c r="AW25" i="5"/>
  <c r="AM26" i="5"/>
  <c r="AN26" i="5"/>
  <c r="AO26" i="5"/>
  <c r="AP26" i="5"/>
  <c r="AQ26" i="5"/>
  <c r="AR26" i="5"/>
  <c r="AS26" i="5"/>
  <c r="AT26" i="5"/>
  <c r="AU26" i="5"/>
  <c r="AV26" i="5"/>
  <c r="AW26" i="5"/>
  <c r="AM27" i="5"/>
  <c r="AN27" i="5"/>
  <c r="AO27" i="5"/>
  <c r="AP27" i="5"/>
  <c r="AQ27" i="5"/>
  <c r="AR27" i="5"/>
  <c r="AS27" i="5"/>
  <c r="AT27" i="5"/>
  <c r="AU27" i="5"/>
  <c r="AV27" i="5"/>
  <c r="AW27" i="5"/>
  <c r="AM28" i="5"/>
  <c r="AN28" i="5"/>
  <c r="AO28" i="5"/>
  <c r="AP28" i="5"/>
  <c r="AQ28" i="5"/>
  <c r="AR28" i="5"/>
  <c r="AS28" i="5"/>
  <c r="AT28" i="5"/>
  <c r="AU28" i="5"/>
  <c r="AV28" i="5"/>
  <c r="AW28" i="5"/>
  <c r="AM29" i="5"/>
  <c r="AN29" i="5"/>
  <c r="AO29" i="5"/>
  <c r="AP29" i="5"/>
  <c r="AQ29" i="5"/>
  <c r="AR29" i="5"/>
  <c r="AS29" i="5"/>
  <c r="AT29" i="5"/>
  <c r="AU29" i="5"/>
  <c r="AV29" i="5"/>
  <c r="AW29" i="5"/>
  <c r="AM30" i="5"/>
  <c r="AN30" i="5"/>
  <c r="AO30" i="5"/>
  <c r="AP30" i="5"/>
  <c r="AQ30" i="5"/>
  <c r="AR30" i="5"/>
  <c r="AS30" i="5"/>
  <c r="AT30" i="5"/>
  <c r="AU30" i="5"/>
  <c r="AV30" i="5"/>
  <c r="AW30" i="5"/>
  <c r="AM5" i="5" a="1"/>
  <c r="AM5" i="5"/>
  <c r="AN5" i="5"/>
  <c r="AO5" i="5"/>
  <c r="AP5" i="5"/>
  <c r="AQ5" i="5"/>
  <c r="AR5" i="5"/>
  <c r="AS5" i="5"/>
  <c r="AT5" i="5"/>
  <c r="AU5" i="5"/>
  <c r="AV5" i="5"/>
  <c r="AW5" i="5"/>
  <c r="AX5" i="5"/>
  <c r="AM6" i="5"/>
  <c r="AN6" i="5"/>
  <c r="AO6" i="5"/>
  <c r="AP6" i="5"/>
  <c r="AQ6" i="5"/>
  <c r="AR6" i="5"/>
  <c r="AS6" i="5"/>
  <c r="AT6" i="5"/>
  <c r="AU6" i="5"/>
  <c r="AV6" i="5"/>
  <c r="AW6" i="5"/>
  <c r="AX6" i="5"/>
  <c r="AM7" i="5"/>
  <c r="AN7" i="5"/>
  <c r="AO7" i="5"/>
  <c r="AP7" i="5"/>
  <c r="AQ7" i="5"/>
  <c r="AR7" i="5"/>
  <c r="AS7" i="5"/>
  <c r="AT7" i="5"/>
  <c r="AU7" i="5"/>
  <c r="AV7" i="5"/>
  <c r="AW7" i="5"/>
  <c r="AX7" i="5"/>
  <c r="AM8" i="5"/>
  <c r="AN8" i="5"/>
  <c r="AO8" i="5"/>
  <c r="AP8" i="5"/>
  <c r="AQ8" i="5"/>
  <c r="AR8" i="5"/>
  <c r="AS8" i="5"/>
  <c r="AT8" i="5"/>
  <c r="AU8" i="5"/>
  <c r="AV8" i="5"/>
  <c r="AW8" i="5"/>
  <c r="AX8" i="5"/>
  <c r="AM9" i="5"/>
  <c r="AN9" i="5"/>
  <c r="AO9" i="5"/>
  <c r="AP9" i="5"/>
  <c r="AQ9" i="5"/>
  <c r="AR9" i="5"/>
  <c r="AS9" i="5"/>
  <c r="AT9" i="5"/>
  <c r="AU9" i="5"/>
  <c r="AV9" i="5"/>
  <c r="AW9" i="5"/>
  <c r="AX9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L258" i="5"/>
  <c r="K258" i="5"/>
  <c r="J258" i="5"/>
  <c r="I258" i="5"/>
  <c r="H258" i="5"/>
  <c r="G258" i="5"/>
  <c r="F258" i="5"/>
  <c r="E258" i="5"/>
  <c r="D258" i="5"/>
  <c r="C258" i="5"/>
  <c r="B258" i="5"/>
  <c r="L257" i="5"/>
  <c r="K257" i="5"/>
  <c r="J257" i="5"/>
  <c r="I257" i="5"/>
  <c r="H257" i="5"/>
  <c r="G257" i="5"/>
  <c r="F257" i="5"/>
  <c r="E257" i="5"/>
  <c r="D257" i="5"/>
  <c r="C257" i="5"/>
  <c r="B257" i="5"/>
  <c r="M8" i="4"/>
  <c r="M7" i="4"/>
  <c r="Z7" i="4"/>
  <c r="M9" i="4"/>
  <c r="Z8" i="4"/>
  <c r="M10" i="4"/>
  <c r="Z9" i="4"/>
  <c r="M11" i="4"/>
  <c r="Z10" i="4"/>
  <c r="M12" i="4"/>
  <c r="Z11" i="4"/>
  <c r="M13" i="4"/>
  <c r="Z12" i="4"/>
  <c r="M14" i="4"/>
  <c r="Z13" i="4"/>
  <c r="M15" i="4"/>
  <c r="Z14" i="4"/>
  <c r="M16" i="4"/>
  <c r="Z15" i="4"/>
  <c r="M17" i="4"/>
  <c r="Z16" i="4"/>
  <c r="M18" i="4"/>
  <c r="Z17" i="4"/>
  <c r="M19" i="4"/>
  <c r="Z18" i="4"/>
  <c r="M20" i="4"/>
  <c r="Z19" i="4"/>
  <c r="M21" i="4"/>
  <c r="Z20" i="4"/>
  <c r="M22" i="4"/>
  <c r="Z21" i="4"/>
  <c r="M23" i="4"/>
  <c r="Z22" i="4"/>
  <c r="M24" i="4"/>
  <c r="Z23" i="4"/>
  <c r="M25" i="4"/>
  <c r="Z24" i="4"/>
  <c r="M26" i="4"/>
  <c r="Z25" i="4"/>
  <c r="M27" i="4"/>
  <c r="Z26" i="4"/>
  <c r="M28" i="4"/>
  <c r="Z27" i="4"/>
  <c r="M29" i="4"/>
  <c r="Z28" i="4"/>
  <c r="M30" i="4"/>
  <c r="Z29" i="4"/>
  <c r="M31" i="4"/>
  <c r="Z30" i="4"/>
  <c r="M32" i="4"/>
  <c r="Z31" i="4"/>
  <c r="M33" i="4"/>
  <c r="Z32" i="4"/>
  <c r="M34" i="4"/>
  <c r="Z33" i="4"/>
  <c r="M35" i="4"/>
  <c r="Z34" i="4"/>
  <c r="M36" i="4"/>
  <c r="Z35" i="4"/>
  <c r="M37" i="4"/>
  <c r="Z36" i="4"/>
  <c r="M38" i="4"/>
  <c r="Z37" i="4"/>
  <c r="M39" i="4"/>
  <c r="Z38" i="4"/>
  <c r="M40" i="4"/>
  <c r="Z39" i="4"/>
  <c r="M41" i="4"/>
  <c r="Z40" i="4"/>
  <c r="M42" i="4"/>
  <c r="Z41" i="4"/>
  <c r="M43" i="4"/>
  <c r="Z42" i="4"/>
  <c r="M44" i="4"/>
  <c r="Z43" i="4"/>
  <c r="M45" i="4"/>
  <c r="Z44" i="4"/>
  <c r="M46" i="4"/>
  <c r="Z45" i="4"/>
  <c r="M47" i="4"/>
  <c r="Z46" i="4"/>
  <c r="M48" i="4"/>
  <c r="Z47" i="4"/>
  <c r="M49" i="4"/>
  <c r="Z48" i="4"/>
  <c r="M50" i="4"/>
  <c r="Z49" i="4"/>
  <c r="M51" i="4"/>
  <c r="Z50" i="4"/>
  <c r="M52" i="4"/>
  <c r="Z51" i="4"/>
  <c r="M53" i="4"/>
  <c r="Z52" i="4"/>
  <c r="M54" i="4"/>
  <c r="Z53" i="4"/>
  <c r="M55" i="4"/>
  <c r="Z54" i="4"/>
  <c r="M56" i="4"/>
  <c r="Z55" i="4"/>
  <c r="M57" i="4"/>
  <c r="Z56" i="4"/>
  <c r="M58" i="4"/>
  <c r="Z57" i="4"/>
  <c r="M59" i="4"/>
  <c r="Z58" i="4"/>
  <c r="M60" i="4"/>
  <c r="Z59" i="4"/>
  <c r="M61" i="4"/>
  <c r="Z60" i="4"/>
  <c r="M62" i="4"/>
  <c r="Z61" i="4"/>
  <c r="M63" i="4"/>
  <c r="Z62" i="4"/>
  <c r="M64" i="4"/>
  <c r="Z63" i="4"/>
  <c r="M65" i="4"/>
  <c r="Z64" i="4"/>
  <c r="M66" i="4"/>
  <c r="Z65" i="4"/>
  <c r="M67" i="4"/>
  <c r="Z66" i="4"/>
  <c r="M68" i="4"/>
  <c r="Z67" i="4"/>
  <c r="M69" i="4"/>
  <c r="Z68" i="4"/>
  <c r="M70" i="4"/>
  <c r="Z69" i="4"/>
  <c r="M71" i="4"/>
  <c r="Z70" i="4"/>
  <c r="M72" i="4"/>
  <c r="Z71" i="4"/>
  <c r="M73" i="4"/>
  <c r="Z72" i="4"/>
  <c r="M74" i="4"/>
  <c r="Z73" i="4"/>
  <c r="M75" i="4"/>
  <c r="Z74" i="4"/>
  <c r="M76" i="4"/>
  <c r="Z75" i="4"/>
  <c r="M77" i="4"/>
  <c r="Z76" i="4"/>
  <c r="M78" i="4"/>
  <c r="Z77" i="4"/>
  <c r="M79" i="4"/>
  <c r="Z78" i="4"/>
  <c r="M80" i="4"/>
  <c r="Z79" i="4"/>
  <c r="M81" i="4"/>
  <c r="Z80" i="4"/>
  <c r="M82" i="4"/>
  <c r="Z81" i="4"/>
  <c r="M83" i="4"/>
  <c r="Z82" i="4"/>
  <c r="M84" i="4"/>
  <c r="Z83" i="4"/>
  <c r="M85" i="4"/>
  <c r="Z84" i="4"/>
  <c r="M86" i="4"/>
  <c r="Z85" i="4"/>
  <c r="M87" i="4"/>
  <c r="Z86" i="4"/>
  <c r="M88" i="4"/>
  <c r="Z87" i="4"/>
  <c r="M89" i="4"/>
  <c r="Z88" i="4"/>
  <c r="M90" i="4"/>
  <c r="Z89" i="4"/>
  <c r="M91" i="4"/>
  <c r="Z90" i="4"/>
  <c r="M92" i="4"/>
  <c r="Z91" i="4"/>
  <c r="M93" i="4"/>
  <c r="Z92" i="4"/>
  <c r="M94" i="4"/>
  <c r="Z93" i="4"/>
  <c r="M95" i="4"/>
  <c r="Z94" i="4"/>
  <c r="M96" i="4"/>
  <c r="Z95" i="4"/>
  <c r="M97" i="4"/>
  <c r="Z96" i="4"/>
  <c r="M98" i="4"/>
  <c r="Z97" i="4"/>
  <c r="M99" i="4"/>
  <c r="Z98" i="4"/>
  <c r="M100" i="4"/>
  <c r="Z99" i="4"/>
  <c r="M101" i="4"/>
  <c r="Z100" i="4"/>
  <c r="M102" i="4"/>
  <c r="Z101" i="4"/>
  <c r="M103" i="4"/>
  <c r="Z102" i="4"/>
  <c r="M104" i="4"/>
  <c r="Z103" i="4"/>
  <c r="M105" i="4"/>
  <c r="Z104" i="4"/>
  <c r="M106" i="4"/>
  <c r="Z105" i="4"/>
  <c r="M107" i="4"/>
  <c r="Z106" i="4"/>
  <c r="M108" i="4"/>
  <c r="Z107" i="4"/>
  <c r="M109" i="4"/>
  <c r="Z108" i="4"/>
  <c r="M110" i="4"/>
  <c r="Z109" i="4"/>
  <c r="M111" i="4"/>
  <c r="Z110" i="4"/>
  <c r="M112" i="4"/>
  <c r="Z111" i="4"/>
  <c r="M113" i="4"/>
  <c r="Z112" i="4"/>
  <c r="M114" i="4"/>
  <c r="Z113" i="4"/>
  <c r="M115" i="4"/>
  <c r="Z114" i="4"/>
  <c r="M116" i="4"/>
  <c r="Z115" i="4"/>
  <c r="M117" i="4"/>
  <c r="Z116" i="4"/>
  <c r="M118" i="4"/>
  <c r="Z117" i="4"/>
  <c r="M119" i="4"/>
  <c r="Z118" i="4"/>
  <c r="M120" i="4"/>
  <c r="Z119" i="4"/>
  <c r="M121" i="4"/>
  <c r="Z120" i="4"/>
  <c r="M122" i="4"/>
  <c r="Z121" i="4"/>
  <c r="M123" i="4"/>
  <c r="Z122" i="4"/>
  <c r="M124" i="4"/>
  <c r="Z123" i="4"/>
  <c r="M125" i="4"/>
  <c r="Z124" i="4"/>
  <c r="M126" i="4"/>
  <c r="Z125" i="4"/>
  <c r="M127" i="4"/>
  <c r="Z126" i="4"/>
  <c r="M128" i="4"/>
  <c r="Z127" i="4"/>
  <c r="M129" i="4"/>
  <c r="Z128" i="4"/>
  <c r="M130" i="4"/>
  <c r="Z129" i="4"/>
  <c r="M131" i="4"/>
  <c r="Z130" i="4"/>
  <c r="M132" i="4"/>
  <c r="Z131" i="4"/>
  <c r="M133" i="4"/>
  <c r="Z132" i="4"/>
  <c r="M134" i="4"/>
  <c r="Z133" i="4"/>
  <c r="M135" i="4"/>
  <c r="Z134" i="4"/>
  <c r="M136" i="4"/>
  <c r="Z135" i="4"/>
  <c r="M137" i="4"/>
  <c r="Z136" i="4"/>
  <c r="M138" i="4"/>
  <c r="Z137" i="4"/>
  <c r="M139" i="4"/>
  <c r="Z138" i="4"/>
  <c r="M140" i="4"/>
  <c r="Z139" i="4"/>
  <c r="M141" i="4"/>
  <c r="Z140" i="4"/>
  <c r="M142" i="4"/>
  <c r="Z141" i="4"/>
  <c r="M143" i="4"/>
  <c r="Z142" i="4"/>
  <c r="M144" i="4"/>
  <c r="Z143" i="4"/>
  <c r="M145" i="4"/>
  <c r="Z144" i="4"/>
  <c r="M146" i="4"/>
  <c r="Z145" i="4"/>
  <c r="M147" i="4"/>
  <c r="Z146" i="4"/>
  <c r="M148" i="4"/>
  <c r="Z147" i="4"/>
  <c r="M149" i="4"/>
  <c r="Z148" i="4"/>
  <c r="M150" i="4"/>
  <c r="Z149" i="4"/>
  <c r="M151" i="4"/>
  <c r="Z150" i="4"/>
  <c r="M152" i="4"/>
  <c r="Z151" i="4"/>
  <c r="M153" i="4"/>
  <c r="Z152" i="4"/>
  <c r="M154" i="4"/>
  <c r="Z153" i="4"/>
  <c r="M155" i="4"/>
  <c r="Z154" i="4"/>
  <c r="M156" i="4"/>
  <c r="Z155" i="4"/>
  <c r="M157" i="4"/>
  <c r="Z156" i="4"/>
  <c r="M158" i="4"/>
  <c r="Z157" i="4"/>
  <c r="M159" i="4"/>
  <c r="Z158" i="4"/>
  <c r="M160" i="4"/>
  <c r="Z159" i="4"/>
  <c r="M161" i="4"/>
  <c r="Z160" i="4"/>
  <c r="M162" i="4"/>
  <c r="Z161" i="4"/>
  <c r="M163" i="4"/>
  <c r="Z162" i="4"/>
  <c r="M164" i="4"/>
  <c r="Z163" i="4"/>
  <c r="M165" i="4"/>
  <c r="Z164" i="4"/>
  <c r="M166" i="4"/>
  <c r="Z165" i="4"/>
  <c r="M167" i="4"/>
  <c r="Z166" i="4"/>
  <c r="M168" i="4"/>
  <c r="Z167" i="4"/>
  <c r="M169" i="4"/>
  <c r="Z168" i="4"/>
  <c r="M170" i="4"/>
  <c r="Z169" i="4"/>
  <c r="M171" i="4"/>
  <c r="Z170" i="4"/>
  <c r="M172" i="4"/>
  <c r="Z171" i="4"/>
  <c r="M173" i="4"/>
  <c r="Z172" i="4"/>
  <c r="M174" i="4"/>
  <c r="Z173" i="4"/>
  <c r="M175" i="4"/>
  <c r="Z174" i="4"/>
  <c r="M176" i="4"/>
  <c r="Z175" i="4"/>
  <c r="M177" i="4"/>
  <c r="Z176" i="4"/>
  <c r="M178" i="4"/>
  <c r="Z177" i="4"/>
  <c r="M179" i="4"/>
  <c r="Z178" i="4"/>
  <c r="M180" i="4"/>
  <c r="Z179" i="4"/>
  <c r="M181" i="4"/>
  <c r="Z180" i="4"/>
  <c r="M182" i="4"/>
  <c r="Z181" i="4"/>
  <c r="M183" i="4"/>
  <c r="Z182" i="4"/>
  <c r="M184" i="4"/>
  <c r="Z183" i="4"/>
  <c r="M185" i="4"/>
  <c r="Z184" i="4"/>
  <c r="M186" i="4"/>
  <c r="Z185" i="4"/>
  <c r="M187" i="4"/>
  <c r="Z186" i="4"/>
  <c r="M188" i="4"/>
  <c r="Z187" i="4"/>
  <c r="M189" i="4"/>
  <c r="Z188" i="4"/>
  <c r="M190" i="4"/>
  <c r="Z189" i="4"/>
  <c r="M191" i="4"/>
  <c r="Z190" i="4"/>
  <c r="M192" i="4"/>
  <c r="Z191" i="4"/>
  <c r="M193" i="4"/>
  <c r="Z192" i="4"/>
  <c r="M194" i="4"/>
  <c r="Z193" i="4"/>
  <c r="M195" i="4"/>
  <c r="Z194" i="4"/>
  <c r="M196" i="4"/>
  <c r="Z195" i="4"/>
  <c r="M197" i="4"/>
  <c r="Z196" i="4"/>
  <c r="M198" i="4"/>
  <c r="Z197" i="4"/>
  <c r="M199" i="4"/>
  <c r="Z198" i="4"/>
  <c r="M200" i="4"/>
  <c r="Z199" i="4"/>
  <c r="M201" i="4"/>
  <c r="Z200" i="4"/>
  <c r="M202" i="4"/>
  <c r="Z201" i="4"/>
  <c r="M203" i="4"/>
  <c r="Z202" i="4"/>
  <c r="M204" i="4"/>
  <c r="Z203" i="4"/>
  <c r="M205" i="4"/>
  <c r="Z204" i="4"/>
  <c r="M206" i="4"/>
  <c r="Z205" i="4"/>
  <c r="M207" i="4"/>
  <c r="Z206" i="4"/>
  <c r="M208" i="4"/>
  <c r="Z207" i="4"/>
  <c r="M209" i="4"/>
  <c r="Z208" i="4"/>
  <c r="M210" i="4"/>
  <c r="Z209" i="4"/>
  <c r="M211" i="4"/>
  <c r="Z210" i="4"/>
  <c r="M212" i="4"/>
  <c r="Z211" i="4"/>
  <c r="M213" i="4"/>
  <c r="Z212" i="4"/>
  <c r="M214" i="4"/>
  <c r="Z213" i="4"/>
  <c r="M215" i="4"/>
  <c r="Z214" i="4"/>
  <c r="M216" i="4"/>
  <c r="Z215" i="4"/>
  <c r="M217" i="4"/>
  <c r="Z216" i="4"/>
  <c r="M218" i="4"/>
  <c r="Z217" i="4"/>
  <c r="M219" i="4"/>
  <c r="Z218" i="4"/>
  <c r="M220" i="4"/>
  <c r="Z219" i="4"/>
  <c r="M221" i="4"/>
  <c r="Z220" i="4"/>
  <c r="M222" i="4"/>
  <c r="Z221" i="4"/>
  <c r="M223" i="4"/>
  <c r="Z222" i="4"/>
  <c r="M224" i="4"/>
  <c r="Z223" i="4"/>
  <c r="M225" i="4"/>
  <c r="Z224" i="4"/>
  <c r="M226" i="4"/>
  <c r="Z225" i="4"/>
  <c r="M227" i="4"/>
  <c r="Z226" i="4"/>
  <c r="M228" i="4"/>
  <c r="Z227" i="4"/>
  <c r="M229" i="4"/>
  <c r="Z228" i="4"/>
  <c r="M230" i="4"/>
  <c r="Z229" i="4"/>
  <c r="M231" i="4"/>
  <c r="Z230" i="4"/>
  <c r="M232" i="4"/>
  <c r="Z231" i="4"/>
  <c r="M233" i="4"/>
  <c r="Z232" i="4"/>
  <c r="M234" i="4"/>
  <c r="Z233" i="4"/>
  <c r="M235" i="4"/>
  <c r="Z234" i="4"/>
  <c r="M236" i="4"/>
  <c r="Z235" i="4"/>
  <c r="M237" i="4"/>
  <c r="Z236" i="4"/>
  <c r="M238" i="4"/>
  <c r="Z237" i="4"/>
  <c r="M239" i="4"/>
  <c r="Z238" i="4"/>
  <c r="M240" i="4"/>
  <c r="Z239" i="4"/>
  <c r="M241" i="4"/>
  <c r="Z240" i="4"/>
  <c r="M242" i="4"/>
  <c r="Z241" i="4"/>
  <c r="M243" i="4"/>
  <c r="Z242" i="4"/>
  <c r="M244" i="4"/>
  <c r="Z243" i="4"/>
  <c r="M245" i="4"/>
  <c r="Z244" i="4"/>
  <c r="M246" i="4"/>
  <c r="Z245" i="4"/>
  <c r="M247" i="4"/>
  <c r="Z246" i="4"/>
  <c r="M248" i="4"/>
  <c r="Z247" i="4"/>
  <c r="M249" i="4"/>
  <c r="Z248" i="4"/>
  <c r="M250" i="4"/>
  <c r="Z249" i="4"/>
  <c r="M251" i="4"/>
  <c r="Z250" i="4"/>
  <c r="M252" i="4"/>
  <c r="Z251" i="4"/>
  <c r="M253" i="4"/>
  <c r="Z252" i="4"/>
  <c r="M254" i="4"/>
  <c r="Z253" i="4"/>
  <c r="M255" i="4"/>
  <c r="Z254" i="4"/>
  <c r="M256" i="4"/>
  <c r="Z255" i="4"/>
  <c r="M257" i="4"/>
  <c r="Z256" i="4"/>
  <c r="Z258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Q4" i="4"/>
  <c r="O8" i="4"/>
  <c r="O7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8" i="4"/>
  <c r="AB8" i="4"/>
  <c r="P8" i="4"/>
  <c r="P7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8" i="4"/>
  <c r="AC8" i="4"/>
  <c r="Q8" i="4"/>
  <c r="Q7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8" i="4"/>
  <c r="AD8" i="4"/>
  <c r="R8" i="4"/>
  <c r="R7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8" i="4"/>
  <c r="AE8" i="4"/>
  <c r="S8" i="4"/>
  <c r="S7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8" i="4"/>
  <c r="AF8" i="4"/>
  <c r="T8" i="4"/>
  <c r="T7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8" i="4"/>
  <c r="AG8" i="4"/>
  <c r="U8" i="4"/>
  <c r="U7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8" i="4"/>
  <c r="AH8" i="4"/>
  <c r="V8" i="4"/>
  <c r="V7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8" i="4"/>
  <c r="AI8" i="4"/>
  <c r="W8" i="4"/>
  <c r="W7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8" i="4"/>
  <c r="AJ8" i="4"/>
  <c r="X8" i="4"/>
  <c r="X7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8" i="4"/>
  <c r="AK8" i="4"/>
  <c r="Y8" i="4"/>
  <c r="Y7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8" i="4"/>
  <c r="AL8" i="4"/>
  <c r="AB9" i="4"/>
  <c r="AC9" i="4"/>
  <c r="AD9" i="4"/>
  <c r="AE9" i="4"/>
  <c r="AF9" i="4"/>
  <c r="AG9" i="4"/>
  <c r="AH9" i="4"/>
  <c r="AI9" i="4"/>
  <c r="AJ9" i="4"/>
  <c r="AK9" i="4"/>
  <c r="AL9" i="4"/>
  <c r="AB10" i="4"/>
  <c r="AC10" i="4"/>
  <c r="AD10" i="4"/>
  <c r="AE10" i="4"/>
  <c r="AF10" i="4"/>
  <c r="AG10" i="4"/>
  <c r="AH10" i="4"/>
  <c r="AI10" i="4"/>
  <c r="AJ10" i="4"/>
  <c r="AK10" i="4"/>
  <c r="AL10" i="4"/>
  <c r="AB11" i="4"/>
  <c r="AC11" i="4"/>
  <c r="AD11" i="4"/>
  <c r="AE11" i="4"/>
  <c r="AF11" i="4"/>
  <c r="AG11" i="4"/>
  <c r="AH11" i="4"/>
  <c r="AI11" i="4"/>
  <c r="AJ11" i="4"/>
  <c r="AK11" i="4"/>
  <c r="AL11" i="4"/>
  <c r="AB12" i="4"/>
  <c r="AC12" i="4"/>
  <c r="AD12" i="4"/>
  <c r="AE12" i="4"/>
  <c r="AF12" i="4"/>
  <c r="AG12" i="4"/>
  <c r="AH12" i="4"/>
  <c r="AI12" i="4"/>
  <c r="AJ12" i="4"/>
  <c r="AK12" i="4"/>
  <c r="AL12" i="4"/>
  <c r="AB13" i="4"/>
  <c r="AC13" i="4"/>
  <c r="AD13" i="4"/>
  <c r="AE13" i="4"/>
  <c r="AF13" i="4"/>
  <c r="AG13" i="4"/>
  <c r="AH13" i="4"/>
  <c r="AI13" i="4"/>
  <c r="AJ13" i="4"/>
  <c r="AK13" i="4"/>
  <c r="AL13" i="4"/>
  <c r="AB14" i="4"/>
  <c r="AC14" i="4"/>
  <c r="AD14" i="4"/>
  <c r="AE14" i="4"/>
  <c r="AF14" i="4"/>
  <c r="AG14" i="4"/>
  <c r="AH14" i="4"/>
  <c r="AI14" i="4"/>
  <c r="AJ14" i="4"/>
  <c r="AK14" i="4"/>
  <c r="AL14" i="4"/>
  <c r="AB15" i="4"/>
  <c r="AC15" i="4"/>
  <c r="AD15" i="4"/>
  <c r="AE15" i="4"/>
  <c r="AF15" i="4"/>
  <c r="AG15" i="4"/>
  <c r="AH15" i="4"/>
  <c r="AI15" i="4"/>
  <c r="AJ15" i="4"/>
  <c r="AK15" i="4"/>
  <c r="AL15" i="4"/>
  <c r="AB16" i="4"/>
  <c r="AC16" i="4"/>
  <c r="AD16" i="4"/>
  <c r="AE16" i="4"/>
  <c r="AF16" i="4"/>
  <c r="AG16" i="4"/>
  <c r="AH16" i="4"/>
  <c r="AI16" i="4"/>
  <c r="AJ16" i="4"/>
  <c r="AK16" i="4"/>
  <c r="AL16" i="4"/>
  <c r="AB17" i="4"/>
  <c r="AC17" i="4"/>
  <c r="AD17" i="4"/>
  <c r="AE17" i="4"/>
  <c r="AF17" i="4"/>
  <c r="AG17" i="4"/>
  <c r="AH17" i="4"/>
  <c r="AI17" i="4"/>
  <c r="AJ17" i="4"/>
  <c r="AK17" i="4"/>
  <c r="AL17" i="4"/>
  <c r="AB18" i="4"/>
  <c r="AC18" i="4"/>
  <c r="AD18" i="4"/>
  <c r="AE18" i="4"/>
  <c r="AF18" i="4"/>
  <c r="AG18" i="4"/>
  <c r="AH18" i="4"/>
  <c r="AI18" i="4"/>
  <c r="AJ18" i="4"/>
  <c r="AK18" i="4"/>
  <c r="AL18" i="4"/>
  <c r="AB19" i="4"/>
  <c r="AC19" i="4"/>
  <c r="AD19" i="4"/>
  <c r="AE19" i="4"/>
  <c r="AF19" i="4"/>
  <c r="AG19" i="4"/>
  <c r="AH19" i="4"/>
  <c r="AI19" i="4"/>
  <c r="AJ19" i="4"/>
  <c r="AK19" i="4"/>
  <c r="AL19" i="4"/>
  <c r="AB20" i="4"/>
  <c r="AC20" i="4"/>
  <c r="AD20" i="4"/>
  <c r="AE20" i="4"/>
  <c r="AF20" i="4"/>
  <c r="AG20" i="4"/>
  <c r="AH20" i="4"/>
  <c r="AI20" i="4"/>
  <c r="AJ20" i="4"/>
  <c r="AK20" i="4"/>
  <c r="AL20" i="4"/>
  <c r="AB21" i="4"/>
  <c r="AC21" i="4"/>
  <c r="AD21" i="4"/>
  <c r="AE21" i="4"/>
  <c r="AF21" i="4"/>
  <c r="AG21" i="4"/>
  <c r="AH21" i="4"/>
  <c r="AI21" i="4"/>
  <c r="AJ21" i="4"/>
  <c r="AK21" i="4"/>
  <c r="AL21" i="4"/>
  <c r="AB22" i="4"/>
  <c r="AC22" i="4"/>
  <c r="AD22" i="4"/>
  <c r="AE22" i="4"/>
  <c r="AF22" i="4"/>
  <c r="AG22" i="4"/>
  <c r="AH22" i="4"/>
  <c r="AI22" i="4"/>
  <c r="AJ22" i="4"/>
  <c r="AK22" i="4"/>
  <c r="AL22" i="4"/>
  <c r="AB23" i="4"/>
  <c r="AC23" i="4"/>
  <c r="AD23" i="4"/>
  <c r="AE23" i="4"/>
  <c r="AF23" i="4"/>
  <c r="AG23" i="4"/>
  <c r="AH23" i="4"/>
  <c r="AI23" i="4"/>
  <c r="AJ23" i="4"/>
  <c r="AK23" i="4"/>
  <c r="AL23" i="4"/>
  <c r="AB24" i="4"/>
  <c r="AC24" i="4"/>
  <c r="AD24" i="4"/>
  <c r="AE24" i="4"/>
  <c r="AF24" i="4"/>
  <c r="AG24" i="4"/>
  <c r="AH24" i="4"/>
  <c r="AI24" i="4"/>
  <c r="AJ24" i="4"/>
  <c r="AK24" i="4"/>
  <c r="AL24" i="4"/>
  <c r="AB25" i="4"/>
  <c r="AC25" i="4"/>
  <c r="AD25" i="4"/>
  <c r="AE25" i="4"/>
  <c r="AF25" i="4"/>
  <c r="AG25" i="4"/>
  <c r="AH25" i="4"/>
  <c r="AI25" i="4"/>
  <c r="AJ25" i="4"/>
  <c r="AK25" i="4"/>
  <c r="AL25" i="4"/>
  <c r="AB26" i="4"/>
  <c r="AC26" i="4"/>
  <c r="AD26" i="4"/>
  <c r="AE26" i="4"/>
  <c r="AF26" i="4"/>
  <c r="AG26" i="4"/>
  <c r="AH26" i="4"/>
  <c r="AI26" i="4"/>
  <c r="AJ26" i="4"/>
  <c r="AK26" i="4"/>
  <c r="AL26" i="4"/>
  <c r="AB27" i="4"/>
  <c r="AC27" i="4"/>
  <c r="AD27" i="4"/>
  <c r="AE27" i="4"/>
  <c r="AF27" i="4"/>
  <c r="AG27" i="4"/>
  <c r="AH27" i="4"/>
  <c r="AI27" i="4"/>
  <c r="AJ27" i="4"/>
  <c r="AK27" i="4"/>
  <c r="AL27" i="4"/>
  <c r="AB28" i="4"/>
  <c r="AC28" i="4"/>
  <c r="AD28" i="4"/>
  <c r="AE28" i="4"/>
  <c r="AF28" i="4"/>
  <c r="AG28" i="4"/>
  <c r="AH28" i="4"/>
  <c r="AI28" i="4"/>
  <c r="AJ28" i="4"/>
  <c r="AK28" i="4"/>
  <c r="AL28" i="4"/>
  <c r="AB29" i="4"/>
  <c r="AC29" i="4"/>
  <c r="AD29" i="4"/>
  <c r="AE29" i="4"/>
  <c r="AF29" i="4"/>
  <c r="AG29" i="4"/>
  <c r="AH29" i="4"/>
  <c r="AI29" i="4"/>
  <c r="AJ29" i="4"/>
  <c r="AK29" i="4"/>
  <c r="AL29" i="4"/>
  <c r="AB30" i="4"/>
  <c r="AC30" i="4"/>
  <c r="AD30" i="4"/>
  <c r="AE30" i="4"/>
  <c r="AF30" i="4"/>
  <c r="AG30" i="4"/>
  <c r="AH30" i="4"/>
  <c r="AI30" i="4"/>
  <c r="AJ30" i="4"/>
  <c r="AK30" i="4"/>
  <c r="AL30" i="4"/>
  <c r="AB31" i="4"/>
  <c r="AC31" i="4"/>
  <c r="AD31" i="4"/>
  <c r="AE31" i="4"/>
  <c r="AF31" i="4"/>
  <c r="AG31" i="4"/>
  <c r="AH31" i="4"/>
  <c r="AI31" i="4"/>
  <c r="AJ31" i="4"/>
  <c r="AK31" i="4"/>
  <c r="AL31" i="4"/>
  <c r="AB32" i="4"/>
  <c r="AC32" i="4"/>
  <c r="AD32" i="4"/>
  <c r="AE32" i="4"/>
  <c r="AF32" i="4"/>
  <c r="AG32" i="4"/>
  <c r="AH32" i="4"/>
  <c r="AI32" i="4"/>
  <c r="AJ32" i="4"/>
  <c r="AK32" i="4"/>
  <c r="AL32" i="4"/>
  <c r="AB33" i="4"/>
  <c r="AC33" i="4"/>
  <c r="AD33" i="4"/>
  <c r="AE33" i="4"/>
  <c r="AF33" i="4"/>
  <c r="AG33" i="4"/>
  <c r="AH33" i="4"/>
  <c r="AI33" i="4"/>
  <c r="AJ33" i="4"/>
  <c r="AK33" i="4"/>
  <c r="AL33" i="4"/>
  <c r="AB34" i="4"/>
  <c r="AC34" i="4"/>
  <c r="AD34" i="4"/>
  <c r="AE34" i="4"/>
  <c r="AF34" i="4"/>
  <c r="AG34" i="4"/>
  <c r="AH34" i="4"/>
  <c r="AI34" i="4"/>
  <c r="AJ34" i="4"/>
  <c r="AK34" i="4"/>
  <c r="AL34" i="4"/>
  <c r="AB35" i="4"/>
  <c r="AC35" i="4"/>
  <c r="AD35" i="4"/>
  <c r="AE35" i="4"/>
  <c r="AF35" i="4"/>
  <c r="AG35" i="4"/>
  <c r="AH35" i="4"/>
  <c r="AI35" i="4"/>
  <c r="AJ35" i="4"/>
  <c r="AK35" i="4"/>
  <c r="AL35" i="4"/>
  <c r="AB36" i="4"/>
  <c r="AC36" i="4"/>
  <c r="AD36" i="4"/>
  <c r="AE36" i="4"/>
  <c r="AF36" i="4"/>
  <c r="AG36" i="4"/>
  <c r="AH36" i="4"/>
  <c r="AI36" i="4"/>
  <c r="AJ36" i="4"/>
  <c r="AK36" i="4"/>
  <c r="AL36" i="4"/>
  <c r="AB37" i="4"/>
  <c r="AC37" i="4"/>
  <c r="AD37" i="4"/>
  <c r="AE37" i="4"/>
  <c r="AF37" i="4"/>
  <c r="AG37" i="4"/>
  <c r="AH37" i="4"/>
  <c r="AI37" i="4"/>
  <c r="AJ37" i="4"/>
  <c r="AK37" i="4"/>
  <c r="AL37" i="4"/>
  <c r="AB38" i="4"/>
  <c r="AC38" i="4"/>
  <c r="AD38" i="4"/>
  <c r="AE38" i="4"/>
  <c r="AF38" i="4"/>
  <c r="AG38" i="4"/>
  <c r="AH38" i="4"/>
  <c r="AI38" i="4"/>
  <c r="AJ38" i="4"/>
  <c r="AK38" i="4"/>
  <c r="AL38" i="4"/>
  <c r="AB39" i="4"/>
  <c r="AC39" i="4"/>
  <c r="AD39" i="4"/>
  <c r="AE39" i="4"/>
  <c r="AF39" i="4"/>
  <c r="AG39" i="4"/>
  <c r="AH39" i="4"/>
  <c r="AI39" i="4"/>
  <c r="AJ39" i="4"/>
  <c r="AK39" i="4"/>
  <c r="AL39" i="4"/>
  <c r="AB40" i="4"/>
  <c r="AC40" i="4"/>
  <c r="AD40" i="4"/>
  <c r="AE40" i="4"/>
  <c r="AF40" i="4"/>
  <c r="AG40" i="4"/>
  <c r="AH40" i="4"/>
  <c r="AI40" i="4"/>
  <c r="AJ40" i="4"/>
  <c r="AK40" i="4"/>
  <c r="AL40" i="4"/>
  <c r="AB41" i="4"/>
  <c r="AC41" i="4"/>
  <c r="AD41" i="4"/>
  <c r="AE41" i="4"/>
  <c r="AF41" i="4"/>
  <c r="AG41" i="4"/>
  <c r="AH41" i="4"/>
  <c r="AI41" i="4"/>
  <c r="AJ41" i="4"/>
  <c r="AK41" i="4"/>
  <c r="AL41" i="4"/>
  <c r="AB42" i="4"/>
  <c r="AC42" i="4"/>
  <c r="AD42" i="4"/>
  <c r="AE42" i="4"/>
  <c r="AF42" i="4"/>
  <c r="AG42" i="4"/>
  <c r="AH42" i="4"/>
  <c r="AI42" i="4"/>
  <c r="AJ42" i="4"/>
  <c r="AK42" i="4"/>
  <c r="AL42" i="4"/>
  <c r="AB43" i="4"/>
  <c r="AC43" i="4"/>
  <c r="AD43" i="4"/>
  <c r="AE43" i="4"/>
  <c r="AF43" i="4"/>
  <c r="AG43" i="4"/>
  <c r="AH43" i="4"/>
  <c r="AI43" i="4"/>
  <c r="AJ43" i="4"/>
  <c r="AK43" i="4"/>
  <c r="AL43" i="4"/>
  <c r="AB44" i="4"/>
  <c r="AC44" i="4"/>
  <c r="AD44" i="4"/>
  <c r="AE44" i="4"/>
  <c r="AF44" i="4"/>
  <c r="AG44" i="4"/>
  <c r="AH44" i="4"/>
  <c r="AI44" i="4"/>
  <c r="AJ44" i="4"/>
  <c r="AK44" i="4"/>
  <c r="AL44" i="4"/>
  <c r="AB45" i="4"/>
  <c r="AC45" i="4"/>
  <c r="AD45" i="4"/>
  <c r="AE45" i="4"/>
  <c r="AF45" i="4"/>
  <c r="AG45" i="4"/>
  <c r="AH45" i="4"/>
  <c r="AI45" i="4"/>
  <c r="AJ45" i="4"/>
  <c r="AK45" i="4"/>
  <c r="AL45" i="4"/>
  <c r="AB46" i="4"/>
  <c r="AC46" i="4"/>
  <c r="AD46" i="4"/>
  <c r="AE46" i="4"/>
  <c r="AF46" i="4"/>
  <c r="AG46" i="4"/>
  <c r="AH46" i="4"/>
  <c r="AI46" i="4"/>
  <c r="AJ46" i="4"/>
  <c r="AK46" i="4"/>
  <c r="AL46" i="4"/>
  <c r="AB47" i="4"/>
  <c r="AC47" i="4"/>
  <c r="AD47" i="4"/>
  <c r="AE47" i="4"/>
  <c r="AF47" i="4"/>
  <c r="AG47" i="4"/>
  <c r="AH47" i="4"/>
  <c r="AI47" i="4"/>
  <c r="AJ47" i="4"/>
  <c r="AK47" i="4"/>
  <c r="AL47" i="4"/>
  <c r="AB48" i="4"/>
  <c r="AC48" i="4"/>
  <c r="AD48" i="4"/>
  <c r="AE48" i="4"/>
  <c r="AF48" i="4"/>
  <c r="AG48" i="4"/>
  <c r="AH48" i="4"/>
  <c r="AI48" i="4"/>
  <c r="AJ48" i="4"/>
  <c r="AK48" i="4"/>
  <c r="AL48" i="4"/>
  <c r="AB49" i="4"/>
  <c r="AC49" i="4"/>
  <c r="AD49" i="4"/>
  <c r="AE49" i="4"/>
  <c r="AF49" i="4"/>
  <c r="AG49" i="4"/>
  <c r="AH49" i="4"/>
  <c r="AI49" i="4"/>
  <c r="AJ49" i="4"/>
  <c r="AK49" i="4"/>
  <c r="AL49" i="4"/>
  <c r="AB50" i="4"/>
  <c r="AC50" i="4"/>
  <c r="AD50" i="4"/>
  <c r="AE50" i="4"/>
  <c r="AF50" i="4"/>
  <c r="AG50" i="4"/>
  <c r="AH50" i="4"/>
  <c r="AI50" i="4"/>
  <c r="AJ50" i="4"/>
  <c r="AK50" i="4"/>
  <c r="AL50" i="4"/>
  <c r="AB51" i="4"/>
  <c r="AC51" i="4"/>
  <c r="AD51" i="4"/>
  <c r="AE51" i="4"/>
  <c r="AF51" i="4"/>
  <c r="AG51" i="4"/>
  <c r="AH51" i="4"/>
  <c r="AI51" i="4"/>
  <c r="AJ51" i="4"/>
  <c r="AK51" i="4"/>
  <c r="AL51" i="4"/>
  <c r="AB52" i="4"/>
  <c r="AC52" i="4"/>
  <c r="AD52" i="4"/>
  <c r="AE52" i="4"/>
  <c r="AF52" i="4"/>
  <c r="AG52" i="4"/>
  <c r="AH52" i="4"/>
  <c r="AI52" i="4"/>
  <c r="AJ52" i="4"/>
  <c r="AK52" i="4"/>
  <c r="AL52" i="4"/>
  <c r="AB53" i="4"/>
  <c r="AC53" i="4"/>
  <c r="AD53" i="4"/>
  <c r="AE53" i="4"/>
  <c r="AF53" i="4"/>
  <c r="AG53" i="4"/>
  <c r="AH53" i="4"/>
  <c r="AI53" i="4"/>
  <c r="AJ53" i="4"/>
  <c r="AK53" i="4"/>
  <c r="AL53" i="4"/>
  <c r="AB54" i="4"/>
  <c r="AC54" i="4"/>
  <c r="AD54" i="4"/>
  <c r="AE54" i="4"/>
  <c r="AF54" i="4"/>
  <c r="AG54" i="4"/>
  <c r="AH54" i="4"/>
  <c r="AI54" i="4"/>
  <c r="AJ54" i="4"/>
  <c r="AK54" i="4"/>
  <c r="AL54" i="4"/>
  <c r="AB55" i="4"/>
  <c r="AC55" i="4"/>
  <c r="AD55" i="4"/>
  <c r="AE55" i="4"/>
  <c r="AF55" i="4"/>
  <c r="AG55" i="4"/>
  <c r="AH55" i="4"/>
  <c r="AI55" i="4"/>
  <c r="AJ55" i="4"/>
  <c r="AK55" i="4"/>
  <c r="AL55" i="4"/>
  <c r="AB56" i="4"/>
  <c r="AC56" i="4"/>
  <c r="AD56" i="4"/>
  <c r="AE56" i="4"/>
  <c r="AF56" i="4"/>
  <c r="AG56" i="4"/>
  <c r="AH56" i="4"/>
  <c r="AI56" i="4"/>
  <c r="AJ56" i="4"/>
  <c r="AK56" i="4"/>
  <c r="AL56" i="4"/>
  <c r="AB57" i="4"/>
  <c r="AC57" i="4"/>
  <c r="AD57" i="4"/>
  <c r="AE57" i="4"/>
  <c r="AF57" i="4"/>
  <c r="AG57" i="4"/>
  <c r="AH57" i="4"/>
  <c r="AI57" i="4"/>
  <c r="AJ57" i="4"/>
  <c r="AK57" i="4"/>
  <c r="AL57" i="4"/>
  <c r="AB58" i="4"/>
  <c r="AC58" i="4"/>
  <c r="AD58" i="4"/>
  <c r="AE58" i="4"/>
  <c r="AF58" i="4"/>
  <c r="AG58" i="4"/>
  <c r="AH58" i="4"/>
  <c r="AI58" i="4"/>
  <c r="AJ58" i="4"/>
  <c r="AK58" i="4"/>
  <c r="AL58" i="4"/>
  <c r="AB59" i="4"/>
  <c r="AC59" i="4"/>
  <c r="AD59" i="4"/>
  <c r="AE59" i="4"/>
  <c r="AF59" i="4"/>
  <c r="AG59" i="4"/>
  <c r="AH59" i="4"/>
  <c r="AI59" i="4"/>
  <c r="AJ59" i="4"/>
  <c r="AK59" i="4"/>
  <c r="AL59" i="4"/>
  <c r="AB60" i="4"/>
  <c r="AC60" i="4"/>
  <c r="AD60" i="4"/>
  <c r="AE60" i="4"/>
  <c r="AF60" i="4"/>
  <c r="AG60" i="4"/>
  <c r="AH60" i="4"/>
  <c r="AI60" i="4"/>
  <c r="AJ60" i="4"/>
  <c r="AK60" i="4"/>
  <c r="AL60" i="4"/>
  <c r="AB61" i="4"/>
  <c r="AC61" i="4"/>
  <c r="AD61" i="4"/>
  <c r="AE61" i="4"/>
  <c r="AF61" i="4"/>
  <c r="AG61" i="4"/>
  <c r="AH61" i="4"/>
  <c r="AI61" i="4"/>
  <c r="AJ61" i="4"/>
  <c r="AK61" i="4"/>
  <c r="AL61" i="4"/>
  <c r="AB62" i="4"/>
  <c r="AC62" i="4"/>
  <c r="AD62" i="4"/>
  <c r="AE62" i="4"/>
  <c r="AF62" i="4"/>
  <c r="AG62" i="4"/>
  <c r="AH62" i="4"/>
  <c r="AI62" i="4"/>
  <c r="AJ62" i="4"/>
  <c r="AK62" i="4"/>
  <c r="AL62" i="4"/>
  <c r="AB63" i="4"/>
  <c r="AC63" i="4"/>
  <c r="AD63" i="4"/>
  <c r="AE63" i="4"/>
  <c r="AF63" i="4"/>
  <c r="AG63" i="4"/>
  <c r="AH63" i="4"/>
  <c r="AI63" i="4"/>
  <c r="AJ63" i="4"/>
  <c r="AK63" i="4"/>
  <c r="AL63" i="4"/>
  <c r="AB64" i="4"/>
  <c r="AC64" i="4"/>
  <c r="AD64" i="4"/>
  <c r="AE64" i="4"/>
  <c r="AF64" i="4"/>
  <c r="AG64" i="4"/>
  <c r="AH64" i="4"/>
  <c r="AI64" i="4"/>
  <c r="AJ64" i="4"/>
  <c r="AK64" i="4"/>
  <c r="AL64" i="4"/>
  <c r="AB65" i="4"/>
  <c r="AC65" i="4"/>
  <c r="AD65" i="4"/>
  <c r="AE65" i="4"/>
  <c r="AF65" i="4"/>
  <c r="AG65" i="4"/>
  <c r="AH65" i="4"/>
  <c r="AI65" i="4"/>
  <c r="AJ65" i="4"/>
  <c r="AK65" i="4"/>
  <c r="AL65" i="4"/>
  <c r="AB66" i="4"/>
  <c r="AC66" i="4"/>
  <c r="AD66" i="4"/>
  <c r="AE66" i="4"/>
  <c r="AF66" i="4"/>
  <c r="AG66" i="4"/>
  <c r="AH66" i="4"/>
  <c r="AI66" i="4"/>
  <c r="AJ66" i="4"/>
  <c r="AK66" i="4"/>
  <c r="AL66" i="4"/>
  <c r="AB67" i="4"/>
  <c r="AC67" i="4"/>
  <c r="AD67" i="4"/>
  <c r="AE67" i="4"/>
  <c r="AF67" i="4"/>
  <c r="AG67" i="4"/>
  <c r="AH67" i="4"/>
  <c r="AI67" i="4"/>
  <c r="AJ67" i="4"/>
  <c r="AK67" i="4"/>
  <c r="AL67" i="4"/>
  <c r="AB68" i="4"/>
  <c r="AC68" i="4"/>
  <c r="AD68" i="4"/>
  <c r="AE68" i="4"/>
  <c r="AF68" i="4"/>
  <c r="AG68" i="4"/>
  <c r="AH68" i="4"/>
  <c r="AI68" i="4"/>
  <c r="AJ68" i="4"/>
  <c r="AK68" i="4"/>
  <c r="AL68" i="4"/>
  <c r="AB69" i="4"/>
  <c r="AC69" i="4"/>
  <c r="AD69" i="4"/>
  <c r="AE69" i="4"/>
  <c r="AF69" i="4"/>
  <c r="AG69" i="4"/>
  <c r="AH69" i="4"/>
  <c r="AI69" i="4"/>
  <c r="AJ69" i="4"/>
  <c r="AK69" i="4"/>
  <c r="AL69" i="4"/>
  <c r="AB70" i="4"/>
  <c r="AC70" i="4"/>
  <c r="AD70" i="4"/>
  <c r="AE70" i="4"/>
  <c r="AF70" i="4"/>
  <c r="AG70" i="4"/>
  <c r="AH70" i="4"/>
  <c r="AI70" i="4"/>
  <c r="AJ70" i="4"/>
  <c r="AK70" i="4"/>
  <c r="AL70" i="4"/>
  <c r="AB71" i="4"/>
  <c r="AC71" i="4"/>
  <c r="AD71" i="4"/>
  <c r="AE71" i="4"/>
  <c r="AF71" i="4"/>
  <c r="AG71" i="4"/>
  <c r="AH71" i="4"/>
  <c r="AI71" i="4"/>
  <c r="AJ71" i="4"/>
  <c r="AK71" i="4"/>
  <c r="AL71" i="4"/>
  <c r="AB72" i="4"/>
  <c r="AC72" i="4"/>
  <c r="AD72" i="4"/>
  <c r="AE72" i="4"/>
  <c r="AF72" i="4"/>
  <c r="AG72" i="4"/>
  <c r="AH72" i="4"/>
  <c r="AI72" i="4"/>
  <c r="AJ72" i="4"/>
  <c r="AK72" i="4"/>
  <c r="AL72" i="4"/>
  <c r="AB73" i="4"/>
  <c r="AC73" i="4"/>
  <c r="AD73" i="4"/>
  <c r="AE73" i="4"/>
  <c r="AF73" i="4"/>
  <c r="AG73" i="4"/>
  <c r="AH73" i="4"/>
  <c r="AI73" i="4"/>
  <c r="AJ73" i="4"/>
  <c r="AK73" i="4"/>
  <c r="AL73" i="4"/>
  <c r="AB74" i="4"/>
  <c r="AC74" i="4"/>
  <c r="AD74" i="4"/>
  <c r="AE74" i="4"/>
  <c r="AF74" i="4"/>
  <c r="AG74" i="4"/>
  <c r="AH74" i="4"/>
  <c r="AI74" i="4"/>
  <c r="AJ74" i="4"/>
  <c r="AK74" i="4"/>
  <c r="AL74" i="4"/>
  <c r="AB75" i="4"/>
  <c r="AC75" i="4"/>
  <c r="AD75" i="4"/>
  <c r="AE75" i="4"/>
  <c r="AF75" i="4"/>
  <c r="AG75" i="4"/>
  <c r="AH75" i="4"/>
  <c r="AI75" i="4"/>
  <c r="AJ75" i="4"/>
  <c r="AK75" i="4"/>
  <c r="AL75" i="4"/>
  <c r="AB76" i="4"/>
  <c r="AC76" i="4"/>
  <c r="AD76" i="4"/>
  <c r="AE76" i="4"/>
  <c r="AF76" i="4"/>
  <c r="AG76" i="4"/>
  <c r="AH76" i="4"/>
  <c r="AI76" i="4"/>
  <c r="AJ76" i="4"/>
  <c r="AK76" i="4"/>
  <c r="AL76" i="4"/>
  <c r="AB77" i="4"/>
  <c r="AC77" i="4"/>
  <c r="AD77" i="4"/>
  <c r="AE77" i="4"/>
  <c r="AF77" i="4"/>
  <c r="AG77" i="4"/>
  <c r="AH77" i="4"/>
  <c r="AI77" i="4"/>
  <c r="AJ77" i="4"/>
  <c r="AK77" i="4"/>
  <c r="AL77" i="4"/>
  <c r="AB78" i="4"/>
  <c r="AC78" i="4"/>
  <c r="AD78" i="4"/>
  <c r="AE78" i="4"/>
  <c r="AF78" i="4"/>
  <c r="AG78" i="4"/>
  <c r="AH78" i="4"/>
  <c r="AI78" i="4"/>
  <c r="AJ78" i="4"/>
  <c r="AK78" i="4"/>
  <c r="AL78" i="4"/>
  <c r="AB79" i="4"/>
  <c r="AC79" i="4"/>
  <c r="AD79" i="4"/>
  <c r="AE79" i="4"/>
  <c r="AF79" i="4"/>
  <c r="AG79" i="4"/>
  <c r="AH79" i="4"/>
  <c r="AI79" i="4"/>
  <c r="AJ79" i="4"/>
  <c r="AK79" i="4"/>
  <c r="AL79" i="4"/>
  <c r="AB80" i="4"/>
  <c r="AC80" i="4"/>
  <c r="AD80" i="4"/>
  <c r="AE80" i="4"/>
  <c r="AF80" i="4"/>
  <c r="AG80" i="4"/>
  <c r="AH80" i="4"/>
  <c r="AI80" i="4"/>
  <c r="AJ80" i="4"/>
  <c r="AK80" i="4"/>
  <c r="AL80" i="4"/>
  <c r="AB81" i="4"/>
  <c r="AC81" i="4"/>
  <c r="AD81" i="4"/>
  <c r="AE81" i="4"/>
  <c r="AF81" i="4"/>
  <c r="AG81" i="4"/>
  <c r="AH81" i="4"/>
  <c r="AI81" i="4"/>
  <c r="AJ81" i="4"/>
  <c r="AK81" i="4"/>
  <c r="AL81" i="4"/>
  <c r="AB82" i="4"/>
  <c r="AC82" i="4"/>
  <c r="AD82" i="4"/>
  <c r="AE82" i="4"/>
  <c r="AF82" i="4"/>
  <c r="AG82" i="4"/>
  <c r="AH82" i="4"/>
  <c r="AI82" i="4"/>
  <c r="AJ82" i="4"/>
  <c r="AK82" i="4"/>
  <c r="AL82" i="4"/>
  <c r="AB83" i="4"/>
  <c r="AC83" i="4"/>
  <c r="AD83" i="4"/>
  <c r="AE83" i="4"/>
  <c r="AF83" i="4"/>
  <c r="AG83" i="4"/>
  <c r="AH83" i="4"/>
  <c r="AI83" i="4"/>
  <c r="AJ83" i="4"/>
  <c r="AK83" i="4"/>
  <c r="AL83" i="4"/>
  <c r="AB84" i="4"/>
  <c r="AC84" i="4"/>
  <c r="AD84" i="4"/>
  <c r="AE84" i="4"/>
  <c r="AF84" i="4"/>
  <c r="AG84" i="4"/>
  <c r="AH84" i="4"/>
  <c r="AI84" i="4"/>
  <c r="AJ84" i="4"/>
  <c r="AK84" i="4"/>
  <c r="AL84" i="4"/>
  <c r="AB85" i="4"/>
  <c r="AC85" i="4"/>
  <c r="AD85" i="4"/>
  <c r="AE85" i="4"/>
  <c r="AF85" i="4"/>
  <c r="AG85" i="4"/>
  <c r="AH85" i="4"/>
  <c r="AI85" i="4"/>
  <c r="AJ85" i="4"/>
  <c r="AK85" i="4"/>
  <c r="AL85" i="4"/>
  <c r="AB86" i="4"/>
  <c r="AC86" i="4"/>
  <c r="AD86" i="4"/>
  <c r="AE86" i="4"/>
  <c r="AF86" i="4"/>
  <c r="AG86" i="4"/>
  <c r="AH86" i="4"/>
  <c r="AI86" i="4"/>
  <c r="AJ86" i="4"/>
  <c r="AK86" i="4"/>
  <c r="AL86" i="4"/>
  <c r="AB87" i="4"/>
  <c r="AC87" i="4"/>
  <c r="AD87" i="4"/>
  <c r="AE87" i="4"/>
  <c r="AF87" i="4"/>
  <c r="AG87" i="4"/>
  <c r="AH87" i="4"/>
  <c r="AI87" i="4"/>
  <c r="AJ87" i="4"/>
  <c r="AK87" i="4"/>
  <c r="AL87" i="4"/>
  <c r="AB88" i="4"/>
  <c r="AC88" i="4"/>
  <c r="AD88" i="4"/>
  <c r="AE88" i="4"/>
  <c r="AF88" i="4"/>
  <c r="AG88" i="4"/>
  <c r="AH88" i="4"/>
  <c r="AI88" i="4"/>
  <c r="AJ88" i="4"/>
  <c r="AK88" i="4"/>
  <c r="AL88" i="4"/>
  <c r="AB89" i="4"/>
  <c r="AC89" i="4"/>
  <c r="AD89" i="4"/>
  <c r="AE89" i="4"/>
  <c r="AF89" i="4"/>
  <c r="AG89" i="4"/>
  <c r="AH89" i="4"/>
  <c r="AI89" i="4"/>
  <c r="AJ89" i="4"/>
  <c r="AK89" i="4"/>
  <c r="AL89" i="4"/>
  <c r="AB90" i="4"/>
  <c r="AC90" i="4"/>
  <c r="AD90" i="4"/>
  <c r="AE90" i="4"/>
  <c r="AF90" i="4"/>
  <c r="AG90" i="4"/>
  <c r="AH90" i="4"/>
  <c r="AI90" i="4"/>
  <c r="AJ90" i="4"/>
  <c r="AK90" i="4"/>
  <c r="AL90" i="4"/>
  <c r="AB91" i="4"/>
  <c r="AC91" i="4"/>
  <c r="AD91" i="4"/>
  <c r="AE91" i="4"/>
  <c r="AF91" i="4"/>
  <c r="AG91" i="4"/>
  <c r="AH91" i="4"/>
  <c r="AI91" i="4"/>
  <c r="AJ91" i="4"/>
  <c r="AK91" i="4"/>
  <c r="AL91" i="4"/>
  <c r="AB92" i="4"/>
  <c r="AC92" i="4"/>
  <c r="AD92" i="4"/>
  <c r="AE92" i="4"/>
  <c r="AF92" i="4"/>
  <c r="AG92" i="4"/>
  <c r="AH92" i="4"/>
  <c r="AI92" i="4"/>
  <c r="AJ92" i="4"/>
  <c r="AK92" i="4"/>
  <c r="AL92" i="4"/>
  <c r="AB93" i="4"/>
  <c r="AC93" i="4"/>
  <c r="AD93" i="4"/>
  <c r="AE93" i="4"/>
  <c r="AF93" i="4"/>
  <c r="AG93" i="4"/>
  <c r="AH93" i="4"/>
  <c r="AI93" i="4"/>
  <c r="AJ93" i="4"/>
  <c r="AK93" i="4"/>
  <c r="AL93" i="4"/>
  <c r="AB94" i="4"/>
  <c r="AC94" i="4"/>
  <c r="AD94" i="4"/>
  <c r="AE94" i="4"/>
  <c r="AF94" i="4"/>
  <c r="AG94" i="4"/>
  <c r="AH94" i="4"/>
  <c r="AI94" i="4"/>
  <c r="AJ94" i="4"/>
  <c r="AK94" i="4"/>
  <c r="AL94" i="4"/>
  <c r="AB95" i="4"/>
  <c r="AC95" i="4"/>
  <c r="AD95" i="4"/>
  <c r="AE95" i="4"/>
  <c r="AF95" i="4"/>
  <c r="AG95" i="4"/>
  <c r="AH95" i="4"/>
  <c r="AI95" i="4"/>
  <c r="AJ95" i="4"/>
  <c r="AK95" i="4"/>
  <c r="AL95" i="4"/>
  <c r="AB96" i="4"/>
  <c r="AC96" i="4"/>
  <c r="AD96" i="4"/>
  <c r="AE96" i="4"/>
  <c r="AF96" i="4"/>
  <c r="AG96" i="4"/>
  <c r="AH96" i="4"/>
  <c r="AI96" i="4"/>
  <c r="AJ96" i="4"/>
  <c r="AK96" i="4"/>
  <c r="AL96" i="4"/>
  <c r="AB97" i="4"/>
  <c r="AC97" i="4"/>
  <c r="AD97" i="4"/>
  <c r="AE97" i="4"/>
  <c r="AF97" i="4"/>
  <c r="AG97" i="4"/>
  <c r="AH97" i="4"/>
  <c r="AI97" i="4"/>
  <c r="AJ97" i="4"/>
  <c r="AK97" i="4"/>
  <c r="AL97" i="4"/>
  <c r="AB98" i="4"/>
  <c r="AC98" i="4"/>
  <c r="AD98" i="4"/>
  <c r="AE98" i="4"/>
  <c r="AF98" i="4"/>
  <c r="AG98" i="4"/>
  <c r="AH98" i="4"/>
  <c r="AI98" i="4"/>
  <c r="AJ98" i="4"/>
  <c r="AK98" i="4"/>
  <c r="AL98" i="4"/>
  <c r="AB99" i="4"/>
  <c r="AC99" i="4"/>
  <c r="AD99" i="4"/>
  <c r="AE99" i="4"/>
  <c r="AF99" i="4"/>
  <c r="AG99" i="4"/>
  <c r="AH99" i="4"/>
  <c r="AI99" i="4"/>
  <c r="AJ99" i="4"/>
  <c r="AK99" i="4"/>
  <c r="AL99" i="4"/>
  <c r="AB100" i="4"/>
  <c r="AC100" i="4"/>
  <c r="AD100" i="4"/>
  <c r="AE100" i="4"/>
  <c r="AF100" i="4"/>
  <c r="AG100" i="4"/>
  <c r="AH100" i="4"/>
  <c r="AI100" i="4"/>
  <c r="AJ100" i="4"/>
  <c r="AK100" i="4"/>
  <c r="AL100" i="4"/>
  <c r="AB101" i="4"/>
  <c r="AC101" i="4"/>
  <c r="AD101" i="4"/>
  <c r="AE101" i="4"/>
  <c r="AF101" i="4"/>
  <c r="AG101" i="4"/>
  <c r="AH101" i="4"/>
  <c r="AI101" i="4"/>
  <c r="AJ101" i="4"/>
  <c r="AK101" i="4"/>
  <c r="AL101" i="4"/>
  <c r="AB102" i="4"/>
  <c r="AC102" i="4"/>
  <c r="AD102" i="4"/>
  <c r="AE102" i="4"/>
  <c r="AF102" i="4"/>
  <c r="AG102" i="4"/>
  <c r="AH102" i="4"/>
  <c r="AI102" i="4"/>
  <c r="AJ102" i="4"/>
  <c r="AK102" i="4"/>
  <c r="AL102" i="4"/>
  <c r="AB103" i="4"/>
  <c r="AC103" i="4"/>
  <c r="AD103" i="4"/>
  <c r="AE103" i="4"/>
  <c r="AF103" i="4"/>
  <c r="AG103" i="4"/>
  <c r="AH103" i="4"/>
  <c r="AI103" i="4"/>
  <c r="AJ103" i="4"/>
  <c r="AK103" i="4"/>
  <c r="AL103" i="4"/>
  <c r="AB104" i="4"/>
  <c r="AC104" i="4"/>
  <c r="AD104" i="4"/>
  <c r="AE104" i="4"/>
  <c r="AF104" i="4"/>
  <c r="AG104" i="4"/>
  <c r="AH104" i="4"/>
  <c r="AI104" i="4"/>
  <c r="AJ104" i="4"/>
  <c r="AK104" i="4"/>
  <c r="AL104" i="4"/>
  <c r="AB105" i="4"/>
  <c r="AC105" i="4"/>
  <c r="AD105" i="4"/>
  <c r="AE105" i="4"/>
  <c r="AF105" i="4"/>
  <c r="AG105" i="4"/>
  <c r="AH105" i="4"/>
  <c r="AI105" i="4"/>
  <c r="AJ105" i="4"/>
  <c r="AK105" i="4"/>
  <c r="AL105" i="4"/>
  <c r="AB106" i="4"/>
  <c r="AC106" i="4"/>
  <c r="AD106" i="4"/>
  <c r="AE106" i="4"/>
  <c r="AF106" i="4"/>
  <c r="AG106" i="4"/>
  <c r="AH106" i="4"/>
  <c r="AI106" i="4"/>
  <c r="AJ106" i="4"/>
  <c r="AK106" i="4"/>
  <c r="AL106" i="4"/>
  <c r="AB107" i="4"/>
  <c r="AC107" i="4"/>
  <c r="AD107" i="4"/>
  <c r="AE107" i="4"/>
  <c r="AF107" i="4"/>
  <c r="AG107" i="4"/>
  <c r="AH107" i="4"/>
  <c r="AI107" i="4"/>
  <c r="AJ107" i="4"/>
  <c r="AK107" i="4"/>
  <c r="AL107" i="4"/>
  <c r="AB108" i="4"/>
  <c r="AC108" i="4"/>
  <c r="AD108" i="4"/>
  <c r="AE108" i="4"/>
  <c r="AF108" i="4"/>
  <c r="AG108" i="4"/>
  <c r="AH108" i="4"/>
  <c r="AI108" i="4"/>
  <c r="AJ108" i="4"/>
  <c r="AK108" i="4"/>
  <c r="AL108" i="4"/>
  <c r="AB109" i="4"/>
  <c r="AC109" i="4"/>
  <c r="AD109" i="4"/>
  <c r="AE109" i="4"/>
  <c r="AF109" i="4"/>
  <c r="AG109" i="4"/>
  <c r="AH109" i="4"/>
  <c r="AI109" i="4"/>
  <c r="AJ109" i="4"/>
  <c r="AK109" i="4"/>
  <c r="AL109" i="4"/>
  <c r="AB110" i="4"/>
  <c r="AC110" i="4"/>
  <c r="AD110" i="4"/>
  <c r="AE110" i="4"/>
  <c r="AF110" i="4"/>
  <c r="AG110" i="4"/>
  <c r="AH110" i="4"/>
  <c r="AI110" i="4"/>
  <c r="AJ110" i="4"/>
  <c r="AK110" i="4"/>
  <c r="AL110" i="4"/>
  <c r="AB111" i="4"/>
  <c r="AC111" i="4"/>
  <c r="AD111" i="4"/>
  <c r="AE111" i="4"/>
  <c r="AF111" i="4"/>
  <c r="AG111" i="4"/>
  <c r="AH111" i="4"/>
  <c r="AI111" i="4"/>
  <c r="AJ111" i="4"/>
  <c r="AK111" i="4"/>
  <c r="AL111" i="4"/>
  <c r="AB112" i="4"/>
  <c r="AC112" i="4"/>
  <c r="AD112" i="4"/>
  <c r="AE112" i="4"/>
  <c r="AF112" i="4"/>
  <c r="AG112" i="4"/>
  <c r="AH112" i="4"/>
  <c r="AI112" i="4"/>
  <c r="AJ112" i="4"/>
  <c r="AK112" i="4"/>
  <c r="AL112" i="4"/>
  <c r="AB113" i="4"/>
  <c r="AC113" i="4"/>
  <c r="AD113" i="4"/>
  <c r="AE113" i="4"/>
  <c r="AF113" i="4"/>
  <c r="AG113" i="4"/>
  <c r="AH113" i="4"/>
  <c r="AI113" i="4"/>
  <c r="AJ113" i="4"/>
  <c r="AK113" i="4"/>
  <c r="AL113" i="4"/>
  <c r="AB114" i="4"/>
  <c r="AC114" i="4"/>
  <c r="AD114" i="4"/>
  <c r="AE114" i="4"/>
  <c r="AF114" i="4"/>
  <c r="AG114" i="4"/>
  <c r="AH114" i="4"/>
  <c r="AI114" i="4"/>
  <c r="AJ114" i="4"/>
  <c r="AK114" i="4"/>
  <c r="AL114" i="4"/>
  <c r="AB115" i="4"/>
  <c r="AC115" i="4"/>
  <c r="AD115" i="4"/>
  <c r="AE115" i="4"/>
  <c r="AF115" i="4"/>
  <c r="AG115" i="4"/>
  <c r="AH115" i="4"/>
  <c r="AI115" i="4"/>
  <c r="AJ115" i="4"/>
  <c r="AK115" i="4"/>
  <c r="AL115" i="4"/>
  <c r="AB116" i="4"/>
  <c r="AC116" i="4"/>
  <c r="AD116" i="4"/>
  <c r="AE116" i="4"/>
  <c r="AF116" i="4"/>
  <c r="AG116" i="4"/>
  <c r="AH116" i="4"/>
  <c r="AI116" i="4"/>
  <c r="AJ116" i="4"/>
  <c r="AK116" i="4"/>
  <c r="AL116" i="4"/>
  <c r="AB117" i="4"/>
  <c r="AC117" i="4"/>
  <c r="AD117" i="4"/>
  <c r="AE117" i="4"/>
  <c r="AF117" i="4"/>
  <c r="AG117" i="4"/>
  <c r="AH117" i="4"/>
  <c r="AI117" i="4"/>
  <c r="AJ117" i="4"/>
  <c r="AK117" i="4"/>
  <c r="AL117" i="4"/>
  <c r="AB118" i="4"/>
  <c r="AC118" i="4"/>
  <c r="AD118" i="4"/>
  <c r="AE118" i="4"/>
  <c r="AF118" i="4"/>
  <c r="AG118" i="4"/>
  <c r="AH118" i="4"/>
  <c r="AI118" i="4"/>
  <c r="AJ118" i="4"/>
  <c r="AK118" i="4"/>
  <c r="AL118" i="4"/>
  <c r="AB119" i="4"/>
  <c r="AC119" i="4"/>
  <c r="AD119" i="4"/>
  <c r="AE119" i="4"/>
  <c r="AF119" i="4"/>
  <c r="AG119" i="4"/>
  <c r="AH119" i="4"/>
  <c r="AI119" i="4"/>
  <c r="AJ119" i="4"/>
  <c r="AK119" i="4"/>
  <c r="AL119" i="4"/>
  <c r="AB120" i="4"/>
  <c r="AC120" i="4"/>
  <c r="AD120" i="4"/>
  <c r="AE120" i="4"/>
  <c r="AF120" i="4"/>
  <c r="AG120" i="4"/>
  <c r="AH120" i="4"/>
  <c r="AI120" i="4"/>
  <c r="AJ120" i="4"/>
  <c r="AK120" i="4"/>
  <c r="AL120" i="4"/>
  <c r="AB121" i="4"/>
  <c r="AC121" i="4"/>
  <c r="AD121" i="4"/>
  <c r="AE121" i="4"/>
  <c r="AF121" i="4"/>
  <c r="AG121" i="4"/>
  <c r="AH121" i="4"/>
  <c r="AI121" i="4"/>
  <c r="AJ121" i="4"/>
  <c r="AK121" i="4"/>
  <c r="AL121" i="4"/>
  <c r="AB122" i="4"/>
  <c r="AC122" i="4"/>
  <c r="AD122" i="4"/>
  <c r="AE122" i="4"/>
  <c r="AF122" i="4"/>
  <c r="AG122" i="4"/>
  <c r="AH122" i="4"/>
  <c r="AI122" i="4"/>
  <c r="AJ122" i="4"/>
  <c r="AK122" i="4"/>
  <c r="AL122" i="4"/>
  <c r="AB123" i="4"/>
  <c r="AC123" i="4"/>
  <c r="AD123" i="4"/>
  <c r="AE123" i="4"/>
  <c r="AF123" i="4"/>
  <c r="AG123" i="4"/>
  <c r="AH123" i="4"/>
  <c r="AI123" i="4"/>
  <c r="AJ123" i="4"/>
  <c r="AK123" i="4"/>
  <c r="AL123" i="4"/>
  <c r="AB124" i="4"/>
  <c r="AC124" i="4"/>
  <c r="AD124" i="4"/>
  <c r="AE124" i="4"/>
  <c r="AF124" i="4"/>
  <c r="AG124" i="4"/>
  <c r="AH124" i="4"/>
  <c r="AI124" i="4"/>
  <c r="AJ124" i="4"/>
  <c r="AK124" i="4"/>
  <c r="AL124" i="4"/>
  <c r="AB125" i="4"/>
  <c r="AC125" i="4"/>
  <c r="AD125" i="4"/>
  <c r="AE125" i="4"/>
  <c r="AF125" i="4"/>
  <c r="AG125" i="4"/>
  <c r="AH125" i="4"/>
  <c r="AI125" i="4"/>
  <c r="AJ125" i="4"/>
  <c r="AK125" i="4"/>
  <c r="AL125" i="4"/>
  <c r="AB126" i="4"/>
  <c r="AC126" i="4"/>
  <c r="AD126" i="4"/>
  <c r="AE126" i="4"/>
  <c r="AF126" i="4"/>
  <c r="AG126" i="4"/>
  <c r="AH126" i="4"/>
  <c r="AI126" i="4"/>
  <c r="AJ126" i="4"/>
  <c r="AK126" i="4"/>
  <c r="AL126" i="4"/>
  <c r="AB127" i="4"/>
  <c r="AC127" i="4"/>
  <c r="AD127" i="4"/>
  <c r="AE127" i="4"/>
  <c r="AF127" i="4"/>
  <c r="AG127" i="4"/>
  <c r="AH127" i="4"/>
  <c r="AI127" i="4"/>
  <c r="AJ127" i="4"/>
  <c r="AK127" i="4"/>
  <c r="AL127" i="4"/>
  <c r="AB128" i="4"/>
  <c r="AC128" i="4"/>
  <c r="AD128" i="4"/>
  <c r="AE128" i="4"/>
  <c r="AF128" i="4"/>
  <c r="AG128" i="4"/>
  <c r="AH128" i="4"/>
  <c r="AI128" i="4"/>
  <c r="AJ128" i="4"/>
  <c r="AK128" i="4"/>
  <c r="AL128" i="4"/>
  <c r="AB129" i="4"/>
  <c r="AC129" i="4"/>
  <c r="AD129" i="4"/>
  <c r="AE129" i="4"/>
  <c r="AF129" i="4"/>
  <c r="AG129" i="4"/>
  <c r="AH129" i="4"/>
  <c r="AI129" i="4"/>
  <c r="AJ129" i="4"/>
  <c r="AK129" i="4"/>
  <c r="AL129" i="4"/>
  <c r="AB130" i="4"/>
  <c r="AC130" i="4"/>
  <c r="AD130" i="4"/>
  <c r="AE130" i="4"/>
  <c r="AF130" i="4"/>
  <c r="AG130" i="4"/>
  <c r="AH130" i="4"/>
  <c r="AI130" i="4"/>
  <c r="AJ130" i="4"/>
  <c r="AK130" i="4"/>
  <c r="AL130" i="4"/>
  <c r="AB131" i="4"/>
  <c r="AC131" i="4"/>
  <c r="AD131" i="4"/>
  <c r="AE131" i="4"/>
  <c r="AF131" i="4"/>
  <c r="AG131" i="4"/>
  <c r="AH131" i="4"/>
  <c r="AI131" i="4"/>
  <c r="AJ131" i="4"/>
  <c r="AK131" i="4"/>
  <c r="AL131" i="4"/>
  <c r="AB132" i="4"/>
  <c r="AC132" i="4"/>
  <c r="AD132" i="4"/>
  <c r="AE132" i="4"/>
  <c r="AF132" i="4"/>
  <c r="AG132" i="4"/>
  <c r="AH132" i="4"/>
  <c r="AI132" i="4"/>
  <c r="AJ132" i="4"/>
  <c r="AK132" i="4"/>
  <c r="AL132" i="4"/>
  <c r="AB133" i="4"/>
  <c r="AC133" i="4"/>
  <c r="AD133" i="4"/>
  <c r="AE133" i="4"/>
  <c r="AF133" i="4"/>
  <c r="AG133" i="4"/>
  <c r="AH133" i="4"/>
  <c r="AI133" i="4"/>
  <c r="AJ133" i="4"/>
  <c r="AK133" i="4"/>
  <c r="AL133" i="4"/>
  <c r="AB134" i="4"/>
  <c r="AC134" i="4"/>
  <c r="AD134" i="4"/>
  <c r="AE134" i="4"/>
  <c r="AF134" i="4"/>
  <c r="AG134" i="4"/>
  <c r="AH134" i="4"/>
  <c r="AI134" i="4"/>
  <c r="AJ134" i="4"/>
  <c r="AK134" i="4"/>
  <c r="AL134" i="4"/>
  <c r="AB135" i="4"/>
  <c r="AC135" i="4"/>
  <c r="AD135" i="4"/>
  <c r="AE135" i="4"/>
  <c r="AF135" i="4"/>
  <c r="AG135" i="4"/>
  <c r="AH135" i="4"/>
  <c r="AI135" i="4"/>
  <c r="AJ135" i="4"/>
  <c r="AK135" i="4"/>
  <c r="AL135" i="4"/>
  <c r="AB136" i="4"/>
  <c r="AC136" i="4"/>
  <c r="AD136" i="4"/>
  <c r="AE136" i="4"/>
  <c r="AF136" i="4"/>
  <c r="AG136" i="4"/>
  <c r="AH136" i="4"/>
  <c r="AI136" i="4"/>
  <c r="AJ136" i="4"/>
  <c r="AK136" i="4"/>
  <c r="AL136" i="4"/>
  <c r="AB137" i="4"/>
  <c r="AC137" i="4"/>
  <c r="AD137" i="4"/>
  <c r="AE137" i="4"/>
  <c r="AF137" i="4"/>
  <c r="AG137" i="4"/>
  <c r="AH137" i="4"/>
  <c r="AI137" i="4"/>
  <c r="AJ137" i="4"/>
  <c r="AK137" i="4"/>
  <c r="AL137" i="4"/>
  <c r="AB138" i="4"/>
  <c r="AC138" i="4"/>
  <c r="AD138" i="4"/>
  <c r="AE138" i="4"/>
  <c r="AF138" i="4"/>
  <c r="AG138" i="4"/>
  <c r="AH138" i="4"/>
  <c r="AI138" i="4"/>
  <c r="AJ138" i="4"/>
  <c r="AK138" i="4"/>
  <c r="AL138" i="4"/>
  <c r="AB139" i="4"/>
  <c r="AC139" i="4"/>
  <c r="AD139" i="4"/>
  <c r="AE139" i="4"/>
  <c r="AF139" i="4"/>
  <c r="AG139" i="4"/>
  <c r="AH139" i="4"/>
  <c r="AI139" i="4"/>
  <c r="AJ139" i="4"/>
  <c r="AK139" i="4"/>
  <c r="AL139" i="4"/>
  <c r="AB140" i="4"/>
  <c r="AC140" i="4"/>
  <c r="AD140" i="4"/>
  <c r="AE140" i="4"/>
  <c r="AF140" i="4"/>
  <c r="AG140" i="4"/>
  <c r="AH140" i="4"/>
  <c r="AI140" i="4"/>
  <c r="AJ140" i="4"/>
  <c r="AK140" i="4"/>
  <c r="AL140" i="4"/>
  <c r="AB141" i="4"/>
  <c r="AC141" i="4"/>
  <c r="AD141" i="4"/>
  <c r="AE141" i="4"/>
  <c r="AF141" i="4"/>
  <c r="AG141" i="4"/>
  <c r="AH141" i="4"/>
  <c r="AI141" i="4"/>
  <c r="AJ141" i="4"/>
  <c r="AK141" i="4"/>
  <c r="AL141" i="4"/>
  <c r="AB142" i="4"/>
  <c r="AC142" i="4"/>
  <c r="AD142" i="4"/>
  <c r="AE142" i="4"/>
  <c r="AF142" i="4"/>
  <c r="AG142" i="4"/>
  <c r="AH142" i="4"/>
  <c r="AI142" i="4"/>
  <c r="AJ142" i="4"/>
  <c r="AK142" i="4"/>
  <c r="AL142" i="4"/>
  <c r="AB143" i="4"/>
  <c r="AC143" i="4"/>
  <c r="AD143" i="4"/>
  <c r="AE143" i="4"/>
  <c r="AF143" i="4"/>
  <c r="AG143" i="4"/>
  <c r="AH143" i="4"/>
  <c r="AI143" i="4"/>
  <c r="AJ143" i="4"/>
  <c r="AK143" i="4"/>
  <c r="AL143" i="4"/>
  <c r="AB144" i="4"/>
  <c r="AC144" i="4"/>
  <c r="AD144" i="4"/>
  <c r="AE144" i="4"/>
  <c r="AF144" i="4"/>
  <c r="AG144" i="4"/>
  <c r="AH144" i="4"/>
  <c r="AI144" i="4"/>
  <c r="AJ144" i="4"/>
  <c r="AK144" i="4"/>
  <c r="AL144" i="4"/>
  <c r="AB145" i="4"/>
  <c r="AC145" i="4"/>
  <c r="AD145" i="4"/>
  <c r="AE145" i="4"/>
  <c r="AF145" i="4"/>
  <c r="AG145" i="4"/>
  <c r="AH145" i="4"/>
  <c r="AI145" i="4"/>
  <c r="AJ145" i="4"/>
  <c r="AK145" i="4"/>
  <c r="AL145" i="4"/>
  <c r="AB146" i="4"/>
  <c r="AC146" i="4"/>
  <c r="AD146" i="4"/>
  <c r="AE146" i="4"/>
  <c r="AF146" i="4"/>
  <c r="AG146" i="4"/>
  <c r="AH146" i="4"/>
  <c r="AI146" i="4"/>
  <c r="AJ146" i="4"/>
  <c r="AK146" i="4"/>
  <c r="AL146" i="4"/>
  <c r="AB147" i="4"/>
  <c r="AC147" i="4"/>
  <c r="AD147" i="4"/>
  <c r="AE147" i="4"/>
  <c r="AF147" i="4"/>
  <c r="AG147" i="4"/>
  <c r="AH147" i="4"/>
  <c r="AI147" i="4"/>
  <c r="AJ147" i="4"/>
  <c r="AK147" i="4"/>
  <c r="AL147" i="4"/>
  <c r="AB148" i="4"/>
  <c r="AC148" i="4"/>
  <c r="AD148" i="4"/>
  <c r="AE148" i="4"/>
  <c r="AF148" i="4"/>
  <c r="AG148" i="4"/>
  <c r="AH148" i="4"/>
  <c r="AI148" i="4"/>
  <c r="AJ148" i="4"/>
  <c r="AK148" i="4"/>
  <c r="AL148" i="4"/>
  <c r="AB149" i="4"/>
  <c r="AC149" i="4"/>
  <c r="AD149" i="4"/>
  <c r="AE149" i="4"/>
  <c r="AF149" i="4"/>
  <c r="AG149" i="4"/>
  <c r="AH149" i="4"/>
  <c r="AI149" i="4"/>
  <c r="AJ149" i="4"/>
  <c r="AK149" i="4"/>
  <c r="AL149" i="4"/>
  <c r="AB150" i="4"/>
  <c r="AC150" i="4"/>
  <c r="AD150" i="4"/>
  <c r="AE150" i="4"/>
  <c r="AF150" i="4"/>
  <c r="AG150" i="4"/>
  <c r="AH150" i="4"/>
  <c r="AI150" i="4"/>
  <c r="AJ150" i="4"/>
  <c r="AK150" i="4"/>
  <c r="AL150" i="4"/>
  <c r="AB151" i="4"/>
  <c r="AC151" i="4"/>
  <c r="AD151" i="4"/>
  <c r="AE151" i="4"/>
  <c r="AF151" i="4"/>
  <c r="AG151" i="4"/>
  <c r="AH151" i="4"/>
  <c r="AI151" i="4"/>
  <c r="AJ151" i="4"/>
  <c r="AK151" i="4"/>
  <c r="AL151" i="4"/>
  <c r="AB152" i="4"/>
  <c r="AC152" i="4"/>
  <c r="AD152" i="4"/>
  <c r="AE152" i="4"/>
  <c r="AF152" i="4"/>
  <c r="AG152" i="4"/>
  <c r="AH152" i="4"/>
  <c r="AI152" i="4"/>
  <c r="AJ152" i="4"/>
  <c r="AK152" i="4"/>
  <c r="AL152" i="4"/>
  <c r="AB153" i="4"/>
  <c r="AC153" i="4"/>
  <c r="AD153" i="4"/>
  <c r="AE153" i="4"/>
  <c r="AF153" i="4"/>
  <c r="AG153" i="4"/>
  <c r="AH153" i="4"/>
  <c r="AI153" i="4"/>
  <c r="AJ153" i="4"/>
  <c r="AK153" i="4"/>
  <c r="AL153" i="4"/>
  <c r="AB154" i="4"/>
  <c r="AC154" i="4"/>
  <c r="AD154" i="4"/>
  <c r="AE154" i="4"/>
  <c r="AF154" i="4"/>
  <c r="AG154" i="4"/>
  <c r="AH154" i="4"/>
  <c r="AI154" i="4"/>
  <c r="AJ154" i="4"/>
  <c r="AK154" i="4"/>
  <c r="AL154" i="4"/>
  <c r="AB155" i="4"/>
  <c r="AC155" i="4"/>
  <c r="AD155" i="4"/>
  <c r="AE155" i="4"/>
  <c r="AF155" i="4"/>
  <c r="AG155" i="4"/>
  <c r="AH155" i="4"/>
  <c r="AI155" i="4"/>
  <c r="AJ155" i="4"/>
  <c r="AK155" i="4"/>
  <c r="AL155" i="4"/>
  <c r="AB156" i="4"/>
  <c r="AC156" i="4"/>
  <c r="AD156" i="4"/>
  <c r="AE156" i="4"/>
  <c r="AF156" i="4"/>
  <c r="AG156" i="4"/>
  <c r="AH156" i="4"/>
  <c r="AI156" i="4"/>
  <c r="AJ156" i="4"/>
  <c r="AK156" i="4"/>
  <c r="AL156" i="4"/>
  <c r="AB157" i="4"/>
  <c r="AC157" i="4"/>
  <c r="AD157" i="4"/>
  <c r="AE157" i="4"/>
  <c r="AF157" i="4"/>
  <c r="AG157" i="4"/>
  <c r="AH157" i="4"/>
  <c r="AI157" i="4"/>
  <c r="AJ157" i="4"/>
  <c r="AK157" i="4"/>
  <c r="AL157" i="4"/>
  <c r="AB158" i="4"/>
  <c r="AC158" i="4"/>
  <c r="AD158" i="4"/>
  <c r="AE158" i="4"/>
  <c r="AF158" i="4"/>
  <c r="AG158" i="4"/>
  <c r="AH158" i="4"/>
  <c r="AI158" i="4"/>
  <c r="AJ158" i="4"/>
  <c r="AK158" i="4"/>
  <c r="AL158" i="4"/>
  <c r="AB159" i="4"/>
  <c r="AC159" i="4"/>
  <c r="AD159" i="4"/>
  <c r="AE159" i="4"/>
  <c r="AF159" i="4"/>
  <c r="AG159" i="4"/>
  <c r="AH159" i="4"/>
  <c r="AI159" i="4"/>
  <c r="AJ159" i="4"/>
  <c r="AK159" i="4"/>
  <c r="AL159" i="4"/>
  <c r="AB160" i="4"/>
  <c r="AC160" i="4"/>
  <c r="AD160" i="4"/>
  <c r="AE160" i="4"/>
  <c r="AF160" i="4"/>
  <c r="AG160" i="4"/>
  <c r="AH160" i="4"/>
  <c r="AI160" i="4"/>
  <c r="AJ160" i="4"/>
  <c r="AK160" i="4"/>
  <c r="AL160" i="4"/>
  <c r="AB161" i="4"/>
  <c r="AC161" i="4"/>
  <c r="AD161" i="4"/>
  <c r="AE161" i="4"/>
  <c r="AF161" i="4"/>
  <c r="AG161" i="4"/>
  <c r="AH161" i="4"/>
  <c r="AI161" i="4"/>
  <c r="AJ161" i="4"/>
  <c r="AK161" i="4"/>
  <c r="AL161" i="4"/>
  <c r="AB162" i="4"/>
  <c r="AC162" i="4"/>
  <c r="AD162" i="4"/>
  <c r="AE162" i="4"/>
  <c r="AF162" i="4"/>
  <c r="AG162" i="4"/>
  <c r="AH162" i="4"/>
  <c r="AI162" i="4"/>
  <c r="AJ162" i="4"/>
  <c r="AK162" i="4"/>
  <c r="AL162" i="4"/>
  <c r="AB163" i="4"/>
  <c r="AC163" i="4"/>
  <c r="AD163" i="4"/>
  <c r="AE163" i="4"/>
  <c r="AF163" i="4"/>
  <c r="AG163" i="4"/>
  <c r="AH163" i="4"/>
  <c r="AI163" i="4"/>
  <c r="AJ163" i="4"/>
  <c r="AK163" i="4"/>
  <c r="AL163" i="4"/>
  <c r="AB164" i="4"/>
  <c r="AC164" i="4"/>
  <c r="AD164" i="4"/>
  <c r="AE164" i="4"/>
  <c r="AF164" i="4"/>
  <c r="AG164" i="4"/>
  <c r="AH164" i="4"/>
  <c r="AI164" i="4"/>
  <c r="AJ164" i="4"/>
  <c r="AK164" i="4"/>
  <c r="AL164" i="4"/>
  <c r="AB165" i="4"/>
  <c r="AC165" i="4"/>
  <c r="AD165" i="4"/>
  <c r="AE165" i="4"/>
  <c r="AF165" i="4"/>
  <c r="AG165" i="4"/>
  <c r="AH165" i="4"/>
  <c r="AI165" i="4"/>
  <c r="AJ165" i="4"/>
  <c r="AK165" i="4"/>
  <c r="AL165" i="4"/>
  <c r="AB166" i="4"/>
  <c r="AC166" i="4"/>
  <c r="AD166" i="4"/>
  <c r="AE166" i="4"/>
  <c r="AF166" i="4"/>
  <c r="AG166" i="4"/>
  <c r="AH166" i="4"/>
  <c r="AI166" i="4"/>
  <c r="AJ166" i="4"/>
  <c r="AK166" i="4"/>
  <c r="AL166" i="4"/>
  <c r="AB167" i="4"/>
  <c r="AC167" i="4"/>
  <c r="AD167" i="4"/>
  <c r="AE167" i="4"/>
  <c r="AF167" i="4"/>
  <c r="AG167" i="4"/>
  <c r="AH167" i="4"/>
  <c r="AI167" i="4"/>
  <c r="AJ167" i="4"/>
  <c r="AK167" i="4"/>
  <c r="AL167" i="4"/>
  <c r="AB168" i="4"/>
  <c r="AC168" i="4"/>
  <c r="AD168" i="4"/>
  <c r="AE168" i="4"/>
  <c r="AF168" i="4"/>
  <c r="AG168" i="4"/>
  <c r="AH168" i="4"/>
  <c r="AI168" i="4"/>
  <c r="AJ168" i="4"/>
  <c r="AK168" i="4"/>
  <c r="AL168" i="4"/>
  <c r="AB169" i="4"/>
  <c r="AC169" i="4"/>
  <c r="AD169" i="4"/>
  <c r="AE169" i="4"/>
  <c r="AF169" i="4"/>
  <c r="AG169" i="4"/>
  <c r="AH169" i="4"/>
  <c r="AI169" i="4"/>
  <c r="AJ169" i="4"/>
  <c r="AK169" i="4"/>
  <c r="AL169" i="4"/>
  <c r="AB170" i="4"/>
  <c r="AC170" i="4"/>
  <c r="AD170" i="4"/>
  <c r="AE170" i="4"/>
  <c r="AF170" i="4"/>
  <c r="AG170" i="4"/>
  <c r="AH170" i="4"/>
  <c r="AI170" i="4"/>
  <c r="AJ170" i="4"/>
  <c r="AK170" i="4"/>
  <c r="AL170" i="4"/>
  <c r="AB171" i="4"/>
  <c r="AC171" i="4"/>
  <c r="AD171" i="4"/>
  <c r="AE171" i="4"/>
  <c r="AF171" i="4"/>
  <c r="AG171" i="4"/>
  <c r="AH171" i="4"/>
  <c r="AI171" i="4"/>
  <c r="AJ171" i="4"/>
  <c r="AK171" i="4"/>
  <c r="AL171" i="4"/>
  <c r="AB172" i="4"/>
  <c r="AC172" i="4"/>
  <c r="AD172" i="4"/>
  <c r="AE172" i="4"/>
  <c r="AF172" i="4"/>
  <c r="AG172" i="4"/>
  <c r="AH172" i="4"/>
  <c r="AI172" i="4"/>
  <c r="AJ172" i="4"/>
  <c r="AK172" i="4"/>
  <c r="AL172" i="4"/>
  <c r="AB173" i="4"/>
  <c r="AC173" i="4"/>
  <c r="AD173" i="4"/>
  <c r="AE173" i="4"/>
  <c r="AF173" i="4"/>
  <c r="AG173" i="4"/>
  <c r="AH173" i="4"/>
  <c r="AI173" i="4"/>
  <c r="AJ173" i="4"/>
  <c r="AK173" i="4"/>
  <c r="AL173" i="4"/>
  <c r="AB174" i="4"/>
  <c r="AC174" i="4"/>
  <c r="AD174" i="4"/>
  <c r="AE174" i="4"/>
  <c r="AF174" i="4"/>
  <c r="AG174" i="4"/>
  <c r="AH174" i="4"/>
  <c r="AI174" i="4"/>
  <c r="AJ174" i="4"/>
  <c r="AK174" i="4"/>
  <c r="AL174" i="4"/>
  <c r="AB175" i="4"/>
  <c r="AC175" i="4"/>
  <c r="AD175" i="4"/>
  <c r="AE175" i="4"/>
  <c r="AF175" i="4"/>
  <c r="AG175" i="4"/>
  <c r="AH175" i="4"/>
  <c r="AI175" i="4"/>
  <c r="AJ175" i="4"/>
  <c r="AK175" i="4"/>
  <c r="AL175" i="4"/>
  <c r="AB176" i="4"/>
  <c r="AC176" i="4"/>
  <c r="AD176" i="4"/>
  <c r="AE176" i="4"/>
  <c r="AF176" i="4"/>
  <c r="AG176" i="4"/>
  <c r="AH176" i="4"/>
  <c r="AI176" i="4"/>
  <c r="AJ176" i="4"/>
  <c r="AK176" i="4"/>
  <c r="AL176" i="4"/>
  <c r="AB177" i="4"/>
  <c r="AC177" i="4"/>
  <c r="AD177" i="4"/>
  <c r="AE177" i="4"/>
  <c r="AF177" i="4"/>
  <c r="AG177" i="4"/>
  <c r="AH177" i="4"/>
  <c r="AI177" i="4"/>
  <c r="AJ177" i="4"/>
  <c r="AK177" i="4"/>
  <c r="AL177" i="4"/>
  <c r="AB178" i="4"/>
  <c r="AC178" i="4"/>
  <c r="AD178" i="4"/>
  <c r="AE178" i="4"/>
  <c r="AF178" i="4"/>
  <c r="AG178" i="4"/>
  <c r="AH178" i="4"/>
  <c r="AI178" i="4"/>
  <c r="AJ178" i="4"/>
  <c r="AK178" i="4"/>
  <c r="AL178" i="4"/>
  <c r="AB179" i="4"/>
  <c r="AC179" i="4"/>
  <c r="AD179" i="4"/>
  <c r="AE179" i="4"/>
  <c r="AF179" i="4"/>
  <c r="AG179" i="4"/>
  <c r="AH179" i="4"/>
  <c r="AI179" i="4"/>
  <c r="AJ179" i="4"/>
  <c r="AK179" i="4"/>
  <c r="AL179" i="4"/>
  <c r="AB180" i="4"/>
  <c r="AC180" i="4"/>
  <c r="AD180" i="4"/>
  <c r="AE180" i="4"/>
  <c r="AF180" i="4"/>
  <c r="AG180" i="4"/>
  <c r="AH180" i="4"/>
  <c r="AI180" i="4"/>
  <c r="AJ180" i="4"/>
  <c r="AK180" i="4"/>
  <c r="AL180" i="4"/>
  <c r="AB181" i="4"/>
  <c r="AC181" i="4"/>
  <c r="AD181" i="4"/>
  <c r="AE181" i="4"/>
  <c r="AF181" i="4"/>
  <c r="AG181" i="4"/>
  <c r="AH181" i="4"/>
  <c r="AI181" i="4"/>
  <c r="AJ181" i="4"/>
  <c r="AK181" i="4"/>
  <c r="AL181" i="4"/>
  <c r="AB182" i="4"/>
  <c r="AC182" i="4"/>
  <c r="AD182" i="4"/>
  <c r="AE182" i="4"/>
  <c r="AF182" i="4"/>
  <c r="AG182" i="4"/>
  <c r="AH182" i="4"/>
  <c r="AI182" i="4"/>
  <c r="AJ182" i="4"/>
  <c r="AK182" i="4"/>
  <c r="AL182" i="4"/>
  <c r="AB183" i="4"/>
  <c r="AC183" i="4"/>
  <c r="AD183" i="4"/>
  <c r="AE183" i="4"/>
  <c r="AF183" i="4"/>
  <c r="AG183" i="4"/>
  <c r="AH183" i="4"/>
  <c r="AI183" i="4"/>
  <c r="AJ183" i="4"/>
  <c r="AK183" i="4"/>
  <c r="AL183" i="4"/>
  <c r="AB184" i="4"/>
  <c r="AC184" i="4"/>
  <c r="AD184" i="4"/>
  <c r="AE184" i="4"/>
  <c r="AF184" i="4"/>
  <c r="AG184" i="4"/>
  <c r="AH184" i="4"/>
  <c r="AI184" i="4"/>
  <c r="AJ184" i="4"/>
  <c r="AK184" i="4"/>
  <c r="AL184" i="4"/>
  <c r="AB185" i="4"/>
  <c r="AC185" i="4"/>
  <c r="AD185" i="4"/>
  <c r="AE185" i="4"/>
  <c r="AF185" i="4"/>
  <c r="AG185" i="4"/>
  <c r="AH185" i="4"/>
  <c r="AI185" i="4"/>
  <c r="AJ185" i="4"/>
  <c r="AK185" i="4"/>
  <c r="AL185" i="4"/>
  <c r="AB186" i="4"/>
  <c r="AC186" i="4"/>
  <c r="AD186" i="4"/>
  <c r="AE186" i="4"/>
  <c r="AF186" i="4"/>
  <c r="AG186" i="4"/>
  <c r="AH186" i="4"/>
  <c r="AI186" i="4"/>
  <c r="AJ186" i="4"/>
  <c r="AK186" i="4"/>
  <c r="AL186" i="4"/>
  <c r="AB187" i="4"/>
  <c r="AC187" i="4"/>
  <c r="AD187" i="4"/>
  <c r="AE187" i="4"/>
  <c r="AF187" i="4"/>
  <c r="AG187" i="4"/>
  <c r="AH187" i="4"/>
  <c r="AI187" i="4"/>
  <c r="AJ187" i="4"/>
  <c r="AK187" i="4"/>
  <c r="AL187" i="4"/>
  <c r="AB188" i="4"/>
  <c r="AC188" i="4"/>
  <c r="AD188" i="4"/>
  <c r="AE188" i="4"/>
  <c r="AF188" i="4"/>
  <c r="AG188" i="4"/>
  <c r="AH188" i="4"/>
  <c r="AI188" i="4"/>
  <c r="AJ188" i="4"/>
  <c r="AK188" i="4"/>
  <c r="AL188" i="4"/>
  <c r="AB189" i="4"/>
  <c r="AC189" i="4"/>
  <c r="AD189" i="4"/>
  <c r="AE189" i="4"/>
  <c r="AF189" i="4"/>
  <c r="AG189" i="4"/>
  <c r="AH189" i="4"/>
  <c r="AI189" i="4"/>
  <c r="AJ189" i="4"/>
  <c r="AK189" i="4"/>
  <c r="AL189" i="4"/>
  <c r="AB190" i="4"/>
  <c r="AC190" i="4"/>
  <c r="AD190" i="4"/>
  <c r="AE190" i="4"/>
  <c r="AF190" i="4"/>
  <c r="AG190" i="4"/>
  <c r="AH190" i="4"/>
  <c r="AI190" i="4"/>
  <c r="AJ190" i="4"/>
  <c r="AK190" i="4"/>
  <c r="AL190" i="4"/>
  <c r="AB191" i="4"/>
  <c r="AC191" i="4"/>
  <c r="AD191" i="4"/>
  <c r="AE191" i="4"/>
  <c r="AF191" i="4"/>
  <c r="AG191" i="4"/>
  <c r="AH191" i="4"/>
  <c r="AI191" i="4"/>
  <c r="AJ191" i="4"/>
  <c r="AK191" i="4"/>
  <c r="AL191" i="4"/>
  <c r="AB192" i="4"/>
  <c r="AC192" i="4"/>
  <c r="AD192" i="4"/>
  <c r="AE192" i="4"/>
  <c r="AF192" i="4"/>
  <c r="AG192" i="4"/>
  <c r="AH192" i="4"/>
  <c r="AI192" i="4"/>
  <c r="AJ192" i="4"/>
  <c r="AK192" i="4"/>
  <c r="AL192" i="4"/>
  <c r="AB193" i="4"/>
  <c r="AC193" i="4"/>
  <c r="AD193" i="4"/>
  <c r="AE193" i="4"/>
  <c r="AF193" i="4"/>
  <c r="AG193" i="4"/>
  <c r="AH193" i="4"/>
  <c r="AI193" i="4"/>
  <c r="AJ193" i="4"/>
  <c r="AK193" i="4"/>
  <c r="AL193" i="4"/>
  <c r="AB194" i="4"/>
  <c r="AC194" i="4"/>
  <c r="AD194" i="4"/>
  <c r="AE194" i="4"/>
  <c r="AF194" i="4"/>
  <c r="AG194" i="4"/>
  <c r="AH194" i="4"/>
  <c r="AI194" i="4"/>
  <c r="AJ194" i="4"/>
  <c r="AK194" i="4"/>
  <c r="AL194" i="4"/>
  <c r="AB195" i="4"/>
  <c r="AC195" i="4"/>
  <c r="AD195" i="4"/>
  <c r="AE195" i="4"/>
  <c r="AF195" i="4"/>
  <c r="AG195" i="4"/>
  <c r="AH195" i="4"/>
  <c r="AI195" i="4"/>
  <c r="AJ195" i="4"/>
  <c r="AK195" i="4"/>
  <c r="AL195" i="4"/>
  <c r="AB196" i="4"/>
  <c r="AC196" i="4"/>
  <c r="AD196" i="4"/>
  <c r="AE196" i="4"/>
  <c r="AF196" i="4"/>
  <c r="AG196" i="4"/>
  <c r="AH196" i="4"/>
  <c r="AI196" i="4"/>
  <c r="AJ196" i="4"/>
  <c r="AK196" i="4"/>
  <c r="AL196" i="4"/>
  <c r="AB197" i="4"/>
  <c r="AC197" i="4"/>
  <c r="AD197" i="4"/>
  <c r="AE197" i="4"/>
  <c r="AF197" i="4"/>
  <c r="AG197" i="4"/>
  <c r="AH197" i="4"/>
  <c r="AI197" i="4"/>
  <c r="AJ197" i="4"/>
  <c r="AK197" i="4"/>
  <c r="AL197" i="4"/>
  <c r="AB198" i="4"/>
  <c r="AC198" i="4"/>
  <c r="AD198" i="4"/>
  <c r="AE198" i="4"/>
  <c r="AF198" i="4"/>
  <c r="AG198" i="4"/>
  <c r="AH198" i="4"/>
  <c r="AI198" i="4"/>
  <c r="AJ198" i="4"/>
  <c r="AK198" i="4"/>
  <c r="AL198" i="4"/>
  <c r="AB199" i="4"/>
  <c r="AC199" i="4"/>
  <c r="AD199" i="4"/>
  <c r="AE199" i="4"/>
  <c r="AF199" i="4"/>
  <c r="AG199" i="4"/>
  <c r="AH199" i="4"/>
  <c r="AI199" i="4"/>
  <c r="AJ199" i="4"/>
  <c r="AK199" i="4"/>
  <c r="AL199" i="4"/>
  <c r="AB200" i="4"/>
  <c r="AC200" i="4"/>
  <c r="AD200" i="4"/>
  <c r="AE200" i="4"/>
  <c r="AF200" i="4"/>
  <c r="AG200" i="4"/>
  <c r="AH200" i="4"/>
  <c r="AI200" i="4"/>
  <c r="AJ200" i="4"/>
  <c r="AK200" i="4"/>
  <c r="AL200" i="4"/>
  <c r="AB201" i="4"/>
  <c r="AC201" i="4"/>
  <c r="AD201" i="4"/>
  <c r="AE201" i="4"/>
  <c r="AF201" i="4"/>
  <c r="AG201" i="4"/>
  <c r="AH201" i="4"/>
  <c r="AI201" i="4"/>
  <c r="AJ201" i="4"/>
  <c r="AK201" i="4"/>
  <c r="AL201" i="4"/>
  <c r="AB202" i="4"/>
  <c r="AC202" i="4"/>
  <c r="AD202" i="4"/>
  <c r="AE202" i="4"/>
  <c r="AF202" i="4"/>
  <c r="AG202" i="4"/>
  <c r="AH202" i="4"/>
  <c r="AI202" i="4"/>
  <c r="AJ202" i="4"/>
  <c r="AK202" i="4"/>
  <c r="AL202" i="4"/>
  <c r="AB203" i="4"/>
  <c r="AC203" i="4"/>
  <c r="AD203" i="4"/>
  <c r="AE203" i="4"/>
  <c r="AF203" i="4"/>
  <c r="AG203" i="4"/>
  <c r="AH203" i="4"/>
  <c r="AI203" i="4"/>
  <c r="AJ203" i="4"/>
  <c r="AK203" i="4"/>
  <c r="AL203" i="4"/>
  <c r="AB204" i="4"/>
  <c r="AC204" i="4"/>
  <c r="AD204" i="4"/>
  <c r="AE204" i="4"/>
  <c r="AF204" i="4"/>
  <c r="AG204" i="4"/>
  <c r="AH204" i="4"/>
  <c r="AI204" i="4"/>
  <c r="AJ204" i="4"/>
  <c r="AK204" i="4"/>
  <c r="AL204" i="4"/>
  <c r="AB205" i="4"/>
  <c r="AC205" i="4"/>
  <c r="AD205" i="4"/>
  <c r="AE205" i="4"/>
  <c r="AF205" i="4"/>
  <c r="AG205" i="4"/>
  <c r="AH205" i="4"/>
  <c r="AI205" i="4"/>
  <c r="AJ205" i="4"/>
  <c r="AK205" i="4"/>
  <c r="AL205" i="4"/>
  <c r="AB206" i="4"/>
  <c r="AC206" i="4"/>
  <c r="AD206" i="4"/>
  <c r="AE206" i="4"/>
  <c r="AF206" i="4"/>
  <c r="AG206" i="4"/>
  <c r="AH206" i="4"/>
  <c r="AI206" i="4"/>
  <c r="AJ206" i="4"/>
  <c r="AK206" i="4"/>
  <c r="AL206" i="4"/>
  <c r="AB207" i="4"/>
  <c r="AC207" i="4"/>
  <c r="AD207" i="4"/>
  <c r="AE207" i="4"/>
  <c r="AF207" i="4"/>
  <c r="AG207" i="4"/>
  <c r="AH207" i="4"/>
  <c r="AI207" i="4"/>
  <c r="AJ207" i="4"/>
  <c r="AK207" i="4"/>
  <c r="AL207" i="4"/>
  <c r="AB208" i="4"/>
  <c r="AC208" i="4"/>
  <c r="AD208" i="4"/>
  <c r="AE208" i="4"/>
  <c r="AF208" i="4"/>
  <c r="AG208" i="4"/>
  <c r="AH208" i="4"/>
  <c r="AI208" i="4"/>
  <c r="AJ208" i="4"/>
  <c r="AK208" i="4"/>
  <c r="AL208" i="4"/>
  <c r="AB209" i="4"/>
  <c r="AC209" i="4"/>
  <c r="AD209" i="4"/>
  <c r="AE209" i="4"/>
  <c r="AF209" i="4"/>
  <c r="AG209" i="4"/>
  <c r="AH209" i="4"/>
  <c r="AI209" i="4"/>
  <c r="AJ209" i="4"/>
  <c r="AK209" i="4"/>
  <c r="AL209" i="4"/>
  <c r="AB210" i="4"/>
  <c r="AC210" i="4"/>
  <c r="AD210" i="4"/>
  <c r="AE210" i="4"/>
  <c r="AF210" i="4"/>
  <c r="AG210" i="4"/>
  <c r="AH210" i="4"/>
  <c r="AI210" i="4"/>
  <c r="AJ210" i="4"/>
  <c r="AK210" i="4"/>
  <c r="AL210" i="4"/>
  <c r="AB211" i="4"/>
  <c r="AC211" i="4"/>
  <c r="AD211" i="4"/>
  <c r="AE211" i="4"/>
  <c r="AF211" i="4"/>
  <c r="AG211" i="4"/>
  <c r="AH211" i="4"/>
  <c r="AI211" i="4"/>
  <c r="AJ211" i="4"/>
  <c r="AK211" i="4"/>
  <c r="AL211" i="4"/>
  <c r="AB212" i="4"/>
  <c r="AC212" i="4"/>
  <c r="AD212" i="4"/>
  <c r="AE212" i="4"/>
  <c r="AF212" i="4"/>
  <c r="AG212" i="4"/>
  <c r="AH212" i="4"/>
  <c r="AI212" i="4"/>
  <c r="AJ212" i="4"/>
  <c r="AK212" i="4"/>
  <c r="AL212" i="4"/>
  <c r="AB213" i="4"/>
  <c r="AC213" i="4"/>
  <c r="AD213" i="4"/>
  <c r="AE213" i="4"/>
  <c r="AF213" i="4"/>
  <c r="AG213" i="4"/>
  <c r="AH213" i="4"/>
  <c r="AI213" i="4"/>
  <c r="AJ213" i="4"/>
  <c r="AK213" i="4"/>
  <c r="AL213" i="4"/>
  <c r="AB214" i="4"/>
  <c r="AC214" i="4"/>
  <c r="AD214" i="4"/>
  <c r="AE214" i="4"/>
  <c r="AF214" i="4"/>
  <c r="AG214" i="4"/>
  <c r="AH214" i="4"/>
  <c r="AI214" i="4"/>
  <c r="AJ214" i="4"/>
  <c r="AK214" i="4"/>
  <c r="AL214" i="4"/>
  <c r="AB215" i="4"/>
  <c r="AC215" i="4"/>
  <c r="AD215" i="4"/>
  <c r="AE215" i="4"/>
  <c r="AF215" i="4"/>
  <c r="AG215" i="4"/>
  <c r="AH215" i="4"/>
  <c r="AI215" i="4"/>
  <c r="AJ215" i="4"/>
  <c r="AK215" i="4"/>
  <c r="AL215" i="4"/>
  <c r="AB216" i="4"/>
  <c r="AC216" i="4"/>
  <c r="AD216" i="4"/>
  <c r="AE216" i="4"/>
  <c r="AF216" i="4"/>
  <c r="AG216" i="4"/>
  <c r="AH216" i="4"/>
  <c r="AI216" i="4"/>
  <c r="AJ216" i="4"/>
  <c r="AK216" i="4"/>
  <c r="AL216" i="4"/>
  <c r="AB217" i="4"/>
  <c r="AC217" i="4"/>
  <c r="AD217" i="4"/>
  <c r="AE217" i="4"/>
  <c r="AF217" i="4"/>
  <c r="AG217" i="4"/>
  <c r="AH217" i="4"/>
  <c r="AI217" i="4"/>
  <c r="AJ217" i="4"/>
  <c r="AK217" i="4"/>
  <c r="AL217" i="4"/>
  <c r="AB218" i="4"/>
  <c r="AC218" i="4"/>
  <c r="AD218" i="4"/>
  <c r="AE218" i="4"/>
  <c r="AF218" i="4"/>
  <c r="AG218" i="4"/>
  <c r="AH218" i="4"/>
  <c r="AI218" i="4"/>
  <c r="AJ218" i="4"/>
  <c r="AK218" i="4"/>
  <c r="AL218" i="4"/>
  <c r="AB219" i="4"/>
  <c r="AC219" i="4"/>
  <c r="AD219" i="4"/>
  <c r="AE219" i="4"/>
  <c r="AF219" i="4"/>
  <c r="AG219" i="4"/>
  <c r="AH219" i="4"/>
  <c r="AI219" i="4"/>
  <c r="AJ219" i="4"/>
  <c r="AK219" i="4"/>
  <c r="AL219" i="4"/>
  <c r="AB220" i="4"/>
  <c r="AC220" i="4"/>
  <c r="AD220" i="4"/>
  <c r="AE220" i="4"/>
  <c r="AF220" i="4"/>
  <c r="AG220" i="4"/>
  <c r="AH220" i="4"/>
  <c r="AI220" i="4"/>
  <c r="AJ220" i="4"/>
  <c r="AK220" i="4"/>
  <c r="AL220" i="4"/>
  <c r="AB221" i="4"/>
  <c r="AC221" i="4"/>
  <c r="AD221" i="4"/>
  <c r="AE221" i="4"/>
  <c r="AF221" i="4"/>
  <c r="AG221" i="4"/>
  <c r="AH221" i="4"/>
  <c r="AI221" i="4"/>
  <c r="AJ221" i="4"/>
  <c r="AK221" i="4"/>
  <c r="AL221" i="4"/>
  <c r="AB222" i="4"/>
  <c r="AC222" i="4"/>
  <c r="AD222" i="4"/>
  <c r="AE222" i="4"/>
  <c r="AF222" i="4"/>
  <c r="AG222" i="4"/>
  <c r="AH222" i="4"/>
  <c r="AI222" i="4"/>
  <c r="AJ222" i="4"/>
  <c r="AK222" i="4"/>
  <c r="AL222" i="4"/>
  <c r="AB223" i="4"/>
  <c r="AC223" i="4"/>
  <c r="AD223" i="4"/>
  <c r="AE223" i="4"/>
  <c r="AF223" i="4"/>
  <c r="AG223" i="4"/>
  <c r="AH223" i="4"/>
  <c r="AI223" i="4"/>
  <c r="AJ223" i="4"/>
  <c r="AK223" i="4"/>
  <c r="AL223" i="4"/>
  <c r="AB224" i="4"/>
  <c r="AC224" i="4"/>
  <c r="AD224" i="4"/>
  <c r="AE224" i="4"/>
  <c r="AF224" i="4"/>
  <c r="AG224" i="4"/>
  <c r="AH224" i="4"/>
  <c r="AI224" i="4"/>
  <c r="AJ224" i="4"/>
  <c r="AK224" i="4"/>
  <c r="AL224" i="4"/>
  <c r="AB225" i="4"/>
  <c r="AC225" i="4"/>
  <c r="AD225" i="4"/>
  <c r="AE225" i="4"/>
  <c r="AF225" i="4"/>
  <c r="AG225" i="4"/>
  <c r="AH225" i="4"/>
  <c r="AI225" i="4"/>
  <c r="AJ225" i="4"/>
  <c r="AK225" i="4"/>
  <c r="AL225" i="4"/>
  <c r="AB226" i="4"/>
  <c r="AC226" i="4"/>
  <c r="AD226" i="4"/>
  <c r="AE226" i="4"/>
  <c r="AF226" i="4"/>
  <c r="AG226" i="4"/>
  <c r="AH226" i="4"/>
  <c r="AI226" i="4"/>
  <c r="AJ226" i="4"/>
  <c r="AK226" i="4"/>
  <c r="AL226" i="4"/>
  <c r="AB227" i="4"/>
  <c r="AC227" i="4"/>
  <c r="AD227" i="4"/>
  <c r="AE227" i="4"/>
  <c r="AF227" i="4"/>
  <c r="AG227" i="4"/>
  <c r="AH227" i="4"/>
  <c r="AI227" i="4"/>
  <c r="AJ227" i="4"/>
  <c r="AK227" i="4"/>
  <c r="AL227" i="4"/>
  <c r="AB228" i="4"/>
  <c r="AC228" i="4"/>
  <c r="AD228" i="4"/>
  <c r="AE228" i="4"/>
  <c r="AF228" i="4"/>
  <c r="AG228" i="4"/>
  <c r="AH228" i="4"/>
  <c r="AI228" i="4"/>
  <c r="AJ228" i="4"/>
  <c r="AK228" i="4"/>
  <c r="AL228" i="4"/>
  <c r="AB229" i="4"/>
  <c r="AC229" i="4"/>
  <c r="AD229" i="4"/>
  <c r="AE229" i="4"/>
  <c r="AF229" i="4"/>
  <c r="AG229" i="4"/>
  <c r="AH229" i="4"/>
  <c r="AI229" i="4"/>
  <c r="AJ229" i="4"/>
  <c r="AK229" i="4"/>
  <c r="AL229" i="4"/>
  <c r="AB230" i="4"/>
  <c r="AC230" i="4"/>
  <c r="AD230" i="4"/>
  <c r="AE230" i="4"/>
  <c r="AF230" i="4"/>
  <c r="AG230" i="4"/>
  <c r="AH230" i="4"/>
  <c r="AI230" i="4"/>
  <c r="AJ230" i="4"/>
  <c r="AK230" i="4"/>
  <c r="AL230" i="4"/>
  <c r="AB231" i="4"/>
  <c r="AC231" i="4"/>
  <c r="AD231" i="4"/>
  <c r="AE231" i="4"/>
  <c r="AF231" i="4"/>
  <c r="AG231" i="4"/>
  <c r="AH231" i="4"/>
  <c r="AI231" i="4"/>
  <c r="AJ231" i="4"/>
  <c r="AK231" i="4"/>
  <c r="AL231" i="4"/>
  <c r="AB232" i="4"/>
  <c r="AC232" i="4"/>
  <c r="AD232" i="4"/>
  <c r="AE232" i="4"/>
  <c r="AF232" i="4"/>
  <c r="AG232" i="4"/>
  <c r="AH232" i="4"/>
  <c r="AI232" i="4"/>
  <c r="AJ232" i="4"/>
  <c r="AK232" i="4"/>
  <c r="AL232" i="4"/>
  <c r="AB233" i="4"/>
  <c r="AC233" i="4"/>
  <c r="AD233" i="4"/>
  <c r="AE233" i="4"/>
  <c r="AF233" i="4"/>
  <c r="AG233" i="4"/>
  <c r="AH233" i="4"/>
  <c r="AI233" i="4"/>
  <c r="AJ233" i="4"/>
  <c r="AK233" i="4"/>
  <c r="AL233" i="4"/>
  <c r="AB234" i="4"/>
  <c r="AC234" i="4"/>
  <c r="AD234" i="4"/>
  <c r="AE234" i="4"/>
  <c r="AF234" i="4"/>
  <c r="AG234" i="4"/>
  <c r="AH234" i="4"/>
  <c r="AI234" i="4"/>
  <c r="AJ234" i="4"/>
  <c r="AK234" i="4"/>
  <c r="AL234" i="4"/>
  <c r="AB235" i="4"/>
  <c r="AC235" i="4"/>
  <c r="AD235" i="4"/>
  <c r="AE235" i="4"/>
  <c r="AF235" i="4"/>
  <c r="AG235" i="4"/>
  <c r="AH235" i="4"/>
  <c r="AI235" i="4"/>
  <c r="AJ235" i="4"/>
  <c r="AK235" i="4"/>
  <c r="AL235" i="4"/>
  <c r="AB236" i="4"/>
  <c r="AC236" i="4"/>
  <c r="AD236" i="4"/>
  <c r="AE236" i="4"/>
  <c r="AF236" i="4"/>
  <c r="AG236" i="4"/>
  <c r="AH236" i="4"/>
  <c r="AI236" i="4"/>
  <c r="AJ236" i="4"/>
  <c r="AK236" i="4"/>
  <c r="AL236" i="4"/>
  <c r="AB237" i="4"/>
  <c r="AC237" i="4"/>
  <c r="AD237" i="4"/>
  <c r="AE237" i="4"/>
  <c r="AF237" i="4"/>
  <c r="AG237" i="4"/>
  <c r="AH237" i="4"/>
  <c r="AI237" i="4"/>
  <c r="AJ237" i="4"/>
  <c r="AK237" i="4"/>
  <c r="AL237" i="4"/>
  <c r="AB238" i="4"/>
  <c r="AC238" i="4"/>
  <c r="AD238" i="4"/>
  <c r="AE238" i="4"/>
  <c r="AF238" i="4"/>
  <c r="AG238" i="4"/>
  <c r="AH238" i="4"/>
  <c r="AI238" i="4"/>
  <c r="AJ238" i="4"/>
  <c r="AK238" i="4"/>
  <c r="AL238" i="4"/>
  <c r="AB239" i="4"/>
  <c r="AC239" i="4"/>
  <c r="AD239" i="4"/>
  <c r="AE239" i="4"/>
  <c r="AF239" i="4"/>
  <c r="AG239" i="4"/>
  <c r="AH239" i="4"/>
  <c r="AI239" i="4"/>
  <c r="AJ239" i="4"/>
  <c r="AK239" i="4"/>
  <c r="AL239" i="4"/>
  <c r="AB240" i="4"/>
  <c r="AC240" i="4"/>
  <c r="AD240" i="4"/>
  <c r="AE240" i="4"/>
  <c r="AF240" i="4"/>
  <c r="AG240" i="4"/>
  <c r="AH240" i="4"/>
  <c r="AI240" i="4"/>
  <c r="AJ240" i="4"/>
  <c r="AK240" i="4"/>
  <c r="AL240" i="4"/>
  <c r="AB241" i="4"/>
  <c r="AC241" i="4"/>
  <c r="AD241" i="4"/>
  <c r="AE241" i="4"/>
  <c r="AF241" i="4"/>
  <c r="AG241" i="4"/>
  <c r="AH241" i="4"/>
  <c r="AI241" i="4"/>
  <c r="AJ241" i="4"/>
  <c r="AK241" i="4"/>
  <c r="AL241" i="4"/>
  <c r="AB242" i="4"/>
  <c r="AC242" i="4"/>
  <c r="AD242" i="4"/>
  <c r="AE242" i="4"/>
  <c r="AF242" i="4"/>
  <c r="AG242" i="4"/>
  <c r="AH242" i="4"/>
  <c r="AI242" i="4"/>
  <c r="AJ242" i="4"/>
  <c r="AK242" i="4"/>
  <c r="AL242" i="4"/>
  <c r="AB243" i="4"/>
  <c r="AC243" i="4"/>
  <c r="AD243" i="4"/>
  <c r="AE243" i="4"/>
  <c r="AF243" i="4"/>
  <c r="AG243" i="4"/>
  <c r="AH243" i="4"/>
  <c r="AI243" i="4"/>
  <c r="AJ243" i="4"/>
  <c r="AK243" i="4"/>
  <c r="AL243" i="4"/>
  <c r="AB244" i="4"/>
  <c r="AC244" i="4"/>
  <c r="AD244" i="4"/>
  <c r="AE244" i="4"/>
  <c r="AF244" i="4"/>
  <c r="AG244" i="4"/>
  <c r="AH244" i="4"/>
  <c r="AI244" i="4"/>
  <c r="AJ244" i="4"/>
  <c r="AK244" i="4"/>
  <c r="AL244" i="4"/>
  <c r="AB245" i="4"/>
  <c r="AC245" i="4"/>
  <c r="AD245" i="4"/>
  <c r="AE245" i="4"/>
  <c r="AF245" i="4"/>
  <c r="AG245" i="4"/>
  <c r="AH245" i="4"/>
  <c r="AI245" i="4"/>
  <c r="AJ245" i="4"/>
  <c r="AK245" i="4"/>
  <c r="AL245" i="4"/>
  <c r="AB246" i="4"/>
  <c r="AC246" i="4"/>
  <c r="AD246" i="4"/>
  <c r="AE246" i="4"/>
  <c r="AF246" i="4"/>
  <c r="AG246" i="4"/>
  <c r="AH246" i="4"/>
  <c r="AI246" i="4"/>
  <c r="AJ246" i="4"/>
  <c r="AK246" i="4"/>
  <c r="AL246" i="4"/>
  <c r="AB247" i="4"/>
  <c r="AC247" i="4"/>
  <c r="AD247" i="4"/>
  <c r="AE247" i="4"/>
  <c r="AF247" i="4"/>
  <c r="AG247" i="4"/>
  <c r="AH247" i="4"/>
  <c r="AI247" i="4"/>
  <c r="AJ247" i="4"/>
  <c r="AK247" i="4"/>
  <c r="AL247" i="4"/>
  <c r="AB248" i="4"/>
  <c r="AC248" i="4"/>
  <c r="AD248" i="4"/>
  <c r="AE248" i="4"/>
  <c r="AF248" i="4"/>
  <c r="AG248" i="4"/>
  <c r="AH248" i="4"/>
  <c r="AI248" i="4"/>
  <c r="AJ248" i="4"/>
  <c r="AK248" i="4"/>
  <c r="AL248" i="4"/>
  <c r="AB249" i="4"/>
  <c r="AC249" i="4"/>
  <c r="AD249" i="4"/>
  <c r="AE249" i="4"/>
  <c r="AF249" i="4"/>
  <c r="AG249" i="4"/>
  <c r="AH249" i="4"/>
  <c r="AI249" i="4"/>
  <c r="AJ249" i="4"/>
  <c r="AK249" i="4"/>
  <c r="AL249" i="4"/>
  <c r="AB250" i="4"/>
  <c r="AC250" i="4"/>
  <c r="AD250" i="4"/>
  <c r="AE250" i="4"/>
  <c r="AF250" i="4"/>
  <c r="AG250" i="4"/>
  <c r="AH250" i="4"/>
  <c r="AI250" i="4"/>
  <c r="AJ250" i="4"/>
  <c r="AK250" i="4"/>
  <c r="AL250" i="4"/>
  <c r="AB251" i="4"/>
  <c r="AC251" i="4"/>
  <c r="AD251" i="4"/>
  <c r="AE251" i="4"/>
  <c r="AF251" i="4"/>
  <c r="AG251" i="4"/>
  <c r="AH251" i="4"/>
  <c r="AI251" i="4"/>
  <c r="AJ251" i="4"/>
  <c r="AK251" i="4"/>
  <c r="AL251" i="4"/>
  <c r="AB252" i="4"/>
  <c r="AC252" i="4"/>
  <c r="AD252" i="4"/>
  <c r="AE252" i="4"/>
  <c r="AF252" i="4"/>
  <c r="AG252" i="4"/>
  <c r="AH252" i="4"/>
  <c r="AI252" i="4"/>
  <c r="AJ252" i="4"/>
  <c r="AK252" i="4"/>
  <c r="AL252" i="4"/>
  <c r="AB253" i="4"/>
  <c r="AC253" i="4"/>
  <c r="AD253" i="4"/>
  <c r="AE253" i="4"/>
  <c r="AF253" i="4"/>
  <c r="AG253" i="4"/>
  <c r="AH253" i="4"/>
  <c r="AI253" i="4"/>
  <c r="AJ253" i="4"/>
  <c r="AK253" i="4"/>
  <c r="AL253" i="4"/>
  <c r="AB254" i="4"/>
  <c r="AC254" i="4"/>
  <c r="AD254" i="4"/>
  <c r="AE254" i="4"/>
  <c r="AF254" i="4"/>
  <c r="AG254" i="4"/>
  <c r="AH254" i="4"/>
  <c r="AI254" i="4"/>
  <c r="AJ254" i="4"/>
  <c r="AK254" i="4"/>
  <c r="AL254" i="4"/>
  <c r="AB255" i="4"/>
  <c r="AC255" i="4"/>
  <c r="AD255" i="4"/>
  <c r="AE255" i="4"/>
  <c r="AF255" i="4"/>
  <c r="AG255" i="4"/>
  <c r="AH255" i="4"/>
  <c r="AI255" i="4"/>
  <c r="AJ255" i="4"/>
  <c r="AK255" i="4"/>
  <c r="AL255" i="4"/>
  <c r="AB256" i="4"/>
  <c r="AC256" i="4"/>
  <c r="AD256" i="4"/>
  <c r="AE256" i="4"/>
  <c r="AF256" i="4"/>
  <c r="AG256" i="4"/>
  <c r="AH256" i="4"/>
  <c r="AI256" i="4"/>
  <c r="AJ256" i="4"/>
  <c r="AK256" i="4"/>
  <c r="AL256" i="4"/>
  <c r="AL7" i="4"/>
  <c r="AK7" i="4"/>
  <c r="AJ7" i="4"/>
  <c r="AI7" i="4"/>
  <c r="AH7" i="4"/>
  <c r="AG7" i="4"/>
  <c r="AF7" i="4"/>
  <c r="AE7" i="4"/>
  <c r="AD7" i="4"/>
  <c r="AC7" i="4"/>
  <c r="AB7" i="4"/>
  <c r="P260" i="4"/>
  <c r="Q260" i="4"/>
  <c r="R260" i="4"/>
  <c r="S260" i="4"/>
  <c r="T260" i="4"/>
  <c r="U260" i="4"/>
  <c r="V260" i="4"/>
  <c r="W260" i="4"/>
  <c r="X260" i="4"/>
  <c r="Y260" i="4"/>
  <c r="Z260" i="4"/>
  <c r="O260" i="4"/>
  <c r="P259" i="4"/>
  <c r="Q259" i="4"/>
  <c r="R259" i="4"/>
  <c r="S259" i="4"/>
  <c r="T259" i="4"/>
  <c r="U259" i="4"/>
  <c r="V259" i="4"/>
  <c r="W259" i="4"/>
  <c r="X259" i="4"/>
  <c r="Y259" i="4"/>
  <c r="Z259" i="4"/>
  <c r="O259" i="4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6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AB2" i="3"/>
  <c r="B6" i="3"/>
  <c r="B5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6" i="3"/>
  <c r="N6" i="3"/>
  <c r="C6" i="3"/>
  <c r="C5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6" i="3"/>
  <c r="O6" i="3"/>
  <c r="D6" i="3"/>
  <c r="D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6" i="3"/>
  <c r="P6" i="3"/>
  <c r="E6" i="3"/>
  <c r="E5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6" i="3"/>
  <c r="Q6" i="3"/>
  <c r="F6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6" i="3"/>
  <c r="R6" i="3"/>
  <c r="G6" i="3"/>
  <c r="G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6" i="3"/>
  <c r="S6" i="3"/>
  <c r="H6" i="3"/>
  <c r="H5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6" i="3"/>
  <c r="T6" i="3"/>
  <c r="I6" i="3"/>
  <c r="I5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6" i="3"/>
  <c r="U6" i="3"/>
  <c r="J6" i="3"/>
  <c r="J5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6" i="3"/>
  <c r="V6" i="3"/>
  <c r="K6" i="3"/>
  <c r="K5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6" i="3"/>
  <c r="W6" i="3"/>
  <c r="N7" i="3"/>
  <c r="O7" i="3"/>
  <c r="P7" i="3"/>
  <c r="Q7" i="3"/>
  <c r="R7" i="3"/>
  <c r="S7" i="3"/>
  <c r="T7" i="3"/>
  <c r="U7" i="3"/>
  <c r="V7" i="3"/>
  <c r="W7" i="3"/>
  <c r="N8" i="3"/>
  <c r="O8" i="3"/>
  <c r="P8" i="3"/>
  <c r="Q8" i="3"/>
  <c r="R8" i="3"/>
  <c r="S8" i="3"/>
  <c r="T8" i="3"/>
  <c r="U8" i="3"/>
  <c r="V8" i="3"/>
  <c r="W8" i="3"/>
  <c r="N9" i="3"/>
  <c r="O9" i="3"/>
  <c r="P9" i="3"/>
  <c r="Q9" i="3"/>
  <c r="R9" i="3"/>
  <c r="S9" i="3"/>
  <c r="T9" i="3"/>
  <c r="U9" i="3"/>
  <c r="V9" i="3"/>
  <c r="W9" i="3"/>
  <c r="N10" i="3"/>
  <c r="O10" i="3"/>
  <c r="P10" i="3"/>
  <c r="Q10" i="3"/>
  <c r="R10" i="3"/>
  <c r="S10" i="3"/>
  <c r="T10" i="3"/>
  <c r="U10" i="3"/>
  <c r="V10" i="3"/>
  <c r="W10" i="3"/>
  <c r="N11" i="3"/>
  <c r="O11" i="3"/>
  <c r="P11" i="3"/>
  <c r="Q11" i="3"/>
  <c r="R11" i="3"/>
  <c r="S11" i="3"/>
  <c r="T11" i="3"/>
  <c r="U11" i="3"/>
  <c r="V11" i="3"/>
  <c r="W11" i="3"/>
  <c r="N12" i="3"/>
  <c r="O12" i="3"/>
  <c r="P12" i="3"/>
  <c r="Q12" i="3"/>
  <c r="R12" i="3"/>
  <c r="S12" i="3"/>
  <c r="T12" i="3"/>
  <c r="U12" i="3"/>
  <c r="V12" i="3"/>
  <c r="W12" i="3"/>
  <c r="N13" i="3"/>
  <c r="O13" i="3"/>
  <c r="P13" i="3"/>
  <c r="Q13" i="3"/>
  <c r="R13" i="3"/>
  <c r="S13" i="3"/>
  <c r="T13" i="3"/>
  <c r="U13" i="3"/>
  <c r="V13" i="3"/>
  <c r="W13" i="3"/>
  <c r="N14" i="3"/>
  <c r="O14" i="3"/>
  <c r="P14" i="3"/>
  <c r="Q14" i="3"/>
  <c r="R14" i="3"/>
  <c r="S14" i="3"/>
  <c r="T14" i="3"/>
  <c r="U14" i="3"/>
  <c r="V14" i="3"/>
  <c r="W14" i="3"/>
  <c r="N15" i="3"/>
  <c r="O15" i="3"/>
  <c r="P15" i="3"/>
  <c r="Q15" i="3"/>
  <c r="R15" i="3"/>
  <c r="S15" i="3"/>
  <c r="T15" i="3"/>
  <c r="U15" i="3"/>
  <c r="V15" i="3"/>
  <c r="W15" i="3"/>
  <c r="N16" i="3"/>
  <c r="O16" i="3"/>
  <c r="P16" i="3"/>
  <c r="Q16" i="3"/>
  <c r="R16" i="3"/>
  <c r="S16" i="3"/>
  <c r="T16" i="3"/>
  <c r="U16" i="3"/>
  <c r="V16" i="3"/>
  <c r="W16" i="3"/>
  <c r="N17" i="3"/>
  <c r="O17" i="3"/>
  <c r="P17" i="3"/>
  <c r="Q17" i="3"/>
  <c r="R17" i="3"/>
  <c r="S17" i="3"/>
  <c r="T17" i="3"/>
  <c r="U17" i="3"/>
  <c r="V17" i="3"/>
  <c r="W17" i="3"/>
  <c r="N18" i="3"/>
  <c r="O18" i="3"/>
  <c r="P18" i="3"/>
  <c r="Q18" i="3"/>
  <c r="R18" i="3"/>
  <c r="S18" i="3"/>
  <c r="T18" i="3"/>
  <c r="U18" i="3"/>
  <c r="V18" i="3"/>
  <c r="W18" i="3"/>
  <c r="N19" i="3"/>
  <c r="O19" i="3"/>
  <c r="P19" i="3"/>
  <c r="Q19" i="3"/>
  <c r="R19" i="3"/>
  <c r="S19" i="3"/>
  <c r="T19" i="3"/>
  <c r="U19" i="3"/>
  <c r="V19" i="3"/>
  <c r="W19" i="3"/>
  <c r="N20" i="3"/>
  <c r="O20" i="3"/>
  <c r="P20" i="3"/>
  <c r="Q20" i="3"/>
  <c r="R20" i="3"/>
  <c r="S20" i="3"/>
  <c r="T20" i="3"/>
  <c r="U20" i="3"/>
  <c r="V20" i="3"/>
  <c r="W20" i="3"/>
  <c r="N21" i="3"/>
  <c r="O21" i="3"/>
  <c r="P21" i="3"/>
  <c r="Q21" i="3"/>
  <c r="R21" i="3"/>
  <c r="S21" i="3"/>
  <c r="T21" i="3"/>
  <c r="U21" i="3"/>
  <c r="V21" i="3"/>
  <c r="W21" i="3"/>
  <c r="N22" i="3"/>
  <c r="O22" i="3"/>
  <c r="P22" i="3"/>
  <c r="Q22" i="3"/>
  <c r="R22" i="3"/>
  <c r="S22" i="3"/>
  <c r="T22" i="3"/>
  <c r="U22" i="3"/>
  <c r="V22" i="3"/>
  <c r="W22" i="3"/>
  <c r="N23" i="3"/>
  <c r="O23" i="3"/>
  <c r="P23" i="3"/>
  <c r="Q23" i="3"/>
  <c r="R23" i="3"/>
  <c r="S23" i="3"/>
  <c r="T23" i="3"/>
  <c r="U23" i="3"/>
  <c r="V23" i="3"/>
  <c r="W23" i="3"/>
  <c r="N24" i="3"/>
  <c r="O24" i="3"/>
  <c r="P24" i="3"/>
  <c r="Q24" i="3"/>
  <c r="R24" i="3"/>
  <c r="S24" i="3"/>
  <c r="T24" i="3"/>
  <c r="U24" i="3"/>
  <c r="V24" i="3"/>
  <c r="W24" i="3"/>
  <c r="N25" i="3"/>
  <c r="O25" i="3"/>
  <c r="P25" i="3"/>
  <c r="Q25" i="3"/>
  <c r="R25" i="3"/>
  <c r="S25" i="3"/>
  <c r="T25" i="3"/>
  <c r="U25" i="3"/>
  <c r="V25" i="3"/>
  <c r="W25" i="3"/>
  <c r="N26" i="3"/>
  <c r="O26" i="3"/>
  <c r="P26" i="3"/>
  <c r="Q26" i="3"/>
  <c r="R26" i="3"/>
  <c r="S26" i="3"/>
  <c r="T26" i="3"/>
  <c r="U26" i="3"/>
  <c r="V26" i="3"/>
  <c r="W26" i="3"/>
  <c r="N27" i="3"/>
  <c r="O27" i="3"/>
  <c r="P27" i="3"/>
  <c r="Q27" i="3"/>
  <c r="R27" i="3"/>
  <c r="S27" i="3"/>
  <c r="T27" i="3"/>
  <c r="U27" i="3"/>
  <c r="V27" i="3"/>
  <c r="W27" i="3"/>
  <c r="N28" i="3"/>
  <c r="O28" i="3"/>
  <c r="P28" i="3"/>
  <c r="Q28" i="3"/>
  <c r="R28" i="3"/>
  <c r="S28" i="3"/>
  <c r="T28" i="3"/>
  <c r="U28" i="3"/>
  <c r="V28" i="3"/>
  <c r="W28" i="3"/>
  <c r="N29" i="3"/>
  <c r="O29" i="3"/>
  <c r="P29" i="3"/>
  <c r="Q29" i="3"/>
  <c r="R29" i="3"/>
  <c r="S29" i="3"/>
  <c r="T29" i="3"/>
  <c r="U29" i="3"/>
  <c r="V29" i="3"/>
  <c r="W29" i="3"/>
  <c r="N30" i="3"/>
  <c r="O30" i="3"/>
  <c r="P30" i="3"/>
  <c r="Q30" i="3"/>
  <c r="R30" i="3"/>
  <c r="S30" i="3"/>
  <c r="T30" i="3"/>
  <c r="U30" i="3"/>
  <c r="V30" i="3"/>
  <c r="W30" i="3"/>
  <c r="N31" i="3"/>
  <c r="O31" i="3"/>
  <c r="P31" i="3"/>
  <c r="Q31" i="3"/>
  <c r="R31" i="3"/>
  <c r="S31" i="3"/>
  <c r="T31" i="3"/>
  <c r="U31" i="3"/>
  <c r="V31" i="3"/>
  <c r="W31" i="3"/>
  <c r="N32" i="3"/>
  <c r="O32" i="3"/>
  <c r="P32" i="3"/>
  <c r="Q32" i="3"/>
  <c r="R32" i="3"/>
  <c r="S32" i="3"/>
  <c r="T32" i="3"/>
  <c r="U32" i="3"/>
  <c r="V32" i="3"/>
  <c r="W32" i="3"/>
  <c r="N33" i="3"/>
  <c r="O33" i="3"/>
  <c r="P33" i="3"/>
  <c r="Q33" i="3"/>
  <c r="R33" i="3"/>
  <c r="S33" i="3"/>
  <c r="T33" i="3"/>
  <c r="U33" i="3"/>
  <c r="V33" i="3"/>
  <c r="W33" i="3"/>
  <c r="N34" i="3"/>
  <c r="O34" i="3"/>
  <c r="P34" i="3"/>
  <c r="Q34" i="3"/>
  <c r="R34" i="3"/>
  <c r="S34" i="3"/>
  <c r="T34" i="3"/>
  <c r="U34" i="3"/>
  <c r="V34" i="3"/>
  <c r="W34" i="3"/>
  <c r="N35" i="3"/>
  <c r="O35" i="3"/>
  <c r="P35" i="3"/>
  <c r="Q35" i="3"/>
  <c r="R35" i="3"/>
  <c r="S35" i="3"/>
  <c r="T35" i="3"/>
  <c r="U35" i="3"/>
  <c r="V35" i="3"/>
  <c r="W35" i="3"/>
  <c r="N36" i="3"/>
  <c r="O36" i="3"/>
  <c r="P36" i="3"/>
  <c r="Q36" i="3"/>
  <c r="R36" i="3"/>
  <c r="S36" i="3"/>
  <c r="T36" i="3"/>
  <c r="U36" i="3"/>
  <c r="V36" i="3"/>
  <c r="W36" i="3"/>
  <c r="N37" i="3"/>
  <c r="O37" i="3"/>
  <c r="P37" i="3"/>
  <c r="Q37" i="3"/>
  <c r="R37" i="3"/>
  <c r="S37" i="3"/>
  <c r="T37" i="3"/>
  <c r="U37" i="3"/>
  <c r="V37" i="3"/>
  <c r="W37" i="3"/>
  <c r="N38" i="3"/>
  <c r="O38" i="3"/>
  <c r="P38" i="3"/>
  <c r="Q38" i="3"/>
  <c r="R38" i="3"/>
  <c r="S38" i="3"/>
  <c r="T38" i="3"/>
  <c r="U38" i="3"/>
  <c r="V38" i="3"/>
  <c r="W38" i="3"/>
  <c r="N39" i="3"/>
  <c r="O39" i="3"/>
  <c r="P39" i="3"/>
  <c r="Q39" i="3"/>
  <c r="R39" i="3"/>
  <c r="S39" i="3"/>
  <c r="T39" i="3"/>
  <c r="U39" i="3"/>
  <c r="V39" i="3"/>
  <c r="W39" i="3"/>
  <c r="N40" i="3"/>
  <c r="O40" i="3"/>
  <c r="P40" i="3"/>
  <c r="Q40" i="3"/>
  <c r="R40" i="3"/>
  <c r="S40" i="3"/>
  <c r="T40" i="3"/>
  <c r="U40" i="3"/>
  <c r="V40" i="3"/>
  <c r="W40" i="3"/>
  <c r="N41" i="3"/>
  <c r="O41" i="3"/>
  <c r="P41" i="3"/>
  <c r="Q41" i="3"/>
  <c r="R41" i="3"/>
  <c r="S41" i="3"/>
  <c r="T41" i="3"/>
  <c r="U41" i="3"/>
  <c r="V41" i="3"/>
  <c r="W41" i="3"/>
  <c r="N42" i="3"/>
  <c r="O42" i="3"/>
  <c r="P42" i="3"/>
  <c r="Q42" i="3"/>
  <c r="R42" i="3"/>
  <c r="S42" i="3"/>
  <c r="T42" i="3"/>
  <c r="U42" i="3"/>
  <c r="V42" i="3"/>
  <c r="W42" i="3"/>
  <c r="N43" i="3"/>
  <c r="O43" i="3"/>
  <c r="P43" i="3"/>
  <c r="Q43" i="3"/>
  <c r="R43" i="3"/>
  <c r="S43" i="3"/>
  <c r="T43" i="3"/>
  <c r="U43" i="3"/>
  <c r="V43" i="3"/>
  <c r="W43" i="3"/>
  <c r="N44" i="3"/>
  <c r="O44" i="3"/>
  <c r="P44" i="3"/>
  <c r="Q44" i="3"/>
  <c r="R44" i="3"/>
  <c r="S44" i="3"/>
  <c r="T44" i="3"/>
  <c r="U44" i="3"/>
  <c r="V44" i="3"/>
  <c r="W44" i="3"/>
  <c r="N45" i="3"/>
  <c r="O45" i="3"/>
  <c r="P45" i="3"/>
  <c r="Q45" i="3"/>
  <c r="R45" i="3"/>
  <c r="S45" i="3"/>
  <c r="T45" i="3"/>
  <c r="U45" i="3"/>
  <c r="V45" i="3"/>
  <c r="W45" i="3"/>
  <c r="N46" i="3"/>
  <c r="O46" i="3"/>
  <c r="P46" i="3"/>
  <c r="Q46" i="3"/>
  <c r="R46" i="3"/>
  <c r="S46" i="3"/>
  <c r="T46" i="3"/>
  <c r="U46" i="3"/>
  <c r="V46" i="3"/>
  <c r="W46" i="3"/>
  <c r="N47" i="3"/>
  <c r="O47" i="3"/>
  <c r="P47" i="3"/>
  <c r="Q47" i="3"/>
  <c r="R47" i="3"/>
  <c r="S47" i="3"/>
  <c r="T47" i="3"/>
  <c r="U47" i="3"/>
  <c r="V47" i="3"/>
  <c r="W47" i="3"/>
  <c r="N48" i="3"/>
  <c r="O48" i="3"/>
  <c r="P48" i="3"/>
  <c r="Q48" i="3"/>
  <c r="R48" i="3"/>
  <c r="S48" i="3"/>
  <c r="T48" i="3"/>
  <c r="U48" i="3"/>
  <c r="V48" i="3"/>
  <c r="W48" i="3"/>
  <c r="N49" i="3"/>
  <c r="O49" i="3"/>
  <c r="P49" i="3"/>
  <c r="Q49" i="3"/>
  <c r="R49" i="3"/>
  <c r="S49" i="3"/>
  <c r="T49" i="3"/>
  <c r="U49" i="3"/>
  <c r="V49" i="3"/>
  <c r="W49" i="3"/>
  <c r="N50" i="3"/>
  <c r="O50" i="3"/>
  <c r="P50" i="3"/>
  <c r="Q50" i="3"/>
  <c r="R50" i="3"/>
  <c r="S50" i="3"/>
  <c r="T50" i="3"/>
  <c r="U50" i="3"/>
  <c r="V50" i="3"/>
  <c r="W50" i="3"/>
  <c r="N51" i="3"/>
  <c r="O51" i="3"/>
  <c r="P51" i="3"/>
  <c r="Q51" i="3"/>
  <c r="R51" i="3"/>
  <c r="S51" i="3"/>
  <c r="T51" i="3"/>
  <c r="U51" i="3"/>
  <c r="V51" i="3"/>
  <c r="W51" i="3"/>
  <c r="N52" i="3"/>
  <c r="O52" i="3"/>
  <c r="P52" i="3"/>
  <c r="Q52" i="3"/>
  <c r="R52" i="3"/>
  <c r="S52" i="3"/>
  <c r="T52" i="3"/>
  <c r="U52" i="3"/>
  <c r="V52" i="3"/>
  <c r="W52" i="3"/>
  <c r="N53" i="3"/>
  <c r="O53" i="3"/>
  <c r="P53" i="3"/>
  <c r="Q53" i="3"/>
  <c r="R53" i="3"/>
  <c r="S53" i="3"/>
  <c r="T53" i="3"/>
  <c r="U53" i="3"/>
  <c r="V53" i="3"/>
  <c r="W53" i="3"/>
  <c r="N54" i="3"/>
  <c r="O54" i="3"/>
  <c r="P54" i="3"/>
  <c r="Q54" i="3"/>
  <c r="R54" i="3"/>
  <c r="S54" i="3"/>
  <c r="T54" i="3"/>
  <c r="U54" i="3"/>
  <c r="V54" i="3"/>
  <c r="W54" i="3"/>
  <c r="N55" i="3"/>
  <c r="O55" i="3"/>
  <c r="P55" i="3"/>
  <c r="Q55" i="3"/>
  <c r="R55" i="3"/>
  <c r="S55" i="3"/>
  <c r="T55" i="3"/>
  <c r="U55" i="3"/>
  <c r="V55" i="3"/>
  <c r="W55" i="3"/>
  <c r="N56" i="3"/>
  <c r="O56" i="3"/>
  <c r="P56" i="3"/>
  <c r="Q56" i="3"/>
  <c r="R56" i="3"/>
  <c r="S56" i="3"/>
  <c r="T56" i="3"/>
  <c r="U56" i="3"/>
  <c r="V56" i="3"/>
  <c r="W56" i="3"/>
  <c r="N57" i="3"/>
  <c r="O57" i="3"/>
  <c r="P57" i="3"/>
  <c r="Q57" i="3"/>
  <c r="R57" i="3"/>
  <c r="S57" i="3"/>
  <c r="T57" i="3"/>
  <c r="U57" i="3"/>
  <c r="V57" i="3"/>
  <c r="W57" i="3"/>
  <c r="N58" i="3"/>
  <c r="O58" i="3"/>
  <c r="P58" i="3"/>
  <c r="Q58" i="3"/>
  <c r="R58" i="3"/>
  <c r="S58" i="3"/>
  <c r="T58" i="3"/>
  <c r="U58" i="3"/>
  <c r="V58" i="3"/>
  <c r="W58" i="3"/>
  <c r="N59" i="3"/>
  <c r="O59" i="3"/>
  <c r="P59" i="3"/>
  <c r="Q59" i="3"/>
  <c r="R59" i="3"/>
  <c r="S59" i="3"/>
  <c r="T59" i="3"/>
  <c r="U59" i="3"/>
  <c r="V59" i="3"/>
  <c r="W59" i="3"/>
  <c r="N60" i="3"/>
  <c r="O60" i="3"/>
  <c r="P60" i="3"/>
  <c r="Q60" i="3"/>
  <c r="R60" i="3"/>
  <c r="S60" i="3"/>
  <c r="T60" i="3"/>
  <c r="U60" i="3"/>
  <c r="V60" i="3"/>
  <c r="W60" i="3"/>
  <c r="N61" i="3"/>
  <c r="O61" i="3"/>
  <c r="P61" i="3"/>
  <c r="Q61" i="3"/>
  <c r="R61" i="3"/>
  <c r="S61" i="3"/>
  <c r="T61" i="3"/>
  <c r="U61" i="3"/>
  <c r="V61" i="3"/>
  <c r="W61" i="3"/>
  <c r="N62" i="3"/>
  <c r="O62" i="3"/>
  <c r="P62" i="3"/>
  <c r="Q62" i="3"/>
  <c r="R62" i="3"/>
  <c r="S62" i="3"/>
  <c r="T62" i="3"/>
  <c r="U62" i="3"/>
  <c r="V62" i="3"/>
  <c r="W62" i="3"/>
  <c r="N63" i="3"/>
  <c r="O63" i="3"/>
  <c r="P63" i="3"/>
  <c r="Q63" i="3"/>
  <c r="R63" i="3"/>
  <c r="S63" i="3"/>
  <c r="T63" i="3"/>
  <c r="U63" i="3"/>
  <c r="V63" i="3"/>
  <c r="W63" i="3"/>
  <c r="N64" i="3"/>
  <c r="O64" i="3"/>
  <c r="P64" i="3"/>
  <c r="Q64" i="3"/>
  <c r="R64" i="3"/>
  <c r="S64" i="3"/>
  <c r="T64" i="3"/>
  <c r="U64" i="3"/>
  <c r="V64" i="3"/>
  <c r="W64" i="3"/>
  <c r="N65" i="3"/>
  <c r="O65" i="3"/>
  <c r="P65" i="3"/>
  <c r="Q65" i="3"/>
  <c r="R65" i="3"/>
  <c r="S65" i="3"/>
  <c r="T65" i="3"/>
  <c r="U65" i="3"/>
  <c r="V65" i="3"/>
  <c r="W65" i="3"/>
  <c r="N66" i="3"/>
  <c r="O66" i="3"/>
  <c r="P66" i="3"/>
  <c r="Q66" i="3"/>
  <c r="R66" i="3"/>
  <c r="S66" i="3"/>
  <c r="T66" i="3"/>
  <c r="U66" i="3"/>
  <c r="V66" i="3"/>
  <c r="W66" i="3"/>
  <c r="N67" i="3"/>
  <c r="O67" i="3"/>
  <c r="P67" i="3"/>
  <c r="Q67" i="3"/>
  <c r="R67" i="3"/>
  <c r="S67" i="3"/>
  <c r="T67" i="3"/>
  <c r="U67" i="3"/>
  <c r="V67" i="3"/>
  <c r="W67" i="3"/>
  <c r="N68" i="3"/>
  <c r="O68" i="3"/>
  <c r="P68" i="3"/>
  <c r="Q68" i="3"/>
  <c r="R68" i="3"/>
  <c r="S68" i="3"/>
  <c r="T68" i="3"/>
  <c r="U68" i="3"/>
  <c r="V68" i="3"/>
  <c r="W68" i="3"/>
  <c r="N69" i="3"/>
  <c r="O69" i="3"/>
  <c r="P69" i="3"/>
  <c r="Q69" i="3"/>
  <c r="R69" i="3"/>
  <c r="S69" i="3"/>
  <c r="T69" i="3"/>
  <c r="U69" i="3"/>
  <c r="V69" i="3"/>
  <c r="W69" i="3"/>
  <c r="N70" i="3"/>
  <c r="O70" i="3"/>
  <c r="P70" i="3"/>
  <c r="Q70" i="3"/>
  <c r="R70" i="3"/>
  <c r="S70" i="3"/>
  <c r="T70" i="3"/>
  <c r="U70" i="3"/>
  <c r="V70" i="3"/>
  <c r="W70" i="3"/>
  <c r="N71" i="3"/>
  <c r="O71" i="3"/>
  <c r="P71" i="3"/>
  <c r="Q71" i="3"/>
  <c r="R71" i="3"/>
  <c r="S71" i="3"/>
  <c r="T71" i="3"/>
  <c r="U71" i="3"/>
  <c r="V71" i="3"/>
  <c r="W71" i="3"/>
  <c r="N72" i="3"/>
  <c r="O72" i="3"/>
  <c r="P72" i="3"/>
  <c r="Q72" i="3"/>
  <c r="R72" i="3"/>
  <c r="S72" i="3"/>
  <c r="T72" i="3"/>
  <c r="U72" i="3"/>
  <c r="V72" i="3"/>
  <c r="W72" i="3"/>
  <c r="N73" i="3"/>
  <c r="O73" i="3"/>
  <c r="P73" i="3"/>
  <c r="Q73" i="3"/>
  <c r="R73" i="3"/>
  <c r="S73" i="3"/>
  <c r="T73" i="3"/>
  <c r="U73" i="3"/>
  <c r="V73" i="3"/>
  <c r="W73" i="3"/>
  <c r="N74" i="3"/>
  <c r="O74" i="3"/>
  <c r="P74" i="3"/>
  <c r="Q74" i="3"/>
  <c r="R74" i="3"/>
  <c r="S74" i="3"/>
  <c r="T74" i="3"/>
  <c r="U74" i="3"/>
  <c r="V74" i="3"/>
  <c r="W74" i="3"/>
  <c r="N75" i="3"/>
  <c r="O75" i="3"/>
  <c r="P75" i="3"/>
  <c r="Q75" i="3"/>
  <c r="R75" i="3"/>
  <c r="S75" i="3"/>
  <c r="T75" i="3"/>
  <c r="U75" i="3"/>
  <c r="V75" i="3"/>
  <c r="W75" i="3"/>
  <c r="N76" i="3"/>
  <c r="O76" i="3"/>
  <c r="P76" i="3"/>
  <c r="Q76" i="3"/>
  <c r="R76" i="3"/>
  <c r="S76" i="3"/>
  <c r="T76" i="3"/>
  <c r="U76" i="3"/>
  <c r="V76" i="3"/>
  <c r="W76" i="3"/>
  <c r="N77" i="3"/>
  <c r="O77" i="3"/>
  <c r="P77" i="3"/>
  <c r="Q77" i="3"/>
  <c r="R77" i="3"/>
  <c r="S77" i="3"/>
  <c r="T77" i="3"/>
  <c r="U77" i="3"/>
  <c r="V77" i="3"/>
  <c r="W77" i="3"/>
  <c r="N78" i="3"/>
  <c r="O78" i="3"/>
  <c r="P78" i="3"/>
  <c r="Q78" i="3"/>
  <c r="R78" i="3"/>
  <c r="S78" i="3"/>
  <c r="T78" i="3"/>
  <c r="U78" i="3"/>
  <c r="V78" i="3"/>
  <c r="W78" i="3"/>
  <c r="N79" i="3"/>
  <c r="O79" i="3"/>
  <c r="P79" i="3"/>
  <c r="Q79" i="3"/>
  <c r="R79" i="3"/>
  <c r="S79" i="3"/>
  <c r="T79" i="3"/>
  <c r="U79" i="3"/>
  <c r="V79" i="3"/>
  <c r="W79" i="3"/>
  <c r="N80" i="3"/>
  <c r="O80" i="3"/>
  <c r="P80" i="3"/>
  <c r="Q80" i="3"/>
  <c r="R80" i="3"/>
  <c r="S80" i="3"/>
  <c r="T80" i="3"/>
  <c r="U80" i="3"/>
  <c r="V80" i="3"/>
  <c r="W80" i="3"/>
  <c r="N81" i="3"/>
  <c r="O81" i="3"/>
  <c r="P81" i="3"/>
  <c r="Q81" i="3"/>
  <c r="R81" i="3"/>
  <c r="S81" i="3"/>
  <c r="T81" i="3"/>
  <c r="U81" i="3"/>
  <c r="V81" i="3"/>
  <c r="W81" i="3"/>
  <c r="N82" i="3"/>
  <c r="O82" i="3"/>
  <c r="P82" i="3"/>
  <c r="Q82" i="3"/>
  <c r="R82" i="3"/>
  <c r="S82" i="3"/>
  <c r="T82" i="3"/>
  <c r="U82" i="3"/>
  <c r="V82" i="3"/>
  <c r="W82" i="3"/>
  <c r="N83" i="3"/>
  <c r="O83" i="3"/>
  <c r="P83" i="3"/>
  <c r="Q83" i="3"/>
  <c r="R83" i="3"/>
  <c r="S83" i="3"/>
  <c r="T83" i="3"/>
  <c r="U83" i="3"/>
  <c r="V83" i="3"/>
  <c r="W83" i="3"/>
  <c r="N84" i="3"/>
  <c r="O84" i="3"/>
  <c r="P84" i="3"/>
  <c r="Q84" i="3"/>
  <c r="R84" i="3"/>
  <c r="S84" i="3"/>
  <c r="T84" i="3"/>
  <c r="U84" i="3"/>
  <c r="V84" i="3"/>
  <c r="W84" i="3"/>
  <c r="N85" i="3"/>
  <c r="O85" i="3"/>
  <c r="P85" i="3"/>
  <c r="Q85" i="3"/>
  <c r="R85" i="3"/>
  <c r="S85" i="3"/>
  <c r="T85" i="3"/>
  <c r="U85" i="3"/>
  <c r="V85" i="3"/>
  <c r="W85" i="3"/>
  <c r="N86" i="3"/>
  <c r="O86" i="3"/>
  <c r="P86" i="3"/>
  <c r="Q86" i="3"/>
  <c r="R86" i="3"/>
  <c r="S86" i="3"/>
  <c r="T86" i="3"/>
  <c r="U86" i="3"/>
  <c r="V86" i="3"/>
  <c r="W86" i="3"/>
  <c r="N87" i="3"/>
  <c r="O87" i="3"/>
  <c r="P87" i="3"/>
  <c r="Q87" i="3"/>
  <c r="R87" i="3"/>
  <c r="S87" i="3"/>
  <c r="T87" i="3"/>
  <c r="U87" i="3"/>
  <c r="V87" i="3"/>
  <c r="W87" i="3"/>
  <c r="N88" i="3"/>
  <c r="O88" i="3"/>
  <c r="P88" i="3"/>
  <c r="Q88" i="3"/>
  <c r="R88" i="3"/>
  <c r="S88" i="3"/>
  <c r="T88" i="3"/>
  <c r="U88" i="3"/>
  <c r="V88" i="3"/>
  <c r="W88" i="3"/>
  <c r="N89" i="3"/>
  <c r="O89" i="3"/>
  <c r="P89" i="3"/>
  <c r="Q89" i="3"/>
  <c r="R89" i="3"/>
  <c r="S89" i="3"/>
  <c r="T89" i="3"/>
  <c r="U89" i="3"/>
  <c r="V89" i="3"/>
  <c r="W89" i="3"/>
  <c r="N90" i="3"/>
  <c r="O90" i="3"/>
  <c r="P90" i="3"/>
  <c r="Q90" i="3"/>
  <c r="R90" i="3"/>
  <c r="S90" i="3"/>
  <c r="T90" i="3"/>
  <c r="U90" i="3"/>
  <c r="V90" i="3"/>
  <c r="W90" i="3"/>
  <c r="N91" i="3"/>
  <c r="O91" i="3"/>
  <c r="P91" i="3"/>
  <c r="Q91" i="3"/>
  <c r="R91" i="3"/>
  <c r="S91" i="3"/>
  <c r="T91" i="3"/>
  <c r="U91" i="3"/>
  <c r="V91" i="3"/>
  <c r="W91" i="3"/>
  <c r="N92" i="3"/>
  <c r="O92" i="3"/>
  <c r="P92" i="3"/>
  <c r="Q92" i="3"/>
  <c r="R92" i="3"/>
  <c r="S92" i="3"/>
  <c r="T92" i="3"/>
  <c r="U92" i="3"/>
  <c r="V92" i="3"/>
  <c r="W92" i="3"/>
  <c r="N93" i="3"/>
  <c r="O93" i="3"/>
  <c r="P93" i="3"/>
  <c r="Q93" i="3"/>
  <c r="R93" i="3"/>
  <c r="S93" i="3"/>
  <c r="T93" i="3"/>
  <c r="U93" i="3"/>
  <c r="V93" i="3"/>
  <c r="W93" i="3"/>
  <c r="N94" i="3"/>
  <c r="O94" i="3"/>
  <c r="P94" i="3"/>
  <c r="Q94" i="3"/>
  <c r="R94" i="3"/>
  <c r="S94" i="3"/>
  <c r="T94" i="3"/>
  <c r="U94" i="3"/>
  <c r="V94" i="3"/>
  <c r="W94" i="3"/>
  <c r="N95" i="3"/>
  <c r="O95" i="3"/>
  <c r="P95" i="3"/>
  <c r="Q95" i="3"/>
  <c r="R95" i="3"/>
  <c r="S95" i="3"/>
  <c r="T95" i="3"/>
  <c r="U95" i="3"/>
  <c r="V95" i="3"/>
  <c r="W95" i="3"/>
  <c r="N96" i="3"/>
  <c r="O96" i="3"/>
  <c r="P96" i="3"/>
  <c r="Q96" i="3"/>
  <c r="R96" i="3"/>
  <c r="S96" i="3"/>
  <c r="T96" i="3"/>
  <c r="U96" i="3"/>
  <c r="V96" i="3"/>
  <c r="W96" i="3"/>
  <c r="N97" i="3"/>
  <c r="O97" i="3"/>
  <c r="P97" i="3"/>
  <c r="Q97" i="3"/>
  <c r="R97" i="3"/>
  <c r="S97" i="3"/>
  <c r="T97" i="3"/>
  <c r="U97" i="3"/>
  <c r="V97" i="3"/>
  <c r="W97" i="3"/>
  <c r="N98" i="3"/>
  <c r="O98" i="3"/>
  <c r="P98" i="3"/>
  <c r="Q98" i="3"/>
  <c r="R98" i="3"/>
  <c r="S98" i="3"/>
  <c r="T98" i="3"/>
  <c r="U98" i="3"/>
  <c r="V98" i="3"/>
  <c r="W98" i="3"/>
  <c r="N99" i="3"/>
  <c r="O99" i="3"/>
  <c r="P99" i="3"/>
  <c r="Q99" i="3"/>
  <c r="R99" i="3"/>
  <c r="S99" i="3"/>
  <c r="T99" i="3"/>
  <c r="U99" i="3"/>
  <c r="V99" i="3"/>
  <c r="W99" i="3"/>
  <c r="N100" i="3"/>
  <c r="O100" i="3"/>
  <c r="P100" i="3"/>
  <c r="Q100" i="3"/>
  <c r="R100" i="3"/>
  <c r="S100" i="3"/>
  <c r="T100" i="3"/>
  <c r="U100" i="3"/>
  <c r="V100" i="3"/>
  <c r="W100" i="3"/>
  <c r="N101" i="3"/>
  <c r="O101" i="3"/>
  <c r="P101" i="3"/>
  <c r="Q101" i="3"/>
  <c r="R101" i="3"/>
  <c r="S101" i="3"/>
  <c r="T101" i="3"/>
  <c r="U101" i="3"/>
  <c r="V101" i="3"/>
  <c r="W101" i="3"/>
  <c r="N102" i="3"/>
  <c r="O102" i="3"/>
  <c r="P102" i="3"/>
  <c r="Q102" i="3"/>
  <c r="R102" i="3"/>
  <c r="S102" i="3"/>
  <c r="T102" i="3"/>
  <c r="U102" i="3"/>
  <c r="V102" i="3"/>
  <c r="W102" i="3"/>
  <c r="N103" i="3"/>
  <c r="O103" i="3"/>
  <c r="P103" i="3"/>
  <c r="Q103" i="3"/>
  <c r="R103" i="3"/>
  <c r="S103" i="3"/>
  <c r="T103" i="3"/>
  <c r="U103" i="3"/>
  <c r="V103" i="3"/>
  <c r="W103" i="3"/>
  <c r="N104" i="3"/>
  <c r="O104" i="3"/>
  <c r="P104" i="3"/>
  <c r="Q104" i="3"/>
  <c r="R104" i="3"/>
  <c r="S104" i="3"/>
  <c r="T104" i="3"/>
  <c r="U104" i="3"/>
  <c r="V104" i="3"/>
  <c r="W104" i="3"/>
  <c r="N105" i="3"/>
  <c r="O105" i="3"/>
  <c r="P105" i="3"/>
  <c r="Q105" i="3"/>
  <c r="R105" i="3"/>
  <c r="S105" i="3"/>
  <c r="T105" i="3"/>
  <c r="U105" i="3"/>
  <c r="V105" i="3"/>
  <c r="W105" i="3"/>
  <c r="N106" i="3"/>
  <c r="O106" i="3"/>
  <c r="P106" i="3"/>
  <c r="Q106" i="3"/>
  <c r="R106" i="3"/>
  <c r="S106" i="3"/>
  <c r="T106" i="3"/>
  <c r="U106" i="3"/>
  <c r="V106" i="3"/>
  <c r="W106" i="3"/>
  <c r="N107" i="3"/>
  <c r="O107" i="3"/>
  <c r="P107" i="3"/>
  <c r="Q107" i="3"/>
  <c r="R107" i="3"/>
  <c r="S107" i="3"/>
  <c r="T107" i="3"/>
  <c r="U107" i="3"/>
  <c r="V107" i="3"/>
  <c r="W107" i="3"/>
  <c r="N108" i="3"/>
  <c r="O108" i="3"/>
  <c r="P108" i="3"/>
  <c r="Q108" i="3"/>
  <c r="R108" i="3"/>
  <c r="S108" i="3"/>
  <c r="T108" i="3"/>
  <c r="U108" i="3"/>
  <c r="V108" i="3"/>
  <c r="W108" i="3"/>
  <c r="N109" i="3"/>
  <c r="O109" i="3"/>
  <c r="P109" i="3"/>
  <c r="Q109" i="3"/>
  <c r="R109" i="3"/>
  <c r="S109" i="3"/>
  <c r="T109" i="3"/>
  <c r="U109" i="3"/>
  <c r="V109" i="3"/>
  <c r="W109" i="3"/>
  <c r="N110" i="3"/>
  <c r="O110" i="3"/>
  <c r="P110" i="3"/>
  <c r="Q110" i="3"/>
  <c r="R110" i="3"/>
  <c r="S110" i="3"/>
  <c r="T110" i="3"/>
  <c r="U110" i="3"/>
  <c r="V110" i="3"/>
  <c r="W110" i="3"/>
  <c r="N111" i="3"/>
  <c r="O111" i="3"/>
  <c r="P111" i="3"/>
  <c r="Q111" i="3"/>
  <c r="R111" i="3"/>
  <c r="S111" i="3"/>
  <c r="T111" i="3"/>
  <c r="U111" i="3"/>
  <c r="V111" i="3"/>
  <c r="W111" i="3"/>
  <c r="N112" i="3"/>
  <c r="O112" i="3"/>
  <c r="P112" i="3"/>
  <c r="Q112" i="3"/>
  <c r="R112" i="3"/>
  <c r="S112" i="3"/>
  <c r="T112" i="3"/>
  <c r="U112" i="3"/>
  <c r="V112" i="3"/>
  <c r="W112" i="3"/>
  <c r="N113" i="3"/>
  <c r="O113" i="3"/>
  <c r="P113" i="3"/>
  <c r="Q113" i="3"/>
  <c r="R113" i="3"/>
  <c r="S113" i="3"/>
  <c r="T113" i="3"/>
  <c r="U113" i="3"/>
  <c r="V113" i="3"/>
  <c r="W113" i="3"/>
  <c r="N114" i="3"/>
  <c r="O114" i="3"/>
  <c r="P114" i="3"/>
  <c r="Q114" i="3"/>
  <c r="R114" i="3"/>
  <c r="S114" i="3"/>
  <c r="T114" i="3"/>
  <c r="U114" i="3"/>
  <c r="V114" i="3"/>
  <c r="W114" i="3"/>
  <c r="N115" i="3"/>
  <c r="O115" i="3"/>
  <c r="P115" i="3"/>
  <c r="Q115" i="3"/>
  <c r="R115" i="3"/>
  <c r="S115" i="3"/>
  <c r="T115" i="3"/>
  <c r="U115" i="3"/>
  <c r="V115" i="3"/>
  <c r="W115" i="3"/>
  <c r="N116" i="3"/>
  <c r="O116" i="3"/>
  <c r="P116" i="3"/>
  <c r="Q116" i="3"/>
  <c r="R116" i="3"/>
  <c r="S116" i="3"/>
  <c r="T116" i="3"/>
  <c r="U116" i="3"/>
  <c r="V116" i="3"/>
  <c r="W116" i="3"/>
  <c r="N117" i="3"/>
  <c r="O117" i="3"/>
  <c r="P117" i="3"/>
  <c r="Q117" i="3"/>
  <c r="R117" i="3"/>
  <c r="S117" i="3"/>
  <c r="T117" i="3"/>
  <c r="U117" i="3"/>
  <c r="V117" i="3"/>
  <c r="W117" i="3"/>
  <c r="N118" i="3"/>
  <c r="O118" i="3"/>
  <c r="P118" i="3"/>
  <c r="Q118" i="3"/>
  <c r="R118" i="3"/>
  <c r="S118" i="3"/>
  <c r="T118" i="3"/>
  <c r="U118" i="3"/>
  <c r="V118" i="3"/>
  <c r="W118" i="3"/>
  <c r="N119" i="3"/>
  <c r="O119" i="3"/>
  <c r="P119" i="3"/>
  <c r="Q119" i="3"/>
  <c r="R119" i="3"/>
  <c r="S119" i="3"/>
  <c r="T119" i="3"/>
  <c r="U119" i="3"/>
  <c r="V119" i="3"/>
  <c r="W119" i="3"/>
  <c r="N120" i="3"/>
  <c r="O120" i="3"/>
  <c r="P120" i="3"/>
  <c r="Q120" i="3"/>
  <c r="R120" i="3"/>
  <c r="S120" i="3"/>
  <c r="T120" i="3"/>
  <c r="U120" i="3"/>
  <c r="V120" i="3"/>
  <c r="W120" i="3"/>
  <c r="N121" i="3"/>
  <c r="O121" i="3"/>
  <c r="P121" i="3"/>
  <c r="Q121" i="3"/>
  <c r="R121" i="3"/>
  <c r="S121" i="3"/>
  <c r="T121" i="3"/>
  <c r="U121" i="3"/>
  <c r="V121" i="3"/>
  <c r="W121" i="3"/>
  <c r="N122" i="3"/>
  <c r="O122" i="3"/>
  <c r="P122" i="3"/>
  <c r="Q122" i="3"/>
  <c r="R122" i="3"/>
  <c r="S122" i="3"/>
  <c r="T122" i="3"/>
  <c r="U122" i="3"/>
  <c r="V122" i="3"/>
  <c r="W122" i="3"/>
  <c r="N123" i="3"/>
  <c r="O123" i="3"/>
  <c r="P123" i="3"/>
  <c r="Q123" i="3"/>
  <c r="R123" i="3"/>
  <c r="S123" i="3"/>
  <c r="T123" i="3"/>
  <c r="U123" i="3"/>
  <c r="V123" i="3"/>
  <c r="W123" i="3"/>
  <c r="N124" i="3"/>
  <c r="O124" i="3"/>
  <c r="P124" i="3"/>
  <c r="Q124" i="3"/>
  <c r="R124" i="3"/>
  <c r="S124" i="3"/>
  <c r="T124" i="3"/>
  <c r="U124" i="3"/>
  <c r="V124" i="3"/>
  <c r="W124" i="3"/>
  <c r="N125" i="3"/>
  <c r="O125" i="3"/>
  <c r="P125" i="3"/>
  <c r="Q125" i="3"/>
  <c r="R125" i="3"/>
  <c r="S125" i="3"/>
  <c r="T125" i="3"/>
  <c r="U125" i="3"/>
  <c r="V125" i="3"/>
  <c r="W125" i="3"/>
  <c r="N126" i="3"/>
  <c r="O126" i="3"/>
  <c r="P126" i="3"/>
  <c r="Q126" i="3"/>
  <c r="R126" i="3"/>
  <c r="S126" i="3"/>
  <c r="T126" i="3"/>
  <c r="U126" i="3"/>
  <c r="V126" i="3"/>
  <c r="W126" i="3"/>
  <c r="N127" i="3"/>
  <c r="O127" i="3"/>
  <c r="P127" i="3"/>
  <c r="Q127" i="3"/>
  <c r="R127" i="3"/>
  <c r="S127" i="3"/>
  <c r="T127" i="3"/>
  <c r="U127" i="3"/>
  <c r="V127" i="3"/>
  <c r="W127" i="3"/>
  <c r="N128" i="3"/>
  <c r="O128" i="3"/>
  <c r="P128" i="3"/>
  <c r="Q128" i="3"/>
  <c r="R128" i="3"/>
  <c r="S128" i="3"/>
  <c r="T128" i="3"/>
  <c r="U128" i="3"/>
  <c r="V128" i="3"/>
  <c r="W128" i="3"/>
  <c r="N129" i="3"/>
  <c r="O129" i="3"/>
  <c r="P129" i="3"/>
  <c r="Q129" i="3"/>
  <c r="R129" i="3"/>
  <c r="S129" i="3"/>
  <c r="T129" i="3"/>
  <c r="U129" i="3"/>
  <c r="V129" i="3"/>
  <c r="W129" i="3"/>
  <c r="N130" i="3"/>
  <c r="O130" i="3"/>
  <c r="P130" i="3"/>
  <c r="Q130" i="3"/>
  <c r="R130" i="3"/>
  <c r="S130" i="3"/>
  <c r="T130" i="3"/>
  <c r="U130" i="3"/>
  <c r="V130" i="3"/>
  <c r="W130" i="3"/>
  <c r="N131" i="3"/>
  <c r="O131" i="3"/>
  <c r="P131" i="3"/>
  <c r="Q131" i="3"/>
  <c r="R131" i="3"/>
  <c r="S131" i="3"/>
  <c r="T131" i="3"/>
  <c r="U131" i="3"/>
  <c r="V131" i="3"/>
  <c r="W131" i="3"/>
  <c r="N132" i="3"/>
  <c r="O132" i="3"/>
  <c r="P132" i="3"/>
  <c r="Q132" i="3"/>
  <c r="R132" i="3"/>
  <c r="S132" i="3"/>
  <c r="T132" i="3"/>
  <c r="U132" i="3"/>
  <c r="V132" i="3"/>
  <c r="W132" i="3"/>
  <c r="N133" i="3"/>
  <c r="O133" i="3"/>
  <c r="P133" i="3"/>
  <c r="Q133" i="3"/>
  <c r="R133" i="3"/>
  <c r="S133" i="3"/>
  <c r="T133" i="3"/>
  <c r="U133" i="3"/>
  <c r="V133" i="3"/>
  <c r="W133" i="3"/>
  <c r="N134" i="3"/>
  <c r="O134" i="3"/>
  <c r="P134" i="3"/>
  <c r="Q134" i="3"/>
  <c r="R134" i="3"/>
  <c r="S134" i="3"/>
  <c r="T134" i="3"/>
  <c r="U134" i="3"/>
  <c r="V134" i="3"/>
  <c r="W134" i="3"/>
  <c r="N135" i="3"/>
  <c r="O135" i="3"/>
  <c r="P135" i="3"/>
  <c r="Q135" i="3"/>
  <c r="R135" i="3"/>
  <c r="S135" i="3"/>
  <c r="T135" i="3"/>
  <c r="U135" i="3"/>
  <c r="V135" i="3"/>
  <c r="W135" i="3"/>
  <c r="N136" i="3"/>
  <c r="O136" i="3"/>
  <c r="P136" i="3"/>
  <c r="Q136" i="3"/>
  <c r="R136" i="3"/>
  <c r="S136" i="3"/>
  <c r="T136" i="3"/>
  <c r="U136" i="3"/>
  <c r="V136" i="3"/>
  <c r="W136" i="3"/>
  <c r="N137" i="3"/>
  <c r="O137" i="3"/>
  <c r="P137" i="3"/>
  <c r="Q137" i="3"/>
  <c r="R137" i="3"/>
  <c r="S137" i="3"/>
  <c r="T137" i="3"/>
  <c r="U137" i="3"/>
  <c r="V137" i="3"/>
  <c r="W137" i="3"/>
  <c r="N138" i="3"/>
  <c r="O138" i="3"/>
  <c r="P138" i="3"/>
  <c r="Q138" i="3"/>
  <c r="R138" i="3"/>
  <c r="S138" i="3"/>
  <c r="T138" i="3"/>
  <c r="U138" i="3"/>
  <c r="V138" i="3"/>
  <c r="W138" i="3"/>
  <c r="N139" i="3"/>
  <c r="O139" i="3"/>
  <c r="P139" i="3"/>
  <c r="Q139" i="3"/>
  <c r="R139" i="3"/>
  <c r="S139" i="3"/>
  <c r="T139" i="3"/>
  <c r="U139" i="3"/>
  <c r="V139" i="3"/>
  <c r="W139" i="3"/>
  <c r="N140" i="3"/>
  <c r="O140" i="3"/>
  <c r="P140" i="3"/>
  <c r="Q140" i="3"/>
  <c r="R140" i="3"/>
  <c r="S140" i="3"/>
  <c r="T140" i="3"/>
  <c r="U140" i="3"/>
  <c r="V140" i="3"/>
  <c r="W140" i="3"/>
  <c r="N141" i="3"/>
  <c r="O141" i="3"/>
  <c r="P141" i="3"/>
  <c r="Q141" i="3"/>
  <c r="R141" i="3"/>
  <c r="S141" i="3"/>
  <c r="T141" i="3"/>
  <c r="U141" i="3"/>
  <c r="V141" i="3"/>
  <c r="W141" i="3"/>
  <c r="N142" i="3"/>
  <c r="O142" i="3"/>
  <c r="P142" i="3"/>
  <c r="Q142" i="3"/>
  <c r="R142" i="3"/>
  <c r="S142" i="3"/>
  <c r="T142" i="3"/>
  <c r="U142" i="3"/>
  <c r="V142" i="3"/>
  <c r="W142" i="3"/>
  <c r="N143" i="3"/>
  <c r="O143" i="3"/>
  <c r="P143" i="3"/>
  <c r="Q143" i="3"/>
  <c r="R143" i="3"/>
  <c r="S143" i="3"/>
  <c r="T143" i="3"/>
  <c r="U143" i="3"/>
  <c r="V143" i="3"/>
  <c r="W143" i="3"/>
  <c r="N144" i="3"/>
  <c r="O144" i="3"/>
  <c r="P144" i="3"/>
  <c r="Q144" i="3"/>
  <c r="R144" i="3"/>
  <c r="S144" i="3"/>
  <c r="T144" i="3"/>
  <c r="U144" i="3"/>
  <c r="V144" i="3"/>
  <c r="W144" i="3"/>
  <c r="N145" i="3"/>
  <c r="O145" i="3"/>
  <c r="P145" i="3"/>
  <c r="Q145" i="3"/>
  <c r="R145" i="3"/>
  <c r="S145" i="3"/>
  <c r="T145" i="3"/>
  <c r="U145" i="3"/>
  <c r="V145" i="3"/>
  <c r="W145" i="3"/>
  <c r="N146" i="3"/>
  <c r="O146" i="3"/>
  <c r="P146" i="3"/>
  <c r="Q146" i="3"/>
  <c r="R146" i="3"/>
  <c r="S146" i="3"/>
  <c r="T146" i="3"/>
  <c r="U146" i="3"/>
  <c r="V146" i="3"/>
  <c r="W146" i="3"/>
  <c r="N147" i="3"/>
  <c r="O147" i="3"/>
  <c r="P147" i="3"/>
  <c r="Q147" i="3"/>
  <c r="R147" i="3"/>
  <c r="S147" i="3"/>
  <c r="T147" i="3"/>
  <c r="U147" i="3"/>
  <c r="V147" i="3"/>
  <c r="W147" i="3"/>
  <c r="N148" i="3"/>
  <c r="O148" i="3"/>
  <c r="P148" i="3"/>
  <c r="Q148" i="3"/>
  <c r="R148" i="3"/>
  <c r="S148" i="3"/>
  <c r="T148" i="3"/>
  <c r="U148" i="3"/>
  <c r="V148" i="3"/>
  <c r="W148" i="3"/>
  <c r="N149" i="3"/>
  <c r="O149" i="3"/>
  <c r="P149" i="3"/>
  <c r="Q149" i="3"/>
  <c r="R149" i="3"/>
  <c r="S149" i="3"/>
  <c r="T149" i="3"/>
  <c r="U149" i="3"/>
  <c r="V149" i="3"/>
  <c r="W149" i="3"/>
  <c r="N150" i="3"/>
  <c r="O150" i="3"/>
  <c r="P150" i="3"/>
  <c r="Q150" i="3"/>
  <c r="R150" i="3"/>
  <c r="S150" i="3"/>
  <c r="T150" i="3"/>
  <c r="U150" i="3"/>
  <c r="V150" i="3"/>
  <c r="W150" i="3"/>
  <c r="N151" i="3"/>
  <c r="O151" i="3"/>
  <c r="P151" i="3"/>
  <c r="Q151" i="3"/>
  <c r="R151" i="3"/>
  <c r="S151" i="3"/>
  <c r="T151" i="3"/>
  <c r="U151" i="3"/>
  <c r="V151" i="3"/>
  <c r="W151" i="3"/>
  <c r="N152" i="3"/>
  <c r="O152" i="3"/>
  <c r="P152" i="3"/>
  <c r="Q152" i="3"/>
  <c r="R152" i="3"/>
  <c r="S152" i="3"/>
  <c r="T152" i="3"/>
  <c r="U152" i="3"/>
  <c r="V152" i="3"/>
  <c r="W152" i="3"/>
  <c r="N153" i="3"/>
  <c r="O153" i="3"/>
  <c r="P153" i="3"/>
  <c r="Q153" i="3"/>
  <c r="R153" i="3"/>
  <c r="S153" i="3"/>
  <c r="T153" i="3"/>
  <c r="U153" i="3"/>
  <c r="V153" i="3"/>
  <c r="W153" i="3"/>
  <c r="N154" i="3"/>
  <c r="O154" i="3"/>
  <c r="P154" i="3"/>
  <c r="Q154" i="3"/>
  <c r="R154" i="3"/>
  <c r="S154" i="3"/>
  <c r="T154" i="3"/>
  <c r="U154" i="3"/>
  <c r="V154" i="3"/>
  <c r="W154" i="3"/>
  <c r="N155" i="3"/>
  <c r="O155" i="3"/>
  <c r="P155" i="3"/>
  <c r="Q155" i="3"/>
  <c r="R155" i="3"/>
  <c r="S155" i="3"/>
  <c r="T155" i="3"/>
  <c r="U155" i="3"/>
  <c r="V155" i="3"/>
  <c r="W155" i="3"/>
  <c r="N156" i="3"/>
  <c r="O156" i="3"/>
  <c r="P156" i="3"/>
  <c r="Q156" i="3"/>
  <c r="R156" i="3"/>
  <c r="S156" i="3"/>
  <c r="T156" i="3"/>
  <c r="U156" i="3"/>
  <c r="V156" i="3"/>
  <c r="W156" i="3"/>
  <c r="N157" i="3"/>
  <c r="O157" i="3"/>
  <c r="P157" i="3"/>
  <c r="Q157" i="3"/>
  <c r="R157" i="3"/>
  <c r="S157" i="3"/>
  <c r="T157" i="3"/>
  <c r="U157" i="3"/>
  <c r="V157" i="3"/>
  <c r="W157" i="3"/>
  <c r="N158" i="3"/>
  <c r="O158" i="3"/>
  <c r="P158" i="3"/>
  <c r="Q158" i="3"/>
  <c r="R158" i="3"/>
  <c r="S158" i="3"/>
  <c r="T158" i="3"/>
  <c r="U158" i="3"/>
  <c r="V158" i="3"/>
  <c r="W158" i="3"/>
  <c r="N159" i="3"/>
  <c r="O159" i="3"/>
  <c r="P159" i="3"/>
  <c r="Q159" i="3"/>
  <c r="R159" i="3"/>
  <c r="S159" i="3"/>
  <c r="T159" i="3"/>
  <c r="U159" i="3"/>
  <c r="V159" i="3"/>
  <c r="W159" i="3"/>
  <c r="N160" i="3"/>
  <c r="O160" i="3"/>
  <c r="P160" i="3"/>
  <c r="Q160" i="3"/>
  <c r="R160" i="3"/>
  <c r="S160" i="3"/>
  <c r="T160" i="3"/>
  <c r="U160" i="3"/>
  <c r="V160" i="3"/>
  <c r="W160" i="3"/>
  <c r="N161" i="3"/>
  <c r="O161" i="3"/>
  <c r="P161" i="3"/>
  <c r="Q161" i="3"/>
  <c r="R161" i="3"/>
  <c r="S161" i="3"/>
  <c r="T161" i="3"/>
  <c r="U161" i="3"/>
  <c r="V161" i="3"/>
  <c r="W161" i="3"/>
  <c r="N162" i="3"/>
  <c r="O162" i="3"/>
  <c r="P162" i="3"/>
  <c r="Q162" i="3"/>
  <c r="R162" i="3"/>
  <c r="S162" i="3"/>
  <c r="T162" i="3"/>
  <c r="U162" i="3"/>
  <c r="V162" i="3"/>
  <c r="W162" i="3"/>
  <c r="N163" i="3"/>
  <c r="O163" i="3"/>
  <c r="P163" i="3"/>
  <c r="Q163" i="3"/>
  <c r="R163" i="3"/>
  <c r="S163" i="3"/>
  <c r="T163" i="3"/>
  <c r="U163" i="3"/>
  <c r="V163" i="3"/>
  <c r="W163" i="3"/>
  <c r="N164" i="3"/>
  <c r="O164" i="3"/>
  <c r="P164" i="3"/>
  <c r="Q164" i="3"/>
  <c r="R164" i="3"/>
  <c r="S164" i="3"/>
  <c r="T164" i="3"/>
  <c r="U164" i="3"/>
  <c r="V164" i="3"/>
  <c r="W164" i="3"/>
  <c r="N165" i="3"/>
  <c r="O165" i="3"/>
  <c r="P165" i="3"/>
  <c r="Q165" i="3"/>
  <c r="R165" i="3"/>
  <c r="S165" i="3"/>
  <c r="T165" i="3"/>
  <c r="U165" i="3"/>
  <c r="V165" i="3"/>
  <c r="W165" i="3"/>
  <c r="N166" i="3"/>
  <c r="O166" i="3"/>
  <c r="P166" i="3"/>
  <c r="Q166" i="3"/>
  <c r="R166" i="3"/>
  <c r="S166" i="3"/>
  <c r="T166" i="3"/>
  <c r="U166" i="3"/>
  <c r="V166" i="3"/>
  <c r="W166" i="3"/>
  <c r="N167" i="3"/>
  <c r="O167" i="3"/>
  <c r="P167" i="3"/>
  <c r="Q167" i="3"/>
  <c r="R167" i="3"/>
  <c r="S167" i="3"/>
  <c r="T167" i="3"/>
  <c r="U167" i="3"/>
  <c r="V167" i="3"/>
  <c r="W167" i="3"/>
  <c r="N168" i="3"/>
  <c r="O168" i="3"/>
  <c r="P168" i="3"/>
  <c r="Q168" i="3"/>
  <c r="R168" i="3"/>
  <c r="S168" i="3"/>
  <c r="T168" i="3"/>
  <c r="U168" i="3"/>
  <c r="V168" i="3"/>
  <c r="W168" i="3"/>
  <c r="N169" i="3"/>
  <c r="O169" i="3"/>
  <c r="P169" i="3"/>
  <c r="Q169" i="3"/>
  <c r="R169" i="3"/>
  <c r="S169" i="3"/>
  <c r="T169" i="3"/>
  <c r="U169" i="3"/>
  <c r="V169" i="3"/>
  <c r="W169" i="3"/>
  <c r="N170" i="3"/>
  <c r="O170" i="3"/>
  <c r="P170" i="3"/>
  <c r="Q170" i="3"/>
  <c r="R170" i="3"/>
  <c r="S170" i="3"/>
  <c r="T170" i="3"/>
  <c r="U170" i="3"/>
  <c r="V170" i="3"/>
  <c r="W170" i="3"/>
  <c r="N171" i="3"/>
  <c r="O171" i="3"/>
  <c r="P171" i="3"/>
  <c r="Q171" i="3"/>
  <c r="R171" i="3"/>
  <c r="S171" i="3"/>
  <c r="T171" i="3"/>
  <c r="U171" i="3"/>
  <c r="V171" i="3"/>
  <c r="W171" i="3"/>
  <c r="N172" i="3"/>
  <c r="O172" i="3"/>
  <c r="P172" i="3"/>
  <c r="Q172" i="3"/>
  <c r="R172" i="3"/>
  <c r="S172" i="3"/>
  <c r="T172" i="3"/>
  <c r="U172" i="3"/>
  <c r="V172" i="3"/>
  <c r="W172" i="3"/>
  <c r="N173" i="3"/>
  <c r="O173" i="3"/>
  <c r="P173" i="3"/>
  <c r="Q173" i="3"/>
  <c r="R173" i="3"/>
  <c r="S173" i="3"/>
  <c r="T173" i="3"/>
  <c r="U173" i="3"/>
  <c r="V173" i="3"/>
  <c r="W173" i="3"/>
  <c r="N174" i="3"/>
  <c r="O174" i="3"/>
  <c r="P174" i="3"/>
  <c r="Q174" i="3"/>
  <c r="R174" i="3"/>
  <c r="S174" i="3"/>
  <c r="T174" i="3"/>
  <c r="U174" i="3"/>
  <c r="V174" i="3"/>
  <c r="W174" i="3"/>
  <c r="N175" i="3"/>
  <c r="O175" i="3"/>
  <c r="P175" i="3"/>
  <c r="Q175" i="3"/>
  <c r="R175" i="3"/>
  <c r="S175" i="3"/>
  <c r="T175" i="3"/>
  <c r="U175" i="3"/>
  <c r="V175" i="3"/>
  <c r="W175" i="3"/>
  <c r="N176" i="3"/>
  <c r="O176" i="3"/>
  <c r="P176" i="3"/>
  <c r="Q176" i="3"/>
  <c r="R176" i="3"/>
  <c r="S176" i="3"/>
  <c r="T176" i="3"/>
  <c r="U176" i="3"/>
  <c r="V176" i="3"/>
  <c r="W176" i="3"/>
  <c r="N177" i="3"/>
  <c r="O177" i="3"/>
  <c r="P177" i="3"/>
  <c r="Q177" i="3"/>
  <c r="R177" i="3"/>
  <c r="S177" i="3"/>
  <c r="T177" i="3"/>
  <c r="U177" i="3"/>
  <c r="V177" i="3"/>
  <c r="W177" i="3"/>
  <c r="N178" i="3"/>
  <c r="O178" i="3"/>
  <c r="P178" i="3"/>
  <c r="Q178" i="3"/>
  <c r="R178" i="3"/>
  <c r="S178" i="3"/>
  <c r="T178" i="3"/>
  <c r="U178" i="3"/>
  <c r="V178" i="3"/>
  <c r="W178" i="3"/>
  <c r="N179" i="3"/>
  <c r="O179" i="3"/>
  <c r="P179" i="3"/>
  <c r="Q179" i="3"/>
  <c r="R179" i="3"/>
  <c r="S179" i="3"/>
  <c r="T179" i="3"/>
  <c r="U179" i="3"/>
  <c r="V179" i="3"/>
  <c r="W179" i="3"/>
  <c r="N180" i="3"/>
  <c r="O180" i="3"/>
  <c r="P180" i="3"/>
  <c r="Q180" i="3"/>
  <c r="R180" i="3"/>
  <c r="S180" i="3"/>
  <c r="T180" i="3"/>
  <c r="U180" i="3"/>
  <c r="V180" i="3"/>
  <c r="W180" i="3"/>
  <c r="N181" i="3"/>
  <c r="O181" i="3"/>
  <c r="P181" i="3"/>
  <c r="Q181" i="3"/>
  <c r="R181" i="3"/>
  <c r="S181" i="3"/>
  <c r="T181" i="3"/>
  <c r="U181" i="3"/>
  <c r="V181" i="3"/>
  <c r="W181" i="3"/>
  <c r="N182" i="3"/>
  <c r="O182" i="3"/>
  <c r="P182" i="3"/>
  <c r="Q182" i="3"/>
  <c r="R182" i="3"/>
  <c r="S182" i="3"/>
  <c r="T182" i="3"/>
  <c r="U182" i="3"/>
  <c r="V182" i="3"/>
  <c r="W182" i="3"/>
  <c r="N183" i="3"/>
  <c r="O183" i="3"/>
  <c r="P183" i="3"/>
  <c r="Q183" i="3"/>
  <c r="R183" i="3"/>
  <c r="S183" i="3"/>
  <c r="T183" i="3"/>
  <c r="U183" i="3"/>
  <c r="V183" i="3"/>
  <c r="W183" i="3"/>
  <c r="N184" i="3"/>
  <c r="O184" i="3"/>
  <c r="P184" i="3"/>
  <c r="Q184" i="3"/>
  <c r="R184" i="3"/>
  <c r="S184" i="3"/>
  <c r="T184" i="3"/>
  <c r="U184" i="3"/>
  <c r="V184" i="3"/>
  <c r="W184" i="3"/>
  <c r="N185" i="3"/>
  <c r="O185" i="3"/>
  <c r="P185" i="3"/>
  <c r="Q185" i="3"/>
  <c r="R185" i="3"/>
  <c r="S185" i="3"/>
  <c r="T185" i="3"/>
  <c r="U185" i="3"/>
  <c r="V185" i="3"/>
  <c r="W185" i="3"/>
  <c r="N186" i="3"/>
  <c r="O186" i="3"/>
  <c r="P186" i="3"/>
  <c r="Q186" i="3"/>
  <c r="R186" i="3"/>
  <c r="S186" i="3"/>
  <c r="T186" i="3"/>
  <c r="U186" i="3"/>
  <c r="V186" i="3"/>
  <c r="W186" i="3"/>
  <c r="N187" i="3"/>
  <c r="O187" i="3"/>
  <c r="P187" i="3"/>
  <c r="Q187" i="3"/>
  <c r="R187" i="3"/>
  <c r="S187" i="3"/>
  <c r="T187" i="3"/>
  <c r="U187" i="3"/>
  <c r="V187" i="3"/>
  <c r="W187" i="3"/>
  <c r="N188" i="3"/>
  <c r="O188" i="3"/>
  <c r="P188" i="3"/>
  <c r="Q188" i="3"/>
  <c r="R188" i="3"/>
  <c r="S188" i="3"/>
  <c r="T188" i="3"/>
  <c r="U188" i="3"/>
  <c r="V188" i="3"/>
  <c r="W188" i="3"/>
  <c r="N189" i="3"/>
  <c r="O189" i="3"/>
  <c r="P189" i="3"/>
  <c r="Q189" i="3"/>
  <c r="R189" i="3"/>
  <c r="S189" i="3"/>
  <c r="T189" i="3"/>
  <c r="U189" i="3"/>
  <c r="V189" i="3"/>
  <c r="W189" i="3"/>
  <c r="N190" i="3"/>
  <c r="O190" i="3"/>
  <c r="P190" i="3"/>
  <c r="Q190" i="3"/>
  <c r="R190" i="3"/>
  <c r="S190" i="3"/>
  <c r="T190" i="3"/>
  <c r="U190" i="3"/>
  <c r="V190" i="3"/>
  <c r="W190" i="3"/>
  <c r="N191" i="3"/>
  <c r="O191" i="3"/>
  <c r="P191" i="3"/>
  <c r="Q191" i="3"/>
  <c r="R191" i="3"/>
  <c r="S191" i="3"/>
  <c r="T191" i="3"/>
  <c r="U191" i="3"/>
  <c r="V191" i="3"/>
  <c r="W191" i="3"/>
  <c r="N192" i="3"/>
  <c r="O192" i="3"/>
  <c r="P192" i="3"/>
  <c r="Q192" i="3"/>
  <c r="R192" i="3"/>
  <c r="S192" i="3"/>
  <c r="T192" i="3"/>
  <c r="U192" i="3"/>
  <c r="V192" i="3"/>
  <c r="W192" i="3"/>
  <c r="N193" i="3"/>
  <c r="O193" i="3"/>
  <c r="P193" i="3"/>
  <c r="Q193" i="3"/>
  <c r="R193" i="3"/>
  <c r="S193" i="3"/>
  <c r="T193" i="3"/>
  <c r="U193" i="3"/>
  <c r="V193" i="3"/>
  <c r="W193" i="3"/>
  <c r="N194" i="3"/>
  <c r="O194" i="3"/>
  <c r="P194" i="3"/>
  <c r="Q194" i="3"/>
  <c r="R194" i="3"/>
  <c r="S194" i="3"/>
  <c r="T194" i="3"/>
  <c r="U194" i="3"/>
  <c r="V194" i="3"/>
  <c r="W194" i="3"/>
  <c r="N195" i="3"/>
  <c r="O195" i="3"/>
  <c r="P195" i="3"/>
  <c r="Q195" i="3"/>
  <c r="R195" i="3"/>
  <c r="S195" i="3"/>
  <c r="T195" i="3"/>
  <c r="U195" i="3"/>
  <c r="V195" i="3"/>
  <c r="W195" i="3"/>
  <c r="N196" i="3"/>
  <c r="O196" i="3"/>
  <c r="P196" i="3"/>
  <c r="Q196" i="3"/>
  <c r="R196" i="3"/>
  <c r="S196" i="3"/>
  <c r="T196" i="3"/>
  <c r="U196" i="3"/>
  <c r="V196" i="3"/>
  <c r="W196" i="3"/>
  <c r="N197" i="3"/>
  <c r="O197" i="3"/>
  <c r="P197" i="3"/>
  <c r="Q197" i="3"/>
  <c r="R197" i="3"/>
  <c r="S197" i="3"/>
  <c r="T197" i="3"/>
  <c r="U197" i="3"/>
  <c r="V197" i="3"/>
  <c r="W197" i="3"/>
  <c r="N198" i="3"/>
  <c r="O198" i="3"/>
  <c r="P198" i="3"/>
  <c r="Q198" i="3"/>
  <c r="R198" i="3"/>
  <c r="S198" i="3"/>
  <c r="T198" i="3"/>
  <c r="U198" i="3"/>
  <c r="V198" i="3"/>
  <c r="W198" i="3"/>
  <c r="N199" i="3"/>
  <c r="O199" i="3"/>
  <c r="P199" i="3"/>
  <c r="Q199" i="3"/>
  <c r="R199" i="3"/>
  <c r="S199" i="3"/>
  <c r="T199" i="3"/>
  <c r="U199" i="3"/>
  <c r="V199" i="3"/>
  <c r="W199" i="3"/>
  <c r="N200" i="3"/>
  <c r="O200" i="3"/>
  <c r="P200" i="3"/>
  <c r="Q200" i="3"/>
  <c r="R200" i="3"/>
  <c r="S200" i="3"/>
  <c r="T200" i="3"/>
  <c r="U200" i="3"/>
  <c r="V200" i="3"/>
  <c r="W200" i="3"/>
  <c r="N201" i="3"/>
  <c r="O201" i="3"/>
  <c r="P201" i="3"/>
  <c r="Q201" i="3"/>
  <c r="R201" i="3"/>
  <c r="S201" i="3"/>
  <c r="T201" i="3"/>
  <c r="U201" i="3"/>
  <c r="V201" i="3"/>
  <c r="W201" i="3"/>
  <c r="N202" i="3"/>
  <c r="O202" i="3"/>
  <c r="P202" i="3"/>
  <c r="Q202" i="3"/>
  <c r="R202" i="3"/>
  <c r="S202" i="3"/>
  <c r="T202" i="3"/>
  <c r="U202" i="3"/>
  <c r="V202" i="3"/>
  <c r="W202" i="3"/>
  <c r="N203" i="3"/>
  <c r="O203" i="3"/>
  <c r="P203" i="3"/>
  <c r="Q203" i="3"/>
  <c r="R203" i="3"/>
  <c r="S203" i="3"/>
  <c r="T203" i="3"/>
  <c r="U203" i="3"/>
  <c r="V203" i="3"/>
  <c r="W203" i="3"/>
  <c r="N204" i="3"/>
  <c r="O204" i="3"/>
  <c r="P204" i="3"/>
  <c r="Q204" i="3"/>
  <c r="R204" i="3"/>
  <c r="S204" i="3"/>
  <c r="T204" i="3"/>
  <c r="U204" i="3"/>
  <c r="V204" i="3"/>
  <c r="W204" i="3"/>
  <c r="N205" i="3"/>
  <c r="O205" i="3"/>
  <c r="P205" i="3"/>
  <c r="Q205" i="3"/>
  <c r="R205" i="3"/>
  <c r="S205" i="3"/>
  <c r="T205" i="3"/>
  <c r="U205" i="3"/>
  <c r="V205" i="3"/>
  <c r="W205" i="3"/>
  <c r="N206" i="3"/>
  <c r="O206" i="3"/>
  <c r="P206" i="3"/>
  <c r="Q206" i="3"/>
  <c r="R206" i="3"/>
  <c r="S206" i="3"/>
  <c r="T206" i="3"/>
  <c r="U206" i="3"/>
  <c r="V206" i="3"/>
  <c r="W206" i="3"/>
  <c r="N207" i="3"/>
  <c r="O207" i="3"/>
  <c r="P207" i="3"/>
  <c r="Q207" i="3"/>
  <c r="R207" i="3"/>
  <c r="S207" i="3"/>
  <c r="T207" i="3"/>
  <c r="U207" i="3"/>
  <c r="V207" i="3"/>
  <c r="W207" i="3"/>
  <c r="N208" i="3"/>
  <c r="O208" i="3"/>
  <c r="P208" i="3"/>
  <c r="Q208" i="3"/>
  <c r="R208" i="3"/>
  <c r="S208" i="3"/>
  <c r="T208" i="3"/>
  <c r="U208" i="3"/>
  <c r="V208" i="3"/>
  <c r="W208" i="3"/>
  <c r="N209" i="3"/>
  <c r="O209" i="3"/>
  <c r="P209" i="3"/>
  <c r="Q209" i="3"/>
  <c r="R209" i="3"/>
  <c r="S209" i="3"/>
  <c r="T209" i="3"/>
  <c r="U209" i="3"/>
  <c r="V209" i="3"/>
  <c r="W209" i="3"/>
  <c r="N210" i="3"/>
  <c r="O210" i="3"/>
  <c r="P210" i="3"/>
  <c r="Q210" i="3"/>
  <c r="R210" i="3"/>
  <c r="S210" i="3"/>
  <c r="T210" i="3"/>
  <c r="U210" i="3"/>
  <c r="V210" i="3"/>
  <c r="W210" i="3"/>
  <c r="N211" i="3"/>
  <c r="O211" i="3"/>
  <c r="P211" i="3"/>
  <c r="Q211" i="3"/>
  <c r="R211" i="3"/>
  <c r="S211" i="3"/>
  <c r="T211" i="3"/>
  <c r="U211" i="3"/>
  <c r="V211" i="3"/>
  <c r="W211" i="3"/>
  <c r="N212" i="3"/>
  <c r="O212" i="3"/>
  <c r="P212" i="3"/>
  <c r="Q212" i="3"/>
  <c r="R212" i="3"/>
  <c r="S212" i="3"/>
  <c r="T212" i="3"/>
  <c r="U212" i="3"/>
  <c r="V212" i="3"/>
  <c r="W212" i="3"/>
  <c r="N213" i="3"/>
  <c r="O213" i="3"/>
  <c r="P213" i="3"/>
  <c r="Q213" i="3"/>
  <c r="R213" i="3"/>
  <c r="S213" i="3"/>
  <c r="T213" i="3"/>
  <c r="U213" i="3"/>
  <c r="V213" i="3"/>
  <c r="W213" i="3"/>
  <c r="N214" i="3"/>
  <c r="O214" i="3"/>
  <c r="P214" i="3"/>
  <c r="Q214" i="3"/>
  <c r="R214" i="3"/>
  <c r="S214" i="3"/>
  <c r="T214" i="3"/>
  <c r="U214" i="3"/>
  <c r="V214" i="3"/>
  <c r="W214" i="3"/>
  <c r="N215" i="3"/>
  <c r="O215" i="3"/>
  <c r="P215" i="3"/>
  <c r="Q215" i="3"/>
  <c r="R215" i="3"/>
  <c r="S215" i="3"/>
  <c r="T215" i="3"/>
  <c r="U215" i="3"/>
  <c r="V215" i="3"/>
  <c r="W215" i="3"/>
  <c r="N216" i="3"/>
  <c r="O216" i="3"/>
  <c r="P216" i="3"/>
  <c r="Q216" i="3"/>
  <c r="R216" i="3"/>
  <c r="S216" i="3"/>
  <c r="T216" i="3"/>
  <c r="U216" i="3"/>
  <c r="V216" i="3"/>
  <c r="W216" i="3"/>
  <c r="N217" i="3"/>
  <c r="O217" i="3"/>
  <c r="P217" i="3"/>
  <c r="Q217" i="3"/>
  <c r="R217" i="3"/>
  <c r="S217" i="3"/>
  <c r="T217" i="3"/>
  <c r="U217" i="3"/>
  <c r="V217" i="3"/>
  <c r="W217" i="3"/>
  <c r="N218" i="3"/>
  <c r="O218" i="3"/>
  <c r="P218" i="3"/>
  <c r="Q218" i="3"/>
  <c r="R218" i="3"/>
  <c r="S218" i="3"/>
  <c r="T218" i="3"/>
  <c r="U218" i="3"/>
  <c r="V218" i="3"/>
  <c r="W218" i="3"/>
  <c r="N219" i="3"/>
  <c r="O219" i="3"/>
  <c r="P219" i="3"/>
  <c r="Q219" i="3"/>
  <c r="R219" i="3"/>
  <c r="S219" i="3"/>
  <c r="T219" i="3"/>
  <c r="U219" i="3"/>
  <c r="V219" i="3"/>
  <c r="W219" i="3"/>
  <c r="N220" i="3"/>
  <c r="O220" i="3"/>
  <c r="P220" i="3"/>
  <c r="Q220" i="3"/>
  <c r="R220" i="3"/>
  <c r="S220" i="3"/>
  <c r="T220" i="3"/>
  <c r="U220" i="3"/>
  <c r="V220" i="3"/>
  <c r="W220" i="3"/>
  <c r="N221" i="3"/>
  <c r="O221" i="3"/>
  <c r="P221" i="3"/>
  <c r="Q221" i="3"/>
  <c r="R221" i="3"/>
  <c r="S221" i="3"/>
  <c r="T221" i="3"/>
  <c r="U221" i="3"/>
  <c r="V221" i="3"/>
  <c r="W221" i="3"/>
  <c r="N222" i="3"/>
  <c r="O222" i="3"/>
  <c r="P222" i="3"/>
  <c r="Q222" i="3"/>
  <c r="R222" i="3"/>
  <c r="S222" i="3"/>
  <c r="T222" i="3"/>
  <c r="U222" i="3"/>
  <c r="V222" i="3"/>
  <c r="W222" i="3"/>
  <c r="N223" i="3"/>
  <c r="O223" i="3"/>
  <c r="P223" i="3"/>
  <c r="Q223" i="3"/>
  <c r="R223" i="3"/>
  <c r="S223" i="3"/>
  <c r="T223" i="3"/>
  <c r="U223" i="3"/>
  <c r="V223" i="3"/>
  <c r="W223" i="3"/>
  <c r="N224" i="3"/>
  <c r="O224" i="3"/>
  <c r="P224" i="3"/>
  <c r="Q224" i="3"/>
  <c r="R224" i="3"/>
  <c r="S224" i="3"/>
  <c r="T224" i="3"/>
  <c r="U224" i="3"/>
  <c r="V224" i="3"/>
  <c r="W224" i="3"/>
  <c r="N225" i="3"/>
  <c r="O225" i="3"/>
  <c r="P225" i="3"/>
  <c r="Q225" i="3"/>
  <c r="R225" i="3"/>
  <c r="S225" i="3"/>
  <c r="T225" i="3"/>
  <c r="U225" i="3"/>
  <c r="V225" i="3"/>
  <c r="W225" i="3"/>
  <c r="N226" i="3"/>
  <c r="O226" i="3"/>
  <c r="P226" i="3"/>
  <c r="Q226" i="3"/>
  <c r="R226" i="3"/>
  <c r="S226" i="3"/>
  <c r="T226" i="3"/>
  <c r="U226" i="3"/>
  <c r="V226" i="3"/>
  <c r="W226" i="3"/>
  <c r="N227" i="3"/>
  <c r="O227" i="3"/>
  <c r="P227" i="3"/>
  <c r="Q227" i="3"/>
  <c r="R227" i="3"/>
  <c r="S227" i="3"/>
  <c r="T227" i="3"/>
  <c r="U227" i="3"/>
  <c r="V227" i="3"/>
  <c r="W227" i="3"/>
  <c r="N228" i="3"/>
  <c r="O228" i="3"/>
  <c r="P228" i="3"/>
  <c r="Q228" i="3"/>
  <c r="R228" i="3"/>
  <c r="S228" i="3"/>
  <c r="T228" i="3"/>
  <c r="U228" i="3"/>
  <c r="V228" i="3"/>
  <c r="W228" i="3"/>
  <c r="N229" i="3"/>
  <c r="O229" i="3"/>
  <c r="P229" i="3"/>
  <c r="Q229" i="3"/>
  <c r="R229" i="3"/>
  <c r="S229" i="3"/>
  <c r="T229" i="3"/>
  <c r="U229" i="3"/>
  <c r="V229" i="3"/>
  <c r="W229" i="3"/>
  <c r="N230" i="3"/>
  <c r="O230" i="3"/>
  <c r="P230" i="3"/>
  <c r="Q230" i="3"/>
  <c r="R230" i="3"/>
  <c r="S230" i="3"/>
  <c r="T230" i="3"/>
  <c r="U230" i="3"/>
  <c r="V230" i="3"/>
  <c r="W230" i="3"/>
  <c r="N231" i="3"/>
  <c r="O231" i="3"/>
  <c r="P231" i="3"/>
  <c r="Q231" i="3"/>
  <c r="R231" i="3"/>
  <c r="S231" i="3"/>
  <c r="T231" i="3"/>
  <c r="U231" i="3"/>
  <c r="V231" i="3"/>
  <c r="W231" i="3"/>
  <c r="N232" i="3"/>
  <c r="O232" i="3"/>
  <c r="P232" i="3"/>
  <c r="Q232" i="3"/>
  <c r="R232" i="3"/>
  <c r="S232" i="3"/>
  <c r="T232" i="3"/>
  <c r="U232" i="3"/>
  <c r="V232" i="3"/>
  <c r="W232" i="3"/>
  <c r="N233" i="3"/>
  <c r="O233" i="3"/>
  <c r="P233" i="3"/>
  <c r="Q233" i="3"/>
  <c r="R233" i="3"/>
  <c r="S233" i="3"/>
  <c r="T233" i="3"/>
  <c r="U233" i="3"/>
  <c r="V233" i="3"/>
  <c r="W233" i="3"/>
  <c r="N234" i="3"/>
  <c r="O234" i="3"/>
  <c r="P234" i="3"/>
  <c r="Q234" i="3"/>
  <c r="R234" i="3"/>
  <c r="S234" i="3"/>
  <c r="T234" i="3"/>
  <c r="U234" i="3"/>
  <c r="V234" i="3"/>
  <c r="W234" i="3"/>
  <c r="N235" i="3"/>
  <c r="O235" i="3"/>
  <c r="P235" i="3"/>
  <c r="Q235" i="3"/>
  <c r="R235" i="3"/>
  <c r="S235" i="3"/>
  <c r="T235" i="3"/>
  <c r="U235" i="3"/>
  <c r="V235" i="3"/>
  <c r="W235" i="3"/>
  <c r="N236" i="3"/>
  <c r="O236" i="3"/>
  <c r="P236" i="3"/>
  <c r="Q236" i="3"/>
  <c r="R236" i="3"/>
  <c r="S236" i="3"/>
  <c r="T236" i="3"/>
  <c r="U236" i="3"/>
  <c r="V236" i="3"/>
  <c r="W236" i="3"/>
  <c r="N237" i="3"/>
  <c r="O237" i="3"/>
  <c r="P237" i="3"/>
  <c r="Q237" i="3"/>
  <c r="R237" i="3"/>
  <c r="S237" i="3"/>
  <c r="T237" i="3"/>
  <c r="U237" i="3"/>
  <c r="V237" i="3"/>
  <c r="W237" i="3"/>
  <c r="N238" i="3"/>
  <c r="O238" i="3"/>
  <c r="P238" i="3"/>
  <c r="Q238" i="3"/>
  <c r="R238" i="3"/>
  <c r="S238" i="3"/>
  <c r="T238" i="3"/>
  <c r="U238" i="3"/>
  <c r="V238" i="3"/>
  <c r="W238" i="3"/>
  <c r="N239" i="3"/>
  <c r="O239" i="3"/>
  <c r="P239" i="3"/>
  <c r="Q239" i="3"/>
  <c r="R239" i="3"/>
  <c r="S239" i="3"/>
  <c r="T239" i="3"/>
  <c r="U239" i="3"/>
  <c r="V239" i="3"/>
  <c r="W239" i="3"/>
  <c r="N240" i="3"/>
  <c r="O240" i="3"/>
  <c r="P240" i="3"/>
  <c r="Q240" i="3"/>
  <c r="R240" i="3"/>
  <c r="S240" i="3"/>
  <c r="T240" i="3"/>
  <c r="U240" i="3"/>
  <c r="V240" i="3"/>
  <c r="W240" i="3"/>
  <c r="N241" i="3"/>
  <c r="O241" i="3"/>
  <c r="P241" i="3"/>
  <c r="Q241" i="3"/>
  <c r="R241" i="3"/>
  <c r="S241" i="3"/>
  <c r="T241" i="3"/>
  <c r="U241" i="3"/>
  <c r="V241" i="3"/>
  <c r="W241" i="3"/>
  <c r="N242" i="3"/>
  <c r="O242" i="3"/>
  <c r="P242" i="3"/>
  <c r="Q242" i="3"/>
  <c r="R242" i="3"/>
  <c r="S242" i="3"/>
  <c r="T242" i="3"/>
  <c r="U242" i="3"/>
  <c r="V242" i="3"/>
  <c r="W242" i="3"/>
  <c r="N243" i="3"/>
  <c r="O243" i="3"/>
  <c r="P243" i="3"/>
  <c r="Q243" i="3"/>
  <c r="R243" i="3"/>
  <c r="S243" i="3"/>
  <c r="T243" i="3"/>
  <c r="U243" i="3"/>
  <c r="V243" i="3"/>
  <c r="W243" i="3"/>
  <c r="N244" i="3"/>
  <c r="O244" i="3"/>
  <c r="P244" i="3"/>
  <c r="Q244" i="3"/>
  <c r="R244" i="3"/>
  <c r="S244" i="3"/>
  <c r="T244" i="3"/>
  <c r="U244" i="3"/>
  <c r="V244" i="3"/>
  <c r="W244" i="3"/>
  <c r="N245" i="3"/>
  <c r="O245" i="3"/>
  <c r="P245" i="3"/>
  <c r="Q245" i="3"/>
  <c r="R245" i="3"/>
  <c r="S245" i="3"/>
  <c r="T245" i="3"/>
  <c r="U245" i="3"/>
  <c r="V245" i="3"/>
  <c r="W245" i="3"/>
  <c r="N246" i="3"/>
  <c r="O246" i="3"/>
  <c r="P246" i="3"/>
  <c r="Q246" i="3"/>
  <c r="R246" i="3"/>
  <c r="S246" i="3"/>
  <c r="T246" i="3"/>
  <c r="U246" i="3"/>
  <c r="V246" i="3"/>
  <c r="W246" i="3"/>
  <c r="N247" i="3"/>
  <c r="O247" i="3"/>
  <c r="P247" i="3"/>
  <c r="Q247" i="3"/>
  <c r="R247" i="3"/>
  <c r="S247" i="3"/>
  <c r="T247" i="3"/>
  <c r="U247" i="3"/>
  <c r="V247" i="3"/>
  <c r="W247" i="3"/>
  <c r="N248" i="3"/>
  <c r="O248" i="3"/>
  <c r="P248" i="3"/>
  <c r="Q248" i="3"/>
  <c r="R248" i="3"/>
  <c r="S248" i="3"/>
  <c r="T248" i="3"/>
  <c r="U248" i="3"/>
  <c r="V248" i="3"/>
  <c r="W248" i="3"/>
  <c r="N249" i="3"/>
  <c r="O249" i="3"/>
  <c r="P249" i="3"/>
  <c r="Q249" i="3"/>
  <c r="R249" i="3"/>
  <c r="S249" i="3"/>
  <c r="T249" i="3"/>
  <c r="U249" i="3"/>
  <c r="V249" i="3"/>
  <c r="W249" i="3"/>
  <c r="N250" i="3"/>
  <c r="O250" i="3"/>
  <c r="P250" i="3"/>
  <c r="Q250" i="3"/>
  <c r="R250" i="3"/>
  <c r="S250" i="3"/>
  <c r="T250" i="3"/>
  <c r="U250" i="3"/>
  <c r="V250" i="3"/>
  <c r="W250" i="3"/>
  <c r="N251" i="3"/>
  <c r="O251" i="3"/>
  <c r="P251" i="3"/>
  <c r="Q251" i="3"/>
  <c r="R251" i="3"/>
  <c r="S251" i="3"/>
  <c r="T251" i="3"/>
  <c r="U251" i="3"/>
  <c r="V251" i="3"/>
  <c r="W251" i="3"/>
  <c r="N252" i="3"/>
  <c r="O252" i="3"/>
  <c r="P252" i="3"/>
  <c r="Q252" i="3"/>
  <c r="R252" i="3"/>
  <c r="S252" i="3"/>
  <c r="T252" i="3"/>
  <c r="U252" i="3"/>
  <c r="V252" i="3"/>
  <c r="W252" i="3"/>
  <c r="N253" i="3"/>
  <c r="O253" i="3"/>
  <c r="P253" i="3"/>
  <c r="Q253" i="3"/>
  <c r="R253" i="3"/>
  <c r="S253" i="3"/>
  <c r="T253" i="3"/>
  <c r="U253" i="3"/>
  <c r="V253" i="3"/>
  <c r="W253" i="3"/>
  <c r="N254" i="3"/>
  <c r="O254" i="3"/>
  <c r="P254" i="3"/>
  <c r="Q254" i="3"/>
  <c r="R254" i="3"/>
  <c r="S254" i="3"/>
  <c r="T254" i="3"/>
  <c r="U254" i="3"/>
  <c r="V254" i="3"/>
  <c r="W254" i="3"/>
  <c r="W5" i="3"/>
  <c r="V5" i="3"/>
  <c r="U5" i="3"/>
  <c r="T5" i="3"/>
  <c r="S5" i="3"/>
  <c r="R5" i="3"/>
  <c r="Q5" i="3"/>
  <c r="P5" i="3"/>
  <c r="O5" i="3"/>
  <c r="N5" i="3"/>
  <c r="C258" i="3"/>
  <c r="D258" i="3"/>
  <c r="E258" i="3"/>
  <c r="F258" i="3"/>
  <c r="G258" i="3"/>
  <c r="H258" i="3"/>
  <c r="I258" i="3"/>
  <c r="J258" i="3"/>
  <c r="K258" i="3"/>
  <c r="L258" i="3"/>
  <c r="B258" i="3"/>
  <c r="C257" i="3"/>
  <c r="D257" i="3"/>
  <c r="E257" i="3"/>
  <c r="F257" i="3"/>
  <c r="G257" i="3"/>
  <c r="H257" i="3"/>
  <c r="I257" i="3"/>
  <c r="J257" i="3"/>
  <c r="K257" i="3"/>
  <c r="L257" i="3"/>
  <c r="B257" i="3"/>
  <c r="Q267" i="1"/>
  <c r="R267" i="1"/>
  <c r="S267" i="1"/>
  <c r="Q266" i="1"/>
  <c r="R266" i="1"/>
  <c r="S266" i="1"/>
  <c r="Q265" i="1"/>
  <c r="R265" i="1"/>
  <c r="S265" i="1"/>
  <c r="Q264" i="1"/>
  <c r="R264" i="1"/>
  <c r="S264" i="1"/>
  <c r="Q263" i="1"/>
  <c r="R263" i="1"/>
  <c r="S263" i="1"/>
  <c r="Q262" i="1"/>
  <c r="R262" i="1"/>
  <c r="S262" i="1"/>
  <c r="Q261" i="1"/>
  <c r="R261" i="1"/>
  <c r="S261" i="1"/>
  <c r="Q260" i="1"/>
  <c r="R260" i="1"/>
  <c r="S260" i="1"/>
  <c r="Q259" i="1"/>
  <c r="R259" i="1"/>
  <c r="S259" i="1"/>
  <c r="Q258" i="1"/>
  <c r="R258" i="1"/>
  <c r="S258" i="1"/>
  <c r="Q257" i="1"/>
  <c r="R257" i="1"/>
  <c r="S257" i="1"/>
  <c r="Q256" i="1"/>
  <c r="R256" i="1"/>
  <c r="S256" i="1"/>
  <c r="Q255" i="1"/>
  <c r="R255" i="1"/>
  <c r="S255" i="1"/>
  <c r="Q254" i="1"/>
  <c r="R254" i="1"/>
  <c r="S254" i="1"/>
  <c r="Q253" i="1"/>
  <c r="R253" i="1"/>
  <c r="S253" i="1"/>
  <c r="Q252" i="1"/>
  <c r="R252" i="1"/>
  <c r="S252" i="1"/>
  <c r="Q251" i="1"/>
  <c r="R251" i="1"/>
  <c r="S251" i="1"/>
  <c r="Q250" i="1"/>
  <c r="R250" i="1"/>
  <c r="S250" i="1"/>
  <c r="Q249" i="1"/>
  <c r="R249" i="1"/>
  <c r="S249" i="1"/>
  <c r="Q248" i="1"/>
  <c r="R248" i="1"/>
  <c r="S248" i="1"/>
  <c r="Q247" i="1"/>
  <c r="R247" i="1"/>
  <c r="S247" i="1"/>
  <c r="Q246" i="1"/>
  <c r="R246" i="1"/>
  <c r="S246" i="1"/>
  <c r="Q245" i="1"/>
  <c r="R245" i="1"/>
  <c r="S245" i="1"/>
  <c r="Q244" i="1"/>
  <c r="R244" i="1"/>
  <c r="S244" i="1"/>
  <c r="Q243" i="1"/>
  <c r="R243" i="1"/>
  <c r="S243" i="1"/>
  <c r="Q242" i="1"/>
  <c r="R242" i="1"/>
  <c r="S242" i="1"/>
  <c r="Q241" i="1"/>
  <c r="R241" i="1"/>
  <c r="S241" i="1"/>
  <c r="Q240" i="1"/>
  <c r="R240" i="1"/>
  <c r="S240" i="1"/>
  <c r="Q239" i="1"/>
  <c r="R239" i="1"/>
  <c r="S239" i="1"/>
  <c r="Q238" i="1"/>
  <c r="R238" i="1"/>
  <c r="S238" i="1"/>
  <c r="Q237" i="1"/>
  <c r="R237" i="1"/>
  <c r="S237" i="1"/>
  <c r="Q236" i="1"/>
  <c r="R236" i="1"/>
  <c r="S236" i="1"/>
  <c r="Q235" i="1"/>
  <c r="R235" i="1"/>
  <c r="S235" i="1"/>
  <c r="Q234" i="1"/>
  <c r="R234" i="1"/>
  <c r="S234" i="1"/>
  <c r="Q233" i="1"/>
  <c r="R233" i="1"/>
  <c r="S233" i="1"/>
  <c r="Q232" i="1"/>
  <c r="R232" i="1"/>
  <c r="S232" i="1"/>
  <c r="Q231" i="1"/>
  <c r="R231" i="1"/>
  <c r="S231" i="1"/>
  <c r="Q230" i="1"/>
  <c r="R230" i="1"/>
  <c r="S230" i="1"/>
  <c r="Q229" i="1"/>
  <c r="R229" i="1"/>
  <c r="S229" i="1"/>
  <c r="Q228" i="1"/>
  <c r="R228" i="1"/>
  <c r="S228" i="1"/>
  <c r="Q227" i="1"/>
  <c r="R227" i="1"/>
  <c r="S227" i="1"/>
  <c r="Q226" i="1"/>
  <c r="R226" i="1"/>
  <c r="S226" i="1"/>
  <c r="Q225" i="1"/>
  <c r="R225" i="1"/>
  <c r="S225" i="1"/>
  <c r="Q224" i="1"/>
  <c r="R224" i="1"/>
  <c r="S224" i="1"/>
  <c r="Q223" i="1"/>
  <c r="R223" i="1"/>
  <c r="S223" i="1"/>
  <c r="Q222" i="1"/>
  <c r="R222" i="1"/>
  <c r="S222" i="1"/>
  <c r="Q221" i="1"/>
  <c r="R221" i="1"/>
  <c r="S221" i="1"/>
  <c r="Q220" i="1"/>
  <c r="R220" i="1"/>
  <c r="S220" i="1"/>
  <c r="Q219" i="1"/>
  <c r="R219" i="1"/>
  <c r="S219" i="1"/>
  <c r="Q218" i="1"/>
  <c r="R218" i="1"/>
  <c r="S218" i="1"/>
  <c r="Q217" i="1"/>
  <c r="R217" i="1"/>
  <c r="S217" i="1"/>
  <c r="Q216" i="1"/>
  <c r="R216" i="1"/>
  <c r="S216" i="1"/>
  <c r="Q215" i="1"/>
  <c r="R215" i="1"/>
  <c r="S215" i="1"/>
  <c r="Q214" i="1"/>
  <c r="R214" i="1"/>
  <c r="S214" i="1"/>
  <c r="Q213" i="1"/>
  <c r="R213" i="1"/>
  <c r="S213" i="1"/>
  <c r="Q212" i="1"/>
  <c r="R212" i="1"/>
  <c r="S212" i="1"/>
  <c r="Q211" i="1"/>
  <c r="R211" i="1"/>
  <c r="S211" i="1"/>
  <c r="Q210" i="1"/>
  <c r="R210" i="1"/>
  <c r="S210" i="1"/>
  <c r="Q209" i="1"/>
  <c r="R209" i="1"/>
  <c r="S209" i="1"/>
  <c r="Q208" i="1"/>
  <c r="R208" i="1"/>
  <c r="S208" i="1"/>
  <c r="Q207" i="1"/>
  <c r="R207" i="1"/>
  <c r="S207" i="1"/>
  <c r="Q206" i="1"/>
  <c r="R206" i="1"/>
  <c r="S206" i="1"/>
  <c r="Q205" i="1"/>
  <c r="R205" i="1"/>
  <c r="S205" i="1"/>
  <c r="Q204" i="1"/>
  <c r="R204" i="1"/>
  <c r="S204" i="1"/>
  <c r="Q203" i="1"/>
  <c r="R203" i="1"/>
  <c r="S203" i="1"/>
  <c r="Q202" i="1"/>
  <c r="R202" i="1"/>
  <c r="S202" i="1"/>
  <c r="Q201" i="1"/>
  <c r="R201" i="1"/>
  <c r="S201" i="1"/>
  <c r="Q200" i="1"/>
  <c r="R200" i="1"/>
  <c r="S200" i="1"/>
  <c r="Q199" i="1"/>
  <c r="R199" i="1"/>
  <c r="S199" i="1"/>
  <c r="Q198" i="1"/>
  <c r="R198" i="1"/>
  <c r="S198" i="1"/>
  <c r="Q197" i="1"/>
  <c r="R197" i="1"/>
  <c r="S197" i="1"/>
  <c r="Q196" i="1"/>
  <c r="R196" i="1"/>
  <c r="S196" i="1"/>
  <c r="Q195" i="1"/>
  <c r="R195" i="1"/>
  <c r="S195" i="1"/>
  <c r="Q194" i="1"/>
  <c r="R194" i="1"/>
  <c r="S194" i="1"/>
  <c r="Q193" i="1"/>
  <c r="R193" i="1"/>
  <c r="S193" i="1"/>
  <c r="Q192" i="1"/>
  <c r="R192" i="1"/>
  <c r="S192" i="1"/>
  <c r="Q191" i="1"/>
  <c r="R191" i="1"/>
  <c r="S191" i="1"/>
  <c r="Q190" i="1"/>
  <c r="R190" i="1"/>
  <c r="S190" i="1"/>
  <c r="Q189" i="1"/>
  <c r="R189" i="1"/>
  <c r="S189" i="1"/>
  <c r="Q188" i="1"/>
  <c r="R188" i="1"/>
  <c r="S188" i="1"/>
  <c r="Q187" i="1"/>
  <c r="R187" i="1"/>
  <c r="S187" i="1"/>
  <c r="Q186" i="1"/>
  <c r="R186" i="1"/>
  <c r="S186" i="1"/>
  <c r="Q185" i="1"/>
  <c r="R185" i="1"/>
  <c r="S185" i="1"/>
  <c r="Q184" i="1"/>
  <c r="R184" i="1"/>
  <c r="S184" i="1"/>
  <c r="Q183" i="1"/>
  <c r="R183" i="1"/>
  <c r="S183" i="1"/>
  <c r="Q182" i="1"/>
  <c r="R182" i="1"/>
  <c r="S182" i="1"/>
  <c r="Q181" i="1"/>
  <c r="R181" i="1"/>
  <c r="S181" i="1"/>
  <c r="Q180" i="1"/>
  <c r="R180" i="1"/>
  <c r="S180" i="1"/>
  <c r="Q179" i="1"/>
  <c r="R179" i="1"/>
  <c r="S179" i="1"/>
  <c r="Q178" i="1"/>
  <c r="R178" i="1"/>
  <c r="S178" i="1"/>
  <c r="Q177" i="1"/>
  <c r="R177" i="1"/>
  <c r="S177" i="1"/>
  <c r="Q176" i="1"/>
  <c r="R176" i="1"/>
  <c r="S176" i="1"/>
  <c r="Q175" i="1"/>
  <c r="R175" i="1"/>
  <c r="S175" i="1"/>
  <c r="Q174" i="1"/>
  <c r="R174" i="1"/>
  <c r="S174" i="1"/>
  <c r="Q173" i="1"/>
  <c r="R173" i="1"/>
  <c r="S173" i="1"/>
  <c r="Q172" i="1"/>
  <c r="R172" i="1"/>
  <c r="S172" i="1"/>
  <c r="Q171" i="1"/>
  <c r="R171" i="1"/>
  <c r="S171" i="1"/>
  <c r="Q170" i="1"/>
  <c r="R170" i="1"/>
  <c r="S170" i="1"/>
  <c r="Q169" i="1"/>
  <c r="R169" i="1"/>
  <c r="S169" i="1"/>
  <c r="Q168" i="1"/>
  <c r="R168" i="1"/>
  <c r="S168" i="1"/>
  <c r="Q167" i="1"/>
  <c r="R167" i="1"/>
  <c r="S167" i="1"/>
  <c r="Q166" i="1"/>
  <c r="R166" i="1"/>
  <c r="S166" i="1"/>
  <c r="Q165" i="1"/>
  <c r="R165" i="1"/>
  <c r="S165" i="1"/>
  <c r="Q164" i="1"/>
  <c r="R164" i="1"/>
  <c r="S164" i="1"/>
  <c r="Q163" i="1"/>
  <c r="R163" i="1"/>
  <c r="S163" i="1"/>
  <c r="Q162" i="1"/>
  <c r="R162" i="1"/>
  <c r="S162" i="1"/>
  <c r="Q161" i="1"/>
  <c r="R161" i="1"/>
  <c r="S161" i="1"/>
  <c r="Q160" i="1"/>
  <c r="R160" i="1"/>
  <c r="S160" i="1"/>
  <c r="Q159" i="1"/>
  <c r="R159" i="1"/>
  <c r="S159" i="1"/>
  <c r="Q158" i="1"/>
  <c r="R158" i="1"/>
  <c r="S158" i="1"/>
  <c r="Q157" i="1"/>
  <c r="R157" i="1"/>
  <c r="S157" i="1"/>
  <c r="Q156" i="1"/>
  <c r="R156" i="1"/>
  <c r="S156" i="1"/>
  <c r="Q155" i="1"/>
  <c r="R155" i="1"/>
  <c r="S155" i="1"/>
  <c r="Q154" i="1"/>
  <c r="R154" i="1"/>
  <c r="S154" i="1"/>
  <c r="Q153" i="1"/>
  <c r="R153" i="1"/>
  <c r="S153" i="1"/>
  <c r="Q152" i="1"/>
  <c r="R152" i="1"/>
  <c r="S152" i="1"/>
  <c r="Q151" i="1"/>
  <c r="R151" i="1"/>
  <c r="S151" i="1"/>
  <c r="Q150" i="1"/>
  <c r="R150" i="1"/>
  <c r="S150" i="1"/>
  <c r="Q149" i="1"/>
  <c r="R149" i="1"/>
  <c r="S149" i="1"/>
  <c r="Q148" i="1"/>
  <c r="R148" i="1"/>
  <c r="S148" i="1"/>
  <c r="Q147" i="1"/>
  <c r="R147" i="1"/>
  <c r="S147" i="1"/>
  <c r="Q146" i="1"/>
  <c r="R146" i="1"/>
  <c r="S146" i="1"/>
  <c r="Q145" i="1"/>
  <c r="R145" i="1"/>
  <c r="S145" i="1"/>
  <c r="Q144" i="1"/>
  <c r="R144" i="1"/>
  <c r="S144" i="1"/>
  <c r="Q143" i="1"/>
  <c r="R143" i="1"/>
  <c r="S143" i="1"/>
  <c r="Q142" i="1"/>
  <c r="R142" i="1"/>
  <c r="S142" i="1"/>
  <c r="Q141" i="1"/>
  <c r="R141" i="1"/>
  <c r="S141" i="1"/>
  <c r="Q140" i="1"/>
  <c r="R140" i="1"/>
  <c r="S140" i="1"/>
  <c r="Q139" i="1"/>
  <c r="R139" i="1"/>
  <c r="S139" i="1"/>
  <c r="Q138" i="1"/>
  <c r="R138" i="1"/>
  <c r="S138" i="1"/>
  <c r="Q137" i="1"/>
  <c r="R137" i="1"/>
  <c r="S137" i="1"/>
  <c r="Q136" i="1"/>
  <c r="R136" i="1"/>
  <c r="S136" i="1"/>
  <c r="Q135" i="1"/>
  <c r="R135" i="1"/>
  <c r="S135" i="1"/>
  <c r="Q134" i="1"/>
  <c r="R134" i="1"/>
  <c r="S134" i="1"/>
  <c r="Q133" i="1"/>
  <c r="R133" i="1"/>
  <c r="S133" i="1"/>
  <c r="Q132" i="1"/>
  <c r="R132" i="1"/>
  <c r="S132" i="1"/>
  <c r="Q131" i="1"/>
  <c r="R131" i="1"/>
  <c r="S131" i="1"/>
  <c r="Q130" i="1"/>
  <c r="R130" i="1"/>
  <c r="S130" i="1"/>
  <c r="Q129" i="1"/>
  <c r="R129" i="1"/>
  <c r="S129" i="1"/>
  <c r="Q128" i="1"/>
  <c r="R128" i="1"/>
  <c r="S128" i="1"/>
  <c r="Q127" i="1"/>
  <c r="R127" i="1"/>
  <c r="S127" i="1"/>
  <c r="Q126" i="1"/>
  <c r="R126" i="1"/>
  <c r="S126" i="1"/>
  <c r="Q125" i="1"/>
  <c r="R125" i="1"/>
  <c r="S125" i="1"/>
  <c r="Q124" i="1"/>
  <c r="R124" i="1"/>
  <c r="S124" i="1"/>
  <c r="Q123" i="1"/>
  <c r="R123" i="1"/>
  <c r="S123" i="1"/>
  <c r="Q122" i="1"/>
  <c r="R122" i="1"/>
  <c r="S122" i="1"/>
  <c r="Q121" i="1"/>
  <c r="R121" i="1"/>
  <c r="S121" i="1"/>
  <c r="Q120" i="1"/>
  <c r="R120" i="1"/>
  <c r="S120" i="1"/>
  <c r="Q119" i="1"/>
  <c r="R119" i="1"/>
  <c r="S119" i="1"/>
  <c r="Q118" i="1"/>
  <c r="R118" i="1"/>
  <c r="S118" i="1"/>
  <c r="Q117" i="1"/>
  <c r="R117" i="1"/>
  <c r="S117" i="1"/>
  <c r="Q116" i="1"/>
  <c r="R116" i="1"/>
  <c r="S116" i="1"/>
  <c r="Q115" i="1"/>
  <c r="R115" i="1"/>
  <c r="S115" i="1"/>
  <c r="Q114" i="1"/>
  <c r="R114" i="1"/>
  <c r="S114" i="1"/>
  <c r="Q113" i="1"/>
  <c r="R113" i="1"/>
  <c r="S113" i="1"/>
  <c r="Q112" i="1"/>
  <c r="R112" i="1"/>
  <c r="S112" i="1"/>
  <c r="Q111" i="1"/>
  <c r="R111" i="1"/>
  <c r="S111" i="1"/>
  <c r="Q110" i="1"/>
  <c r="R110" i="1"/>
  <c r="S110" i="1"/>
  <c r="Q109" i="1"/>
  <c r="R109" i="1"/>
  <c r="S109" i="1"/>
  <c r="Q108" i="1"/>
  <c r="R108" i="1"/>
  <c r="S108" i="1"/>
  <c r="Q107" i="1"/>
  <c r="R107" i="1"/>
  <c r="S107" i="1"/>
  <c r="Q106" i="1"/>
  <c r="R106" i="1"/>
  <c r="S106" i="1"/>
  <c r="Q105" i="1"/>
  <c r="R105" i="1"/>
  <c r="S105" i="1"/>
  <c r="Q104" i="1"/>
  <c r="R104" i="1"/>
  <c r="S104" i="1"/>
  <c r="Q103" i="1"/>
  <c r="R103" i="1"/>
  <c r="S103" i="1"/>
  <c r="Q102" i="1"/>
  <c r="R102" i="1"/>
  <c r="S102" i="1"/>
  <c r="Q101" i="1"/>
  <c r="R101" i="1"/>
  <c r="S101" i="1"/>
  <c r="Q100" i="1"/>
  <c r="R100" i="1"/>
  <c r="S100" i="1"/>
  <c r="Q99" i="1"/>
  <c r="R99" i="1"/>
  <c r="S99" i="1"/>
  <c r="Q98" i="1"/>
  <c r="R98" i="1"/>
  <c r="S98" i="1"/>
  <c r="Q97" i="1"/>
  <c r="R97" i="1"/>
  <c r="S97" i="1"/>
  <c r="Q96" i="1"/>
  <c r="R96" i="1"/>
  <c r="S96" i="1"/>
  <c r="Q95" i="1"/>
  <c r="R95" i="1"/>
  <c r="S95" i="1"/>
  <c r="Q94" i="1"/>
  <c r="R94" i="1"/>
  <c r="S94" i="1"/>
  <c r="Q93" i="1"/>
  <c r="R93" i="1"/>
  <c r="S93" i="1"/>
  <c r="Q92" i="1"/>
  <c r="R92" i="1"/>
  <c r="S92" i="1"/>
  <c r="Q91" i="1"/>
  <c r="R91" i="1"/>
  <c r="S91" i="1"/>
  <c r="Q90" i="1"/>
  <c r="R90" i="1"/>
  <c r="S90" i="1"/>
  <c r="Q89" i="1"/>
  <c r="R89" i="1"/>
  <c r="S89" i="1"/>
  <c r="Q88" i="1"/>
  <c r="R88" i="1"/>
  <c r="S88" i="1"/>
  <c r="Q87" i="1"/>
  <c r="R87" i="1"/>
  <c r="S87" i="1"/>
  <c r="Q86" i="1"/>
  <c r="R86" i="1"/>
  <c r="S86" i="1"/>
  <c r="Q85" i="1"/>
  <c r="R85" i="1"/>
  <c r="S85" i="1"/>
  <c r="Q84" i="1"/>
  <c r="R84" i="1"/>
  <c r="S84" i="1"/>
  <c r="Q83" i="1"/>
  <c r="R83" i="1"/>
  <c r="S83" i="1"/>
  <c r="Q82" i="1"/>
  <c r="R82" i="1"/>
  <c r="S82" i="1"/>
  <c r="Q81" i="1"/>
  <c r="R81" i="1"/>
  <c r="S81" i="1"/>
  <c r="Q80" i="1"/>
  <c r="R80" i="1"/>
  <c r="S80" i="1"/>
  <c r="Q79" i="1"/>
  <c r="R79" i="1"/>
  <c r="S79" i="1"/>
  <c r="Q78" i="1"/>
  <c r="R78" i="1"/>
  <c r="S78" i="1"/>
  <c r="Q77" i="1"/>
  <c r="R77" i="1"/>
  <c r="S77" i="1"/>
  <c r="Q76" i="1"/>
  <c r="R76" i="1"/>
  <c r="S76" i="1"/>
  <c r="Q75" i="1"/>
  <c r="R75" i="1"/>
  <c r="S75" i="1"/>
  <c r="Q74" i="1"/>
  <c r="R74" i="1"/>
  <c r="S74" i="1"/>
  <c r="Q73" i="1"/>
  <c r="R73" i="1"/>
  <c r="S73" i="1"/>
  <c r="Q72" i="1"/>
  <c r="R72" i="1"/>
  <c r="S72" i="1"/>
  <c r="Q71" i="1"/>
  <c r="R71" i="1"/>
  <c r="S71" i="1"/>
  <c r="Q70" i="1"/>
  <c r="R70" i="1"/>
  <c r="S70" i="1"/>
  <c r="Q69" i="1"/>
  <c r="R69" i="1"/>
  <c r="S69" i="1"/>
  <c r="Q68" i="1"/>
  <c r="R68" i="1"/>
  <c r="S68" i="1"/>
  <c r="Q67" i="1"/>
  <c r="R67" i="1"/>
  <c r="S67" i="1"/>
  <c r="Q66" i="1"/>
  <c r="R66" i="1"/>
  <c r="S66" i="1"/>
  <c r="Q65" i="1"/>
  <c r="R65" i="1"/>
  <c r="S65" i="1"/>
  <c r="Q64" i="1"/>
  <c r="R64" i="1"/>
  <c r="S64" i="1"/>
  <c r="Q63" i="1"/>
  <c r="R63" i="1"/>
  <c r="S63" i="1"/>
  <c r="Q62" i="1"/>
  <c r="R62" i="1"/>
  <c r="S62" i="1"/>
  <c r="Q61" i="1"/>
  <c r="R61" i="1"/>
  <c r="S61" i="1"/>
  <c r="Q60" i="1"/>
  <c r="R60" i="1"/>
  <c r="S60" i="1"/>
  <c r="Q59" i="1"/>
  <c r="R59" i="1"/>
  <c r="S59" i="1"/>
  <c r="Q58" i="1"/>
  <c r="R58" i="1"/>
  <c r="S58" i="1"/>
  <c r="Q57" i="1"/>
  <c r="R57" i="1"/>
  <c r="S57" i="1"/>
  <c r="Q56" i="1"/>
  <c r="R56" i="1"/>
  <c r="S56" i="1"/>
  <c r="Q55" i="1"/>
  <c r="R55" i="1"/>
  <c r="S55" i="1"/>
  <c r="Q54" i="1"/>
  <c r="R54" i="1"/>
  <c r="S54" i="1"/>
  <c r="Q53" i="1"/>
  <c r="R53" i="1"/>
  <c r="S53" i="1"/>
  <c r="Q52" i="1"/>
  <c r="R52" i="1"/>
  <c r="S52" i="1"/>
  <c r="Q51" i="1"/>
  <c r="R51" i="1"/>
  <c r="S51" i="1"/>
  <c r="Q50" i="1"/>
  <c r="R50" i="1"/>
  <c r="S50" i="1"/>
  <c r="Q49" i="1"/>
  <c r="R49" i="1"/>
  <c r="S49" i="1"/>
  <c r="Q48" i="1"/>
  <c r="R48" i="1"/>
  <c r="S48" i="1"/>
  <c r="Q47" i="1"/>
  <c r="R47" i="1"/>
  <c r="S47" i="1"/>
  <c r="Q46" i="1"/>
  <c r="R46" i="1"/>
  <c r="S46" i="1"/>
  <c r="Q45" i="1"/>
  <c r="R45" i="1"/>
  <c r="S45" i="1"/>
  <c r="Q44" i="1"/>
  <c r="R44" i="1"/>
  <c r="S44" i="1"/>
  <c r="Q43" i="1"/>
  <c r="R43" i="1"/>
  <c r="S43" i="1"/>
  <c r="Q42" i="1"/>
  <c r="R42" i="1"/>
  <c r="S42" i="1"/>
  <c r="Q41" i="1"/>
  <c r="R41" i="1"/>
  <c r="S41" i="1"/>
  <c r="Q40" i="1"/>
  <c r="R40" i="1"/>
  <c r="S40" i="1"/>
  <c r="Q39" i="1"/>
  <c r="R39" i="1"/>
  <c r="S39" i="1"/>
  <c r="Q38" i="1"/>
  <c r="R38" i="1"/>
  <c r="S38" i="1"/>
  <c r="Q37" i="1"/>
  <c r="R37" i="1"/>
  <c r="S37" i="1"/>
  <c r="Q36" i="1"/>
  <c r="R36" i="1"/>
  <c r="S36" i="1"/>
  <c r="Q35" i="1"/>
  <c r="R35" i="1"/>
  <c r="S35" i="1"/>
  <c r="Q34" i="1"/>
  <c r="R34" i="1"/>
  <c r="S34" i="1"/>
  <c r="Q33" i="1"/>
  <c r="R33" i="1"/>
  <c r="S33" i="1"/>
  <c r="Q32" i="1"/>
  <c r="R32" i="1"/>
  <c r="S32" i="1"/>
  <c r="Q31" i="1"/>
  <c r="R31" i="1"/>
  <c r="S31" i="1"/>
  <c r="Q30" i="1"/>
  <c r="R30" i="1"/>
  <c r="S30" i="1"/>
  <c r="Q29" i="1"/>
  <c r="R29" i="1"/>
  <c r="S29" i="1"/>
  <c r="Q28" i="1"/>
  <c r="R28" i="1"/>
  <c r="S28" i="1"/>
  <c r="Q27" i="1"/>
  <c r="R27" i="1"/>
  <c r="S27" i="1"/>
  <c r="Q26" i="1"/>
  <c r="R26" i="1"/>
  <c r="S26" i="1"/>
  <c r="Q25" i="1"/>
  <c r="R25" i="1"/>
  <c r="S25" i="1"/>
  <c r="Q24" i="1"/>
  <c r="R24" i="1"/>
  <c r="S24" i="1"/>
  <c r="Q23" i="1"/>
  <c r="R23" i="1"/>
  <c r="S23" i="1"/>
  <c r="Q22" i="1"/>
  <c r="R22" i="1"/>
  <c r="S22" i="1"/>
  <c r="Q21" i="1"/>
  <c r="R21" i="1"/>
  <c r="S21" i="1"/>
  <c r="Q20" i="1"/>
  <c r="R20" i="1"/>
  <c r="S20" i="1"/>
  <c r="Q19" i="1"/>
  <c r="R19" i="1"/>
  <c r="S19" i="1"/>
  <c r="Q18" i="1"/>
  <c r="R18" i="1"/>
  <c r="S18" i="1"/>
  <c r="AA23" i="3" a="1"/>
  <c r="AA23" i="3"/>
  <c r="AB23" i="3"/>
  <c r="AC23" i="3"/>
  <c r="AD23" i="3"/>
  <c r="AE23" i="3"/>
  <c r="AF23" i="3"/>
  <c r="AG23" i="3"/>
  <c r="AH23" i="3"/>
  <c r="AI23" i="3"/>
  <c r="AJ23" i="3"/>
  <c r="AK23" i="3"/>
  <c r="AA24" i="3"/>
  <c r="AB24" i="3"/>
  <c r="AC24" i="3"/>
  <c r="AD24" i="3"/>
  <c r="AE24" i="3"/>
  <c r="AF24" i="3"/>
  <c r="AG24" i="3"/>
  <c r="AH24" i="3"/>
  <c r="AI24" i="3"/>
  <c r="AJ24" i="3"/>
  <c r="AK24" i="3"/>
  <c r="AA25" i="3"/>
  <c r="AB25" i="3"/>
  <c r="AC25" i="3"/>
  <c r="AD25" i="3"/>
  <c r="AE25" i="3"/>
  <c r="AF25" i="3"/>
  <c r="AG25" i="3"/>
  <c r="AH25" i="3"/>
  <c r="AI25" i="3"/>
  <c r="AJ25" i="3"/>
  <c r="AK25" i="3"/>
  <c r="AA26" i="3"/>
  <c r="AB26" i="3"/>
  <c r="AC26" i="3"/>
  <c r="AD26" i="3"/>
  <c r="AE26" i="3"/>
  <c r="AF26" i="3"/>
  <c r="AG26" i="3"/>
  <c r="AH26" i="3"/>
  <c r="AI26" i="3"/>
  <c r="AJ26" i="3"/>
  <c r="AK26" i="3"/>
  <c r="AA27" i="3"/>
  <c r="AB27" i="3"/>
  <c r="AC27" i="3"/>
  <c r="AD27" i="3"/>
  <c r="AE27" i="3"/>
  <c r="AF27" i="3"/>
  <c r="AG27" i="3"/>
  <c r="AH27" i="3"/>
  <c r="AI27" i="3"/>
  <c r="AJ27" i="3"/>
  <c r="AK27" i="3"/>
  <c r="AA28" i="3"/>
  <c r="AB28" i="3"/>
  <c r="AC28" i="3"/>
  <c r="AD28" i="3"/>
  <c r="AE28" i="3"/>
  <c r="AF28" i="3"/>
  <c r="AG28" i="3"/>
  <c r="AH28" i="3"/>
  <c r="AI28" i="3"/>
  <c r="AJ28" i="3"/>
  <c r="AK28" i="3"/>
  <c r="AA29" i="3"/>
  <c r="AB29" i="3"/>
  <c r="AC29" i="3"/>
  <c r="AD29" i="3"/>
  <c r="AE29" i="3"/>
  <c r="AF29" i="3"/>
  <c r="AG29" i="3"/>
  <c r="AH29" i="3"/>
  <c r="AI29" i="3"/>
  <c r="AJ29" i="3"/>
  <c r="AK29" i="3"/>
  <c r="AA30" i="3"/>
  <c r="AB30" i="3"/>
  <c r="AC30" i="3"/>
  <c r="AD30" i="3"/>
  <c r="AE30" i="3"/>
  <c r="AF30" i="3"/>
  <c r="AG30" i="3"/>
  <c r="AH30" i="3"/>
  <c r="AI30" i="3"/>
  <c r="AJ30" i="3"/>
  <c r="AK30" i="3"/>
  <c r="AA31" i="3"/>
  <c r="AB31" i="3"/>
  <c r="AC31" i="3"/>
  <c r="AD31" i="3"/>
  <c r="AE31" i="3"/>
  <c r="AF31" i="3"/>
  <c r="AG31" i="3"/>
  <c r="AH31" i="3"/>
  <c r="AI31" i="3"/>
  <c r="AJ31" i="3"/>
  <c r="AK31" i="3"/>
  <c r="AA32" i="3"/>
  <c r="AB32" i="3"/>
  <c r="AC32" i="3"/>
  <c r="AD32" i="3"/>
  <c r="AE32" i="3"/>
  <c r="AF32" i="3"/>
  <c r="AG32" i="3"/>
  <c r="AH32" i="3"/>
  <c r="AI32" i="3"/>
  <c r="AJ32" i="3"/>
  <c r="AK32" i="3"/>
  <c r="AA33" i="3"/>
  <c r="AB33" i="3"/>
  <c r="AC33" i="3"/>
  <c r="AD33" i="3"/>
  <c r="AE33" i="3"/>
  <c r="AF33" i="3"/>
  <c r="AG33" i="3"/>
  <c r="AH33" i="3"/>
  <c r="AI33" i="3"/>
  <c r="AJ33" i="3"/>
  <c r="AK33" i="3"/>
  <c r="AA5" i="3" a="1"/>
  <c r="AK15" i="3"/>
  <c r="AK14" i="3"/>
  <c r="AK13" i="3"/>
  <c r="AA5" i="3"/>
  <c r="AB5" i="3"/>
  <c r="AC5" i="3"/>
  <c r="AD5" i="3"/>
  <c r="AE5" i="3"/>
  <c r="AF5" i="3"/>
  <c r="AG5" i="3"/>
  <c r="AH5" i="3"/>
  <c r="AI5" i="3"/>
  <c r="AJ5" i="3"/>
  <c r="AK5" i="3"/>
  <c r="AA6" i="3"/>
  <c r="AB6" i="3"/>
  <c r="AC6" i="3"/>
  <c r="AD6" i="3"/>
  <c r="AE6" i="3"/>
  <c r="AF6" i="3"/>
  <c r="AG6" i="3"/>
  <c r="AH6" i="3"/>
  <c r="AI6" i="3"/>
  <c r="AJ6" i="3"/>
  <c r="AK6" i="3"/>
  <c r="AA7" i="3"/>
  <c r="AB7" i="3"/>
  <c r="AC7" i="3"/>
  <c r="AD7" i="3"/>
  <c r="AE7" i="3"/>
  <c r="AF7" i="3"/>
  <c r="AG7" i="3"/>
  <c r="AH7" i="3"/>
  <c r="AI7" i="3"/>
  <c r="AJ7" i="3"/>
  <c r="AK7" i="3"/>
  <c r="AA8" i="3"/>
  <c r="AB8" i="3"/>
  <c r="AC8" i="3"/>
  <c r="AD8" i="3"/>
  <c r="AE8" i="3"/>
  <c r="AF8" i="3"/>
  <c r="AG8" i="3"/>
  <c r="AH8" i="3"/>
  <c r="AI8" i="3"/>
  <c r="AJ8" i="3"/>
  <c r="AK8" i="3"/>
  <c r="AA9" i="3"/>
  <c r="AB9" i="3"/>
  <c r="AC9" i="3"/>
  <c r="AD9" i="3"/>
  <c r="AE9" i="3"/>
  <c r="AF9" i="3"/>
  <c r="AG9" i="3"/>
  <c r="AH9" i="3"/>
  <c r="AI9" i="3"/>
  <c r="AJ9" i="3"/>
  <c r="AK9" i="3"/>
  <c r="AA10" i="3"/>
  <c r="AB10" i="3"/>
  <c r="AC10" i="3"/>
  <c r="AD10" i="3"/>
  <c r="AE10" i="3"/>
  <c r="AF10" i="3"/>
  <c r="AG10" i="3"/>
  <c r="AH10" i="3"/>
  <c r="AI10" i="3"/>
  <c r="AJ10" i="3"/>
  <c r="AK10" i="3"/>
  <c r="AA11" i="3"/>
  <c r="AB11" i="3"/>
  <c r="AC11" i="3"/>
  <c r="AD11" i="3"/>
  <c r="AE11" i="3"/>
  <c r="AF11" i="3"/>
  <c r="AG11" i="3"/>
  <c r="AH11" i="3"/>
  <c r="AI11" i="3"/>
  <c r="AJ11" i="3"/>
  <c r="AK11" i="3"/>
  <c r="AA12" i="3"/>
  <c r="AB12" i="3"/>
  <c r="AC12" i="3"/>
  <c r="AD12" i="3"/>
  <c r="AE12" i="3"/>
  <c r="AF12" i="3"/>
  <c r="AG12" i="3"/>
  <c r="AH12" i="3"/>
  <c r="AI12" i="3"/>
  <c r="AJ12" i="3"/>
  <c r="AK12" i="3"/>
  <c r="AA13" i="3"/>
  <c r="AB13" i="3"/>
  <c r="AC13" i="3"/>
  <c r="AD13" i="3"/>
  <c r="AE13" i="3"/>
  <c r="AF13" i="3"/>
  <c r="AG13" i="3"/>
  <c r="AH13" i="3"/>
  <c r="AI13" i="3"/>
  <c r="AJ13" i="3"/>
  <c r="AA14" i="3"/>
  <c r="AB14" i="3"/>
  <c r="AC14" i="3"/>
  <c r="AD14" i="3"/>
  <c r="AE14" i="3"/>
  <c r="AF14" i="3"/>
  <c r="AG14" i="3"/>
  <c r="AH14" i="3"/>
  <c r="AI14" i="3"/>
  <c r="AJ14" i="3"/>
  <c r="AA15" i="3"/>
  <c r="AB15" i="3"/>
  <c r="AC15" i="3"/>
  <c r="AD15" i="3"/>
  <c r="AE15" i="3"/>
  <c r="AF15" i="3"/>
  <c r="AG15" i="3"/>
  <c r="AH15" i="3"/>
  <c r="AI15" i="3"/>
  <c r="AJ15" i="3"/>
  <c r="AN5" i="3"/>
  <c r="AO5" i="3"/>
  <c r="AP5" i="3"/>
  <c r="AQ5" i="3"/>
  <c r="AR5" i="3"/>
  <c r="AS5" i="3"/>
  <c r="AT5" i="3"/>
  <c r="AU5" i="3"/>
  <c r="AV5" i="3"/>
  <c r="AW5" i="3"/>
  <c r="AX5" i="3"/>
  <c r="AN6" i="3"/>
  <c r="AO6" i="3"/>
  <c r="AP6" i="3"/>
  <c r="AQ6" i="3"/>
  <c r="AR6" i="3"/>
  <c r="AS6" i="3"/>
  <c r="AT6" i="3"/>
  <c r="AU6" i="3"/>
  <c r="AV6" i="3"/>
  <c r="AW6" i="3"/>
  <c r="AX6" i="3"/>
  <c r="AN7" i="3"/>
  <c r="AO7" i="3"/>
  <c r="AP7" i="3"/>
  <c r="AQ7" i="3"/>
  <c r="AR7" i="3"/>
  <c r="AS7" i="3"/>
  <c r="AT7" i="3"/>
  <c r="AU7" i="3"/>
  <c r="AV7" i="3"/>
  <c r="AW7" i="3"/>
  <c r="AX7" i="3"/>
  <c r="AN8" i="3"/>
  <c r="AO8" i="3"/>
  <c r="AP8" i="3"/>
  <c r="AQ8" i="3"/>
  <c r="AR8" i="3"/>
  <c r="AS8" i="3"/>
  <c r="AT8" i="3"/>
  <c r="AU8" i="3"/>
  <c r="AV8" i="3"/>
  <c r="AW8" i="3"/>
  <c r="AX8" i="3"/>
  <c r="AN9" i="3"/>
  <c r="AO9" i="3"/>
  <c r="AP9" i="3"/>
  <c r="AQ9" i="3"/>
  <c r="AR9" i="3"/>
  <c r="AS9" i="3"/>
  <c r="AT9" i="3"/>
  <c r="AU9" i="3"/>
  <c r="AV9" i="3"/>
  <c r="AW9" i="3"/>
  <c r="AX9" i="3"/>
  <c r="AN10" i="3"/>
  <c r="AO10" i="3"/>
  <c r="AP10" i="3"/>
  <c r="AQ10" i="3"/>
  <c r="AR10" i="3"/>
  <c r="AS10" i="3"/>
  <c r="AT10" i="3"/>
  <c r="AU10" i="3"/>
  <c r="AV10" i="3"/>
  <c r="AW10" i="3"/>
  <c r="AX10" i="3"/>
  <c r="AN11" i="3"/>
  <c r="AO11" i="3"/>
  <c r="AP11" i="3"/>
  <c r="AQ11" i="3"/>
  <c r="AR11" i="3"/>
  <c r="AS11" i="3"/>
  <c r="AT11" i="3"/>
  <c r="AU11" i="3"/>
  <c r="AV11" i="3"/>
  <c r="AW11" i="3"/>
  <c r="AX11" i="3"/>
  <c r="AN12" i="3"/>
  <c r="AO12" i="3"/>
  <c r="AP12" i="3"/>
  <c r="AQ12" i="3"/>
  <c r="AR12" i="3"/>
  <c r="AS12" i="3"/>
  <c r="AT12" i="3"/>
  <c r="AU12" i="3"/>
  <c r="AV12" i="3"/>
  <c r="AW12" i="3"/>
  <c r="AX12" i="3"/>
  <c r="AN13" i="3"/>
  <c r="AO13" i="3"/>
  <c r="AP13" i="3"/>
  <c r="AQ13" i="3"/>
  <c r="AR13" i="3"/>
  <c r="AS13" i="3"/>
  <c r="AT13" i="3"/>
  <c r="AU13" i="3"/>
  <c r="AV13" i="3"/>
  <c r="AW13" i="3"/>
  <c r="AX13" i="3"/>
  <c r="AN14" i="3"/>
  <c r="AO14" i="3"/>
  <c r="AP14" i="3"/>
  <c r="AQ14" i="3"/>
  <c r="AR14" i="3"/>
  <c r="AS14" i="3"/>
  <c r="AT14" i="3"/>
  <c r="AU14" i="3"/>
  <c r="AV14" i="3"/>
  <c r="AW14" i="3"/>
  <c r="AX14" i="3"/>
  <c r="AN15" i="3"/>
  <c r="AO15" i="3"/>
  <c r="AP15" i="3"/>
  <c r="AQ15" i="3"/>
  <c r="AR15" i="3"/>
  <c r="AS15" i="3"/>
  <c r="AT15" i="3"/>
  <c r="AU15" i="3"/>
  <c r="AV15" i="3"/>
  <c r="AW15" i="3"/>
  <c r="AX15" i="3"/>
  <c r="AM34" i="3" a="1"/>
  <c r="AM34" i="3"/>
  <c r="AN34" i="3"/>
  <c r="AO34" i="3"/>
  <c r="AP34" i="3"/>
  <c r="AQ34" i="3"/>
  <c r="AR34" i="3"/>
  <c r="AS34" i="3"/>
  <c r="AT34" i="3"/>
  <c r="AU34" i="3"/>
  <c r="AV34" i="3"/>
  <c r="AW34" i="3"/>
  <c r="AM35" i="3"/>
  <c r="AN35" i="3"/>
  <c r="AO35" i="3"/>
  <c r="AP35" i="3"/>
  <c r="AQ35" i="3"/>
  <c r="AR35" i="3"/>
  <c r="AS35" i="3"/>
  <c r="AT35" i="3"/>
  <c r="AU35" i="3"/>
  <c r="AV35" i="3"/>
  <c r="AW35" i="3"/>
  <c r="AM36" i="3"/>
  <c r="AN36" i="3"/>
  <c r="AO36" i="3"/>
  <c r="AP36" i="3"/>
  <c r="AQ36" i="3"/>
  <c r="AR36" i="3"/>
  <c r="AS36" i="3"/>
  <c r="AT36" i="3"/>
  <c r="AU36" i="3"/>
  <c r="AV36" i="3"/>
  <c r="AW36" i="3"/>
  <c r="AM37" i="3"/>
  <c r="AN37" i="3"/>
  <c r="AO37" i="3"/>
  <c r="AP37" i="3"/>
  <c r="AQ37" i="3"/>
  <c r="AR37" i="3"/>
  <c r="AS37" i="3"/>
  <c r="AT37" i="3"/>
  <c r="AU37" i="3"/>
  <c r="AV37" i="3"/>
  <c r="AW37" i="3"/>
  <c r="AM38" i="3"/>
  <c r="AN38" i="3"/>
  <c r="AO38" i="3"/>
  <c r="AP38" i="3"/>
  <c r="AQ38" i="3"/>
  <c r="AR38" i="3"/>
  <c r="AS38" i="3"/>
  <c r="AT38" i="3"/>
  <c r="AU38" i="3"/>
  <c r="AV38" i="3"/>
  <c r="AW38" i="3"/>
  <c r="AM39" i="3"/>
  <c r="AN39" i="3"/>
  <c r="AO39" i="3"/>
  <c r="AP39" i="3"/>
  <c r="AQ39" i="3"/>
  <c r="AR39" i="3"/>
  <c r="AS39" i="3"/>
  <c r="AT39" i="3"/>
  <c r="AU39" i="3"/>
  <c r="AV39" i="3"/>
  <c r="AW39" i="3"/>
  <c r="AM40" i="3"/>
  <c r="AN40" i="3"/>
  <c r="AO40" i="3"/>
  <c r="AP40" i="3"/>
  <c r="AQ40" i="3"/>
  <c r="AR40" i="3"/>
  <c r="AS40" i="3"/>
  <c r="AT40" i="3"/>
  <c r="AU40" i="3"/>
  <c r="AV40" i="3"/>
  <c r="AW40" i="3"/>
  <c r="AM41" i="3"/>
  <c r="AN41" i="3"/>
  <c r="AO41" i="3"/>
  <c r="AP41" i="3"/>
  <c r="AQ41" i="3"/>
  <c r="AR41" i="3"/>
  <c r="AS41" i="3"/>
  <c r="AT41" i="3"/>
  <c r="AU41" i="3"/>
  <c r="AV41" i="3"/>
  <c r="AW41" i="3"/>
  <c r="AM42" i="3"/>
  <c r="AN42" i="3"/>
  <c r="AO42" i="3"/>
  <c r="AP42" i="3"/>
  <c r="AQ42" i="3"/>
  <c r="AR42" i="3"/>
  <c r="AS42" i="3"/>
  <c r="AT42" i="3"/>
  <c r="AU42" i="3"/>
  <c r="AV42" i="3"/>
  <c r="AW42" i="3"/>
  <c r="AM43" i="3"/>
  <c r="AN43" i="3"/>
  <c r="AO43" i="3"/>
  <c r="AP43" i="3"/>
  <c r="AQ43" i="3"/>
  <c r="AR43" i="3"/>
  <c r="AS43" i="3"/>
  <c r="AT43" i="3"/>
  <c r="AU43" i="3"/>
  <c r="AV43" i="3"/>
  <c r="AW43" i="3"/>
  <c r="AM44" i="3"/>
  <c r="AN44" i="3"/>
  <c r="AO44" i="3"/>
  <c r="AP44" i="3"/>
  <c r="AQ44" i="3"/>
  <c r="AR44" i="3"/>
  <c r="AS44" i="3"/>
  <c r="AT44" i="3"/>
  <c r="AU44" i="3"/>
  <c r="AV44" i="3"/>
  <c r="AW44" i="3"/>
  <c r="AM64" i="3" a="1"/>
  <c r="AM64" i="3"/>
  <c r="AN64" i="3"/>
  <c r="AO64" i="3"/>
  <c r="AP64" i="3"/>
  <c r="AQ64" i="3"/>
  <c r="AR64" i="3"/>
  <c r="AS64" i="3"/>
  <c r="AT64" i="3"/>
  <c r="AU64" i="3"/>
  <c r="AV64" i="3"/>
  <c r="AW64" i="3"/>
  <c r="AM65" i="3"/>
  <c r="AN65" i="3"/>
  <c r="AO65" i="3"/>
  <c r="AP65" i="3"/>
  <c r="AQ65" i="3"/>
  <c r="AR65" i="3"/>
  <c r="AS65" i="3"/>
  <c r="AT65" i="3"/>
  <c r="AU65" i="3"/>
  <c r="AV65" i="3"/>
  <c r="AW65" i="3"/>
  <c r="AM66" i="3"/>
  <c r="AN66" i="3"/>
  <c r="AO66" i="3"/>
  <c r="AP66" i="3"/>
  <c r="AQ66" i="3"/>
  <c r="AR66" i="3"/>
  <c r="AS66" i="3"/>
  <c r="AT66" i="3"/>
  <c r="AU66" i="3"/>
  <c r="AV66" i="3"/>
  <c r="AW66" i="3"/>
  <c r="AM67" i="3"/>
  <c r="AN67" i="3"/>
  <c r="AO67" i="3"/>
  <c r="AP67" i="3"/>
  <c r="AQ67" i="3"/>
  <c r="AR67" i="3"/>
  <c r="AS67" i="3"/>
  <c r="AT67" i="3"/>
  <c r="AU67" i="3"/>
  <c r="AV67" i="3"/>
  <c r="AW67" i="3"/>
  <c r="AM68" i="3"/>
  <c r="AN68" i="3"/>
  <c r="AO68" i="3"/>
  <c r="AP68" i="3"/>
  <c r="AQ68" i="3"/>
  <c r="AR68" i="3"/>
  <c r="AS68" i="3"/>
  <c r="AT68" i="3"/>
  <c r="AU68" i="3"/>
  <c r="AV68" i="3"/>
  <c r="AW68" i="3"/>
  <c r="AM69" i="3"/>
  <c r="AN69" i="3"/>
  <c r="AO69" i="3"/>
  <c r="AP69" i="3"/>
  <c r="AQ69" i="3"/>
  <c r="AR69" i="3"/>
  <c r="AS69" i="3"/>
  <c r="AT69" i="3"/>
  <c r="AU69" i="3"/>
  <c r="AV69" i="3"/>
  <c r="AW69" i="3"/>
  <c r="AM70" i="3"/>
  <c r="AN70" i="3"/>
  <c r="AO70" i="3"/>
  <c r="AP70" i="3"/>
  <c r="AQ70" i="3"/>
  <c r="AR70" i="3"/>
  <c r="AS70" i="3"/>
  <c r="AT70" i="3"/>
  <c r="AU70" i="3"/>
  <c r="AV70" i="3"/>
  <c r="AW70" i="3"/>
  <c r="AM71" i="3"/>
  <c r="AN71" i="3"/>
  <c r="AO71" i="3"/>
  <c r="AP71" i="3"/>
  <c r="AQ71" i="3"/>
  <c r="AR71" i="3"/>
  <c r="AS71" i="3"/>
  <c r="AT71" i="3"/>
  <c r="AU71" i="3"/>
  <c r="AV71" i="3"/>
  <c r="AW71" i="3"/>
  <c r="AM72" i="3"/>
  <c r="AN72" i="3"/>
  <c r="AO72" i="3"/>
  <c r="AP72" i="3"/>
  <c r="AQ72" i="3"/>
  <c r="AR72" i="3"/>
  <c r="AS72" i="3"/>
  <c r="AT72" i="3"/>
  <c r="AU72" i="3"/>
  <c r="AV72" i="3"/>
  <c r="AW72" i="3"/>
  <c r="AM73" i="3"/>
  <c r="AN73" i="3"/>
  <c r="AO73" i="3"/>
  <c r="AP73" i="3"/>
  <c r="AQ73" i="3"/>
  <c r="AR73" i="3"/>
  <c r="AS73" i="3"/>
  <c r="AT73" i="3"/>
  <c r="AU73" i="3"/>
  <c r="AV73" i="3"/>
  <c r="AW73" i="3"/>
  <c r="AM74" i="3"/>
  <c r="AN74" i="3"/>
  <c r="AO74" i="3"/>
  <c r="AP74" i="3"/>
  <c r="AQ74" i="3"/>
  <c r="AR74" i="3"/>
  <c r="AS74" i="3"/>
  <c r="AT74" i="3"/>
  <c r="AU74" i="3"/>
  <c r="AV74" i="3"/>
  <c r="AW74" i="3"/>
  <c r="AM49" i="3" a="1"/>
  <c r="AM49" i="3"/>
  <c r="AM50" i="3"/>
  <c r="AM51" i="3"/>
  <c r="AM52" i="3"/>
  <c r="AM53" i="3"/>
  <c r="AM54" i="3"/>
  <c r="AM55" i="3"/>
  <c r="AM56" i="3"/>
  <c r="AM57" i="3"/>
  <c r="AM58" i="3"/>
  <c r="AM59" i="3"/>
  <c r="AO49" i="3" a="1"/>
  <c r="AO49" i="3"/>
  <c r="AO50" i="3"/>
  <c r="AO51" i="3"/>
  <c r="AO52" i="3"/>
  <c r="AO53" i="3"/>
  <c r="AO54" i="3"/>
  <c r="AO55" i="3"/>
  <c r="AO56" i="3"/>
  <c r="AO57" i="3"/>
  <c r="AO58" i="3"/>
  <c r="AO59" i="3"/>
  <c r="AA37" i="3" a="1"/>
  <c r="AA37" i="3"/>
  <c r="AB37" i="3"/>
  <c r="AC37" i="3"/>
  <c r="AD37" i="3"/>
  <c r="AE37" i="3"/>
  <c r="AF37" i="3"/>
  <c r="AG37" i="3"/>
  <c r="AH37" i="3"/>
  <c r="AI37" i="3"/>
  <c r="AJ37" i="3"/>
  <c r="AK37" i="3"/>
  <c r="AA38" i="3"/>
  <c r="AB38" i="3"/>
  <c r="AC38" i="3"/>
  <c r="AD38" i="3"/>
  <c r="AE38" i="3"/>
  <c r="AF38" i="3"/>
  <c r="AG38" i="3"/>
  <c r="AH38" i="3"/>
  <c r="AI38" i="3"/>
  <c r="AJ38" i="3"/>
  <c r="AK38" i="3"/>
  <c r="AA39" i="3"/>
  <c r="AB39" i="3"/>
  <c r="AC39" i="3"/>
  <c r="AD39" i="3"/>
  <c r="AE39" i="3"/>
  <c r="AF39" i="3"/>
  <c r="AG39" i="3"/>
  <c r="AH39" i="3"/>
  <c r="AI39" i="3"/>
  <c r="AJ39" i="3"/>
  <c r="AK39" i="3"/>
  <c r="AA40" i="3"/>
  <c r="AB40" i="3"/>
  <c r="AC40" i="3"/>
  <c r="AD40" i="3"/>
  <c r="AE40" i="3"/>
  <c r="AF40" i="3"/>
  <c r="AG40" i="3"/>
  <c r="AH40" i="3"/>
  <c r="AI40" i="3"/>
  <c r="AJ40" i="3"/>
  <c r="AK40" i="3"/>
  <c r="AA41" i="3"/>
  <c r="AB41" i="3"/>
  <c r="AC41" i="3"/>
  <c r="AD41" i="3"/>
  <c r="AE41" i="3"/>
  <c r="AF41" i="3"/>
  <c r="AG41" i="3"/>
  <c r="AH41" i="3"/>
  <c r="AI41" i="3"/>
  <c r="AJ41" i="3"/>
  <c r="AK41" i="3"/>
  <c r="AA42" i="3"/>
  <c r="AB42" i="3"/>
  <c r="AC42" i="3"/>
  <c r="AD42" i="3"/>
  <c r="AE42" i="3"/>
  <c r="AF42" i="3"/>
  <c r="AG42" i="3"/>
  <c r="AH42" i="3"/>
  <c r="AI42" i="3"/>
  <c r="AJ42" i="3"/>
  <c r="AK42" i="3"/>
  <c r="AA43" i="3"/>
  <c r="AB43" i="3"/>
  <c r="AC43" i="3"/>
  <c r="AD43" i="3"/>
  <c r="AE43" i="3"/>
  <c r="AF43" i="3"/>
  <c r="AG43" i="3"/>
  <c r="AH43" i="3"/>
  <c r="AI43" i="3"/>
  <c r="AJ43" i="3"/>
  <c r="AK43" i="3"/>
  <c r="AA44" i="3"/>
  <c r="AB44" i="3"/>
  <c r="AC44" i="3"/>
  <c r="AD44" i="3"/>
  <c r="AE44" i="3"/>
  <c r="AF44" i="3"/>
  <c r="AG44" i="3"/>
  <c r="AH44" i="3"/>
  <c r="AI44" i="3"/>
  <c r="AJ44" i="3"/>
  <c r="AK44" i="3"/>
  <c r="AA45" i="3"/>
  <c r="AB45" i="3"/>
  <c r="AC45" i="3"/>
  <c r="AD45" i="3"/>
  <c r="AE45" i="3"/>
  <c r="AF45" i="3"/>
  <c r="AG45" i="3"/>
  <c r="AH45" i="3"/>
  <c r="AI45" i="3"/>
  <c r="AJ45" i="3"/>
  <c r="AK45" i="3"/>
  <c r="AA46" i="3"/>
  <c r="AB46" i="3"/>
  <c r="AC46" i="3"/>
  <c r="AD46" i="3"/>
  <c r="AE46" i="3"/>
  <c r="AF46" i="3"/>
  <c r="AG46" i="3"/>
  <c r="AH46" i="3"/>
  <c r="AI46" i="3"/>
  <c r="AJ46" i="3"/>
  <c r="AK46" i="3"/>
  <c r="AA47" i="3"/>
  <c r="AB47" i="3"/>
  <c r="AC47" i="3"/>
  <c r="AD47" i="3"/>
  <c r="AE47" i="3"/>
  <c r="AF47" i="3"/>
  <c r="AG47" i="3"/>
  <c r="AH47" i="3"/>
  <c r="AI47" i="3"/>
  <c r="AJ47" i="3"/>
  <c r="AK47" i="3"/>
  <c r="AM78" i="3" a="1"/>
  <c r="AM78" i="3"/>
  <c r="AN78" i="3"/>
  <c r="AO78" i="3"/>
  <c r="AP78" i="3"/>
  <c r="AQ78" i="3"/>
  <c r="AR78" i="3"/>
  <c r="AS78" i="3"/>
  <c r="AT78" i="3"/>
  <c r="AU78" i="3"/>
  <c r="AV78" i="3"/>
  <c r="AW78" i="3"/>
  <c r="AM79" i="3"/>
  <c r="AN79" i="3"/>
  <c r="AO79" i="3"/>
  <c r="AP79" i="3"/>
  <c r="AQ79" i="3"/>
  <c r="AR79" i="3"/>
  <c r="AS79" i="3"/>
  <c r="AT79" i="3"/>
  <c r="AU79" i="3"/>
  <c r="AV79" i="3"/>
  <c r="AW79" i="3"/>
  <c r="AM80" i="3"/>
  <c r="AN80" i="3"/>
  <c r="AO80" i="3"/>
  <c r="AP80" i="3"/>
  <c r="AQ80" i="3"/>
  <c r="AR80" i="3"/>
  <c r="AS80" i="3"/>
  <c r="AT80" i="3"/>
  <c r="AU80" i="3"/>
  <c r="AV80" i="3"/>
  <c r="AW80" i="3"/>
  <c r="AM81" i="3"/>
  <c r="AN81" i="3"/>
  <c r="AO81" i="3"/>
  <c r="AP81" i="3"/>
  <c r="AQ81" i="3"/>
  <c r="AR81" i="3"/>
  <c r="AS81" i="3"/>
  <c r="AT81" i="3"/>
  <c r="AU81" i="3"/>
  <c r="AV81" i="3"/>
  <c r="AW81" i="3"/>
  <c r="AM82" i="3"/>
  <c r="AN82" i="3"/>
  <c r="AO82" i="3"/>
  <c r="AP82" i="3"/>
  <c r="AQ82" i="3"/>
  <c r="AR82" i="3"/>
  <c r="AS82" i="3"/>
  <c r="AT82" i="3"/>
  <c r="AU82" i="3"/>
  <c r="AV82" i="3"/>
  <c r="AW82" i="3"/>
  <c r="AM83" i="3"/>
  <c r="AN83" i="3"/>
  <c r="AO83" i="3"/>
  <c r="AP83" i="3"/>
  <c r="AQ83" i="3"/>
  <c r="AR83" i="3"/>
  <c r="AS83" i="3"/>
  <c r="AT83" i="3"/>
  <c r="AU83" i="3"/>
  <c r="AV83" i="3"/>
  <c r="AW83" i="3"/>
  <c r="AM84" i="3"/>
  <c r="AN84" i="3"/>
  <c r="AO84" i="3"/>
  <c r="AP84" i="3"/>
  <c r="AQ84" i="3"/>
  <c r="AR84" i="3"/>
  <c r="AS84" i="3"/>
  <c r="AT84" i="3"/>
  <c r="AU84" i="3"/>
  <c r="AV84" i="3"/>
  <c r="AW84" i="3"/>
  <c r="AM85" i="3"/>
  <c r="AN85" i="3"/>
  <c r="AO85" i="3"/>
  <c r="AP85" i="3"/>
  <c r="AQ85" i="3"/>
  <c r="AR85" i="3"/>
  <c r="AS85" i="3"/>
  <c r="AT85" i="3"/>
  <c r="AU85" i="3"/>
  <c r="AV85" i="3"/>
  <c r="AW85" i="3"/>
  <c r="AM86" i="3"/>
  <c r="AN86" i="3"/>
  <c r="AO86" i="3"/>
  <c r="AP86" i="3"/>
  <c r="AQ86" i="3"/>
  <c r="AR86" i="3"/>
  <c r="AS86" i="3"/>
  <c r="AT86" i="3"/>
  <c r="AU86" i="3"/>
  <c r="AV86" i="3"/>
  <c r="AW86" i="3"/>
  <c r="AM87" i="3"/>
  <c r="AN87" i="3"/>
  <c r="AO87" i="3"/>
  <c r="AP87" i="3"/>
  <c r="AQ87" i="3"/>
  <c r="AR87" i="3"/>
  <c r="AS87" i="3"/>
  <c r="AT87" i="3"/>
  <c r="AU87" i="3"/>
  <c r="AV87" i="3"/>
  <c r="AW87" i="3"/>
  <c r="AM88" i="3"/>
  <c r="AN88" i="3"/>
  <c r="AO88" i="3"/>
  <c r="AP88" i="3"/>
  <c r="AQ88" i="3"/>
  <c r="AR88" i="3"/>
  <c r="AS88" i="3"/>
  <c r="AT88" i="3"/>
  <c r="AU88" i="3"/>
  <c r="AV88" i="3"/>
  <c r="AW88" i="3"/>
  <c r="AP7" i="4" a="1"/>
  <c r="BA18" i="4"/>
  <c r="AZ18" i="4"/>
  <c r="AY18" i="4"/>
  <c r="AP7" i="4"/>
  <c r="AQ7" i="4"/>
  <c r="AR7" i="4"/>
  <c r="AS7" i="4"/>
  <c r="AT7" i="4"/>
  <c r="AU7" i="4"/>
  <c r="AV7" i="4"/>
  <c r="AW7" i="4"/>
  <c r="AX7" i="4"/>
  <c r="AY7" i="4"/>
  <c r="AZ7" i="4"/>
  <c r="BA7" i="4"/>
  <c r="AP8" i="4"/>
  <c r="AQ8" i="4"/>
  <c r="AR8" i="4"/>
  <c r="AS8" i="4"/>
  <c r="AT8" i="4"/>
  <c r="AU8" i="4"/>
  <c r="AV8" i="4"/>
  <c r="AW8" i="4"/>
  <c r="AX8" i="4"/>
  <c r="AY8" i="4"/>
  <c r="AZ8" i="4"/>
  <c r="BA8" i="4"/>
  <c r="AP9" i="4"/>
  <c r="AQ9" i="4"/>
  <c r="AR9" i="4"/>
  <c r="AS9" i="4"/>
  <c r="AT9" i="4"/>
  <c r="AU9" i="4"/>
  <c r="AV9" i="4"/>
  <c r="AW9" i="4"/>
  <c r="AX9" i="4"/>
  <c r="AY9" i="4"/>
  <c r="AZ9" i="4"/>
  <c r="BA9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AP18" i="4"/>
  <c r="AQ18" i="4"/>
  <c r="AR18" i="4"/>
  <c r="AS18" i="4"/>
  <c r="AT18" i="4"/>
  <c r="AU18" i="4"/>
  <c r="AV18" i="4"/>
  <c r="AW18" i="4"/>
  <c r="AX18" i="4"/>
  <c r="AO38" i="4" a="1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AA23" i="5" a="1"/>
  <c r="AK33" i="5"/>
  <c r="AJ33" i="5"/>
  <c r="AI33" i="5"/>
  <c r="AH33" i="5"/>
  <c r="AG33" i="5"/>
  <c r="AF33" i="5"/>
  <c r="AE33" i="5"/>
  <c r="AD33" i="5"/>
  <c r="AC33" i="5"/>
  <c r="AB33" i="5"/>
  <c r="AA33" i="5"/>
  <c r="AK32" i="5"/>
  <c r="AJ32" i="5"/>
  <c r="AI32" i="5"/>
  <c r="AH32" i="5"/>
  <c r="AG32" i="5"/>
  <c r="AF32" i="5"/>
  <c r="AE32" i="5"/>
  <c r="AD32" i="5"/>
  <c r="AC32" i="5"/>
  <c r="AB32" i="5"/>
  <c r="AA32" i="5"/>
  <c r="AK31" i="5"/>
  <c r="AJ31" i="5"/>
  <c r="AI31" i="5"/>
  <c r="AH31" i="5"/>
  <c r="AG31" i="5"/>
  <c r="AF31" i="5"/>
  <c r="AE31" i="5"/>
  <c r="AD31" i="5"/>
  <c r="AC31" i="5"/>
  <c r="AB31" i="5"/>
  <c r="AA31" i="5"/>
  <c r="AK30" i="5"/>
  <c r="AJ30" i="5"/>
  <c r="AI30" i="5"/>
  <c r="AH30" i="5"/>
  <c r="AG30" i="5"/>
  <c r="AF30" i="5"/>
  <c r="AE30" i="5"/>
  <c r="AD30" i="5"/>
  <c r="AC30" i="5"/>
  <c r="AB30" i="5"/>
  <c r="AA30" i="5"/>
  <c r="AK29" i="5"/>
  <c r="AJ29" i="5"/>
  <c r="AI29" i="5"/>
  <c r="AH29" i="5"/>
  <c r="AG29" i="5"/>
  <c r="AF29" i="5"/>
  <c r="AE29" i="5"/>
  <c r="AD29" i="5"/>
  <c r="AC29" i="5"/>
  <c r="AB29" i="5"/>
  <c r="AA29" i="5"/>
  <c r="AK28" i="5"/>
  <c r="AJ28" i="5"/>
  <c r="AI28" i="5"/>
  <c r="AH28" i="5"/>
  <c r="AG28" i="5"/>
  <c r="AF28" i="5"/>
  <c r="AE28" i="5"/>
  <c r="AD28" i="5"/>
  <c r="AC28" i="5"/>
  <c r="AB28" i="5"/>
  <c r="AA28" i="5"/>
  <c r="AK27" i="5"/>
  <c r="AJ27" i="5"/>
  <c r="AI27" i="5"/>
  <c r="AH27" i="5"/>
  <c r="AG27" i="5"/>
  <c r="AF27" i="5"/>
  <c r="AE27" i="5"/>
  <c r="AD27" i="5"/>
  <c r="AC27" i="5"/>
  <c r="AB27" i="5"/>
  <c r="AA27" i="5"/>
  <c r="AK26" i="5"/>
  <c r="AJ26" i="5"/>
  <c r="AI26" i="5"/>
  <c r="AH26" i="5"/>
  <c r="AG26" i="5"/>
  <c r="AF26" i="5"/>
  <c r="AE26" i="5"/>
  <c r="AD26" i="5"/>
  <c r="AC26" i="5"/>
  <c r="AB26" i="5"/>
  <c r="AA26" i="5"/>
  <c r="AK25" i="5"/>
  <c r="AJ25" i="5"/>
  <c r="AI25" i="5"/>
  <c r="AH25" i="5"/>
  <c r="AG25" i="5"/>
  <c r="AF25" i="5"/>
  <c r="AE25" i="5"/>
  <c r="AD25" i="5"/>
  <c r="AC25" i="5"/>
  <c r="AB25" i="5"/>
  <c r="AA25" i="5"/>
  <c r="AK24" i="5"/>
  <c r="AJ24" i="5"/>
  <c r="AI24" i="5"/>
  <c r="AH24" i="5"/>
  <c r="AG24" i="5"/>
  <c r="AF24" i="5"/>
  <c r="AE24" i="5"/>
  <c r="AD24" i="5"/>
  <c r="AC24" i="5"/>
  <c r="AB24" i="5"/>
  <c r="AA24" i="5"/>
  <c r="AK23" i="5"/>
  <c r="AJ23" i="5"/>
  <c r="AI23" i="5"/>
  <c r="AH23" i="5"/>
  <c r="AG23" i="5"/>
  <c r="AF23" i="5"/>
  <c r="AE23" i="5"/>
  <c r="AD23" i="5"/>
  <c r="AC23" i="5"/>
  <c r="AB23" i="5"/>
  <c r="AA23" i="5"/>
  <c r="AA37" i="5" a="1"/>
  <c r="AA37" i="5"/>
  <c r="AB37" i="5"/>
  <c r="AC37" i="5"/>
  <c r="AD37" i="5"/>
  <c r="AE37" i="5"/>
  <c r="AF37" i="5"/>
  <c r="AG37" i="5"/>
  <c r="AH37" i="5"/>
  <c r="AI37" i="5"/>
  <c r="AJ37" i="5"/>
  <c r="AK37" i="5"/>
  <c r="AA38" i="5"/>
  <c r="AB38" i="5"/>
  <c r="AC38" i="5"/>
  <c r="AD38" i="5"/>
  <c r="AE38" i="5"/>
  <c r="AF38" i="5"/>
  <c r="AG38" i="5"/>
  <c r="AH38" i="5"/>
  <c r="AI38" i="5"/>
  <c r="AJ38" i="5"/>
  <c r="AK38" i="5"/>
  <c r="AA39" i="5"/>
  <c r="AB39" i="5"/>
  <c r="AC39" i="5"/>
  <c r="AD39" i="5"/>
  <c r="AE39" i="5"/>
  <c r="AF39" i="5"/>
  <c r="AG39" i="5"/>
  <c r="AH39" i="5"/>
  <c r="AI39" i="5"/>
  <c r="AJ39" i="5"/>
  <c r="AK39" i="5"/>
  <c r="AA40" i="5"/>
  <c r="AB40" i="5"/>
  <c r="AC40" i="5"/>
  <c r="AD40" i="5"/>
  <c r="AE40" i="5"/>
  <c r="AF40" i="5"/>
  <c r="AG40" i="5"/>
  <c r="AH40" i="5"/>
  <c r="AI40" i="5"/>
  <c r="AJ40" i="5"/>
  <c r="AK40" i="5"/>
  <c r="AA41" i="5"/>
  <c r="AB41" i="5"/>
  <c r="AC41" i="5"/>
  <c r="AD41" i="5"/>
  <c r="AE41" i="5"/>
  <c r="AF41" i="5"/>
  <c r="AG41" i="5"/>
  <c r="AH41" i="5"/>
  <c r="AI41" i="5"/>
  <c r="AJ41" i="5"/>
  <c r="AK41" i="5"/>
  <c r="AA42" i="5"/>
  <c r="AB42" i="5"/>
  <c r="AC42" i="5"/>
  <c r="AD42" i="5"/>
  <c r="AE42" i="5"/>
  <c r="AF42" i="5"/>
  <c r="AG42" i="5"/>
  <c r="AH42" i="5"/>
  <c r="AI42" i="5"/>
  <c r="AJ42" i="5"/>
  <c r="AK42" i="5"/>
  <c r="AA43" i="5"/>
  <c r="AB43" i="5"/>
  <c r="AC43" i="5"/>
  <c r="AD43" i="5"/>
  <c r="AE43" i="5"/>
  <c r="AF43" i="5"/>
  <c r="AG43" i="5"/>
  <c r="AH43" i="5"/>
  <c r="AI43" i="5"/>
  <c r="AJ43" i="5"/>
  <c r="AK43" i="5"/>
  <c r="AA44" i="5"/>
  <c r="AB44" i="5"/>
  <c r="AC44" i="5"/>
  <c r="AD44" i="5"/>
  <c r="AE44" i="5"/>
  <c r="AF44" i="5"/>
  <c r="AG44" i="5"/>
  <c r="AH44" i="5"/>
  <c r="AI44" i="5"/>
  <c r="AJ44" i="5"/>
  <c r="AK44" i="5"/>
  <c r="AA45" i="5"/>
  <c r="AB45" i="5"/>
  <c r="AC45" i="5"/>
  <c r="AD45" i="5"/>
  <c r="AE45" i="5"/>
  <c r="AF45" i="5"/>
  <c r="AG45" i="5"/>
  <c r="AH45" i="5"/>
  <c r="AI45" i="5"/>
  <c r="AJ45" i="5"/>
  <c r="AK45" i="5"/>
  <c r="AA46" i="5"/>
  <c r="AB46" i="5"/>
  <c r="AC46" i="5"/>
  <c r="AD46" i="5"/>
  <c r="AE46" i="5"/>
  <c r="AF46" i="5"/>
  <c r="AG46" i="5"/>
  <c r="AH46" i="5"/>
  <c r="AI46" i="5"/>
  <c r="AJ46" i="5"/>
  <c r="AK46" i="5"/>
  <c r="AA47" i="5"/>
  <c r="AB47" i="5"/>
  <c r="AC47" i="5"/>
  <c r="AD47" i="5"/>
  <c r="AE47" i="5"/>
  <c r="AF47" i="5"/>
  <c r="AG47" i="5"/>
  <c r="AH47" i="5"/>
  <c r="AI47" i="5"/>
  <c r="AJ47" i="5"/>
  <c r="AK47" i="5"/>
  <c r="AA9" i="6" a="1"/>
  <c r="AA9" i="6"/>
  <c r="AB9" i="6"/>
  <c r="AC9" i="6"/>
  <c r="AD9" i="6"/>
  <c r="AE9" i="6"/>
  <c r="AF9" i="6"/>
  <c r="AG9" i="6"/>
  <c r="AH9" i="6"/>
  <c r="AI9" i="6"/>
  <c r="AJ9" i="6"/>
  <c r="AK9" i="6"/>
  <c r="AA10" i="6"/>
  <c r="AB10" i="6"/>
  <c r="AC10" i="6"/>
  <c r="AD10" i="6"/>
  <c r="AE10" i="6"/>
  <c r="AF10" i="6"/>
  <c r="AG10" i="6"/>
  <c r="AH10" i="6"/>
  <c r="AI10" i="6"/>
  <c r="AJ10" i="6"/>
  <c r="AK10" i="6"/>
  <c r="AA11" i="6"/>
  <c r="AB11" i="6"/>
  <c r="AC11" i="6"/>
  <c r="AD11" i="6"/>
  <c r="AE11" i="6"/>
  <c r="AF11" i="6"/>
  <c r="AG11" i="6"/>
  <c r="AH11" i="6"/>
  <c r="AI11" i="6"/>
  <c r="AJ11" i="6"/>
  <c r="AK11" i="6"/>
  <c r="AA12" i="6"/>
  <c r="AB12" i="6"/>
  <c r="AC12" i="6"/>
  <c r="AD12" i="6"/>
  <c r="AE12" i="6"/>
  <c r="AF12" i="6"/>
  <c r="AG12" i="6"/>
  <c r="AH12" i="6"/>
  <c r="AI12" i="6"/>
  <c r="AJ12" i="6"/>
  <c r="AK12" i="6"/>
  <c r="AA13" i="6"/>
  <c r="AB13" i="6"/>
  <c r="AC13" i="6"/>
  <c r="AD13" i="6"/>
  <c r="AE13" i="6"/>
  <c r="AF13" i="6"/>
  <c r="AG13" i="6"/>
  <c r="AH13" i="6"/>
  <c r="AI13" i="6"/>
  <c r="AJ13" i="6"/>
  <c r="AK13" i="6"/>
  <c r="AA14" i="6"/>
  <c r="AB14" i="6"/>
  <c r="AC14" i="6"/>
  <c r="AD14" i="6"/>
  <c r="AE14" i="6"/>
  <c r="AF14" i="6"/>
  <c r="AG14" i="6"/>
  <c r="AH14" i="6"/>
  <c r="AI14" i="6"/>
  <c r="AJ14" i="6"/>
  <c r="AK14" i="6"/>
  <c r="AA15" i="6"/>
  <c r="AB15" i="6"/>
  <c r="AC15" i="6"/>
  <c r="AD15" i="6"/>
  <c r="AE15" i="6"/>
  <c r="AF15" i="6"/>
  <c r="AG15" i="6"/>
  <c r="AH15" i="6"/>
  <c r="AI15" i="6"/>
  <c r="AJ15" i="6"/>
  <c r="AK15" i="6"/>
  <c r="AA16" i="6"/>
  <c r="AB16" i="6"/>
  <c r="AC16" i="6"/>
  <c r="AD16" i="6"/>
  <c r="AE16" i="6"/>
  <c r="AF16" i="6"/>
  <c r="AG16" i="6"/>
  <c r="AH16" i="6"/>
  <c r="AI16" i="6"/>
  <c r="AJ16" i="6"/>
  <c r="AK16" i="6"/>
  <c r="AA17" i="6"/>
  <c r="AB17" i="6"/>
  <c r="AC17" i="6"/>
  <c r="AD17" i="6"/>
  <c r="AE17" i="6"/>
  <c r="AF17" i="6"/>
  <c r="AG17" i="6"/>
  <c r="AH17" i="6"/>
  <c r="AI17" i="6"/>
  <c r="AJ17" i="6"/>
  <c r="AK17" i="6"/>
  <c r="AA18" i="6"/>
  <c r="AB18" i="6"/>
  <c r="AC18" i="6"/>
  <c r="AD18" i="6"/>
  <c r="AE18" i="6"/>
  <c r="AF18" i="6"/>
  <c r="AG18" i="6"/>
  <c r="AH18" i="6"/>
  <c r="AI18" i="6"/>
  <c r="AJ18" i="6"/>
  <c r="AK18" i="6"/>
  <c r="AA19" i="6"/>
  <c r="AB19" i="6"/>
  <c r="AC19" i="6"/>
  <c r="AD19" i="6"/>
  <c r="AE19" i="6"/>
  <c r="AF19" i="6"/>
  <c r="AG19" i="6"/>
  <c r="AH19" i="6"/>
  <c r="AI19" i="6"/>
  <c r="AJ19" i="6"/>
  <c r="AK19" i="6"/>
  <c r="AA27" i="6" a="1"/>
  <c r="AA27" i="6"/>
  <c r="AB27" i="6"/>
  <c r="AC27" i="6"/>
  <c r="AD27" i="6"/>
  <c r="AE27" i="6"/>
  <c r="AF27" i="6"/>
  <c r="AG27" i="6"/>
  <c r="AH27" i="6"/>
  <c r="AI27" i="6"/>
  <c r="AJ27" i="6"/>
  <c r="AK27" i="6"/>
  <c r="AA28" i="6"/>
  <c r="AB28" i="6"/>
  <c r="AC28" i="6"/>
  <c r="AD28" i="6"/>
  <c r="AE28" i="6"/>
  <c r="AF28" i="6"/>
  <c r="AG28" i="6"/>
  <c r="AH28" i="6"/>
  <c r="AI28" i="6"/>
  <c r="AJ28" i="6"/>
  <c r="AK28" i="6"/>
  <c r="AA29" i="6"/>
  <c r="AB29" i="6"/>
  <c r="AC29" i="6"/>
  <c r="AD29" i="6"/>
  <c r="AE29" i="6"/>
  <c r="AF29" i="6"/>
  <c r="AG29" i="6"/>
  <c r="AH29" i="6"/>
  <c r="AI29" i="6"/>
  <c r="AJ29" i="6"/>
  <c r="AK29" i="6"/>
  <c r="AA30" i="6"/>
  <c r="AB30" i="6"/>
  <c r="AC30" i="6"/>
  <c r="AD30" i="6"/>
  <c r="AE30" i="6"/>
  <c r="AF30" i="6"/>
  <c r="AG30" i="6"/>
  <c r="AH30" i="6"/>
  <c r="AI30" i="6"/>
  <c r="AJ30" i="6"/>
  <c r="AK30" i="6"/>
  <c r="AA31" i="6"/>
  <c r="AB31" i="6"/>
  <c r="AC31" i="6"/>
  <c r="AD31" i="6"/>
  <c r="AE31" i="6"/>
  <c r="AF31" i="6"/>
  <c r="AG31" i="6"/>
  <c r="AH31" i="6"/>
  <c r="AI31" i="6"/>
  <c r="AJ31" i="6"/>
  <c r="AK31" i="6"/>
  <c r="AA32" i="6"/>
  <c r="AB32" i="6"/>
  <c r="AC32" i="6"/>
  <c r="AD32" i="6"/>
  <c r="AE32" i="6"/>
  <c r="AF32" i="6"/>
  <c r="AG32" i="6"/>
  <c r="AH32" i="6"/>
  <c r="AI32" i="6"/>
  <c r="AJ32" i="6"/>
  <c r="AK32" i="6"/>
  <c r="AA33" i="6"/>
  <c r="AB33" i="6"/>
  <c r="AC33" i="6"/>
  <c r="AD33" i="6"/>
  <c r="AE33" i="6"/>
  <c r="AF33" i="6"/>
  <c r="AG33" i="6"/>
  <c r="AH33" i="6"/>
  <c r="AI33" i="6"/>
  <c r="AJ33" i="6"/>
  <c r="AK33" i="6"/>
  <c r="AA34" i="6"/>
  <c r="AB34" i="6"/>
  <c r="AC34" i="6"/>
  <c r="AD34" i="6"/>
  <c r="AE34" i="6"/>
  <c r="AF34" i="6"/>
  <c r="AG34" i="6"/>
  <c r="AH34" i="6"/>
  <c r="AI34" i="6"/>
  <c r="AJ34" i="6"/>
  <c r="AK34" i="6"/>
  <c r="AA35" i="6"/>
  <c r="AB35" i="6"/>
  <c r="AC35" i="6"/>
  <c r="AD35" i="6"/>
  <c r="AE35" i="6"/>
  <c r="AF35" i="6"/>
  <c r="AG35" i="6"/>
  <c r="AH35" i="6"/>
  <c r="AI35" i="6"/>
  <c r="AJ35" i="6"/>
  <c r="AK35" i="6"/>
  <c r="AA36" i="6"/>
  <c r="AB36" i="6"/>
  <c r="AC36" i="6"/>
  <c r="AD36" i="6"/>
  <c r="AE36" i="6"/>
  <c r="AF36" i="6"/>
  <c r="AG36" i="6"/>
  <c r="AH36" i="6"/>
  <c r="AI36" i="6"/>
  <c r="AJ36" i="6"/>
  <c r="AK36" i="6"/>
  <c r="AA37" i="6"/>
  <c r="AB37" i="6"/>
  <c r="AC37" i="6"/>
  <c r="AD37" i="6"/>
  <c r="AE37" i="6"/>
  <c r="AF37" i="6"/>
  <c r="AG37" i="6"/>
  <c r="AH37" i="6"/>
  <c r="AI37" i="6"/>
  <c r="AJ37" i="6"/>
  <c r="AK37" i="6"/>
  <c r="AA41" i="6" a="1"/>
  <c r="AA41" i="6"/>
  <c r="AB41" i="6"/>
  <c r="AC41" i="6"/>
  <c r="AD41" i="6"/>
  <c r="AE41" i="6"/>
  <c r="AF41" i="6"/>
  <c r="AG41" i="6"/>
  <c r="AH41" i="6"/>
  <c r="AI41" i="6"/>
  <c r="AJ41" i="6"/>
  <c r="AK41" i="6"/>
  <c r="AA42" i="6"/>
  <c r="AB42" i="6"/>
  <c r="AC42" i="6"/>
  <c r="AD42" i="6"/>
  <c r="AE42" i="6"/>
  <c r="AF42" i="6"/>
  <c r="AG42" i="6"/>
  <c r="AH42" i="6"/>
  <c r="AI42" i="6"/>
  <c r="AJ42" i="6"/>
  <c r="AK42" i="6"/>
  <c r="AA43" i="6"/>
  <c r="AB43" i="6"/>
  <c r="AC43" i="6"/>
  <c r="AD43" i="6"/>
  <c r="AE43" i="6"/>
  <c r="AF43" i="6"/>
  <c r="AG43" i="6"/>
  <c r="AH43" i="6"/>
  <c r="AI43" i="6"/>
  <c r="AJ43" i="6"/>
  <c r="AK43" i="6"/>
  <c r="AA44" i="6"/>
  <c r="AB44" i="6"/>
  <c r="AC44" i="6"/>
  <c r="AD44" i="6"/>
  <c r="AE44" i="6"/>
  <c r="AF44" i="6"/>
  <c r="AG44" i="6"/>
  <c r="AH44" i="6"/>
  <c r="AI44" i="6"/>
  <c r="AJ44" i="6"/>
  <c r="AK44" i="6"/>
  <c r="AA45" i="6"/>
  <c r="AB45" i="6"/>
  <c r="AC45" i="6"/>
  <c r="AD45" i="6"/>
  <c r="AE45" i="6"/>
  <c r="AF45" i="6"/>
  <c r="AG45" i="6"/>
  <c r="AH45" i="6"/>
  <c r="AI45" i="6"/>
  <c r="AJ45" i="6"/>
  <c r="AK45" i="6"/>
  <c r="AA46" i="6"/>
  <c r="AB46" i="6"/>
  <c r="AC46" i="6"/>
  <c r="AD46" i="6"/>
  <c r="AE46" i="6"/>
  <c r="AF46" i="6"/>
  <c r="AG46" i="6"/>
  <c r="AH46" i="6"/>
  <c r="AI46" i="6"/>
  <c r="AJ46" i="6"/>
  <c r="AK46" i="6"/>
  <c r="AA47" i="6"/>
  <c r="AB47" i="6"/>
  <c r="AC47" i="6"/>
  <c r="AD47" i="6"/>
  <c r="AE47" i="6"/>
  <c r="AF47" i="6"/>
  <c r="AG47" i="6"/>
  <c r="AH47" i="6"/>
  <c r="AI47" i="6"/>
  <c r="AJ47" i="6"/>
  <c r="AK47" i="6"/>
  <c r="AA48" i="6"/>
  <c r="AB48" i="6"/>
  <c r="AC48" i="6"/>
  <c r="AD48" i="6"/>
  <c r="AE48" i="6"/>
  <c r="AF48" i="6"/>
  <c r="AG48" i="6"/>
  <c r="AH48" i="6"/>
  <c r="AI48" i="6"/>
  <c r="AJ48" i="6"/>
  <c r="AK48" i="6"/>
  <c r="AA49" i="6"/>
  <c r="AB49" i="6"/>
  <c r="AC49" i="6"/>
  <c r="AD49" i="6"/>
  <c r="AE49" i="6"/>
  <c r="AF49" i="6"/>
  <c r="AG49" i="6"/>
  <c r="AH49" i="6"/>
  <c r="AI49" i="6"/>
  <c r="AJ49" i="6"/>
  <c r="AK49" i="6"/>
  <c r="AA50" i="6"/>
  <c r="AB50" i="6"/>
  <c r="AC50" i="6"/>
  <c r="AD50" i="6"/>
  <c r="AE50" i="6"/>
  <c r="AF50" i="6"/>
  <c r="AG50" i="6"/>
  <c r="AH50" i="6"/>
  <c r="AI50" i="6"/>
  <c r="AJ50" i="6"/>
  <c r="AK50" i="6"/>
  <c r="AA51" i="6"/>
  <c r="AB51" i="6"/>
  <c r="AC51" i="6"/>
  <c r="AD51" i="6"/>
  <c r="AE51" i="6"/>
  <c r="AF51" i="6"/>
  <c r="AG51" i="6"/>
  <c r="AH51" i="6"/>
  <c r="AI51" i="6"/>
  <c r="AJ51" i="6"/>
  <c r="AK51" i="6"/>
  <c r="AM28" i="6" a="1"/>
  <c r="AM28" i="6"/>
  <c r="AN28" i="6"/>
  <c r="AO28" i="6"/>
  <c r="AP28" i="6"/>
  <c r="AQ28" i="6"/>
  <c r="AR28" i="6"/>
  <c r="AS28" i="6"/>
  <c r="AT28" i="6"/>
  <c r="AU28" i="6"/>
  <c r="AV28" i="6"/>
  <c r="AW28" i="6"/>
</calcChain>
</file>

<file path=xl/sharedStrings.xml><?xml version="1.0" encoding="utf-8"?>
<sst xmlns="http://schemas.openxmlformats.org/spreadsheetml/2006/main" count="497" uniqueCount="111">
  <si>
    <t>Factor that covariance matrix using an eigensystem decomposition</t>
  </si>
  <si>
    <t>Factor that covariance matrix using a Cholesky decomposition</t>
  </si>
  <si>
    <t>Show that your factorizations work</t>
  </si>
  <si>
    <t>Do the factorizations on the new covariance structure.  What happens?</t>
  </si>
  <si>
    <t>Prove that they are I.I.D. normal</t>
  </si>
  <si>
    <t/>
  </si>
  <si>
    <t>3M</t>
  </si>
  <si>
    <t>10Y</t>
  </si>
  <si>
    <t>AAA</t>
  </si>
  <si>
    <t>AA</t>
  </si>
  <si>
    <t>A</t>
  </si>
  <si>
    <t>BAA</t>
  </si>
  <si>
    <t>sp500</t>
  </si>
  <si>
    <t>GOLD</t>
  </si>
  <si>
    <t>OIL</t>
  </si>
  <si>
    <t>GBP</t>
  </si>
  <si>
    <t>JPY</t>
  </si>
  <si>
    <t>% change</t>
  </si>
  <si>
    <t>Generate 11 colmns of 1000 random I.I.D normals</t>
  </si>
  <si>
    <t>Premultiply the square root of the covariance matrix (from the eigensystem decomp) by one of the rows of random normals.</t>
  </si>
  <si>
    <t>Invert the covariance matrix</t>
  </si>
  <si>
    <t>Run the same regression using the Excel regression tool or the LINEST( ) function to check your results</t>
  </si>
  <si>
    <r>
      <t xml:space="preserve">Remove the changes from </t>
    </r>
    <r>
      <rPr>
        <sz val="12"/>
        <color rgb="FFFF0000"/>
        <rFont val="Times New Roman"/>
        <family val="1"/>
      </rPr>
      <t>1976</t>
    </r>
    <r>
      <rPr>
        <sz val="12"/>
        <rFont val="Times New Roman"/>
      </rPr>
      <t>-1988 for the fixed income data (leave it blank) and do the factorizations again.  What happens?</t>
    </r>
  </si>
  <si>
    <r>
      <t xml:space="preserve">Add a 13th column to the dataset that equals 2X the </t>
    </r>
    <r>
      <rPr>
        <sz val="12"/>
        <color rgb="FFFF0000"/>
        <rFont val="Times New Roman"/>
        <family val="1"/>
      </rPr>
      <t>gold</t>
    </r>
    <r>
      <rPr>
        <sz val="12"/>
        <rFont val="Times New Roman"/>
      </rPr>
      <t xml:space="preserve"> price</t>
    </r>
  </si>
  <si>
    <r>
      <t xml:space="preserve">Regress the changes of the </t>
    </r>
    <r>
      <rPr>
        <sz val="12"/>
        <color rgb="FFFF0000"/>
        <rFont val="Times New Roman"/>
        <family val="1"/>
      </rPr>
      <t>AA</t>
    </r>
    <r>
      <rPr>
        <sz val="12"/>
        <rFont val="Times New Roman"/>
      </rPr>
      <t xml:space="preserve"> (dependent variable) on the changes in </t>
    </r>
    <r>
      <rPr>
        <sz val="12"/>
        <color rgb="FFFF0000"/>
        <rFont val="Times New Roman"/>
        <family val="1"/>
      </rPr>
      <t>AAA,</t>
    </r>
    <r>
      <rPr>
        <sz val="12"/>
        <rFont val="Times New Roman"/>
      </rPr>
      <t xml:space="preserve"> A, 3M, and 10Y using the Excel matrix algebra functions and X'X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</rPr>
      <t>X'Y</t>
    </r>
  </si>
  <si>
    <t>Matrix Algebra in Excel</t>
  </si>
  <si>
    <t>Compute the covariance and correlation matrices of the % changes in the dataset below, using Excel functions (not built-in tools)</t>
  </si>
  <si>
    <t>EXAMPLE for % changes for historical simulations (question 1)</t>
  </si>
  <si>
    <t>% change * last observation</t>
  </si>
  <si>
    <t>% change in basis points</t>
  </si>
  <si>
    <t>scaled with the mark</t>
  </si>
  <si>
    <t>2017 Homework #1</t>
  </si>
  <si>
    <t>Q1</t>
  </si>
  <si>
    <t>Average</t>
  </si>
  <si>
    <t>Standard deviation</t>
  </si>
  <si>
    <t>Variance</t>
  </si>
  <si>
    <t>Excess % change</t>
  </si>
  <si>
    <t>Verification:</t>
  </si>
  <si>
    <t>In order to get the correlation matrix, we need to calculate the matrix of transpose (standard deviation) * standard deviation</t>
  </si>
  <si>
    <r>
      <t>Matrix of std</t>
    </r>
    <r>
      <rPr>
        <vertAlign val="superscript"/>
        <sz val="12"/>
        <rFont val="Times New Roman"/>
        <family val="1"/>
      </rPr>
      <t>T</t>
    </r>
    <r>
      <rPr>
        <sz val="12"/>
        <rFont val="Times New Roman"/>
      </rPr>
      <t xml:space="preserve"> * std</t>
    </r>
  </si>
  <si>
    <t>Correlation matrix</t>
  </si>
  <si>
    <t>Covraiance Matrix</t>
  </si>
  <si>
    <t>The yellow cells are match the numbers of variance calculated in cell B258-L258</t>
  </si>
  <si>
    <t>Q2</t>
  </si>
  <si>
    <t>Eigen-decomposition via VBA code</t>
  </si>
  <si>
    <t>Eigenvalues</t>
  </si>
  <si>
    <t>Eigenvectors corresponding to j-th eigenvalue, j=1:11</t>
  </si>
  <si>
    <t>Q</t>
  </si>
  <si>
    <t>Q4</t>
  </si>
  <si>
    <t>Verify the factorization of eigendecomposition by the formula:</t>
  </si>
  <si>
    <t>Same as the covariance matrix</t>
  </si>
  <si>
    <t>The reference of function EIGEN_JK:</t>
  </si>
  <si>
    <t>EIGEN_JK Reference</t>
  </si>
  <si>
    <t>Q3</t>
  </si>
  <si>
    <t>Cholesky decomposition via VBA code</t>
  </si>
  <si>
    <t>The reference of function Cholesky:</t>
  </si>
  <si>
    <t>Cholesky Reference</t>
  </si>
  <si>
    <t>Based on the formula above, we can factorize the covariance matrix as following</t>
  </si>
  <si>
    <t xml:space="preserve">The algorithm based on the formula: </t>
  </si>
  <si>
    <t>Verification the Cholesky decompositi based on the fomula above</t>
  </si>
  <si>
    <t>Color indicator of answers of each question</t>
  </si>
  <si>
    <t>Questions</t>
  </si>
  <si>
    <t>2XGOLD</t>
  </si>
  <si>
    <t>Q5</t>
  </si>
  <si>
    <t>Q6</t>
  </si>
  <si>
    <t>1) calculate the excess % change</t>
  </si>
  <si>
    <t>2) Get the covariance matrix</t>
  </si>
  <si>
    <t>Number of changes:</t>
  </si>
  <si>
    <t>Covariance Matrix</t>
  </si>
  <si>
    <t>3) Cholesky decomposition</t>
  </si>
  <si>
    <t>4) Eigendecomposition</t>
  </si>
  <si>
    <t>Observation</t>
  </si>
  <si>
    <t>which indicate that the new covariance matrix is not a symmetric positive definite matrix</t>
  </si>
  <si>
    <t xml:space="preserve"> </t>
  </si>
  <si>
    <t>Eigenvalues and Eigenvectors from Q2</t>
  </si>
  <si>
    <t>1) When we have a huge missing data, the correlations of miss data (fix income) are not 1 (less than one) any more, which increase the collinearity</t>
  </si>
  <si>
    <t>2) The eigenvalues are not too much different than that in Q2, but eigenvectors change a lot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</si>
  <si>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</si>
  <si>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</si>
  <si>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</si>
  <si>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</si>
  <si>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</si>
  <si>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</si>
  <si>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</si>
  <si>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</si>
  <si>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</si>
  <si>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</si>
  <si>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</si>
  <si>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Q8</t>
  </si>
  <si>
    <t>mean</t>
  </si>
  <si>
    <t>standard deviation</t>
  </si>
  <si>
    <t>generate 11 columns of 1000 random I.I.D standard normals</t>
  </si>
  <si>
    <t>Q9</t>
  </si>
  <si>
    <t>1) Covariance matrix</t>
  </si>
  <si>
    <t>Number of samples in each column:</t>
  </si>
  <si>
    <t>Excess</t>
  </si>
  <si>
    <t>The yellow cells are match the numbers of variance calculated in cell B1012-L1012</t>
  </si>
  <si>
    <t>Q10</t>
  </si>
  <si>
    <t>Spin of the row # from 1-1000, starts 1</t>
  </si>
  <si>
    <t>Row # of the random samples (1-1000):</t>
  </si>
  <si>
    <t>Data of selected row in the random samples</t>
  </si>
  <si>
    <t>Result of Q10</t>
  </si>
  <si>
    <t>Re-run the function below to update the values of updated row</t>
  </si>
  <si>
    <t>Get the square root of the covariance matrix from eigendecomposition formula:</t>
  </si>
  <si>
    <t>i.e., the matrix is:</t>
  </si>
  <si>
    <r>
      <t xml:space="preserve">Premultiply the square root of the covariance matrix in Q1 by one row </t>
    </r>
    <r>
      <rPr>
        <b/>
        <sz val="12"/>
        <rFont val="Times New Roman"/>
      </rPr>
      <t xml:space="preserve">(row # get from the spin below) </t>
    </r>
    <r>
      <rPr>
        <sz val="12"/>
        <rFont val="Times New Roman"/>
      </rPr>
      <t>of the random samples</t>
    </r>
  </si>
  <si>
    <t>Q11</t>
  </si>
  <si>
    <t>The inverse matrix of covariance matrix in Q1 is:</t>
  </si>
  <si>
    <t>Q12</t>
  </si>
  <si>
    <t>1) The Cholesky decompositon and Eigendecompostion both failed (#VALUE! of Cholesky and #N/A of eigendecomposition of last eigenvalue) here,</t>
  </si>
  <si>
    <t>2) The covariance is not spd, since the 2XGOLD is linear combination of GOLD.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</si>
</sst>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_)"/>
    <numFmt numFmtId="165" formatCode="mmm\-yy_)"/>
    <numFmt numFmtId="166" formatCode="0.000000"/>
    <numFmt numFmtId="167" formatCode="0.00000000"/>
    <numFmt numFmtId="168" formatCode="0.0000000"/>
  </numFmts>
  <fonts count="14" x14ac:knownFonts="1">
    <font>
      <sz val="12"/>
      <name val="Times New Roman"/>
    </font>
    <font>
      <sz val="12"/>
      <name val="Times New Roman"/>
      <family val="1"/>
    </font>
    <font>
      <sz val="12"/>
      <name val="Times New Roman"/>
      <family val="1"/>
    </font>
    <font>
      <vertAlign val="superscript"/>
      <sz val="12"/>
      <name val="Times New Roman"/>
      <family val="1"/>
    </font>
    <font>
      <sz val="12"/>
      <color rgb="FFFF0000"/>
      <name val="Times New Roman"/>
      <family val="1"/>
    </font>
    <font>
      <u/>
      <sz val="12"/>
      <color theme="10"/>
      <name val="Times New Roman"/>
    </font>
    <font>
      <u/>
      <sz val="12"/>
      <color theme="11"/>
      <name val="Times New Roman"/>
    </font>
    <font>
      <b/>
      <sz val="12"/>
      <name val="Times New Roman"/>
    </font>
    <font>
      <b/>
      <sz val="16"/>
      <name val="Times New Roman"/>
    </font>
    <font>
      <b/>
      <sz val="12"/>
      <color rgb="FF0070C0"/>
      <name val="Times New Roman"/>
    </font>
    <font>
      <b/>
      <sz val="14"/>
      <name val="Times New Roman"/>
    </font>
    <font>
      <sz val="12"/>
      <color indexed="206"/>
      <name val="Times New Roman"/>
    </font>
    <font>
      <b/>
      <sz val="12"/>
      <color rgb="FFFF0000"/>
      <name val="Times New Roman"/>
    </font>
    <font>
      <b/>
      <sz val="14"/>
      <color rgb="FFFF0000"/>
      <name val="Times New Roman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0" fontId="2" fillId="0" borderId="0" xfId="0" quotePrefix="1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 applyProtection="1">
      <alignment horizontal="left"/>
    </xf>
    <xf numFmtId="165" fontId="2" fillId="0" borderId="0" xfId="0" applyNumberFormat="1" applyFont="1" applyProtection="1"/>
    <xf numFmtId="164" fontId="2" fillId="0" borderId="0" xfId="0" applyNumberFormat="1" applyFont="1" applyProtection="1">
      <protection locked="0"/>
    </xf>
    <xf numFmtId="164" fontId="2" fillId="0" borderId="0" xfId="0" applyNumberFormat="1" applyFont="1" applyProtection="1"/>
    <xf numFmtId="10" fontId="2" fillId="0" borderId="0" xfId="1" applyNumberFormat="1" applyFont="1"/>
    <xf numFmtId="0" fontId="1" fillId="0" borderId="0" xfId="0" quotePrefix="1" applyFont="1" applyAlignment="1">
      <alignment horizontal="left"/>
    </xf>
    <xf numFmtId="0" fontId="1" fillId="0" borderId="0" xfId="0" applyFont="1"/>
    <xf numFmtId="0" fontId="1" fillId="2" borderId="0" xfId="0" applyFont="1" applyFill="1"/>
    <xf numFmtId="0" fontId="2" fillId="2" borderId="0" xfId="0" applyFont="1" applyFill="1"/>
    <xf numFmtId="2" fontId="2" fillId="0" borderId="0" xfId="0" applyNumberFormat="1" applyFont="1"/>
    <xf numFmtId="164" fontId="2" fillId="0" borderId="0" xfId="0" applyNumberFormat="1" applyFont="1"/>
    <xf numFmtId="0" fontId="0" fillId="0" borderId="0" xfId="0" applyFont="1"/>
    <xf numFmtId="0" fontId="0" fillId="3" borderId="0" xfId="0" applyFont="1" applyFill="1"/>
    <xf numFmtId="0" fontId="0" fillId="4" borderId="0" xfId="0" applyFont="1" applyFill="1"/>
    <xf numFmtId="10" fontId="2" fillId="4" borderId="0" xfId="1" applyNumberFormat="1" applyFont="1" applyFill="1"/>
    <xf numFmtId="0" fontId="2" fillId="3" borderId="0" xfId="0" applyFont="1" applyFill="1"/>
    <xf numFmtId="0" fontId="2" fillId="0" borderId="1" xfId="0" applyFont="1" applyBorder="1" applyAlignment="1" applyProtection="1">
      <alignment horizontal="left"/>
    </xf>
    <xf numFmtId="0" fontId="0" fillId="3" borderId="0" xfId="0" applyFont="1" applyFill="1" applyBorder="1" applyAlignment="1" applyProtection="1">
      <alignment horizontal="left"/>
    </xf>
    <xf numFmtId="0" fontId="2" fillId="3" borderId="0" xfId="0" applyFont="1" applyFill="1" applyAlignment="1" applyProtection="1">
      <alignment horizontal="left"/>
    </xf>
    <xf numFmtId="0" fontId="2" fillId="4" borderId="0" xfId="0" applyFont="1" applyFill="1"/>
    <xf numFmtId="0" fontId="0" fillId="3" borderId="0" xfId="0" applyFill="1"/>
    <xf numFmtId="0" fontId="0" fillId="4" borderId="0" xfId="0" applyFill="1"/>
    <xf numFmtId="10" fontId="0" fillId="0" borderId="0" xfId="0" applyNumberFormat="1"/>
    <xf numFmtId="0" fontId="0" fillId="0" borderId="1" xfId="0" applyBorder="1"/>
    <xf numFmtId="166" fontId="0" fillId="3" borderId="1" xfId="1" applyNumberFormat="1" applyFont="1" applyFill="1" applyBorder="1"/>
    <xf numFmtId="166" fontId="0" fillId="0" borderId="1" xfId="1" applyNumberFormat="1" applyFont="1" applyBorder="1"/>
    <xf numFmtId="1" fontId="0" fillId="4" borderId="1" xfId="1" applyNumberFormat="1" applyFont="1" applyFill="1" applyBorder="1"/>
    <xf numFmtId="0" fontId="0" fillId="5" borderId="0" xfId="0" applyFill="1"/>
    <xf numFmtId="167" fontId="0" fillId="0" borderId="0" xfId="0" applyNumberFormat="1"/>
    <xf numFmtId="167" fontId="0" fillId="0" borderId="1" xfId="0" applyNumberFormat="1" applyBorder="1"/>
    <xf numFmtId="0" fontId="0" fillId="6" borderId="0" xfId="0" applyFill="1"/>
    <xf numFmtId="166" fontId="0" fillId="0" borderId="1" xfId="0" applyNumberFormat="1" applyBorder="1"/>
    <xf numFmtId="0" fontId="7" fillId="6" borderId="0" xfId="0" applyFont="1" applyFill="1"/>
    <xf numFmtId="0" fontId="8" fillId="3" borderId="0" xfId="0" applyFont="1" applyFill="1"/>
    <xf numFmtId="0" fontId="8" fillId="5" borderId="0" xfId="0" applyFont="1" applyFill="1"/>
    <xf numFmtId="0" fontId="8" fillId="6" borderId="0" xfId="0" applyFont="1" applyFill="1"/>
    <xf numFmtId="0" fontId="7" fillId="5" borderId="0" xfId="0" applyFont="1" applyFill="1" applyBorder="1" applyAlignment="1" applyProtection="1">
      <alignment horizontal="left"/>
    </xf>
    <xf numFmtId="0" fontId="9" fillId="0" borderId="0" xfId="0" applyFont="1"/>
    <xf numFmtId="0" fontId="5" fillId="0" borderId="0" xfId="4"/>
    <xf numFmtId="0" fontId="0" fillId="0" borderId="0" xfId="0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0" borderId="0" xfId="0" applyFont="1"/>
    <xf numFmtId="0" fontId="7" fillId="5" borderId="0" xfId="0" applyFont="1" applyFill="1"/>
    <xf numFmtId="0" fontId="7" fillId="8" borderId="0" xfId="0" applyFont="1" applyFill="1"/>
    <xf numFmtId="0" fontId="0" fillId="8" borderId="0" xfId="0" applyFill="1"/>
    <xf numFmtId="0" fontId="8" fillId="8" borderId="0" xfId="0" applyFont="1" applyFill="1"/>
    <xf numFmtId="0" fontId="10" fillId="3" borderId="0" xfId="0" applyFont="1" applyFill="1"/>
    <xf numFmtId="0" fontId="10" fillId="0" borderId="0" xfId="0" applyFont="1"/>
    <xf numFmtId="0" fontId="0" fillId="0" borderId="0" xfId="0" applyFont="1" applyAlignment="1" applyProtection="1">
      <alignment horizontal="left"/>
    </xf>
    <xf numFmtId="0" fontId="10" fillId="5" borderId="0" xfId="0" applyFont="1" applyFill="1"/>
    <xf numFmtId="10" fontId="0" fillId="4" borderId="0" xfId="1" applyNumberFormat="1" applyFont="1" applyFill="1"/>
    <xf numFmtId="166" fontId="2" fillId="3" borderId="0" xfId="1" applyNumberFormat="1" applyFont="1" applyFill="1"/>
    <xf numFmtId="0" fontId="0" fillId="0" borderId="1" xfId="0" applyFont="1" applyBorder="1" applyAlignment="1" applyProtection="1">
      <alignment horizontal="left"/>
    </xf>
    <xf numFmtId="168" fontId="0" fillId="0" borderId="1" xfId="1" applyNumberFormat="1" applyFont="1" applyBorder="1"/>
    <xf numFmtId="166" fontId="0" fillId="3" borderId="0" xfId="1" applyNumberFormat="1" applyFont="1" applyFill="1"/>
    <xf numFmtId="166" fontId="0" fillId="6" borderId="1" xfId="1" applyNumberFormat="1" applyFont="1" applyFill="1" applyBorder="1"/>
    <xf numFmtId="166" fontId="0" fillId="6" borderId="0" xfId="1" applyNumberFormat="1" applyFont="1" applyFill="1"/>
    <xf numFmtId="0" fontId="0" fillId="6" borderId="0" xfId="0" applyFont="1" applyFill="1" applyBorder="1" applyAlignment="1" applyProtection="1">
      <alignment horizontal="left"/>
    </xf>
    <xf numFmtId="0" fontId="11" fillId="0" borderId="0" xfId="0" applyFont="1"/>
    <xf numFmtId="0" fontId="10" fillId="6" borderId="0" xfId="0" applyFont="1" applyFill="1"/>
    <xf numFmtId="10" fontId="2" fillId="6" borderId="0" xfId="1" applyNumberFormat="1" applyFont="1" applyFill="1"/>
    <xf numFmtId="10" fontId="0" fillId="6" borderId="0" xfId="0" applyNumberFormat="1" applyFill="1"/>
    <xf numFmtId="168" fontId="0" fillId="4" borderId="1" xfId="1" applyNumberFormat="1" applyFont="1" applyFill="1" applyBorder="1"/>
    <xf numFmtId="0" fontId="12" fillId="0" borderId="0" xfId="0" applyFont="1"/>
    <xf numFmtId="0" fontId="13" fillId="0" borderId="0" xfId="0" applyFont="1"/>
    <xf numFmtId="166" fontId="0" fillId="0" borderId="0" xfId="1" applyNumberFormat="1" applyFont="1"/>
    <xf numFmtId="0" fontId="0" fillId="7" borderId="0" xfId="0" applyFill="1"/>
    <xf numFmtId="166" fontId="0" fillId="4" borderId="0" xfId="0" applyNumberFormat="1" applyFill="1"/>
    <xf numFmtId="166" fontId="0" fillId="3" borderId="1" xfId="0" applyNumberFormat="1" applyFill="1" applyBorder="1"/>
    <xf numFmtId="0" fontId="0" fillId="0" borderId="1" xfId="0" applyNumberFormat="1" applyBorder="1"/>
    <xf numFmtId="0" fontId="0" fillId="4" borderId="1" xfId="0" applyNumberFormat="1" applyFill="1" applyBorder="1"/>
    <xf numFmtId="0" fontId="7" fillId="0" borderId="0" xfId="0" applyNumberFormat="1" applyFont="1"/>
    <xf numFmtId="0" fontId="10" fillId="7" borderId="0" xfId="0" applyFont="1" applyFill="1"/>
    <xf numFmtId="0" fontId="8" fillId="7" borderId="0" xfId="0" applyFont="1" applyFill="1"/>
  </cellXfs>
  <cellStyles count="5">
    <cellStyle name="Followed Hyperlink" xfId="3" builtinId="9" hidden="1"/>
    <cellStyle name="Hyperlink" xfId="2" builtinId="8" hidden="1"/>
    <cellStyle name="Hyperlink" xfId="4" builtinId="8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Spin" dx="16" fmlaLink="$AQ$8" max="1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25399</xdr:colOff>
      <xdr:row>15</xdr:row>
      <xdr:rowOff>190500</xdr:rowOff>
    </xdr:from>
    <xdr:to>
      <xdr:col>38</xdr:col>
      <xdr:colOff>812800</xdr:colOff>
      <xdr:row>17</xdr:row>
      <xdr:rowOff>4956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54799" y="3365500"/>
          <a:ext cx="787401" cy="220856"/>
        </a:xfrm>
        <a:prstGeom prst="rect">
          <a:avLst/>
        </a:prstGeom>
      </xdr:spPr>
    </xdr:pic>
    <xdr:clientData/>
  </xdr:twoCellAnchor>
  <xdr:twoCellAnchor editAs="oneCell">
    <xdr:from>
      <xdr:col>50</xdr:col>
      <xdr:colOff>25400</xdr:colOff>
      <xdr:row>17</xdr:row>
      <xdr:rowOff>190500</xdr:rowOff>
    </xdr:from>
    <xdr:to>
      <xdr:col>50</xdr:col>
      <xdr:colOff>254000</xdr:colOff>
      <xdr:row>19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240200" y="3644900"/>
          <a:ext cx="228600" cy="215900"/>
        </a:xfrm>
        <a:prstGeom prst="rect">
          <a:avLst/>
        </a:prstGeom>
      </xdr:spPr>
    </xdr:pic>
    <xdr:clientData/>
  </xdr:twoCellAnchor>
  <xdr:twoCellAnchor editAs="oneCell">
    <xdr:from>
      <xdr:col>43</xdr:col>
      <xdr:colOff>0</xdr:colOff>
      <xdr:row>32</xdr:row>
      <xdr:rowOff>0</xdr:rowOff>
    </xdr:from>
    <xdr:to>
      <xdr:col>43</xdr:col>
      <xdr:colOff>787401</xdr:colOff>
      <xdr:row>33</xdr:row>
      <xdr:rowOff>17656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283900" y="6527800"/>
          <a:ext cx="787401" cy="220856"/>
        </a:xfrm>
        <a:prstGeom prst="rect">
          <a:avLst/>
        </a:prstGeom>
      </xdr:spPr>
    </xdr:pic>
    <xdr:clientData/>
  </xdr:twoCellAnchor>
  <xdr:twoCellAnchor editAs="oneCell">
    <xdr:from>
      <xdr:col>43</xdr:col>
      <xdr:colOff>50800</xdr:colOff>
      <xdr:row>45</xdr:row>
      <xdr:rowOff>190500</xdr:rowOff>
    </xdr:from>
    <xdr:to>
      <xdr:col>44</xdr:col>
      <xdr:colOff>12700</xdr:colOff>
      <xdr:row>47</xdr:row>
      <xdr:rowOff>45357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34700" y="9512300"/>
          <a:ext cx="812800" cy="261257"/>
        </a:xfrm>
        <a:prstGeom prst="rect">
          <a:avLst/>
        </a:prstGeom>
      </xdr:spPr>
    </xdr:pic>
    <xdr:clientData/>
  </xdr:twoCellAnchor>
  <xdr:twoCellAnchor editAs="oneCell">
    <xdr:from>
      <xdr:col>38</xdr:col>
      <xdr:colOff>313972</xdr:colOff>
      <xdr:row>47</xdr:row>
      <xdr:rowOff>12700</xdr:rowOff>
    </xdr:from>
    <xdr:to>
      <xdr:col>38</xdr:col>
      <xdr:colOff>642056</xdr:colOff>
      <xdr:row>48</xdr:row>
      <xdr:rowOff>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343372" y="9740900"/>
          <a:ext cx="328084" cy="190500"/>
        </a:xfrm>
        <a:prstGeom prst="rect">
          <a:avLst/>
        </a:prstGeom>
      </xdr:spPr>
    </xdr:pic>
    <xdr:clientData/>
  </xdr:twoCellAnchor>
  <xdr:twoCellAnchor editAs="oneCell">
    <xdr:from>
      <xdr:col>40</xdr:col>
      <xdr:colOff>317500</xdr:colOff>
      <xdr:row>47</xdr:row>
      <xdr:rowOff>6144</xdr:rowOff>
    </xdr:from>
    <xdr:to>
      <xdr:col>40</xdr:col>
      <xdr:colOff>565978</xdr:colOff>
      <xdr:row>47</xdr:row>
      <xdr:rowOff>190499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086800" y="9734344"/>
          <a:ext cx="248478" cy="184355"/>
        </a:xfrm>
        <a:prstGeom prst="rect">
          <a:avLst/>
        </a:prstGeom>
      </xdr:spPr>
    </xdr:pic>
    <xdr:clientData/>
  </xdr:twoCellAnchor>
  <xdr:twoCellAnchor editAs="oneCell">
    <xdr:from>
      <xdr:col>41</xdr:col>
      <xdr:colOff>114300</xdr:colOff>
      <xdr:row>62</xdr:row>
      <xdr:rowOff>27864</xdr:rowOff>
    </xdr:from>
    <xdr:to>
      <xdr:col>41</xdr:col>
      <xdr:colOff>701675</xdr:colOff>
      <xdr:row>63</xdr:row>
      <xdr:rowOff>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4772600" y="12804064"/>
          <a:ext cx="587375" cy="175336"/>
        </a:xfrm>
        <a:prstGeom prst="rect">
          <a:avLst/>
        </a:prstGeom>
      </xdr:spPr>
    </xdr:pic>
    <xdr:clientData/>
  </xdr:twoCellAnchor>
  <xdr:twoCellAnchor editAs="oneCell">
    <xdr:from>
      <xdr:col>43</xdr:col>
      <xdr:colOff>50800</xdr:colOff>
      <xdr:row>76</xdr:row>
      <xdr:rowOff>25400</xdr:rowOff>
    </xdr:from>
    <xdr:to>
      <xdr:col>43</xdr:col>
      <xdr:colOff>638175</xdr:colOff>
      <xdr:row>76</xdr:row>
      <xdr:rowOff>200736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410900" y="15748000"/>
          <a:ext cx="587375" cy="175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114300</xdr:colOff>
      <xdr:row>18</xdr:row>
      <xdr:rowOff>27864</xdr:rowOff>
    </xdr:from>
    <xdr:to>
      <xdr:col>41</xdr:col>
      <xdr:colOff>701675</xdr:colOff>
      <xdr:row>19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72600" y="12880264"/>
          <a:ext cx="587375" cy="1753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25400</xdr:colOff>
          <xdr:row>4</xdr:row>
          <xdr:rowOff>12700</xdr:rowOff>
        </xdr:from>
        <xdr:to>
          <xdr:col>41</xdr:col>
          <xdr:colOff>584200</xdr:colOff>
          <xdr:row>6</xdr:row>
          <xdr:rowOff>88900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</xdr:sp>
        <xdr:clientData/>
      </xdr:twoCellAnchor>
    </mc:Choice>
    <mc:Fallback/>
  </mc:AlternateContent>
  <xdr:twoCellAnchor editAs="oneCell">
    <xdr:from>
      <xdr:col>45</xdr:col>
      <xdr:colOff>0</xdr:colOff>
      <xdr:row>12</xdr:row>
      <xdr:rowOff>0</xdr:rowOff>
    </xdr:from>
    <xdr:to>
      <xdr:col>45</xdr:col>
      <xdr:colOff>787401</xdr:colOff>
      <xdr:row>13</xdr:row>
      <xdr:rowOff>17656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56900" y="2514600"/>
          <a:ext cx="787401" cy="220856"/>
        </a:xfrm>
        <a:prstGeom prst="rect">
          <a:avLst/>
        </a:prstGeom>
      </xdr:spPr>
    </xdr:pic>
    <xdr:clientData/>
  </xdr:twoCellAnchor>
  <xdr:twoCellAnchor editAs="oneCell">
    <xdr:from>
      <xdr:col>40</xdr:col>
      <xdr:colOff>127001</xdr:colOff>
      <xdr:row>12</xdr:row>
      <xdr:rowOff>165100</xdr:rowOff>
    </xdr:from>
    <xdr:to>
      <xdr:col>40</xdr:col>
      <xdr:colOff>509271</xdr:colOff>
      <xdr:row>14</xdr:row>
      <xdr:rowOff>25400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181801" y="2679700"/>
          <a:ext cx="382270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freevbcode.com/ShowCode.asp?ID=9209" TargetMode="External"/><Relationship Id="rId2" Type="http://schemas.openxmlformats.org/officeDocument/2006/relationships/hyperlink" Target="http://rosettacode.org/wiki/Cholesky_decomposition" TargetMode="External"/><Relationship Id="rId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freevbcode.com/ShowCode.asp?ID=9209" TargetMode="External"/><Relationship Id="rId2" Type="http://schemas.openxmlformats.org/officeDocument/2006/relationships/hyperlink" Target="http://rosettacode.org/wiki/Cholesky_decomposition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freevbcode.com/ShowCode.asp?ID=9209" TargetMode="External"/><Relationship Id="rId2" Type="http://schemas.openxmlformats.org/officeDocument/2006/relationships/hyperlink" Target="http://rosettacode.org/wiki/Cholesky_decomposition" TargetMode="External"/><Relationship Id="rId3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X784"/>
  <sheetViews>
    <sheetView workbookViewId="0">
      <selection activeCell="G5" sqref="G5"/>
    </sheetView>
  </sheetViews>
  <sheetFormatPr baseColWidth="10" defaultColWidth="9" defaultRowHeight="16" x14ac:dyDescent="0.2"/>
  <cols>
    <col min="1" max="1" width="12.1640625" style="1" bestFit="1" customWidth="1"/>
    <col min="2" max="2" width="9.1640625" style="1" customWidth="1"/>
    <col min="3" max="3" width="6.1640625" style="1" bestFit="1" customWidth="1"/>
    <col min="4" max="7" width="5.83203125" style="1" bestFit="1" customWidth="1"/>
    <col min="8" max="8" width="7.1640625" style="1" bestFit="1" customWidth="1"/>
    <col min="9" max="9" width="6.83203125" style="1" bestFit="1" customWidth="1"/>
    <col min="10" max="10" width="5.83203125" style="1" bestFit="1" customWidth="1"/>
    <col min="11" max="12" width="7.1640625" style="1" bestFit="1" customWidth="1"/>
    <col min="13" max="14" width="9" style="1"/>
    <col min="15" max="15" width="10.6640625" style="1" customWidth="1"/>
    <col min="16" max="16" width="9" style="1"/>
    <col min="17" max="17" width="12.1640625" style="1" customWidth="1"/>
    <col min="18" max="18" width="23.1640625" style="1" bestFit="1" customWidth="1"/>
    <col min="19" max="19" width="12.6640625" style="1" bestFit="1" customWidth="1"/>
    <col min="20" max="23" width="9" style="1"/>
    <col min="24" max="24" width="16.1640625" style="1" customWidth="1"/>
    <col min="25" max="16384" width="9" style="1"/>
  </cols>
  <sheetData>
    <row r="1" spans="1:19" x14ac:dyDescent="0.2">
      <c r="A1" s="9" t="s">
        <v>31</v>
      </c>
      <c r="B1" s="11" t="s">
        <v>25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1:19" x14ac:dyDescent="0.2">
      <c r="A2" s="1">
        <v>1</v>
      </c>
      <c r="B2" s="9" t="s">
        <v>26</v>
      </c>
    </row>
    <row r="3" spans="1:19" x14ac:dyDescent="0.2">
      <c r="A3" s="1">
        <v>2</v>
      </c>
      <c r="B3" s="1" t="s">
        <v>0</v>
      </c>
    </row>
    <row r="4" spans="1:19" x14ac:dyDescent="0.2">
      <c r="A4" s="1">
        <v>3</v>
      </c>
      <c r="B4" s="3" t="s">
        <v>1</v>
      </c>
    </row>
    <row r="5" spans="1:19" x14ac:dyDescent="0.2">
      <c r="A5" s="1">
        <v>4</v>
      </c>
      <c r="B5" s="1" t="s">
        <v>2</v>
      </c>
    </row>
    <row r="6" spans="1:19" x14ac:dyDescent="0.2">
      <c r="A6" s="1">
        <v>5</v>
      </c>
      <c r="B6" s="9" t="s">
        <v>23</v>
      </c>
    </row>
    <row r="7" spans="1:19" x14ac:dyDescent="0.2">
      <c r="A7" s="1">
        <v>6</v>
      </c>
      <c r="B7" s="1" t="s">
        <v>3</v>
      </c>
    </row>
    <row r="8" spans="1:19" x14ac:dyDescent="0.2">
      <c r="A8" s="1">
        <v>7</v>
      </c>
      <c r="B8" s="9" t="s">
        <v>22</v>
      </c>
    </row>
    <row r="9" spans="1:19" x14ac:dyDescent="0.2">
      <c r="A9" s="1">
        <v>8</v>
      </c>
      <c r="B9" s="2" t="s">
        <v>18</v>
      </c>
    </row>
    <row r="10" spans="1:19" x14ac:dyDescent="0.2">
      <c r="A10" s="1">
        <v>9</v>
      </c>
      <c r="B10" s="3" t="s">
        <v>4</v>
      </c>
    </row>
    <row r="11" spans="1:19" x14ac:dyDescent="0.2">
      <c r="A11" s="1">
        <v>10</v>
      </c>
      <c r="B11" s="3" t="s">
        <v>19</v>
      </c>
    </row>
    <row r="12" spans="1:19" x14ac:dyDescent="0.2">
      <c r="A12" s="1">
        <v>11</v>
      </c>
      <c r="B12" s="1" t="s">
        <v>20</v>
      </c>
    </row>
    <row r="13" spans="1:19" ht="18" x14ac:dyDescent="0.2">
      <c r="A13" s="1">
        <v>12</v>
      </c>
      <c r="B13" s="9" t="s">
        <v>24</v>
      </c>
    </row>
    <row r="14" spans="1:19" x14ac:dyDescent="0.2">
      <c r="A14" s="1">
        <v>13</v>
      </c>
      <c r="B14" s="1" t="s">
        <v>21</v>
      </c>
      <c r="O14" s="9" t="s">
        <v>27</v>
      </c>
    </row>
    <row r="15" spans="1:19" x14ac:dyDescent="0.2">
      <c r="A15" s="4" t="s">
        <v>5</v>
      </c>
      <c r="E15" s="4"/>
      <c r="F15" s="4"/>
      <c r="G15" s="4"/>
      <c r="H15" s="4"/>
      <c r="I15" s="4"/>
      <c r="J15" s="4"/>
      <c r="K15" s="4"/>
      <c r="L15" s="4"/>
      <c r="Q15" s="1" t="s">
        <v>17</v>
      </c>
      <c r="R15" s="10" t="s">
        <v>28</v>
      </c>
      <c r="S15" s="10" t="s">
        <v>29</v>
      </c>
    </row>
    <row r="16" spans="1:19" x14ac:dyDescent="0.2">
      <c r="B16" s="4" t="s">
        <v>6</v>
      </c>
      <c r="C16" s="4" t="s">
        <v>7</v>
      </c>
      <c r="D16" s="4" t="s">
        <v>8</v>
      </c>
      <c r="E16" s="4" t="s">
        <v>9</v>
      </c>
      <c r="F16" s="4" t="s">
        <v>10</v>
      </c>
      <c r="G16" s="4" t="s">
        <v>11</v>
      </c>
      <c r="H16" s="4" t="s">
        <v>12</v>
      </c>
      <c r="I16" s="4" t="s">
        <v>13</v>
      </c>
      <c r="J16" s="4" t="s">
        <v>14</v>
      </c>
      <c r="K16" s="4" t="s">
        <v>15</v>
      </c>
      <c r="L16" s="4" t="s">
        <v>16</v>
      </c>
      <c r="P16" s="4" t="s">
        <v>6</v>
      </c>
      <c r="S16" s="10" t="s">
        <v>30</v>
      </c>
    </row>
    <row r="17" spans="1:19" x14ac:dyDescent="0.2">
      <c r="A17" s="5">
        <v>25537</v>
      </c>
      <c r="B17" s="6">
        <v>4.8533420071924809</v>
      </c>
      <c r="C17" s="7">
        <v>5.76</v>
      </c>
      <c r="D17" s="7">
        <v>6.08</v>
      </c>
      <c r="E17" s="1">
        <v>6.24</v>
      </c>
      <c r="F17" s="1">
        <v>6.4399999999999995</v>
      </c>
      <c r="G17" s="1">
        <v>6.7299999999999995</v>
      </c>
      <c r="H17" s="7">
        <v>94.01</v>
      </c>
      <c r="I17" s="7">
        <v>35.01</v>
      </c>
      <c r="J17" s="7">
        <v>3.0799999999999996</v>
      </c>
      <c r="K17" s="7">
        <v>278.28999999999996</v>
      </c>
      <c r="L17" s="7">
        <v>362.05337279600002</v>
      </c>
      <c r="O17" s="5">
        <v>24806</v>
      </c>
      <c r="P17" s="6">
        <v>4.8433420071924811</v>
      </c>
    </row>
    <row r="18" spans="1:19" x14ac:dyDescent="0.2">
      <c r="A18" s="5">
        <v>25568</v>
      </c>
      <c r="B18" s="6">
        <v>5.1027405380346478</v>
      </c>
      <c r="C18" s="7">
        <v>5.71</v>
      </c>
      <c r="D18" s="7">
        <v>6.2</v>
      </c>
      <c r="E18" s="1">
        <v>6.3599999999999994</v>
      </c>
      <c r="F18" s="1">
        <v>6.59</v>
      </c>
      <c r="G18" s="1">
        <v>6.9399999999999995</v>
      </c>
      <c r="H18" s="7">
        <v>96.48</v>
      </c>
      <c r="I18" s="7">
        <v>35.01</v>
      </c>
      <c r="J18" s="7">
        <v>3.0799999999999996</v>
      </c>
      <c r="K18" s="7">
        <v>240.67</v>
      </c>
      <c r="L18" s="7">
        <v>361.896150616</v>
      </c>
      <c r="O18" s="5">
        <v>24837</v>
      </c>
      <c r="P18" s="6">
        <v>5.092740538034648</v>
      </c>
      <c r="Q18" s="8">
        <f>+P18/P17-1</f>
        <v>5.1493066248843089E-2</v>
      </c>
      <c r="R18" s="1">
        <f>+Q18*$P$267</f>
        <v>0.38493018608221041</v>
      </c>
      <c r="S18" s="1">
        <f>+R18*100</f>
        <v>38.493018608221043</v>
      </c>
    </row>
    <row r="19" spans="1:19" x14ac:dyDescent="0.2">
      <c r="A19" s="5">
        <v>25599</v>
      </c>
      <c r="B19" s="6">
        <v>5.1339369030079691</v>
      </c>
      <c r="C19" s="7">
        <v>5.54</v>
      </c>
      <c r="D19" s="7">
        <v>6.18</v>
      </c>
      <c r="E19" s="1">
        <v>6.3</v>
      </c>
      <c r="F19" s="1">
        <v>6.49</v>
      </c>
      <c r="G19" s="1">
        <v>6.85</v>
      </c>
      <c r="H19" s="7">
        <v>92.25</v>
      </c>
      <c r="I19" s="7">
        <v>35.21</v>
      </c>
      <c r="J19" s="7">
        <v>3.0799999999999996</v>
      </c>
      <c r="K19" s="7">
        <v>240.92999999999998</v>
      </c>
      <c r="L19" s="7">
        <v>362.17137910999998</v>
      </c>
      <c r="O19" s="5">
        <v>24868</v>
      </c>
      <c r="P19" s="6">
        <v>5.1239369030079693</v>
      </c>
      <c r="Q19" s="8">
        <f t="shared" ref="Q19:Q82" si="0">+P19/P18-1</f>
        <v>6.1256537104794617E-3</v>
      </c>
      <c r="R19" s="1">
        <f t="shared" ref="R19:R82" si="1">+Q19*$P$267</f>
        <v>4.5791583108590252E-2</v>
      </c>
      <c r="S19" s="1">
        <f t="shared" ref="S19:S82" si="2">+R19*100</f>
        <v>4.5791583108590252</v>
      </c>
    </row>
    <row r="20" spans="1:19" x14ac:dyDescent="0.2">
      <c r="A20" s="5">
        <v>25627</v>
      </c>
      <c r="B20" s="6">
        <v>5.1131387939539312</v>
      </c>
      <c r="C20" s="7">
        <v>5.5699999999999994</v>
      </c>
      <c r="D20" s="7">
        <v>6.1099999999999994</v>
      </c>
      <c r="E20" s="1">
        <v>6.2799999999999994</v>
      </c>
      <c r="F20" s="1">
        <v>6.42</v>
      </c>
      <c r="G20" s="1">
        <v>6.81</v>
      </c>
      <c r="H20" s="7">
        <v>89.37</v>
      </c>
      <c r="I20" s="7">
        <v>35.21</v>
      </c>
      <c r="J20" s="7">
        <v>3.0799999999999996</v>
      </c>
      <c r="K20" s="7">
        <v>240.94</v>
      </c>
      <c r="L20" s="7">
        <v>362.11892236400001</v>
      </c>
      <c r="O20" s="5">
        <v>24896</v>
      </c>
      <c r="P20" s="6">
        <v>5.1031387939539314</v>
      </c>
      <c r="Q20" s="8">
        <f t="shared" si="0"/>
        <v>-4.0590095951080762E-3</v>
      </c>
      <c r="R20" s="1">
        <f t="shared" si="1"/>
        <v>-3.0342635088069416E-2</v>
      </c>
      <c r="S20" s="1">
        <f t="shared" si="2"/>
        <v>-3.0342635088069416</v>
      </c>
    </row>
    <row r="21" spans="1:19" x14ac:dyDescent="0.2">
      <c r="A21" s="5">
        <v>25658</v>
      </c>
      <c r="B21" s="6">
        <v>5.3108068574439269</v>
      </c>
      <c r="C21" s="7">
        <v>5.75</v>
      </c>
      <c r="D21" s="7">
        <v>6.12</v>
      </c>
      <c r="E21" s="1">
        <v>6.29</v>
      </c>
      <c r="F21" s="1">
        <v>6.4399999999999995</v>
      </c>
      <c r="G21" s="1">
        <v>6.8599999999999994</v>
      </c>
      <c r="H21" s="7">
        <v>90.210000000000008</v>
      </c>
      <c r="I21" s="7">
        <v>39.409999999999997</v>
      </c>
      <c r="J21" s="7">
        <v>3.0799999999999996</v>
      </c>
      <c r="K21" s="7">
        <v>240</v>
      </c>
      <c r="L21" s="7">
        <v>362.06648081099996</v>
      </c>
      <c r="O21" s="5">
        <v>24928</v>
      </c>
      <c r="P21" s="6">
        <v>5.3008068574439271</v>
      </c>
      <c r="Q21" s="8">
        <f t="shared" si="0"/>
        <v>3.8734604617101098E-2</v>
      </c>
      <c r="R21" s="1">
        <f t="shared" si="1"/>
        <v>0.28955584992798061</v>
      </c>
      <c r="S21" s="1">
        <f t="shared" si="2"/>
        <v>28.955584992798062</v>
      </c>
    </row>
    <row r="22" spans="1:19" x14ac:dyDescent="0.2">
      <c r="A22" s="5">
        <v>25688</v>
      </c>
      <c r="B22" s="6">
        <v>5.5295060280761099</v>
      </c>
      <c r="C22" s="7">
        <v>5.6499999999999995</v>
      </c>
      <c r="D22" s="7">
        <v>6.22</v>
      </c>
      <c r="E22" s="1">
        <v>6.39</v>
      </c>
      <c r="F22" s="1">
        <v>6.58</v>
      </c>
      <c r="G22" s="1">
        <v>6.9799999999999995</v>
      </c>
      <c r="H22" s="7">
        <v>97.600000000000009</v>
      </c>
      <c r="I22" s="7">
        <v>39.11</v>
      </c>
      <c r="J22" s="7">
        <v>3.0799999999999996</v>
      </c>
      <c r="K22" s="7">
        <v>240.17999999999998</v>
      </c>
      <c r="L22" s="7">
        <v>362.28946237600002</v>
      </c>
      <c r="O22" s="5">
        <v>24958</v>
      </c>
      <c r="P22" s="6">
        <v>5.5195060280761101</v>
      </c>
      <c r="Q22" s="8">
        <f t="shared" si="0"/>
        <v>4.1257713497910853E-2</v>
      </c>
      <c r="R22" s="1">
        <f t="shared" si="1"/>
        <v>0.30841704507029932</v>
      </c>
      <c r="S22" s="1">
        <f t="shared" si="2"/>
        <v>30.841704507029931</v>
      </c>
    </row>
    <row r="23" spans="1:19" x14ac:dyDescent="0.2">
      <c r="A23" s="5">
        <v>25719</v>
      </c>
      <c r="B23" s="6">
        <v>5.8214713329397494</v>
      </c>
      <c r="C23" s="7">
        <v>5.88</v>
      </c>
      <c r="D23" s="7">
        <v>6.2799999999999994</v>
      </c>
      <c r="E23" s="1">
        <v>6.49</v>
      </c>
      <c r="F23" s="1">
        <v>6.63</v>
      </c>
      <c r="G23" s="1">
        <v>7.04</v>
      </c>
      <c r="H23" s="7">
        <v>98.690000000000012</v>
      </c>
      <c r="I23" s="7">
        <v>41.309999999999995</v>
      </c>
      <c r="J23" s="7">
        <v>3.0799999999999996</v>
      </c>
      <c r="K23" s="7">
        <v>238.92999999999998</v>
      </c>
      <c r="L23" s="7">
        <v>362.276338211</v>
      </c>
      <c r="O23" s="5">
        <v>24989</v>
      </c>
      <c r="P23" s="6">
        <v>5.8114713329397496</v>
      </c>
      <c r="Q23" s="8">
        <f t="shared" si="0"/>
        <v>5.2896999002899348E-2</v>
      </c>
      <c r="R23" s="1">
        <f t="shared" si="1"/>
        <v>0.39542511550929471</v>
      </c>
      <c r="S23" s="1">
        <f t="shared" si="2"/>
        <v>39.542511550929468</v>
      </c>
    </row>
    <row r="24" spans="1:19" x14ac:dyDescent="0.2">
      <c r="A24" s="5">
        <v>25749</v>
      </c>
      <c r="B24" s="6">
        <v>5.6858638874427845</v>
      </c>
      <c r="C24" s="7">
        <v>5.7299999999999995</v>
      </c>
      <c r="D24" s="7">
        <v>6.29</v>
      </c>
      <c r="E24" s="1">
        <v>6.51</v>
      </c>
      <c r="F24" s="1">
        <v>6.66</v>
      </c>
      <c r="G24" s="1">
        <v>7.08</v>
      </c>
      <c r="H24" s="7">
        <v>99.59</v>
      </c>
      <c r="I24" s="7">
        <v>41.01</v>
      </c>
      <c r="J24" s="7">
        <v>3.0799999999999996</v>
      </c>
      <c r="K24" s="7">
        <v>238.48999999999998</v>
      </c>
      <c r="L24" s="7">
        <v>361.85686640699998</v>
      </c>
      <c r="O24" s="5">
        <v>25019</v>
      </c>
      <c r="P24" s="6">
        <v>5.6758638874427847</v>
      </c>
      <c r="Q24" s="8">
        <f t="shared" si="0"/>
        <v>-2.3334442816285494E-2</v>
      </c>
      <c r="R24" s="1">
        <f t="shared" si="1"/>
        <v>-0.17443380380556145</v>
      </c>
      <c r="S24" s="1">
        <f t="shared" si="2"/>
        <v>-17.443380380556146</v>
      </c>
    </row>
    <row r="25" spans="1:19" x14ac:dyDescent="0.2">
      <c r="A25" s="5">
        <v>25780</v>
      </c>
      <c r="B25" s="6">
        <v>5.4669965360045198</v>
      </c>
      <c r="C25" s="7">
        <v>5.51</v>
      </c>
      <c r="D25" s="7">
        <v>6.25</v>
      </c>
      <c r="E25" s="1">
        <v>6.46</v>
      </c>
      <c r="F25" s="1">
        <v>6.6099999999999994</v>
      </c>
      <c r="G25" s="1">
        <v>6.99</v>
      </c>
      <c r="H25" s="7">
        <v>97.75</v>
      </c>
      <c r="I25" s="7">
        <v>38.76</v>
      </c>
      <c r="J25" s="7">
        <v>3.0799999999999996</v>
      </c>
      <c r="K25" s="7">
        <v>239</v>
      </c>
      <c r="L25" s="7">
        <v>360.50026676199997</v>
      </c>
      <c r="O25" s="5">
        <v>25050</v>
      </c>
      <c r="P25" s="6">
        <v>5.4569965360045201</v>
      </c>
      <c r="Q25" s="8">
        <f t="shared" si="0"/>
        <v>-3.8561064144347124E-2</v>
      </c>
      <c r="R25" s="1">
        <f t="shared" si="1"/>
        <v>-0.28825856912230546</v>
      </c>
      <c r="S25" s="1">
        <f t="shared" si="2"/>
        <v>-28.825856912230545</v>
      </c>
    </row>
    <row r="26" spans="1:19" x14ac:dyDescent="0.2">
      <c r="A26" s="5">
        <v>25811</v>
      </c>
      <c r="B26" s="6">
        <v>5.2275547559044302</v>
      </c>
      <c r="C26" s="7">
        <v>5.43</v>
      </c>
      <c r="D26" s="7">
        <v>6.0299999999999994</v>
      </c>
      <c r="E26" s="1">
        <v>6.26</v>
      </c>
      <c r="F26" s="1">
        <v>6.39</v>
      </c>
      <c r="G26" s="1">
        <v>6.83</v>
      </c>
      <c r="H26" s="7">
        <v>98.87</v>
      </c>
      <c r="I26" s="7">
        <v>39.909999999999997</v>
      </c>
      <c r="J26" s="7">
        <v>3.0799999999999996</v>
      </c>
      <c r="K26" s="7">
        <v>239.13</v>
      </c>
      <c r="L26" s="7">
        <v>359.68341653800002</v>
      </c>
      <c r="O26" s="5">
        <v>25081</v>
      </c>
      <c r="P26" s="6">
        <v>5.2175547559044304</v>
      </c>
      <c r="Q26" s="8">
        <f t="shared" si="0"/>
        <v>-4.3877942476284404E-2</v>
      </c>
      <c r="R26" s="1">
        <f t="shared" si="1"/>
        <v>-0.32800424975042441</v>
      </c>
      <c r="S26" s="1">
        <f t="shared" si="2"/>
        <v>-32.800424975042439</v>
      </c>
    </row>
    <row r="27" spans="1:19" x14ac:dyDescent="0.2">
      <c r="A27" s="5">
        <v>25841</v>
      </c>
      <c r="B27" s="6">
        <v>5.352445702962271</v>
      </c>
      <c r="C27" s="7">
        <v>5.47</v>
      </c>
      <c r="D27" s="7">
        <v>5.9799999999999995</v>
      </c>
      <c r="E27" s="1">
        <v>6.24</v>
      </c>
      <c r="F27" s="1">
        <v>6.3999999999999995</v>
      </c>
      <c r="G27" s="1">
        <v>6.8</v>
      </c>
      <c r="H27" s="7">
        <v>102.68</v>
      </c>
      <c r="I27" s="7">
        <v>38.559999999999995</v>
      </c>
      <c r="J27" s="7">
        <v>3.0799999999999996</v>
      </c>
      <c r="K27" s="7">
        <v>238.76999999999998</v>
      </c>
      <c r="L27" s="7">
        <v>359.218304897</v>
      </c>
      <c r="O27" s="5">
        <v>25111</v>
      </c>
      <c r="P27" s="6">
        <v>5.3424457029622712</v>
      </c>
      <c r="Q27" s="8">
        <f t="shared" si="0"/>
        <v>2.3936681625910783E-2</v>
      </c>
      <c r="R27" s="1">
        <f t="shared" si="1"/>
        <v>0.17893576715601933</v>
      </c>
      <c r="S27" s="1">
        <f t="shared" si="2"/>
        <v>17.893576715601935</v>
      </c>
    </row>
    <row r="28" spans="1:19" x14ac:dyDescent="0.2">
      <c r="A28" s="5">
        <v>25872</v>
      </c>
      <c r="B28" s="6">
        <v>5.50866739503536</v>
      </c>
      <c r="C28" s="7">
        <v>5.59</v>
      </c>
      <c r="D28" s="7">
        <v>6.1</v>
      </c>
      <c r="E28" s="1">
        <v>6.33</v>
      </c>
      <c r="F28" s="1">
        <v>6.4799999999999995</v>
      </c>
      <c r="G28" s="1">
        <v>6.85</v>
      </c>
      <c r="H28" s="7">
        <v>103.42</v>
      </c>
      <c r="I28" s="7">
        <v>39.51</v>
      </c>
      <c r="J28" s="7">
        <v>3.0799999999999996</v>
      </c>
      <c r="K28" s="7">
        <v>239</v>
      </c>
      <c r="L28" s="7">
        <v>358.56145213399998</v>
      </c>
      <c r="O28" s="5">
        <v>25142</v>
      </c>
      <c r="P28" s="6">
        <v>5.4986673950353602</v>
      </c>
      <c r="Q28" s="8">
        <f t="shared" si="0"/>
        <v>2.9241605953330918E-2</v>
      </c>
      <c r="R28" s="1">
        <f t="shared" si="1"/>
        <v>0.21859208706980493</v>
      </c>
      <c r="S28" s="1">
        <f t="shared" si="2"/>
        <v>21.859208706980493</v>
      </c>
    </row>
    <row r="29" spans="1:19" x14ac:dyDescent="0.2">
      <c r="A29" s="5">
        <v>25902</v>
      </c>
      <c r="B29" s="6">
        <v>5.6128819247381641</v>
      </c>
      <c r="C29" s="7">
        <v>5.71</v>
      </c>
      <c r="D29" s="7">
        <v>6.2</v>
      </c>
      <c r="E29" s="1">
        <v>6.46</v>
      </c>
      <c r="F29" s="1">
        <v>6.6</v>
      </c>
      <c r="G29" s="1">
        <v>7.02</v>
      </c>
      <c r="H29" s="7">
        <v>108.38000000000001</v>
      </c>
      <c r="I29" s="7">
        <v>40.629999999999995</v>
      </c>
      <c r="J29" s="7">
        <v>3.0799999999999996</v>
      </c>
      <c r="K29" s="7">
        <v>238.73999999999998</v>
      </c>
      <c r="L29" s="7">
        <v>358.11205908799997</v>
      </c>
      <c r="O29" s="5">
        <v>25172</v>
      </c>
      <c r="P29" s="6">
        <v>5.6028819247381643</v>
      </c>
      <c r="Q29" s="8">
        <f t="shared" si="0"/>
        <v>1.8952688390808436E-2</v>
      </c>
      <c r="R29" s="1">
        <f t="shared" si="1"/>
        <v>0.14167852879019319</v>
      </c>
      <c r="S29" s="1">
        <f t="shared" si="2"/>
        <v>14.167852879019319</v>
      </c>
    </row>
    <row r="30" spans="1:19" x14ac:dyDescent="0.2">
      <c r="A30" s="5">
        <v>25933</v>
      </c>
      <c r="B30" s="6">
        <v>6.1243063092331358</v>
      </c>
      <c r="C30" s="7">
        <v>6.04</v>
      </c>
      <c r="D30" s="7">
        <v>6.46</v>
      </c>
      <c r="E30" s="1">
        <v>6.67</v>
      </c>
      <c r="F30" s="1">
        <v>6.8599999999999994</v>
      </c>
      <c r="G30" s="1">
        <v>7.24</v>
      </c>
      <c r="H30" s="7">
        <v>103.87</v>
      </c>
      <c r="I30" s="7">
        <v>41.73</v>
      </c>
      <c r="J30" s="7">
        <v>3.0799999999999996</v>
      </c>
      <c r="K30" s="7">
        <v>238.42999999999998</v>
      </c>
      <c r="L30" s="7">
        <v>357.91980672900002</v>
      </c>
      <c r="O30" s="5">
        <v>25203</v>
      </c>
      <c r="P30" s="6">
        <v>6.114306309233136</v>
      </c>
      <c r="Q30" s="8">
        <f t="shared" si="0"/>
        <v>9.1278808185641269E-2</v>
      </c>
      <c r="R30" s="1">
        <f t="shared" si="1"/>
        <v>0.68234368585597083</v>
      </c>
      <c r="S30" s="1">
        <f t="shared" si="2"/>
        <v>68.234368585597082</v>
      </c>
    </row>
    <row r="31" spans="1:19" x14ac:dyDescent="0.2">
      <c r="A31" s="5">
        <v>25964</v>
      </c>
      <c r="B31" s="6">
        <v>6.3229599570229471</v>
      </c>
      <c r="C31" s="7">
        <v>6.05</v>
      </c>
      <c r="D31" s="7">
        <v>6.6</v>
      </c>
      <c r="E31" s="1">
        <v>6.74</v>
      </c>
      <c r="F31" s="1">
        <v>6.9399999999999995</v>
      </c>
      <c r="G31" s="1">
        <v>7.33</v>
      </c>
      <c r="H31" s="7">
        <v>103.02000000000001</v>
      </c>
      <c r="I31" s="7">
        <v>42.53</v>
      </c>
      <c r="J31" s="7">
        <v>3.0799999999999996</v>
      </c>
      <c r="K31" s="7">
        <v>238.70999999999998</v>
      </c>
      <c r="L31" s="7">
        <v>357.99668289699997</v>
      </c>
      <c r="O31" s="5">
        <v>25234</v>
      </c>
      <c r="P31" s="6">
        <v>6.3129599570229473</v>
      </c>
      <c r="Q31" s="8">
        <f t="shared" si="0"/>
        <v>3.2489973145412687E-2</v>
      </c>
      <c r="R31" s="1">
        <f t="shared" si="1"/>
        <v>0.24287486296178196</v>
      </c>
      <c r="S31" s="1">
        <f t="shared" si="2"/>
        <v>24.287486296178194</v>
      </c>
    </row>
    <row r="32" spans="1:19" x14ac:dyDescent="0.2">
      <c r="A32" s="5">
        <v>25992</v>
      </c>
      <c r="B32" s="6">
        <v>6.3124996698932483</v>
      </c>
      <c r="C32" s="7">
        <v>6.2</v>
      </c>
      <c r="D32" s="7">
        <v>6.67</v>
      </c>
      <c r="E32" s="1">
        <v>6.7799999999999994</v>
      </c>
      <c r="F32" s="1">
        <v>6.9799999999999995</v>
      </c>
      <c r="G32" s="1">
        <v>7.31</v>
      </c>
      <c r="H32" s="7">
        <v>98.14</v>
      </c>
      <c r="I32" s="7">
        <v>42.71</v>
      </c>
      <c r="J32" s="7">
        <v>3.0799999999999996</v>
      </c>
      <c r="K32" s="7">
        <v>239.16</v>
      </c>
      <c r="L32" s="7">
        <v>357.855768474</v>
      </c>
      <c r="O32" s="5">
        <v>25262</v>
      </c>
      <c r="P32" s="6">
        <v>6.3024996698932485</v>
      </c>
      <c r="Q32" s="8">
        <f t="shared" si="0"/>
        <v>-1.6569544557402116E-3</v>
      </c>
      <c r="R32" s="1">
        <f t="shared" si="1"/>
        <v>-1.2386362542396808E-2</v>
      </c>
      <c r="S32" s="1">
        <f t="shared" si="2"/>
        <v>-1.2386362542396807</v>
      </c>
    </row>
    <row r="33" spans="1:19" x14ac:dyDescent="0.2">
      <c r="A33" s="5">
        <v>26023</v>
      </c>
      <c r="B33" s="6">
        <v>6.1974719523742499</v>
      </c>
      <c r="C33" s="7">
        <v>6.31</v>
      </c>
      <c r="D33" s="7">
        <v>6.8599999999999994</v>
      </c>
      <c r="E33" s="1">
        <v>6.96</v>
      </c>
      <c r="F33" s="1">
        <v>7.14</v>
      </c>
      <c r="G33" s="1">
        <v>7.52</v>
      </c>
      <c r="H33" s="7">
        <v>101.52000000000001</v>
      </c>
      <c r="I33" s="7">
        <v>43.41</v>
      </c>
      <c r="J33" s="7">
        <v>3.26</v>
      </c>
      <c r="K33" s="7">
        <v>239.19</v>
      </c>
      <c r="L33" s="7">
        <v>357.98386790699999</v>
      </c>
      <c r="O33" s="5">
        <v>25293</v>
      </c>
      <c r="P33" s="6">
        <v>6.1874719523742501</v>
      </c>
      <c r="Q33" s="8">
        <f t="shared" si="0"/>
        <v>-1.82511263060402E-2</v>
      </c>
      <c r="R33" s="1">
        <f t="shared" si="1"/>
        <v>-0.13643408631452048</v>
      </c>
      <c r="S33" s="1">
        <f t="shared" si="2"/>
        <v>-13.643408631452047</v>
      </c>
    </row>
    <row r="34" spans="1:19" x14ac:dyDescent="0.2">
      <c r="A34" s="5">
        <v>26053</v>
      </c>
      <c r="B34" s="6">
        <v>6.3020399198848667</v>
      </c>
      <c r="C34" s="7">
        <v>6.18</v>
      </c>
      <c r="D34" s="7">
        <v>6.8999999999999995</v>
      </c>
      <c r="E34" s="1">
        <v>7.0299999999999994</v>
      </c>
      <c r="F34" s="1">
        <v>7.22</v>
      </c>
      <c r="G34" s="1">
        <v>7.55</v>
      </c>
      <c r="H34" s="7">
        <v>103.7</v>
      </c>
      <c r="I34" s="7">
        <v>43.61</v>
      </c>
      <c r="J34" s="7">
        <v>3.36</v>
      </c>
      <c r="K34" s="7">
        <v>239.32999999999998</v>
      </c>
      <c r="L34" s="7">
        <v>358.21467815400001</v>
      </c>
      <c r="O34" s="5">
        <v>25323</v>
      </c>
      <c r="P34" s="6">
        <v>6.2920399198848669</v>
      </c>
      <c r="Q34" s="8">
        <f t="shared" si="0"/>
        <v>1.6899950143691944E-2</v>
      </c>
      <c r="R34" s="1">
        <f t="shared" si="1"/>
        <v>0.12633353240520173</v>
      </c>
      <c r="S34" s="1">
        <f t="shared" si="2"/>
        <v>12.633353240520172</v>
      </c>
    </row>
    <row r="35" spans="1:19" x14ac:dyDescent="0.2">
      <c r="A35" s="5">
        <v>26084</v>
      </c>
      <c r="B35" s="6">
        <v>6.2183812512217473</v>
      </c>
      <c r="C35" s="7">
        <v>6.33</v>
      </c>
      <c r="D35" s="7">
        <v>6.8</v>
      </c>
      <c r="E35" s="1">
        <v>6.97</v>
      </c>
      <c r="F35" s="1">
        <v>7.13</v>
      </c>
      <c r="G35" s="1">
        <v>7.5299999999999994</v>
      </c>
      <c r="H35" s="7">
        <v>103.47</v>
      </c>
      <c r="I35" s="7">
        <v>43.379999999999995</v>
      </c>
      <c r="J35" s="7">
        <v>3.36</v>
      </c>
      <c r="K35" s="7">
        <v>238.69</v>
      </c>
      <c r="L35" s="7">
        <v>358.44578622799997</v>
      </c>
      <c r="O35" s="5">
        <v>25354</v>
      </c>
      <c r="P35" s="6">
        <v>6.2083812512217476</v>
      </c>
      <c r="Q35" s="8">
        <f t="shared" si="0"/>
        <v>-1.3295953256547421E-2</v>
      </c>
      <c r="R35" s="1">
        <f t="shared" si="1"/>
        <v>-9.939228975897621E-2</v>
      </c>
      <c r="S35" s="1">
        <f t="shared" si="2"/>
        <v>-9.9392289758976204</v>
      </c>
    </row>
    <row r="36" spans="1:19" x14ac:dyDescent="0.2">
      <c r="A36" s="5">
        <v>26114</v>
      </c>
      <c r="B36" s="6">
        <v>6.637018537693347</v>
      </c>
      <c r="C36" s="7">
        <v>6.58</v>
      </c>
      <c r="D36" s="7">
        <v>6.99</v>
      </c>
      <c r="E36" s="1">
        <v>7.13</v>
      </c>
      <c r="F36" s="1">
        <v>7.29</v>
      </c>
      <c r="G36" s="1">
        <v>7.71</v>
      </c>
      <c r="H36" s="7">
        <v>97.72</v>
      </c>
      <c r="I36" s="7">
        <v>40.909999999999997</v>
      </c>
      <c r="J36" s="7">
        <v>3.36</v>
      </c>
      <c r="K36" s="7">
        <v>238.98</v>
      </c>
      <c r="L36" s="7">
        <v>358.690057389</v>
      </c>
      <c r="O36" s="5">
        <v>25384</v>
      </c>
      <c r="P36" s="6">
        <v>6.6270185376933473</v>
      </c>
      <c r="Q36" s="8">
        <f t="shared" si="0"/>
        <v>6.7430988776537637E-2</v>
      </c>
      <c r="R36" s="1">
        <f t="shared" si="1"/>
        <v>0.50407219744936516</v>
      </c>
      <c r="S36" s="1">
        <f t="shared" si="2"/>
        <v>50.407219744936512</v>
      </c>
    </row>
    <row r="37" spans="1:19" x14ac:dyDescent="0.2">
      <c r="A37" s="5">
        <v>26145</v>
      </c>
      <c r="B37" s="6">
        <v>7.214051936359354</v>
      </c>
      <c r="C37" s="7">
        <v>6.7299999999999995</v>
      </c>
      <c r="D37" s="7">
        <v>7.09</v>
      </c>
      <c r="E37" s="1">
        <v>7.25</v>
      </c>
      <c r="F37" s="1">
        <v>7.41</v>
      </c>
      <c r="G37" s="1">
        <v>7.85</v>
      </c>
      <c r="H37" s="7">
        <v>91.84</v>
      </c>
      <c r="I37" s="7">
        <v>41.48</v>
      </c>
      <c r="J37" s="7">
        <v>3.36</v>
      </c>
      <c r="K37" s="7">
        <v>239.06</v>
      </c>
      <c r="L37" s="7">
        <v>359.60581430499997</v>
      </c>
      <c r="O37" s="5">
        <v>25415</v>
      </c>
      <c r="P37" s="6">
        <v>7.2040519363593543</v>
      </c>
      <c r="Q37" s="8">
        <f t="shared" si="0"/>
        <v>8.7072851144740282E-2</v>
      </c>
      <c r="R37" s="1">
        <f t="shared" si="1"/>
        <v>0.65090256291751747</v>
      </c>
      <c r="S37" s="1">
        <f t="shared" si="2"/>
        <v>65.090256291751743</v>
      </c>
    </row>
    <row r="38" spans="1:19" x14ac:dyDescent="0.2">
      <c r="A38" s="5">
        <v>26176</v>
      </c>
      <c r="B38" s="6">
        <v>7.2035458422602892</v>
      </c>
      <c r="C38" s="7">
        <v>6.7</v>
      </c>
      <c r="D38" s="7">
        <v>6.9799999999999995</v>
      </c>
      <c r="E38" s="1">
        <v>7.24</v>
      </c>
      <c r="F38" s="1">
        <v>7.42</v>
      </c>
      <c r="G38" s="1">
        <v>7.87</v>
      </c>
      <c r="H38" s="7">
        <v>95.52000000000001</v>
      </c>
      <c r="I38" s="7">
        <v>40.93</v>
      </c>
      <c r="J38" s="7">
        <v>3.36</v>
      </c>
      <c r="K38" s="7">
        <v>238.54999999999998</v>
      </c>
      <c r="L38" s="7">
        <v>359.59288385499997</v>
      </c>
      <c r="O38" s="5">
        <v>25446</v>
      </c>
      <c r="P38" s="6">
        <v>7.1935458422602894</v>
      </c>
      <c r="Q38" s="8">
        <f t="shared" si="0"/>
        <v>-1.458359016824895E-3</v>
      </c>
      <c r="R38" s="1">
        <f t="shared" si="1"/>
        <v>-1.0901786368833467E-2</v>
      </c>
      <c r="S38" s="1">
        <f t="shared" si="2"/>
        <v>-1.0901786368833468</v>
      </c>
    </row>
    <row r="39" spans="1:19" x14ac:dyDescent="0.2">
      <c r="A39" s="5">
        <v>26206</v>
      </c>
      <c r="B39" s="6">
        <v>7.319142622466746</v>
      </c>
      <c r="C39" s="7">
        <v>7.17</v>
      </c>
      <c r="D39" s="7">
        <v>7.1499999999999995</v>
      </c>
      <c r="E39" s="1">
        <v>7.37</v>
      </c>
      <c r="F39" s="1">
        <v>7.5699999999999994</v>
      </c>
      <c r="G39" s="1">
        <v>8.06</v>
      </c>
      <c r="H39" s="7">
        <v>93.13000000000001</v>
      </c>
      <c r="I39" s="7">
        <v>40.86</v>
      </c>
      <c r="J39" s="7">
        <v>3.36</v>
      </c>
      <c r="K39" s="7">
        <v>238.42</v>
      </c>
      <c r="L39" s="7">
        <v>358.33019492599999</v>
      </c>
      <c r="O39" s="5">
        <v>25476</v>
      </c>
      <c r="P39" s="6">
        <v>7.3091426224667462</v>
      </c>
      <c r="Q39" s="8">
        <f t="shared" si="0"/>
        <v>1.6069513247188194E-2</v>
      </c>
      <c r="R39" s="1">
        <f t="shared" si="1"/>
        <v>0.12012570186825244</v>
      </c>
      <c r="S39" s="1">
        <f t="shared" si="2"/>
        <v>12.012570186825243</v>
      </c>
    </row>
    <row r="40" spans="1:19" x14ac:dyDescent="0.2">
      <c r="A40" s="5">
        <v>26237</v>
      </c>
      <c r="B40" s="6">
        <v>7.224558571153473</v>
      </c>
      <c r="C40" s="7">
        <v>7.1099999999999994</v>
      </c>
      <c r="D40" s="7">
        <v>7.34</v>
      </c>
      <c r="E40" s="1">
        <v>7.54</v>
      </c>
      <c r="F40" s="1">
        <v>7.8</v>
      </c>
      <c r="G40" s="1">
        <v>8.23</v>
      </c>
      <c r="H40" s="7">
        <v>97.25</v>
      </c>
      <c r="I40" s="7">
        <v>40.01</v>
      </c>
      <c r="J40" s="7">
        <v>3.36</v>
      </c>
      <c r="K40" s="7">
        <v>239.04</v>
      </c>
      <c r="L40" s="7">
        <v>358.29168105799999</v>
      </c>
      <c r="O40" s="5">
        <v>25507</v>
      </c>
      <c r="P40" s="6">
        <v>7.2145585711534732</v>
      </c>
      <c r="Q40" s="8">
        <f t="shared" si="0"/>
        <v>-1.2940512478514465E-2</v>
      </c>
      <c r="R40" s="1">
        <f t="shared" si="1"/>
        <v>-9.6735235231124983E-2</v>
      </c>
      <c r="S40" s="1">
        <f t="shared" si="2"/>
        <v>-9.6735235231124985</v>
      </c>
    </row>
    <row r="41" spans="1:19" x14ac:dyDescent="0.2">
      <c r="A41" s="5">
        <v>26267</v>
      </c>
      <c r="B41" s="6">
        <v>7.4874002890680442</v>
      </c>
      <c r="C41" s="7">
        <v>7.1499999999999995</v>
      </c>
      <c r="D41" s="7">
        <v>7.3599999999999994</v>
      </c>
      <c r="E41" s="1">
        <v>7.59</v>
      </c>
      <c r="F41" s="1">
        <v>7.85</v>
      </c>
      <c r="G41" s="1">
        <v>8.26</v>
      </c>
      <c r="H41" s="7">
        <v>93.820000000000007</v>
      </c>
      <c r="I41" s="7">
        <v>35.61</v>
      </c>
      <c r="J41" s="7">
        <v>3.36</v>
      </c>
      <c r="K41" s="7">
        <v>239.66</v>
      </c>
      <c r="L41" s="7">
        <v>357.77895280999996</v>
      </c>
      <c r="O41" s="5">
        <v>25537</v>
      </c>
      <c r="P41" s="6">
        <v>7.4774002890680444</v>
      </c>
      <c r="Q41" s="8">
        <f t="shared" si="0"/>
        <v>3.6432127526902613E-2</v>
      </c>
      <c r="R41" s="1">
        <f t="shared" si="1"/>
        <v>0.27234396103992975</v>
      </c>
      <c r="S41" s="1">
        <f t="shared" si="2"/>
        <v>27.234396103992975</v>
      </c>
    </row>
    <row r="42" spans="1:19" x14ac:dyDescent="0.2">
      <c r="A42" s="5">
        <v>26298</v>
      </c>
      <c r="B42" s="6">
        <v>8.0879465951284359</v>
      </c>
      <c r="C42" s="7">
        <v>7.66</v>
      </c>
      <c r="D42" s="7">
        <v>7.7299999999999995</v>
      </c>
      <c r="E42" s="1">
        <v>7.9399999999999995</v>
      </c>
      <c r="F42" s="1">
        <v>8.2200000000000006</v>
      </c>
      <c r="G42" s="1">
        <v>8.66</v>
      </c>
      <c r="H42" s="7">
        <v>92.070000000000007</v>
      </c>
      <c r="I42" s="7">
        <v>35.18</v>
      </c>
      <c r="J42" s="7">
        <v>3.36</v>
      </c>
      <c r="K42" s="7">
        <v>239.73999999999998</v>
      </c>
      <c r="L42" s="7">
        <v>357.75335491800001</v>
      </c>
      <c r="O42" s="5">
        <v>25568</v>
      </c>
      <c r="P42" s="6">
        <v>8.0779465951284362</v>
      </c>
      <c r="Q42" s="8">
        <f t="shared" si="0"/>
        <v>8.0314853136642883E-2</v>
      </c>
      <c r="R42" s="1">
        <f t="shared" si="1"/>
        <v>0.60038396652574433</v>
      </c>
      <c r="S42" s="1">
        <f t="shared" si="2"/>
        <v>60.038396652574434</v>
      </c>
    </row>
    <row r="43" spans="1:19" x14ac:dyDescent="0.2">
      <c r="A43" s="5">
        <v>26329</v>
      </c>
      <c r="B43" s="6">
        <v>8.1512647096417812</v>
      </c>
      <c r="C43" s="7">
        <v>7.81</v>
      </c>
      <c r="D43" s="7">
        <v>7.92</v>
      </c>
      <c r="E43" s="1">
        <v>8.16</v>
      </c>
      <c r="F43" s="1">
        <v>8.36</v>
      </c>
      <c r="G43" s="1">
        <v>8.8699999999999992</v>
      </c>
      <c r="H43" s="7">
        <v>85.03</v>
      </c>
      <c r="I43" s="7">
        <v>34.839999999999996</v>
      </c>
      <c r="J43" s="7">
        <v>3.36</v>
      </c>
      <c r="K43" s="7">
        <v>240.06</v>
      </c>
      <c r="L43" s="7">
        <v>357.81735652099997</v>
      </c>
      <c r="O43" s="5">
        <v>25599</v>
      </c>
      <c r="P43" s="6">
        <v>8.1412647096417814</v>
      </c>
      <c r="Q43" s="8">
        <f t="shared" si="0"/>
        <v>7.838392315137499E-3</v>
      </c>
      <c r="R43" s="1">
        <f t="shared" si="1"/>
        <v>5.8594953306340243E-2</v>
      </c>
      <c r="S43" s="1">
        <f t="shared" si="2"/>
        <v>5.8594953306340241</v>
      </c>
    </row>
    <row r="44" spans="1:19" x14ac:dyDescent="0.2">
      <c r="A44" s="5">
        <v>26358</v>
      </c>
      <c r="B44" s="6">
        <v>7.3717082546348536</v>
      </c>
      <c r="C44" s="7">
        <v>7.25</v>
      </c>
      <c r="D44" s="7">
        <v>7.9399999999999995</v>
      </c>
      <c r="E44" s="1">
        <v>8.14</v>
      </c>
      <c r="F44" s="1">
        <v>8.32</v>
      </c>
      <c r="G44" s="1">
        <v>8.7899999999999991</v>
      </c>
      <c r="H44" s="7">
        <v>89.51</v>
      </c>
      <c r="I44" s="7">
        <v>34.97</v>
      </c>
      <c r="J44" s="7">
        <v>3.36</v>
      </c>
      <c r="K44" s="7">
        <v>240.48</v>
      </c>
      <c r="L44" s="7">
        <v>357.79175313000002</v>
      </c>
      <c r="O44" s="5">
        <v>25627</v>
      </c>
      <c r="P44" s="6">
        <v>7.3617082546348538</v>
      </c>
      <c r="Q44" s="8">
        <f t="shared" si="0"/>
        <v>-9.5753729034715129E-2</v>
      </c>
      <c r="R44" s="1">
        <f t="shared" si="1"/>
        <v>-0.71579541519779977</v>
      </c>
      <c r="S44" s="1">
        <f t="shared" si="2"/>
        <v>-71.57954151977998</v>
      </c>
    </row>
    <row r="45" spans="1:19" x14ac:dyDescent="0.2">
      <c r="A45" s="5">
        <v>26389</v>
      </c>
      <c r="B45" s="6">
        <v>6.8466600587004365</v>
      </c>
      <c r="C45" s="7">
        <v>7.08</v>
      </c>
      <c r="D45" s="7">
        <v>7.85</v>
      </c>
      <c r="E45" s="1">
        <v>8.07</v>
      </c>
      <c r="F45" s="1">
        <v>8.18</v>
      </c>
      <c r="G45" s="1">
        <v>8.64</v>
      </c>
      <c r="H45" s="7">
        <v>89.64</v>
      </c>
      <c r="I45" s="7">
        <v>35.11</v>
      </c>
      <c r="J45" s="7">
        <v>3.36</v>
      </c>
      <c r="K45" s="7">
        <v>240.6</v>
      </c>
      <c r="L45" s="7">
        <v>357.62542037599997</v>
      </c>
      <c r="O45" s="5">
        <v>25658</v>
      </c>
      <c r="P45" s="6">
        <v>6.8366600587004367</v>
      </c>
      <c r="Q45" s="8">
        <f t="shared" si="0"/>
        <v>-7.1321516389059925E-2</v>
      </c>
      <c r="R45" s="1">
        <f t="shared" si="1"/>
        <v>-0.53315536586293444</v>
      </c>
      <c r="S45" s="1">
        <f t="shared" si="2"/>
        <v>-53.315536586293447</v>
      </c>
    </row>
    <row r="46" spans="1:19" x14ac:dyDescent="0.2">
      <c r="A46" s="5">
        <v>26419</v>
      </c>
      <c r="B46" s="6">
        <v>6.7103685555728143</v>
      </c>
      <c r="C46" s="7">
        <v>7.3999999999999995</v>
      </c>
      <c r="D46" s="7">
        <v>7.84</v>
      </c>
      <c r="E46" s="1">
        <v>8.0399999999999991</v>
      </c>
      <c r="F46" s="1">
        <v>8.23</v>
      </c>
      <c r="G46" s="1">
        <v>8.7099999999999991</v>
      </c>
      <c r="H46" s="7">
        <v>81.53</v>
      </c>
      <c r="I46" s="7">
        <v>35.96</v>
      </c>
      <c r="J46" s="7">
        <v>3.36</v>
      </c>
      <c r="K46" s="7">
        <v>240.64</v>
      </c>
      <c r="L46" s="7">
        <v>358.09923583900002</v>
      </c>
      <c r="O46" s="5">
        <v>25688</v>
      </c>
      <c r="P46" s="6">
        <v>6.7003685555728145</v>
      </c>
      <c r="Q46" s="8">
        <f t="shared" si="0"/>
        <v>-1.9935392714776845E-2</v>
      </c>
      <c r="R46" s="1">
        <f t="shared" si="1"/>
        <v>-0.14902461605679582</v>
      </c>
      <c r="S46" s="1">
        <f t="shared" si="2"/>
        <v>-14.902461605679582</v>
      </c>
    </row>
    <row r="47" spans="1:19" x14ac:dyDescent="0.2">
      <c r="A47" s="5">
        <v>26450</v>
      </c>
      <c r="B47" s="6">
        <v>7.0565172744892584</v>
      </c>
      <c r="C47" s="7">
        <v>7.92</v>
      </c>
      <c r="D47" s="7">
        <v>8.1199999999999992</v>
      </c>
      <c r="E47" s="1">
        <v>8.25</v>
      </c>
      <c r="F47" s="1">
        <v>8.5</v>
      </c>
      <c r="G47" s="1">
        <v>8.99</v>
      </c>
      <c r="H47" s="7">
        <v>76.56</v>
      </c>
      <c r="I47" s="7">
        <v>35.97</v>
      </c>
      <c r="J47" s="7">
        <v>3.36</v>
      </c>
      <c r="K47" s="7">
        <v>240.41</v>
      </c>
      <c r="L47" s="7">
        <v>358.92177948599999</v>
      </c>
      <c r="O47" s="5">
        <v>25719</v>
      </c>
      <c r="P47" s="6">
        <v>7.0465172744892586</v>
      </c>
      <c r="Q47" s="8">
        <f t="shared" si="0"/>
        <v>5.1661146106440015E-2</v>
      </c>
      <c r="R47" s="1">
        <f t="shared" si="1"/>
        <v>0.38618664672001346</v>
      </c>
      <c r="S47" s="1">
        <f t="shared" si="2"/>
        <v>38.618664672001344</v>
      </c>
    </row>
    <row r="48" spans="1:19" x14ac:dyDescent="0.2">
      <c r="A48" s="5">
        <v>26480</v>
      </c>
      <c r="B48" s="6">
        <v>6.8886142356277489</v>
      </c>
      <c r="C48" s="7">
        <v>7.85</v>
      </c>
      <c r="D48" s="7">
        <v>8.49</v>
      </c>
      <c r="E48" s="1">
        <v>8.59</v>
      </c>
      <c r="F48" s="1">
        <v>8.77</v>
      </c>
      <c r="G48" s="1">
        <v>9.26</v>
      </c>
      <c r="H48" s="7">
        <v>72.73</v>
      </c>
      <c r="I48" s="7">
        <v>35.409999999999997</v>
      </c>
      <c r="J48" s="7">
        <v>3.36</v>
      </c>
      <c r="K48" s="7">
        <v>239.79</v>
      </c>
      <c r="L48" s="7">
        <v>358.89601779999998</v>
      </c>
      <c r="O48" s="5">
        <v>25749</v>
      </c>
      <c r="P48" s="6">
        <v>6.8786142356277491</v>
      </c>
      <c r="Q48" s="8">
        <f t="shared" si="0"/>
        <v>-2.3827804902909144E-2</v>
      </c>
      <c r="R48" s="1">
        <f t="shared" si="1"/>
        <v>-0.17812187238730406</v>
      </c>
      <c r="S48" s="1">
        <f t="shared" si="2"/>
        <v>-17.812187238730406</v>
      </c>
    </row>
    <row r="49" spans="1:19" x14ac:dyDescent="0.2">
      <c r="A49" s="5">
        <v>26511</v>
      </c>
      <c r="B49" s="6">
        <v>6.6579729930068154</v>
      </c>
      <c r="C49" s="7">
        <v>7.47</v>
      </c>
      <c r="D49" s="7">
        <v>8.4499999999999993</v>
      </c>
      <c r="E49" s="1">
        <v>8.65</v>
      </c>
      <c r="F49" s="1">
        <v>8.93</v>
      </c>
      <c r="G49" s="1">
        <v>9.41</v>
      </c>
      <c r="H49" s="7">
        <v>78.06</v>
      </c>
      <c r="I49" s="7">
        <v>35.309999999999995</v>
      </c>
      <c r="J49" s="7">
        <v>3.32</v>
      </c>
      <c r="K49" s="7">
        <v>239.07999999999998</v>
      </c>
      <c r="L49" s="7">
        <v>359.38612305099997</v>
      </c>
      <c r="O49" s="5">
        <v>25780</v>
      </c>
      <c r="P49" s="6">
        <v>6.6479729930068157</v>
      </c>
      <c r="Q49" s="8">
        <f t="shared" si="0"/>
        <v>-3.353019005286384E-2</v>
      </c>
      <c r="R49" s="1">
        <f t="shared" si="1"/>
        <v>-0.25065087858718726</v>
      </c>
      <c r="S49" s="1">
        <f t="shared" si="2"/>
        <v>-25.065087858718726</v>
      </c>
    </row>
    <row r="50" spans="1:19" x14ac:dyDescent="0.2">
      <c r="A50" s="5">
        <v>26542</v>
      </c>
      <c r="B50" s="6">
        <v>6.6160662360034213</v>
      </c>
      <c r="C50" s="7">
        <v>7.54</v>
      </c>
      <c r="D50" s="7">
        <v>8.14</v>
      </c>
      <c r="E50" s="1">
        <v>8.5</v>
      </c>
      <c r="F50" s="1">
        <v>8.86</v>
      </c>
      <c r="G50" s="1">
        <v>9.4499999999999993</v>
      </c>
      <c r="H50" s="7">
        <v>81.53</v>
      </c>
      <c r="I50" s="7">
        <v>35.26</v>
      </c>
      <c r="J50" s="7">
        <v>3.32</v>
      </c>
      <c r="K50" s="7">
        <v>238.82</v>
      </c>
      <c r="L50" s="7">
        <v>358.24034210999997</v>
      </c>
      <c r="O50" s="5">
        <v>25811</v>
      </c>
      <c r="P50" s="6">
        <v>6.6060662360034215</v>
      </c>
      <c r="Q50" s="8">
        <f t="shared" si="0"/>
        <v>-6.3036894174325342E-3</v>
      </c>
      <c r="R50" s="1">
        <f t="shared" si="1"/>
        <v>-4.71224674935974E-2</v>
      </c>
      <c r="S50" s="1">
        <f t="shared" si="2"/>
        <v>-4.71224674935974</v>
      </c>
    </row>
    <row r="51" spans="1:19" x14ac:dyDescent="0.2">
      <c r="A51" s="5">
        <v>26572</v>
      </c>
      <c r="B51" s="6">
        <v>6.3124996698932483</v>
      </c>
      <c r="C51" s="7">
        <v>7.3999999999999995</v>
      </c>
      <c r="D51" s="7">
        <v>8.1</v>
      </c>
      <c r="E51" s="1">
        <v>8.48</v>
      </c>
      <c r="F51" s="1">
        <v>8.7899999999999991</v>
      </c>
      <c r="G51" s="1">
        <v>9.4</v>
      </c>
      <c r="H51" s="7">
        <v>84.22</v>
      </c>
      <c r="I51" s="7">
        <v>36.239999999999995</v>
      </c>
      <c r="J51" s="7">
        <v>3.32</v>
      </c>
      <c r="K51" s="7">
        <v>238.54</v>
      </c>
      <c r="L51" s="7">
        <v>357.98386790699999</v>
      </c>
      <c r="O51" s="5">
        <v>25841</v>
      </c>
      <c r="P51" s="6">
        <v>6.3024996698932485</v>
      </c>
      <c r="Q51" s="8">
        <f t="shared" si="0"/>
        <v>-4.5952697909039775E-2</v>
      </c>
      <c r="R51" s="1">
        <f t="shared" si="1"/>
        <v>-0.34351383294257987</v>
      </c>
      <c r="S51" s="1">
        <f t="shared" si="2"/>
        <v>-34.351383294257985</v>
      </c>
    </row>
    <row r="52" spans="1:19" x14ac:dyDescent="0.2">
      <c r="A52" s="5">
        <v>26603</v>
      </c>
      <c r="B52" s="6">
        <v>6.0825091715050297</v>
      </c>
      <c r="C52" s="7">
        <v>7.34</v>
      </c>
      <c r="D52" s="7">
        <v>8.0399999999999991</v>
      </c>
      <c r="E52" s="1">
        <v>8.4499999999999993</v>
      </c>
      <c r="F52" s="1">
        <v>8.7200000000000006</v>
      </c>
      <c r="G52" s="1">
        <v>9.34</v>
      </c>
      <c r="H52" s="7">
        <v>83.26</v>
      </c>
      <c r="I52" s="7">
        <v>38.01</v>
      </c>
      <c r="J52" s="7">
        <v>3.32</v>
      </c>
      <c r="K52" s="7">
        <v>238.75</v>
      </c>
      <c r="L52" s="7">
        <v>357.81735652099997</v>
      </c>
      <c r="O52" s="5">
        <v>25872</v>
      </c>
      <c r="P52" s="6">
        <v>6.0725091715050299</v>
      </c>
      <c r="Q52" s="8">
        <f t="shared" si="0"/>
        <v>-3.6491949295431536E-2</v>
      </c>
      <c r="R52" s="1">
        <f t="shared" si="1"/>
        <v>-0.27279115143213373</v>
      </c>
      <c r="S52" s="1">
        <f t="shared" si="2"/>
        <v>-27.279115143213374</v>
      </c>
    </row>
    <row r="53" spans="1:19" x14ac:dyDescent="0.2">
      <c r="A53" s="5">
        <v>26633</v>
      </c>
      <c r="B53" s="6">
        <v>5.4357489966080621</v>
      </c>
      <c r="C53" s="7">
        <v>6.85</v>
      </c>
      <c r="D53" s="7">
        <v>8.06</v>
      </c>
      <c r="E53" s="1">
        <v>8.43</v>
      </c>
      <c r="F53" s="1">
        <v>8.75</v>
      </c>
      <c r="G53" s="1">
        <v>9.39</v>
      </c>
      <c r="H53" s="7">
        <v>87.210000000000008</v>
      </c>
      <c r="I53" s="7">
        <v>37.559999999999995</v>
      </c>
      <c r="J53" s="7">
        <v>3.32</v>
      </c>
      <c r="K53" s="7">
        <v>239.04999999999998</v>
      </c>
      <c r="L53" s="7">
        <v>357.71496494399997</v>
      </c>
      <c r="O53" s="5">
        <v>25902</v>
      </c>
      <c r="P53" s="6">
        <v>5.4257489966080623</v>
      </c>
      <c r="Q53" s="8">
        <f t="shared" si="0"/>
        <v>-0.10650624916827789</v>
      </c>
      <c r="R53" s="1">
        <f t="shared" si="1"/>
        <v>-0.79617457840131201</v>
      </c>
      <c r="S53" s="1">
        <f t="shared" si="2"/>
        <v>-79.617457840131195</v>
      </c>
    </row>
    <row r="54" spans="1:19" x14ac:dyDescent="0.2">
      <c r="A54" s="5">
        <v>26664</v>
      </c>
      <c r="B54" s="6">
        <v>5.0091801856352207</v>
      </c>
      <c r="C54" s="7">
        <v>6.3999999999999995</v>
      </c>
      <c r="D54" s="7">
        <v>7.6499999999999995</v>
      </c>
      <c r="E54" s="1">
        <v>8.14</v>
      </c>
      <c r="F54" s="1">
        <v>8.49</v>
      </c>
      <c r="G54" s="1">
        <v>9.129999999999999</v>
      </c>
      <c r="H54" s="7">
        <v>92.01</v>
      </c>
      <c r="I54" s="7">
        <v>37.409999999999997</v>
      </c>
      <c r="J54" s="7">
        <v>3.57</v>
      </c>
      <c r="K54" s="7">
        <v>239.07999999999998</v>
      </c>
      <c r="L54" s="7">
        <v>357.67658321099998</v>
      </c>
      <c r="O54" s="5">
        <v>25933</v>
      </c>
      <c r="P54" s="6">
        <v>4.9991801856352209</v>
      </c>
      <c r="Q54" s="8">
        <f t="shared" si="0"/>
        <v>-7.8619341078902338E-2</v>
      </c>
      <c r="R54" s="1">
        <f t="shared" si="1"/>
        <v>-0.58770937129506395</v>
      </c>
      <c r="S54" s="1">
        <f t="shared" si="2"/>
        <v>-58.770937129506393</v>
      </c>
    </row>
    <row r="55" spans="1:19" x14ac:dyDescent="0.2">
      <c r="A55" s="5">
        <v>26695</v>
      </c>
      <c r="B55" s="6">
        <v>4.5627638529765742</v>
      </c>
      <c r="C55" s="7">
        <v>6.25</v>
      </c>
      <c r="D55" s="7">
        <v>7.37</v>
      </c>
      <c r="E55" s="1">
        <v>7.91</v>
      </c>
      <c r="F55" s="1">
        <v>8.16</v>
      </c>
      <c r="G55" s="1">
        <v>8.75</v>
      </c>
      <c r="H55" s="7">
        <v>95.850000000000009</v>
      </c>
      <c r="I55" s="7">
        <v>38.059999999999995</v>
      </c>
      <c r="J55" s="7">
        <v>3.57</v>
      </c>
      <c r="K55" s="7">
        <v>240.54</v>
      </c>
      <c r="L55" s="7">
        <v>358.02231562399999</v>
      </c>
      <c r="O55" s="5">
        <v>25964</v>
      </c>
      <c r="P55" s="6">
        <v>4.5527638529765744</v>
      </c>
      <c r="Q55" s="8">
        <f t="shared" si="0"/>
        <v>-8.929790807328597E-2</v>
      </c>
      <c r="R55" s="1">
        <f t="shared" si="1"/>
        <v>-0.66753570675497242</v>
      </c>
      <c r="S55" s="1">
        <f t="shared" si="2"/>
        <v>-66.753570675497244</v>
      </c>
    </row>
    <row r="56" spans="1:19" x14ac:dyDescent="0.2">
      <c r="A56" s="5">
        <v>26723</v>
      </c>
      <c r="B56" s="6">
        <v>3.7864750712268682</v>
      </c>
      <c r="C56" s="7">
        <v>6.12</v>
      </c>
      <c r="D56" s="7">
        <v>7.09</v>
      </c>
      <c r="E56" s="1">
        <v>7.68</v>
      </c>
      <c r="F56" s="1">
        <v>7.8599999999999994</v>
      </c>
      <c r="G56" s="1">
        <v>8.4</v>
      </c>
      <c r="H56" s="7">
        <v>96.76</v>
      </c>
      <c r="I56" s="7">
        <v>38.76</v>
      </c>
      <c r="J56" s="7">
        <v>3.57</v>
      </c>
      <c r="K56" s="7">
        <v>241.82</v>
      </c>
      <c r="L56" s="7">
        <v>357.54870356499998</v>
      </c>
      <c r="O56" s="5">
        <v>25992</v>
      </c>
      <c r="P56" s="6">
        <v>3.7764750712268684</v>
      </c>
      <c r="Q56" s="8">
        <f t="shared" si="0"/>
        <v>-0.17050934483284741</v>
      </c>
      <c r="R56" s="1">
        <f t="shared" si="1"/>
        <v>-1.2746219756672261</v>
      </c>
      <c r="S56" s="1">
        <f t="shared" si="2"/>
        <v>-127.46219756672261</v>
      </c>
    </row>
    <row r="57" spans="1:19" x14ac:dyDescent="0.2">
      <c r="A57" s="5">
        <v>26754</v>
      </c>
      <c r="B57" s="6">
        <v>3.4664761929843926</v>
      </c>
      <c r="C57" s="7">
        <v>5.71</v>
      </c>
      <c r="D57" s="7">
        <v>7.22</v>
      </c>
      <c r="E57" s="1">
        <v>7.74</v>
      </c>
      <c r="F57" s="1">
        <v>7.97</v>
      </c>
      <c r="G57" s="1">
        <v>8.4700000000000006</v>
      </c>
      <c r="H57" s="7">
        <v>100.32000000000001</v>
      </c>
      <c r="I57" s="7">
        <v>38.83</v>
      </c>
      <c r="J57" s="7">
        <v>3.57</v>
      </c>
      <c r="K57" s="7">
        <v>241.89</v>
      </c>
      <c r="L57" s="7">
        <v>357.52313860699996</v>
      </c>
      <c r="O57" s="5">
        <v>26023</v>
      </c>
      <c r="P57" s="6">
        <v>3.4564761929843928</v>
      </c>
      <c r="Q57" s="8">
        <f t="shared" si="0"/>
        <v>-8.4734804866199553E-2</v>
      </c>
      <c r="R57" s="1">
        <f t="shared" si="1"/>
        <v>-0.63342478086588594</v>
      </c>
      <c r="S57" s="1">
        <f t="shared" si="2"/>
        <v>-63.342478086588592</v>
      </c>
    </row>
    <row r="58" spans="1:19" x14ac:dyDescent="0.2">
      <c r="A58" s="5">
        <v>26784</v>
      </c>
      <c r="B58" s="6">
        <v>3.9518339310484114</v>
      </c>
      <c r="C58" s="7">
        <v>5.84</v>
      </c>
      <c r="D58" s="7">
        <v>7.26</v>
      </c>
      <c r="E58" s="1">
        <v>7.75</v>
      </c>
      <c r="F58" s="1">
        <v>8</v>
      </c>
      <c r="G58" s="1">
        <v>8.4599999999999991</v>
      </c>
      <c r="H58" s="7">
        <v>103.87</v>
      </c>
      <c r="I58" s="7">
        <v>39.21</v>
      </c>
      <c r="J58" s="7">
        <v>3.57</v>
      </c>
      <c r="K58" s="7">
        <v>241.82</v>
      </c>
      <c r="L58" s="7">
        <v>357.51035749900001</v>
      </c>
      <c r="O58" s="5">
        <v>26053</v>
      </c>
      <c r="P58" s="6">
        <v>3.9418339310484116</v>
      </c>
      <c r="Q58" s="8">
        <f t="shared" si="0"/>
        <v>0.14041981224958211</v>
      </c>
      <c r="R58" s="1">
        <f t="shared" si="1"/>
        <v>1.0496913156744689</v>
      </c>
      <c r="S58" s="1">
        <f t="shared" si="2"/>
        <v>104.96913156744689</v>
      </c>
    </row>
    <row r="59" spans="1:19" x14ac:dyDescent="0.2">
      <c r="A59" s="5">
        <v>26815</v>
      </c>
      <c r="B59" s="6">
        <v>4.2415371838838629</v>
      </c>
      <c r="C59" s="7">
        <v>6.3999999999999995</v>
      </c>
      <c r="D59" s="7">
        <v>7.54</v>
      </c>
      <c r="E59" s="1">
        <v>7.85</v>
      </c>
      <c r="F59" s="1">
        <v>8.15</v>
      </c>
      <c r="G59" s="1">
        <v>8.629999999999999</v>
      </c>
      <c r="H59" s="7">
        <v>99.64</v>
      </c>
      <c r="I59" s="7">
        <v>40.93</v>
      </c>
      <c r="J59" s="7">
        <v>3.57</v>
      </c>
      <c r="K59" s="7">
        <v>241.89</v>
      </c>
      <c r="L59" s="7">
        <v>357.42091532899997</v>
      </c>
      <c r="O59" s="5">
        <v>26084</v>
      </c>
      <c r="P59" s="6">
        <v>4.2315371838838631</v>
      </c>
      <c r="Q59" s="8">
        <f t="shared" si="0"/>
        <v>7.3494535260240967E-2</v>
      </c>
      <c r="R59" s="1">
        <f t="shared" si="1"/>
        <v>0.54939950549916483</v>
      </c>
      <c r="S59" s="1">
        <f t="shared" si="2"/>
        <v>54.939950549916482</v>
      </c>
    </row>
    <row r="60" spans="1:19" x14ac:dyDescent="0.2">
      <c r="A60" s="5">
        <v>26845</v>
      </c>
      <c r="B60" s="6">
        <v>4.8741135201607255</v>
      </c>
      <c r="C60" s="7">
        <v>6.5299999999999994</v>
      </c>
      <c r="D60" s="7">
        <v>7.6499999999999995</v>
      </c>
      <c r="E60" s="1">
        <v>7.97</v>
      </c>
      <c r="F60" s="1">
        <v>8.2099999999999991</v>
      </c>
      <c r="G60" s="1">
        <v>8.76</v>
      </c>
      <c r="H60" s="7">
        <v>99.710000000000008</v>
      </c>
      <c r="I60" s="7">
        <v>40.159999999999997</v>
      </c>
      <c r="J60" s="7">
        <v>3.57</v>
      </c>
      <c r="K60" s="7">
        <v>241.91</v>
      </c>
      <c r="L60" s="7">
        <v>357.42091532899997</v>
      </c>
      <c r="O60" s="5">
        <v>26114</v>
      </c>
      <c r="P60" s="6">
        <v>4.8641135201607257</v>
      </c>
      <c r="Q60" s="8">
        <f t="shared" si="0"/>
        <v>0.14949090809979837</v>
      </c>
      <c r="R60" s="1">
        <f t="shared" si="1"/>
        <v>1.1175011951001628</v>
      </c>
      <c r="S60" s="1">
        <f t="shared" si="2"/>
        <v>111.75011951001628</v>
      </c>
    </row>
    <row r="61" spans="1:19" x14ac:dyDescent="0.2">
      <c r="A61" s="5">
        <v>26876</v>
      </c>
      <c r="B61" s="6">
        <v>5.5503467972382605</v>
      </c>
      <c r="C61" s="7">
        <v>6.74</v>
      </c>
      <c r="D61" s="7">
        <v>7.6499999999999995</v>
      </c>
      <c r="E61" s="1">
        <v>7.97</v>
      </c>
      <c r="F61" s="1">
        <v>8.2200000000000006</v>
      </c>
      <c r="G61" s="1">
        <v>8.77</v>
      </c>
      <c r="H61" s="7">
        <v>95.61</v>
      </c>
      <c r="I61" s="7">
        <v>42.91</v>
      </c>
      <c r="J61" s="7">
        <v>3.57</v>
      </c>
      <c r="K61" s="7">
        <v>241.87</v>
      </c>
      <c r="L61" s="7">
        <v>357.40814152899998</v>
      </c>
      <c r="O61" s="5">
        <v>26145</v>
      </c>
      <c r="P61" s="6">
        <v>5.5403467972382607</v>
      </c>
      <c r="Q61" s="8">
        <f t="shared" si="0"/>
        <v>0.13902497840041983</v>
      </c>
      <c r="R61" s="1">
        <f t="shared" si="1"/>
        <v>1.0392644040099521</v>
      </c>
      <c r="S61" s="1">
        <f t="shared" si="2"/>
        <v>103.92644040099522</v>
      </c>
    </row>
    <row r="62" spans="1:19" x14ac:dyDescent="0.2">
      <c r="A62" s="5">
        <v>26907</v>
      </c>
      <c r="B62" s="6">
        <v>5.071548964217131</v>
      </c>
      <c r="C62" s="7">
        <v>6.59</v>
      </c>
      <c r="D62" s="7">
        <v>7.6</v>
      </c>
      <c r="E62" s="1">
        <v>7.9399999999999995</v>
      </c>
      <c r="F62" s="1">
        <v>8.2099999999999991</v>
      </c>
      <c r="G62" s="1">
        <v>8.77</v>
      </c>
      <c r="H62" s="7">
        <v>99.04</v>
      </c>
      <c r="I62" s="7">
        <v>42.86</v>
      </c>
      <c r="J62" s="7">
        <v>3.57</v>
      </c>
      <c r="K62" s="7">
        <v>241.89999999999998</v>
      </c>
      <c r="L62" s="7">
        <v>355.71732401499997</v>
      </c>
      <c r="O62" s="5">
        <v>26176</v>
      </c>
      <c r="P62" s="6">
        <v>5.0615489642171312</v>
      </c>
      <c r="Q62" s="8">
        <f t="shared" si="0"/>
        <v>-8.6420191829832627E-2</v>
      </c>
      <c r="R62" s="1">
        <f t="shared" si="1"/>
        <v>-0.64602368718070236</v>
      </c>
      <c r="S62" s="1">
        <f t="shared" si="2"/>
        <v>-64.602368718070238</v>
      </c>
    </row>
    <row r="63" spans="1:19" x14ac:dyDescent="0.2">
      <c r="A63" s="5">
        <v>26937</v>
      </c>
      <c r="B63" s="6">
        <v>4.8221887229181739</v>
      </c>
      <c r="C63" s="7">
        <v>6.1499999999999995</v>
      </c>
      <c r="D63" s="7">
        <v>7.45</v>
      </c>
      <c r="E63" s="1">
        <v>7.8199999999999994</v>
      </c>
      <c r="F63" s="1">
        <v>8.0499999999999989</v>
      </c>
      <c r="G63" s="1">
        <v>8.6</v>
      </c>
      <c r="H63" s="7">
        <v>98.350000000000009</v>
      </c>
      <c r="I63" s="7">
        <v>42.66</v>
      </c>
      <c r="J63" s="7">
        <v>3.57</v>
      </c>
      <c r="K63" s="7">
        <v>246.98</v>
      </c>
      <c r="L63" s="7">
        <v>338.04197782599999</v>
      </c>
      <c r="O63" s="5">
        <v>26206</v>
      </c>
      <c r="P63" s="6">
        <v>4.8121887229181741</v>
      </c>
      <c r="Q63" s="8">
        <f t="shared" si="0"/>
        <v>-4.9265598942501931E-2</v>
      </c>
      <c r="R63" s="1">
        <f t="shared" si="1"/>
        <v>-0.36827902375720117</v>
      </c>
      <c r="S63" s="1">
        <f t="shared" si="2"/>
        <v>-36.827902375720114</v>
      </c>
    </row>
    <row r="64" spans="1:19" x14ac:dyDescent="0.2">
      <c r="A64" s="5">
        <v>26968</v>
      </c>
      <c r="B64" s="6">
        <v>4.583505638849541</v>
      </c>
      <c r="C64" s="7">
        <v>5.9399999999999995</v>
      </c>
      <c r="D64" s="7">
        <v>7.3999999999999995</v>
      </c>
      <c r="E64" s="1">
        <v>7.7</v>
      </c>
      <c r="F64" s="1">
        <v>7.9799999999999995</v>
      </c>
      <c r="G64" s="1">
        <v>8.49</v>
      </c>
      <c r="H64" s="7">
        <v>94.100000000000009</v>
      </c>
      <c r="I64" s="7">
        <v>42.51</v>
      </c>
      <c r="J64" s="7">
        <v>3.57</v>
      </c>
      <c r="K64" s="7">
        <v>249.07999999999998</v>
      </c>
      <c r="L64" s="7">
        <v>331.11390040499998</v>
      </c>
      <c r="O64" s="5">
        <v>26237</v>
      </c>
      <c r="P64" s="6">
        <v>4.5735056388495412</v>
      </c>
      <c r="Q64" s="8">
        <f t="shared" si="0"/>
        <v>-4.9599693156650027E-2</v>
      </c>
      <c r="R64" s="1">
        <f t="shared" si="1"/>
        <v>-0.37077650462966533</v>
      </c>
      <c r="S64" s="1">
        <f t="shared" si="2"/>
        <v>-37.077650462966531</v>
      </c>
    </row>
    <row r="65" spans="1:19" x14ac:dyDescent="0.2">
      <c r="A65" s="5">
        <v>26998</v>
      </c>
      <c r="B65" s="6">
        <v>4.3347441176685289</v>
      </c>
      <c r="C65" s="7">
        <v>5.8199999999999994</v>
      </c>
      <c r="D65" s="7">
        <v>7.27</v>
      </c>
      <c r="E65" s="1">
        <v>7.5699999999999994</v>
      </c>
      <c r="F65" s="1">
        <v>7.89</v>
      </c>
      <c r="G65" s="1">
        <v>8.39</v>
      </c>
      <c r="H65" s="7">
        <v>94</v>
      </c>
      <c r="I65" s="7">
        <v>43.41</v>
      </c>
      <c r="J65" s="7">
        <v>3.57</v>
      </c>
      <c r="K65" s="7">
        <v>249.35999999999999</v>
      </c>
      <c r="L65" s="7">
        <v>328.76271221100001</v>
      </c>
      <c r="O65" s="5">
        <v>26267</v>
      </c>
      <c r="P65" s="6">
        <v>4.3247441176685291</v>
      </c>
      <c r="Q65" s="8">
        <f t="shared" si="0"/>
        <v>-5.4391869350266631E-2</v>
      </c>
      <c r="R65" s="1">
        <f t="shared" si="1"/>
        <v>-0.40659983791172682</v>
      </c>
      <c r="S65" s="1">
        <f t="shared" si="2"/>
        <v>-40.659983791172685</v>
      </c>
    </row>
    <row r="66" spans="1:19" x14ac:dyDescent="0.2">
      <c r="A66" s="5">
        <v>27029</v>
      </c>
      <c r="B66" s="6">
        <v>4.1173279175105204</v>
      </c>
      <c r="C66" s="7">
        <v>5.9399999999999995</v>
      </c>
      <c r="D66" s="7">
        <v>7.26</v>
      </c>
      <c r="E66" s="1">
        <v>7.58</v>
      </c>
      <c r="F66" s="1">
        <v>7.8199999999999994</v>
      </c>
      <c r="G66" s="1">
        <v>8.39</v>
      </c>
      <c r="H66" s="7">
        <v>101.96000000000001</v>
      </c>
      <c r="I66" s="7">
        <v>43.559999999999995</v>
      </c>
      <c r="J66" s="7">
        <v>3.57</v>
      </c>
      <c r="K66" s="7">
        <v>251.06</v>
      </c>
      <c r="L66" s="7">
        <v>320.020240328</v>
      </c>
      <c r="O66" s="5">
        <v>26298</v>
      </c>
      <c r="P66" s="6">
        <v>4.1073279175105206</v>
      </c>
      <c r="Q66" s="8">
        <f t="shared" si="0"/>
        <v>-5.0272615961199918E-2</v>
      </c>
      <c r="R66" s="1">
        <f t="shared" si="1"/>
        <v>-0.37580685763141869</v>
      </c>
      <c r="S66" s="1">
        <f t="shared" si="2"/>
        <v>-37.580685763141872</v>
      </c>
    </row>
    <row r="67" spans="1:19" x14ac:dyDescent="0.2">
      <c r="A67" s="5">
        <v>27060</v>
      </c>
      <c r="B67" s="14">
        <v>3.4664761929843926</v>
      </c>
      <c r="C67" s="14">
        <v>5.96</v>
      </c>
      <c r="D67" s="1">
        <v>7.2</v>
      </c>
      <c r="E67" s="1">
        <v>7.5299999999999994</v>
      </c>
      <c r="F67" s="1">
        <v>7.71</v>
      </c>
      <c r="G67" s="1">
        <v>8.24</v>
      </c>
      <c r="H67" s="1">
        <v>103.95</v>
      </c>
      <c r="I67" s="1">
        <v>46.21</v>
      </c>
      <c r="J67" s="1">
        <v>3.57</v>
      </c>
      <c r="K67" s="1">
        <v>259.38</v>
      </c>
      <c r="L67" s="1">
        <v>310.57</v>
      </c>
      <c r="O67" s="5">
        <v>26329</v>
      </c>
      <c r="P67" s="1">
        <v>3.4564761929843928</v>
      </c>
      <c r="Q67" s="8">
        <f t="shared" si="0"/>
        <v>-0.15846110600310026</v>
      </c>
      <c r="R67" s="1">
        <f t="shared" si="1"/>
        <v>-1.1845568241323496</v>
      </c>
      <c r="S67" s="1">
        <f t="shared" si="2"/>
        <v>-118.45568241323497</v>
      </c>
    </row>
    <row r="68" spans="1:19" x14ac:dyDescent="0.2">
      <c r="A68" s="5">
        <v>27088</v>
      </c>
      <c r="B68" s="14">
        <v>3.2809024106102695</v>
      </c>
      <c r="C68" s="14">
        <v>6.09</v>
      </c>
      <c r="D68" s="1">
        <v>7.2799999999999994</v>
      </c>
      <c r="E68" s="1">
        <v>7.5299999999999994</v>
      </c>
      <c r="F68" s="1">
        <v>7.71</v>
      </c>
      <c r="G68" s="1">
        <v>8.24</v>
      </c>
      <c r="H68" s="1">
        <v>106.58</v>
      </c>
      <c r="I68" s="1">
        <v>48.65</v>
      </c>
      <c r="J68" s="1">
        <v>3.57</v>
      </c>
      <c r="K68" s="1">
        <v>260.59999999999997</v>
      </c>
      <c r="L68" s="1">
        <v>303.40999999999997</v>
      </c>
      <c r="O68" s="5">
        <v>26357</v>
      </c>
      <c r="P68" s="1">
        <v>3.2709024106102698</v>
      </c>
      <c r="Q68" s="8">
        <f t="shared" si="0"/>
        <v>-5.3688719960166997E-2</v>
      </c>
      <c r="R68" s="1">
        <f t="shared" si="1"/>
        <v>-0.40134352972711324</v>
      </c>
      <c r="S68" s="1">
        <f t="shared" si="2"/>
        <v>-40.134352972711326</v>
      </c>
    </row>
    <row r="69" spans="1:19" x14ac:dyDescent="0.2">
      <c r="A69" s="5">
        <v>27119</v>
      </c>
      <c r="B69" s="14">
        <v>3.8278021271112603</v>
      </c>
      <c r="C69" s="14">
        <v>6.08</v>
      </c>
      <c r="D69" s="1">
        <v>7.25</v>
      </c>
      <c r="E69" s="1">
        <v>7.54</v>
      </c>
      <c r="F69" s="1">
        <v>7.67</v>
      </c>
      <c r="G69" s="1">
        <v>8.25</v>
      </c>
      <c r="H69" s="1">
        <v>107.21000000000001</v>
      </c>
      <c r="I69" s="1">
        <v>48.41</v>
      </c>
      <c r="J69" s="1">
        <v>3.57</v>
      </c>
      <c r="K69" s="1">
        <v>261.64</v>
      </c>
      <c r="L69" s="1">
        <v>304.33</v>
      </c>
      <c r="O69" s="5">
        <v>26389</v>
      </c>
      <c r="P69" s="1">
        <v>3.8178021271112605</v>
      </c>
      <c r="Q69" s="8">
        <f t="shared" si="0"/>
        <v>0.16720147771053573</v>
      </c>
      <c r="R69" s="1">
        <f t="shared" si="1"/>
        <v>1.249894415246307</v>
      </c>
      <c r="S69" s="1">
        <f t="shared" si="2"/>
        <v>124.98944152463069</v>
      </c>
    </row>
    <row r="70" spans="1:19" x14ac:dyDescent="0.2">
      <c r="A70" s="5">
        <v>27149</v>
      </c>
      <c r="B70" s="14">
        <v>3.8071375446233411</v>
      </c>
      <c r="C70" s="14">
        <v>6.2</v>
      </c>
      <c r="D70" s="1">
        <v>7.31</v>
      </c>
      <c r="E70" s="1">
        <v>7.58</v>
      </c>
      <c r="F70" s="1">
        <v>7.75</v>
      </c>
      <c r="G70" s="1">
        <v>8.25</v>
      </c>
      <c r="H70" s="1">
        <v>107.68</v>
      </c>
      <c r="I70" s="1">
        <v>49.309999999999995</v>
      </c>
      <c r="J70" s="1">
        <v>3.57</v>
      </c>
      <c r="K70" s="1">
        <v>261.11</v>
      </c>
      <c r="L70" s="1">
        <v>304.89</v>
      </c>
      <c r="O70" s="5">
        <v>26419</v>
      </c>
      <c r="P70" s="1">
        <v>3.7971375446233413</v>
      </c>
      <c r="Q70" s="8">
        <f t="shared" si="0"/>
        <v>-5.4126908100277094E-3</v>
      </c>
      <c r="R70" s="1">
        <f t="shared" si="1"/>
        <v>-4.046191521477413E-2</v>
      </c>
      <c r="S70" s="1">
        <f t="shared" si="2"/>
        <v>-4.0461915214774127</v>
      </c>
    </row>
    <row r="71" spans="1:19" x14ac:dyDescent="0.2">
      <c r="A71" s="5">
        <v>27180</v>
      </c>
      <c r="B71" s="14">
        <v>3.7864750712268682</v>
      </c>
      <c r="C71" s="14">
        <v>6.14</v>
      </c>
      <c r="D71" s="1">
        <v>7.31</v>
      </c>
      <c r="E71" s="1">
        <v>7.5699999999999994</v>
      </c>
      <c r="F71" s="1">
        <v>7.76</v>
      </c>
      <c r="G71" s="1">
        <v>8.24</v>
      </c>
      <c r="H71" s="1">
        <v>109.36</v>
      </c>
      <c r="I71" s="1">
        <v>59.41</v>
      </c>
      <c r="J71" s="1">
        <v>3.57</v>
      </c>
      <c r="K71" s="1">
        <v>261.31</v>
      </c>
      <c r="L71" s="1">
        <v>304.7</v>
      </c>
      <c r="O71" s="5">
        <v>26450</v>
      </c>
      <c r="P71" s="1">
        <v>3.7764750712268684</v>
      </c>
      <c r="Q71" s="8">
        <f t="shared" si="0"/>
        <v>-5.4415920291669417E-3</v>
      </c>
      <c r="R71" s="1">
        <f t="shared" si="1"/>
        <v>-4.0677962781401948E-2</v>
      </c>
      <c r="S71" s="1">
        <f t="shared" si="2"/>
        <v>-4.0677962781401948</v>
      </c>
    </row>
    <row r="72" spans="1:19" x14ac:dyDescent="0.2">
      <c r="A72" s="5">
        <v>27210</v>
      </c>
      <c r="B72" s="14">
        <v>4.0138783319245013</v>
      </c>
      <c r="C72" s="14">
        <v>6.12</v>
      </c>
      <c r="D72" s="1">
        <v>7.24</v>
      </c>
      <c r="E72" s="1">
        <v>7.52</v>
      </c>
      <c r="F72" s="1">
        <v>7.7</v>
      </c>
      <c r="G72" s="1">
        <v>8.2099999999999991</v>
      </c>
      <c r="H72" s="1">
        <v>107.15</v>
      </c>
      <c r="I72" s="1">
        <v>64.010000000000005</v>
      </c>
      <c r="J72" s="1">
        <v>3.57</v>
      </c>
      <c r="K72" s="1">
        <v>244.10999999999999</v>
      </c>
      <c r="L72" s="1">
        <v>300.94</v>
      </c>
      <c r="O72" s="5">
        <v>26480</v>
      </c>
      <c r="P72" s="1">
        <v>4.0038783319245015</v>
      </c>
      <c r="Q72" s="8">
        <f t="shared" si="0"/>
        <v>6.0215745214427185E-2</v>
      </c>
      <c r="R72" s="1">
        <f t="shared" si="1"/>
        <v>0.4501355172452795</v>
      </c>
      <c r="S72" s="1">
        <f t="shared" si="2"/>
        <v>45.01355172452795</v>
      </c>
    </row>
    <row r="73" spans="1:19" x14ac:dyDescent="0.2">
      <c r="A73" s="5">
        <v>27241</v>
      </c>
      <c r="B73" s="14">
        <v>4.0862874945773902</v>
      </c>
      <c r="C73" s="14">
        <v>6.12</v>
      </c>
      <c r="D73" s="1">
        <v>7.22</v>
      </c>
      <c r="E73" s="1">
        <v>7.51</v>
      </c>
      <c r="F73" s="1">
        <v>7.72</v>
      </c>
      <c r="G73" s="1">
        <v>8.24</v>
      </c>
      <c r="H73" s="1">
        <v>107.4</v>
      </c>
      <c r="I73" s="1">
        <v>66.510000000000005</v>
      </c>
      <c r="J73" s="1">
        <v>3.57</v>
      </c>
      <c r="K73" s="1">
        <v>244.98999999999998</v>
      </c>
      <c r="L73" s="1">
        <v>301.39999999999998</v>
      </c>
      <c r="O73" s="5">
        <v>26511</v>
      </c>
      <c r="P73" s="1">
        <v>4.0762874945773904</v>
      </c>
      <c r="Q73" s="8">
        <f t="shared" si="0"/>
        <v>1.808475599159487E-2</v>
      </c>
      <c r="R73" s="1">
        <f t="shared" si="1"/>
        <v>0.13519040515969247</v>
      </c>
      <c r="S73" s="1">
        <f t="shared" si="2"/>
        <v>13.519040515969246</v>
      </c>
    </row>
    <row r="74" spans="1:19" x14ac:dyDescent="0.2">
      <c r="A74" s="5">
        <v>27272</v>
      </c>
      <c r="B74" s="14">
        <v>4.1276757820721564</v>
      </c>
      <c r="C74" s="14">
        <v>6.22</v>
      </c>
      <c r="D74" s="1">
        <v>7.2</v>
      </c>
      <c r="E74" s="1">
        <v>7.4399999999999995</v>
      </c>
      <c r="F74" s="1">
        <v>7.6499999999999995</v>
      </c>
      <c r="G74" s="1">
        <v>8.1999999999999993</v>
      </c>
      <c r="H74" s="1">
        <v>111.10000000000001</v>
      </c>
      <c r="I74" s="1">
        <v>66.86</v>
      </c>
      <c r="J74" s="1">
        <v>3.57</v>
      </c>
      <c r="K74" s="1">
        <v>244.84</v>
      </c>
      <c r="L74" s="1">
        <v>301.12</v>
      </c>
      <c r="O74" s="5">
        <v>26542</v>
      </c>
      <c r="P74" s="1">
        <v>4.1176757820721566</v>
      </c>
      <c r="Q74" s="8">
        <f t="shared" si="0"/>
        <v>1.0153426996948545E-2</v>
      </c>
      <c r="R74" s="1">
        <f t="shared" si="1"/>
        <v>7.5900714951022213E-2</v>
      </c>
      <c r="S74" s="1">
        <f t="shared" si="2"/>
        <v>7.5900714951022215</v>
      </c>
    </row>
    <row r="75" spans="1:19" x14ac:dyDescent="0.2">
      <c r="A75" s="5">
        <v>27302</v>
      </c>
      <c r="B75" s="14">
        <v>4.7910402198789406</v>
      </c>
      <c r="C75" s="14">
        <v>6.56</v>
      </c>
      <c r="D75" s="1">
        <v>7.2299999999999995</v>
      </c>
      <c r="E75" s="1">
        <v>7.42</v>
      </c>
      <c r="F75" s="1">
        <v>7.6499999999999995</v>
      </c>
      <c r="G75" s="1">
        <v>8.1</v>
      </c>
      <c r="H75" s="1">
        <v>110.56</v>
      </c>
      <c r="I75" s="1">
        <v>68.760000000000005</v>
      </c>
      <c r="J75" s="1">
        <v>3.57</v>
      </c>
      <c r="K75" s="1">
        <v>241.95999999999998</v>
      </c>
      <c r="L75" s="1">
        <v>301.12</v>
      </c>
      <c r="O75" s="5">
        <v>26572</v>
      </c>
      <c r="P75" s="1">
        <v>4.7810402198789408</v>
      </c>
      <c r="Q75" s="8">
        <f t="shared" si="0"/>
        <v>0.16110166825056749</v>
      </c>
      <c r="R75" s="1">
        <f t="shared" si="1"/>
        <v>1.204296027705259</v>
      </c>
      <c r="S75" s="1">
        <f t="shared" si="2"/>
        <v>120.4296027705259</v>
      </c>
    </row>
    <row r="76" spans="1:19" x14ac:dyDescent="0.2">
      <c r="A76" s="5">
        <v>27333</v>
      </c>
      <c r="B76" s="14">
        <v>4.8741135201607255</v>
      </c>
      <c r="C76" s="14">
        <v>6.49</v>
      </c>
      <c r="D76" s="1">
        <v>7.22</v>
      </c>
      <c r="E76" s="1">
        <v>7.46</v>
      </c>
      <c r="F76" s="1">
        <v>7.6499999999999995</v>
      </c>
      <c r="G76" s="1">
        <v>8.07</v>
      </c>
      <c r="H76" s="1">
        <v>111.59</v>
      </c>
      <c r="I76" s="1">
        <v>64.760000000000005</v>
      </c>
      <c r="J76" s="1">
        <v>3.57</v>
      </c>
      <c r="K76" s="1">
        <v>234.06</v>
      </c>
      <c r="L76" s="1">
        <v>301.12</v>
      </c>
      <c r="O76" s="5">
        <v>26603</v>
      </c>
      <c r="P76" s="1">
        <v>4.8641135201607257</v>
      </c>
      <c r="Q76" s="8">
        <f t="shared" si="0"/>
        <v>1.7375570265311113E-2</v>
      </c>
      <c r="R76" s="1">
        <f t="shared" si="1"/>
        <v>0.12988897307433112</v>
      </c>
      <c r="S76" s="1">
        <f t="shared" si="2"/>
        <v>12.988897307433112</v>
      </c>
    </row>
    <row r="77" spans="1:19" x14ac:dyDescent="0.2">
      <c r="A77" s="5">
        <v>27363</v>
      </c>
      <c r="B77" s="14">
        <v>4.9156629238504577</v>
      </c>
      <c r="C77" s="14">
        <v>6.29</v>
      </c>
      <c r="D77" s="1">
        <v>7.13</v>
      </c>
      <c r="E77" s="1">
        <v>7.3999999999999995</v>
      </c>
      <c r="F77" s="1">
        <v>7.59</v>
      </c>
      <c r="G77" s="1">
        <v>8</v>
      </c>
      <c r="H77" s="1">
        <v>116.68</v>
      </c>
      <c r="I77" s="1">
        <v>63.559999999999995</v>
      </c>
      <c r="J77" s="1">
        <v>3.57</v>
      </c>
      <c r="K77" s="1">
        <v>235.23</v>
      </c>
      <c r="L77" s="1">
        <v>301.12</v>
      </c>
      <c r="O77" s="5">
        <v>26633</v>
      </c>
      <c r="P77" s="1">
        <v>4.9056629238504579</v>
      </c>
      <c r="Q77" s="8">
        <f t="shared" si="0"/>
        <v>8.54203001585363E-3</v>
      </c>
      <c r="R77" s="1">
        <f t="shared" si="1"/>
        <v>6.38549117978819E-2</v>
      </c>
      <c r="S77" s="1">
        <f t="shared" si="2"/>
        <v>6.3854911797881897</v>
      </c>
    </row>
    <row r="78" spans="1:19" x14ac:dyDescent="0.2">
      <c r="A78" s="5">
        <v>27394</v>
      </c>
      <c r="B78" s="14">
        <v>5.2171506414287778</v>
      </c>
      <c r="C78" s="14">
        <v>6.37</v>
      </c>
      <c r="D78" s="1">
        <v>7.09</v>
      </c>
      <c r="E78" s="1">
        <v>7.37</v>
      </c>
      <c r="F78" s="1">
        <v>7.51</v>
      </c>
      <c r="G78" s="1">
        <v>7.9399999999999995</v>
      </c>
      <c r="H78" s="1">
        <v>118.06</v>
      </c>
      <c r="I78" s="1">
        <v>65.010000000000005</v>
      </c>
      <c r="J78" s="1">
        <v>3.57</v>
      </c>
      <c r="K78" s="1">
        <v>234.81</v>
      </c>
      <c r="L78" s="1">
        <v>301.67</v>
      </c>
      <c r="O78" s="5">
        <v>26664</v>
      </c>
      <c r="P78" s="1">
        <v>5.207150641428778</v>
      </c>
      <c r="Q78" s="8">
        <f t="shared" si="0"/>
        <v>6.1457079758281186E-2</v>
      </c>
      <c r="R78" s="1">
        <f t="shared" si="1"/>
        <v>0.45941496342638027</v>
      </c>
      <c r="S78" s="1">
        <f t="shared" si="2"/>
        <v>45.941496342638025</v>
      </c>
    </row>
    <row r="79" spans="1:19" x14ac:dyDescent="0.2">
      <c r="A79" s="5">
        <v>27425</v>
      </c>
      <c r="B79" s="14">
        <v>5.5681092204999993</v>
      </c>
      <c r="C79" s="14">
        <v>6.4745454544999994</v>
      </c>
      <c r="D79" s="1">
        <v>7.16</v>
      </c>
      <c r="E79" s="1">
        <v>7.38</v>
      </c>
      <c r="F79" s="1">
        <v>7.54</v>
      </c>
      <c r="G79" s="1">
        <v>7.91</v>
      </c>
      <c r="H79" s="1">
        <v>116.04</v>
      </c>
      <c r="I79" s="1">
        <v>68.81</v>
      </c>
      <c r="J79" s="1">
        <v>3.57</v>
      </c>
      <c r="K79" s="1">
        <v>238.17999999999998</v>
      </c>
      <c r="L79" s="1">
        <v>301.39999999999998</v>
      </c>
      <c r="O79" s="5">
        <v>26695</v>
      </c>
      <c r="P79" s="1">
        <v>5.5581092204999996</v>
      </c>
      <c r="Q79" s="8">
        <f t="shared" si="0"/>
        <v>6.7399352013930436E-2</v>
      </c>
      <c r="R79" s="1">
        <f t="shared" si="1"/>
        <v>0.50383570065854333</v>
      </c>
      <c r="S79" s="1">
        <f t="shared" si="2"/>
        <v>50.383570065854336</v>
      </c>
    </row>
    <row r="80" spans="1:19" x14ac:dyDescent="0.2">
      <c r="A80" s="5">
        <v>27453</v>
      </c>
      <c r="B80" s="14">
        <v>5.7678777107999997</v>
      </c>
      <c r="C80" s="14">
        <v>6.6455555553999996</v>
      </c>
      <c r="D80" s="1">
        <v>7.2299999999999995</v>
      </c>
      <c r="E80" s="1">
        <v>7.4799999999999995</v>
      </c>
      <c r="F80" s="1">
        <v>7.6099999999999994</v>
      </c>
      <c r="G80" s="1">
        <v>7.9799999999999995</v>
      </c>
      <c r="H80" s="1">
        <v>111.69000000000001</v>
      </c>
      <c r="I80" s="1">
        <v>82.01</v>
      </c>
      <c r="J80" s="1">
        <v>3.57</v>
      </c>
      <c r="K80" s="1">
        <v>249.01</v>
      </c>
      <c r="L80" s="1">
        <v>265.68</v>
      </c>
      <c r="O80" s="5">
        <v>26723</v>
      </c>
      <c r="P80" s="1">
        <v>5.7578777107999999</v>
      </c>
      <c r="Q80" s="8">
        <f t="shared" si="0"/>
        <v>3.5941807254019631E-2</v>
      </c>
      <c r="R80" s="1">
        <f t="shared" si="1"/>
        <v>0.26867863116874602</v>
      </c>
      <c r="S80" s="1">
        <f t="shared" si="2"/>
        <v>26.867863116874602</v>
      </c>
    </row>
    <row r="81" spans="1:19" x14ac:dyDescent="0.2">
      <c r="A81" s="5">
        <v>27484</v>
      </c>
      <c r="B81" s="14">
        <v>6.2839706436</v>
      </c>
      <c r="C81" s="14">
        <v>6.7190909090000002</v>
      </c>
      <c r="D81" s="1">
        <v>7.3</v>
      </c>
      <c r="E81" s="1">
        <v>7.5</v>
      </c>
      <c r="F81" s="1">
        <v>7.67</v>
      </c>
      <c r="G81" s="1">
        <v>8.0399999999999991</v>
      </c>
      <c r="H81" s="1">
        <v>111.53</v>
      </c>
      <c r="I81" s="1">
        <v>90.76</v>
      </c>
      <c r="J81" s="1">
        <v>3.57</v>
      </c>
      <c r="K81" s="1">
        <v>247.56</v>
      </c>
      <c r="L81" s="1">
        <v>265.96999999999997</v>
      </c>
      <c r="O81" s="5">
        <v>26754</v>
      </c>
      <c r="P81" s="1">
        <v>6.2739706436000002</v>
      </c>
      <c r="Q81" s="8">
        <f t="shared" si="0"/>
        <v>8.9632492859646806E-2</v>
      </c>
      <c r="R81" s="1">
        <f t="shared" si="1"/>
        <v>0.67003685484065367</v>
      </c>
      <c r="S81" s="1">
        <f t="shared" si="2"/>
        <v>67.003685484065372</v>
      </c>
    </row>
    <row r="82" spans="1:19" x14ac:dyDescent="0.2">
      <c r="A82" s="5">
        <v>27514</v>
      </c>
      <c r="B82" s="14">
        <v>6.4610346684</v>
      </c>
      <c r="C82" s="14">
        <v>6.6784999999999997</v>
      </c>
      <c r="D82" s="1">
        <v>7.27</v>
      </c>
      <c r="E82" s="1">
        <v>7.5</v>
      </c>
      <c r="F82" s="1">
        <v>7.6499999999999995</v>
      </c>
      <c r="G82" s="1">
        <v>8.1</v>
      </c>
      <c r="H82" s="1">
        <v>106.98</v>
      </c>
      <c r="I82" s="1">
        <v>90.710000000000008</v>
      </c>
      <c r="J82" s="1">
        <v>3.57</v>
      </c>
      <c r="K82" s="1">
        <v>248.91</v>
      </c>
      <c r="L82" s="1">
        <v>265.53999999999996</v>
      </c>
      <c r="O82" s="5">
        <v>26784</v>
      </c>
      <c r="P82" s="1">
        <v>6.4510346684000002</v>
      </c>
      <c r="Q82" s="8">
        <f t="shared" si="0"/>
        <v>2.8222004031947634E-2</v>
      </c>
      <c r="R82" s="1">
        <f t="shared" si="1"/>
        <v>0.21097017627833667</v>
      </c>
      <c r="S82" s="1">
        <f t="shared" si="2"/>
        <v>21.097017627833665</v>
      </c>
    </row>
    <row r="83" spans="1:19" x14ac:dyDescent="0.2">
      <c r="A83" s="5">
        <v>27545</v>
      </c>
      <c r="B83" s="14">
        <v>6.5608249051999996</v>
      </c>
      <c r="C83" s="14">
        <v>6.8572727271999998</v>
      </c>
      <c r="D83" s="1">
        <v>7.3</v>
      </c>
      <c r="E83" s="1">
        <v>7.5</v>
      </c>
      <c r="F83" s="1">
        <v>7.6499999999999995</v>
      </c>
      <c r="G83" s="1">
        <v>8.07</v>
      </c>
      <c r="H83" s="1">
        <v>104.96000000000001</v>
      </c>
      <c r="I83" s="1">
        <v>126.01</v>
      </c>
      <c r="J83" s="1">
        <v>3.57</v>
      </c>
      <c r="K83" s="1">
        <v>256.62</v>
      </c>
      <c r="L83" s="1">
        <v>264.7</v>
      </c>
      <c r="O83" s="5">
        <v>26815</v>
      </c>
      <c r="P83" s="1">
        <v>6.5508249051999998</v>
      </c>
      <c r="Q83" s="8">
        <f t="shared" ref="Q83:Q146" si="3">+P83/P82-1</f>
        <v>1.546887312337919E-2</v>
      </c>
      <c r="R83" s="1">
        <f t="shared" ref="R83:R146" si="4">+Q83*$P$267</f>
        <v>0.11563568930017321</v>
      </c>
      <c r="S83" s="1">
        <f t="shared" ref="S83:S146" si="5">+R83*100</f>
        <v>11.56356893001732</v>
      </c>
    </row>
    <row r="84" spans="1:19" x14ac:dyDescent="0.2">
      <c r="A84" s="5">
        <v>27575</v>
      </c>
      <c r="B84" s="14">
        <v>7.4283287876999999</v>
      </c>
      <c r="C84" s="14">
        <v>6.91</v>
      </c>
      <c r="D84" s="1">
        <v>7.38</v>
      </c>
      <c r="E84" s="1">
        <v>7.56</v>
      </c>
      <c r="F84" s="1">
        <v>7.72</v>
      </c>
      <c r="G84" s="1">
        <v>8.14</v>
      </c>
      <c r="H84" s="1">
        <v>104.27000000000001</v>
      </c>
      <c r="I84" s="1">
        <v>122.01</v>
      </c>
      <c r="J84" s="1">
        <v>3.57</v>
      </c>
      <c r="K84" s="1">
        <v>258.11</v>
      </c>
      <c r="L84" s="1">
        <v>263.17</v>
      </c>
      <c r="O84" s="5">
        <v>26845</v>
      </c>
      <c r="P84" s="1">
        <v>7.4183287877000001</v>
      </c>
      <c r="Q84" s="8">
        <f t="shared" si="3"/>
        <v>0.13242666306214068</v>
      </c>
      <c r="R84" s="1">
        <f t="shared" si="4"/>
        <v>0.98993949609480214</v>
      </c>
      <c r="S84" s="1">
        <f t="shared" si="5"/>
        <v>98.993949609480211</v>
      </c>
    </row>
    <row r="85" spans="1:19" x14ac:dyDescent="0.2">
      <c r="A85" s="5">
        <v>27606</v>
      </c>
      <c r="B85" s="14">
        <v>8.2967917343999993</v>
      </c>
      <c r="C85" s="14">
        <v>7.1409523807999999</v>
      </c>
      <c r="D85" s="1">
        <v>7.46</v>
      </c>
      <c r="E85" s="1">
        <v>7.6499999999999995</v>
      </c>
      <c r="F85" s="1">
        <v>7.87</v>
      </c>
      <c r="G85" s="1">
        <v>8.25</v>
      </c>
      <c r="H85" s="1">
        <v>108.26</v>
      </c>
      <c r="I85" s="1">
        <v>115.61</v>
      </c>
      <c r="J85" s="1">
        <v>3.57</v>
      </c>
      <c r="K85" s="1">
        <v>249.91</v>
      </c>
      <c r="L85" s="1">
        <v>263.45</v>
      </c>
      <c r="O85" s="5">
        <v>26876</v>
      </c>
      <c r="P85" s="1">
        <v>8.2867917343999995</v>
      </c>
      <c r="Q85" s="8">
        <f t="shared" si="3"/>
        <v>0.11706989155562364</v>
      </c>
      <c r="R85" s="1">
        <f t="shared" si="4"/>
        <v>0.87514180886718629</v>
      </c>
      <c r="S85" s="1">
        <f t="shared" si="5"/>
        <v>87.514180886718634</v>
      </c>
    </row>
    <row r="86" spans="1:19" x14ac:dyDescent="0.2">
      <c r="A86" s="5">
        <v>27637</v>
      </c>
      <c r="B86" s="14">
        <v>8.9989769122999999</v>
      </c>
      <c r="C86" s="14">
        <v>7.4147826085999995</v>
      </c>
      <c r="D86" s="1">
        <v>7.6899999999999995</v>
      </c>
      <c r="E86" s="1">
        <v>7.85</v>
      </c>
      <c r="F86" s="1">
        <v>8.1199999999999992</v>
      </c>
      <c r="G86" s="1">
        <v>8.5399999999999991</v>
      </c>
      <c r="H86" s="1">
        <v>104.26</v>
      </c>
      <c r="I86" s="1">
        <v>105.11</v>
      </c>
      <c r="J86" s="1">
        <v>4.3199999999999994</v>
      </c>
      <c r="K86" s="1">
        <v>245.81</v>
      </c>
      <c r="L86" s="1">
        <v>265.39999999999998</v>
      </c>
      <c r="O86" s="5">
        <v>26907</v>
      </c>
      <c r="P86" s="1">
        <v>8.9889769123000001</v>
      </c>
      <c r="Q86" s="8">
        <f t="shared" si="3"/>
        <v>8.4735468249443224E-2</v>
      </c>
      <c r="R86" s="1">
        <f t="shared" si="4"/>
        <v>0.63342973990705465</v>
      </c>
      <c r="S86" s="1">
        <f t="shared" si="5"/>
        <v>63.342973990705467</v>
      </c>
    </row>
    <row r="87" spans="1:19" x14ac:dyDescent="0.2">
      <c r="A87" s="5">
        <v>27667</v>
      </c>
      <c r="B87" s="14">
        <v>8.5895488941</v>
      </c>
      <c r="C87" s="14">
        <v>7.1005263157999998</v>
      </c>
      <c r="D87" s="1">
        <v>7.64</v>
      </c>
      <c r="E87" s="1">
        <v>7.87</v>
      </c>
      <c r="F87" s="1">
        <v>8.1199999999999992</v>
      </c>
      <c r="G87" s="1">
        <v>8.64</v>
      </c>
      <c r="H87" s="1">
        <v>108.44000000000001</v>
      </c>
      <c r="I87" s="1">
        <v>97.76</v>
      </c>
      <c r="J87" s="1">
        <v>4.3199999999999994</v>
      </c>
      <c r="K87" s="1">
        <v>241.35999999999999</v>
      </c>
      <c r="L87" s="1">
        <v>265.61</v>
      </c>
      <c r="O87" s="5">
        <v>26937</v>
      </c>
      <c r="P87" s="1">
        <v>8.5795488941000002</v>
      </c>
      <c r="Q87" s="8">
        <f t="shared" si="3"/>
        <v>-4.5547788385101096E-2</v>
      </c>
      <c r="R87" s="1">
        <f t="shared" si="4"/>
        <v>-0.34048698079042866</v>
      </c>
      <c r="S87" s="1">
        <f t="shared" si="5"/>
        <v>-34.048698079042865</v>
      </c>
    </row>
    <row r="88" spans="1:19" x14ac:dyDescent="0.2">
      <c r="A88" s="5">
        <v>27698</v>
      </c>
      <c r="B88" s="14">
        <v>7.4624127157000002</v>
      </c>
      <c r="C88" s="14">
        <v>6.8042857141999997</v>
      </c>
      <c r="D88" s="1">
        <v>7.6099999999999994</v>
      </c>
      <c r="E88" s="1">
        <v>7.85</v>
      </c>
      <c r="F88" s="1">
        <v>7.99</v>
      </c>
      <c r="G88" s="1">
        <v>8.42</v>
      </c>
      <c r="H88" s="1">
        <v>108.30000000000001</v>
      </c>
      <c r="I88" s="1">
        <v>98.01</v>
      </c>
      <c r="J88" s="1">
        <v>4.3199999999999994</v>
      </c>
      <c r="K88" s="1">
        <v>243.85999999999999</v>
      </c>
      <c r="L88" s="1">
        <v>266.95999999999998</v>
      </c>
      <c r="O88" s="5">
        <v>26968</v>
      </c>
      <c r="P88" s="1">
        <v>7.4524127157000004</v>
      </c>
      <c r="Q88" s="8">
        <f t="shared" si="3"/>
        <v>-0.13137476017825489</v>
      </c>
      <c r="R88" s="1">
        <f t="shared" si="4"/>
        <v>-0.98207612336656291</v>
      </c>
      <c r="S88" s="1">
        <f t="shared" si="5"/>
        <v>-98.207612336656297</v>
      </c>
    </row>
    <row r="89" spans="1:19" x14ac:dyDescent="0.2">
      <c r="A89" s="5">
        <v>27728</v>
      </c>
      <c r="B89" s="14">
        <v>8.1102468955999996</v>
      </c>
      <c r="C89" s="14">
        <v>6.7385000000000002</v>
      </c>
      <c r="D89" s="1">
        <v>7.68</v>
      </c>
      <c r="E89" s="1">
        <v>7.91</v>
      </c>
      <c r="F89" s="1">
        <v>8.08</v>
      </c>
      <c r="G89" s="1">
        <v>8.43</v>
      </c>
      <c r="H89" s="1">
        <v>95.97</v>
      </c>
      <c r="I89" s="1">
        <v>105.51</v>
      </c>
      <c r="J89" s="1">
        <v>4.3199999999999994</v>
      </c>
      <c r="K89" s="1">
        <v>234.31</v>
      </c>
      <c r="L89" s="1">
        <v>280.12</v>
      </c>
      <c r="O89" s="5">
        <v>26998</v>
      </c>
      <c r="P89" s="1">
        <v>8.1002468955999998</v>
      </c>
      <c r="Q89" s="8">
        <f t="shared" si="3"/>
        <v>8.6929455548698575E-2</v>
      </c>
      <c r="R89" s="1">
        <f t="shared" si="4"/>
        <v>0.64983062649017487</v>
      </c>
      <c r="S89" s="1">
        <f t="shared" si="5"/>
        <v>64.983062649017484</v>
      </c>
    </row>
    <row r="90" spans="1:19" x14ac:dyDescent="0.2">
      <c r="A90" s="5">
        <v>27759</v>
      </c>
      <c r="B90" s="14">
        <v>7.7102052727999997</v>
      </c>
      <c r="C90" s="14">
        <v>6.7536842105999995</v>
      </c>
      <c r="D90" s="1">
        <v>7.6899999999999995</v>
      </c>
      <c r="E90" s="1">
        <v>7.93</v>
      </c>
      <c r="F90" s="1">
        <v>8.1199999999999992</v>
      </c>
      <c r="G90" s="1">
        <v>8.49</v>
      </c>
      <c r="H90" s="1">
        <v>97.56</v>
      </c>
      <c r="I90" s="1">
        <v>111.76</v>
      </c>
      <c r="J90" s="1">
        <v>4.3199999999999994</v>
      </c>
      <c r="K90" s="1">
        <v>232.26</v>
      </c>
      <c r="L90" s="1">
        <v>280.27999999999997</v>
      </c>
      <c r="O90" s="5">
        <v>27029</v>
      </c>
      <c r="P90" s="1">
        <v>7.7002052727999999</v>
      </c>
      <c r="Q90" s="8">
        <f t="shared" si="3"/>
        <v>-4.9386349324401446E-2</v>
      </c>
      <c r="R90" s="1">
        <f t="shared" si="4"/>
        <v>-0.36918167862629475</v>
      </c>
      <c r="S90" s="1">
        <f t="shared" si="5"/>
        <v>-36.918167862629474</v>
      </c>
    </row>
    <row r="91" spans="1:19" x14ac:dyDescent="0.2">
      <c r="A91" s="5">
        <v>27790</v>
      </c>
      <c r="B91" s="14">
        <v>8.0440742099999998</v>
      </c>
      <c r="C91" s="14">
        <v>6.9986363636000002</v>
      </c>
      <c r="D91" s="1">
        <v>7.84</v>
      </c>
      <c r="E91" s="1">
        <v>8.01</v>
      </c>
      <c r="F91" s="1">
        <v>8.18</v>
      </c>
      <c r="G91" s="1">
        <v>8.49</v>
      </c>
      <c r="H91" s="1">
        <v>96.570000000000007</v>
      </c>
      <c r="I91" s="1">
        <v>137.51</v>
      </c>
      <c r="J91" s="1">
        <v>10.119999999999999</v>
      </c>
      <c r="K91" s="1">
        <v>228.60999999999999</v>
      </c>
      <c r="L91" s="1">
        <v>298.77999999999997</v>
      </c>
      <c r="O91" s="5">
        <v>27060</v>
      </c>
      <c r="P91" s="1">
        <v>8.03407421</v>
      </c>
      <c r="Q91" s="8">
        <f t="shared" si="3"/>
        <v>4.3358446349391455E-2</v>
      </c>
      <c r="R91" s="1">
        <f t="shared" si="4"/>
        <v>0.32412081931286757</v>
      </c>
      <c r="S91" s="1">
        <f t="shared" si="5"/>
        <v>32.412081931286757</v>
      </c>
    </row>
    <row r="92" spans="1:19" x14ac:dyDescent="0.2">
      <c r="A92" s="5">
        <v>27819</v>
      </c>
      <c r="B92" s="14">
        <v>7.3632691510999999</v>
      </c>
      <c r="C92" s="14">
        <v>6.9672222221000002</v>
      </c>
      <c r="D92" s="1">
        <v>7.8599999999999994</v>
      </c>
      <c r="E92" s="1">
        <v>8.06</v>
      </c>
      <c r="F92" s="1">
        <v>8.26</v>
      </c>
      <c r="G92" s="1">
        <v>8.5399999999999991</v>
      </c>
      <c r="H92" s="1">
        <v>96.23</v>
      </c>
      <c r="I92" s="1">
        <v>175.01</v>
      </c>
      <c r="J92" s="1">
        <v>10.119999999999999</v>
      </c>
      <c r="K92" s="1">
        <v>230.16</v>
      </c>
      <c r="L92" s="1">
        <v>288.44</v>
      </c>
      <c r="O92" s="5">
        <v>27088</v>
      </c>
      <c r="P92" s="1">
        <v>7.3532691511000001</v>
      </c>
      <c r="Q92" s="8">
        <f t="shared" si="3"/>
        <v>-8.4739702559954333E-2</v>
      </c>
      <c r="R92" s="1">
        <f t="shared" si="4"/>
        <v>-0.63346139298292892</v>
      </c>
      <c r="S92" s="1">
        <f t="shared" si="5"/>
        <v>-63.34613929829289</v>
      </c>
    </row>
    <row r="93" spans="1:19" x14ac:dyDescent="0.2">
      <c r="A93" s="5">
        <v>27850</v>
      </c>
      <c r="B93" s="14">
        <v>8.2461290722000005</v>
      </c>
      <c r="C93" s="14">
        <v>7.2190476188999995</v>
      </c>
      <c r="D93" s="1">
        <v>8.02</v>
      </c>
      <c r="E93" s="1">
        <v>8.19</v>
      </c>
      <c r="F93" s="1">
        <v>8.33</v>
      </c>
      <c r="G93" s="1">
        <v>8.629999999999999</v>
      </c>
      <c r="H93" s="1">
        <v>93.990000000000009</v>
      </c>
      <c r="I93" s="1">
        <v>172.26</v>
      </c>
      <c r="J93" s="1">
        <v>10.119999999999999</v>
      </c>
      <c r="K93" s="1">
        <v>239.31</v>
      </c>
      <c r="L93" s="1">
        <v>276.09999999999997</v>
      </c>
      <c r="O93" s="5">
        <v>27119</v>
      </c>
      <c r="P93" s="1">
        <v>8.2361290722000007</v>
      </c>
      <c r="Q93" s="8">
        <f t="shared" si="3"/>
        <v>0.12006359388707133</v>
      </c>
      <c r="R93" s="1">
        <f t="shared" si="4"/>
        <v>0.89752086840794143</v>
      </c>
      <c r="S93" s="1">
        <f t="shared" si="5"/>
        <v>89.752086840794149</v>
      </c>
    </row>
    <row r="94" spans="1:19" x14ac:dyDescent="0.2">
      <c r="A94" s="5">
        <v>27880</v>
      </c>
      <c r="B94" s="14">
        <v>8.6406205043999993</v>
      </c>
      <c r="C94" s="14">
        <v>7.5223809523999998</v>
      </c>
      <c r="D94" s="1">
        <v>8.26</v>
      </c>
      <c r="E94" s="1">
        <v>8.44</v>
      </c>
      <c r="F94" s="1">
        <v>8.6199999999999992</v>
      </c>
      <c r="G94" s="1">
        <v>8.879999999999999</v>
      </c>
      <c r="H94" s="1">
        <v>90.320000000000007</v>
      </c>
      <c r="I94" s="1">
        <v>174.70999999999998</v>
      </c>
      <c r="J94" s="1">
        <v>10.119999999999999</v>
      </c>
      <c r="K94" s="1">
        <v>242.41</v>
      </c>
      <c r="L94" s="1">
        <v>279.64999999999998</v>
      </c>
      <c r="O94" s="5">
        <v>27149</v>
      </c>
      <c r="P94" s="1">
        <v>8.6306205043999995</v>
      </c>
      <c r="Q94" s="8">
        <f t="shared" si="3"/>
        <v>4.7897674835081672E-2</v>
      </c>
      <c r="R94" s="1">
        <f t="shared" si="4"/>
        <v>0.35805327261099801</v>
      </c>
      <c r="S94" s="1">
        <f t="shared" si="5"/>
        <v>35.805327261099798</v>
      </c>
    </row>
    <row r="95" spans="1:19" x14ac:dyDescent="0.2">
      <c r="A95" s="5">
        <v>27911</v>
      </c>
      <c r="B95" s="14">
        <v>8.5256692954000002</v>
      </c>
      <c r="C95" s="14">
        <v>7.5859090909999995</v>
      </c>
      <c r="D95" s="1">
        <v>8.379999999999999</v>
      </c>
      <c r="E95" s="1">
        <v>8.59</v>
      </c>
      <c r="F95" s="1">
        <v>8.84</v>
      </c>
      <c r="G95" s="1">
        <v>9.06</v>
      </c>
      <c r="H95" s="1">
        <v>87.29</v>
      </c>
      <c r="I95" s="1">
        <v>154.01</v>
      </c>
      <c r="J95" s="1">
        <v>10.119999999999999</v>
      </c>
      <c r="K95" s="1">
        <v>239.60999999999999</v>
      </c>
      <c r="L95" s="1">
        <v>281.94</v>
      </c>
      <c r="O95" s="5">
        <v>27180</v>
      </c>
      <c r="P95" s="1">
        <v>8.5156692954000004</v>
      </c>
      <c r="Q95" s="8">
        <f t="shared" si="3"/>
        <v>-1.3318997045623227E-2</v>
      </c>
      <c r="R95" s="1">
        <f t="shared" si="4"/>
        <v>-9.9564550815913908E-2</v>
      </c>
      <c r="S95" s="1">
        <f t="shared" si="5"/>
        <v>-9.9564550815913915</v>
      </c>
    </row>
    <row r="96" spans="1:19" x14ac:dyDescent="0.2">
      <c r="A96" s="5">
        <v>27941</v>
      </c>
      <c r="B96" s="14">
        <v>8.1835215778000006</v>
      </c>
      <c r="C96" s="14">
        <v>7.5454999999999997</v>
      </c>
      <c r="D96" s="1">
        <v>8.48</v>
      </c>
      <c r="E96" s="1">
        <v>8.76</v>
      </c>
      <c r="F96" s="1">
        <v>9.08</v>
      </c>
      <c r="G96" s="1">
        <v>9.2799999999999994</v>
      </c>
      <c r="H96" s="1">
        <v>86.01</v>
      </c>
      <c r="I96" s="1">
        <v>149.76</v>
      </c>
      <c r="J96" s="1">
        <v>10.119999999999999</v>
      </c>
      <c r="K96" s="1">
        <v>239.06</v>
      </c>
      <c r="L96" s="1">
        <v>284.26</v>
      </c>
      <c r="O96" s="5">
        <v>27210</v>
      </c>
      <c r="P96" s="1">
        <v>8.1735215778000008</v>
      </c>
      <c r="Q96" s="8">
        <f t="shared" si="3"/>
        <v>-4.0178605548341517E-2</v>
      </c>
      <c r="R96" s="1">
        <f t="shared" si="4"/>
        <v>-0.30035030416535569</v>
      </c>
      <c r="S96" s="1">
        <f t="shared" si="5"/>
        <v>-30.035030416535569</v>
      </c>
    </row>
    <row r="97" spans="1:19" x14ac:dyDescent="0.2">
      <c r="A97" s="5">
        <v>27972</v>
      </c>
      <c r="B97" s="14">
        <v>7.8088705824</v>
      </c>
      <c r="C97" s="14">
        <v>7.8149999999999995</v>
      </c>
      <c r="D97" s="1">
        <v>8.73</v>
      </c>
      <c r="E97" s="1">
        <v>9.02</v>
      </c>
      <c r="F97" s="1">
        <v>9.41</v>
      </c>
      <c r="G97" s="1">
        <v>9.49</v>
      </c>
      <c r="H97" s="1">
        <v>79.320000000000007</v>
      </c>
      <c r="I97" s="1">
        <v>159.01</v>
      </c>
      <c r="J97" s="1">
        <v>10.119999999999999</v>
      </c>
      <c r="K97" s="1">
        <v>238.70999999999998</v>
      </c>
      <c r="L97" s="1">
        <v>298.25</v>
      </c>
      <c r="O97" s="5">
        <v>27241</v>
      </c>
      <c r="P97" s="1">
        <v>7.7988705824000002</v>
      </c>
      <c r="Q97" s="8">
        <f t="shared" si="3"/>
        <v>-4.583715743989536E-2</v>
      </c>
      <c r="R97" s="1">
        <f t="shared" si="4"/>
        <v>-0.34265012414588752</v>
      </c>
      <c r="S97" s="1">
        <f t="shared" si="5"/>
        <v>-34.265012414588753</v>
      </c>
    </row>
    <row r="98" spans="1:19" x14ac:dyDescent="0.2">
      <c r="A98" s="5">
        <v>28003</v>
      </c>
      <c r="B98" s="14">
        <v>9.3012383146999991</v>
      </c>
      <c r="C98" s="14">
        <v>8.0540909089999992</v>
      </c>
      <c r="D98" s="1">
        <v>9.01</v>
      </c>
      <c r="E98" s="1">
        <v>9.2899999999999991</v>
      </c>
      <c r="F98" s="1">
        <v>9.68</v>
      </c>
      <c r="G98" s="1">
        <v>9.7799999999999994</v>
      </c>
      <c r="H98" s="1">
        <v>72.17</v>
      </c>
      <c r="I98" s="1">
        <v>152.51</v>
      </c>
      <c r="J98" s="1">
        <v>10.119999999999999</v>
      </c>
      <c r="K98" s="1">
        <v>231.63</v>
      </c>
      <c r="L98" s="1">
        <v>302.95</v>
      </c>
      <c r="O98" s="5">
        <v>27272</v>
      </c>
      <c r="P98" s="1">
        <v>9.2912383146999993</v>
      </c>
      <c r="Q98" s="8">
        <f t="shared" si="3"/>
        <v>0.19135690437893405</v>
      </c>
      <c r="R98" s="1">
        <f t="shared" si="4"/>
        <v>1.4304653844992916</v>
      </c>
      <c r="S98" s="1">
        <f t="shared" si="5"/>
        <v>143.04653844992916</v>
      </c>
    </row>
    <row r="99" spans="1:19" x14ac:dyDescent="0.2">
      <c r="A99" s="5">
        <v>28033</v>
      </c>
      <c r="B99" s="14">
        <v>8.3556112132999996</v>
      </c>
      <c r="C99" s="14">
        <v>8.0474999999999994</v>
      </c>
      <c r="D99" s="1">
        <v>9.25</v>
      </c>
      <c r="E99" s="1">
        <v>9.67</v>
      </c>
      <c r="F99" s="1">
        <v>10.049999999999999</v>
      </c>
      <c r="G99" s="1">
        <v>10.19</v>
      </c>
      <c r="H99" s="1">
        <v>63.559999999999995</v>
      </c>
      <c r="I99" s="1">
        <v>147.51</v>
      </c>
      <c r="J99" s="1">
        <v>10.119999999999999</v>
      </c>
      <c r="K99" s="1">
        <v>233.26</v>
      </c>
      <c r="L99" s="1">
        <v>298.33999999999997</v>
      </c>
      <c r="O99" s="5">
        <v>27302</v>
      </c>
      <c r="P99" s="1">
        <v>8.3456112132999998</v>
      </c>
      <c r="Q99" s="8">
        <f t="shared" si="3"/>
        <v>-0.10177621855892871</v>
      </c>
      <c r="R99" s="1">
        <f t="shared" si="4"/>
        <v>-0.76081580691482598</v>
      </c>
      <c r="S99" s="1">
        <f t="shared" si="5"/>
        <v>-76.0815806914826</v>
      </c>
    </row>
    <row r="100" spans="1:19" x14ac:dyDescent="0.2">
      <c r="A100" s="5">
        <v>28064</v>
      </c>
      <c r="B100" s="14">
        <v>7.7189306155999997</v>
      </c>
      <c r="C100" s="14">
        <v>7.9068181817999994</v>
      </c>
      <c r="D100" s="1">
        <v>9.2799999999999994</v>
      </c>
      <c r="E100" s="1">
        <v>9.65</v>
      </c>
      <c r="F100" s="1">
        <v>10.299999999999999</v>
      </c>
      <c r="G100" s="1">
        <v>10.49</v>
      </c>
      <c r="H100" s="1">
        <v>73.92</v>
      </c>
      <c r="I100" s="1">
        <v>168.26</v>
      </c>
      <c r="J100" s="1">
        <v>11.17</v>
      </c>
      <c r="K100" s="1">
        <v>233.56</v>
      </c>
      <c r="L100" s="1">
        <v>299.95</v>
      </c>
      <c r="O100" s="5">
        <v>27333</v>
      </c>
      <c r="P100" s="1">
        <v>7.7089306155999999</v>
      </c>
      <c r="Q100" s="8">
        <f t="shared" si="3"/>
        <v>-7.6289271262163783E-2</v>
      </c>
      <c r="R100" s="1">
        <f t="shared" si="4"/>
        <v>-0.57029121631848267</v>
      </c>
      <c r="S100" s="1">
        <f t="shared" si="5"/>
        <v>-57.02912163184827</v>
      </c>
    </row>
    <row r="101" spans="1:19" x14ac:dyDescent="0.2">
      <c r="A101" s="5">
        <v>28094</v>
      </c>
      <c r="B101" s="14">
        <v>7.732641879</v>
      </c>
      <c r="C101" s="14">
        <v>7.6911111110999997</v>
      </c>
      <c r="D101" s="1">
        <v>8.9</v>
      </c>
      <c r="E101" s="1">
        <v>9.35</v>
      </c>
      <c r="F101" s="1">
        <v>9.9700000000000006</v>
      </c>
      <c r="G101" s="1">
        <v>10.61</v>
      </c>
      <c r="H101" s="1">
        <v>69.98</v>
      </c>
      <c r="I101" s="1">
        <v>186.01</v>
      </c>
      <c r="J101" s="1">
        <v>11.17</v>
      </c>
      <c r="K101" s="1">
        <v>232.56</v>
      </c>
      <c r="L101" s="1">
        <v>300.31</v>
      </c>
      <c r="O101" s="5">
        <v>27363</v>
      </c>
      <c r="P101" s="1">
        <v>7.7226418790000002</v>
      </c>
      <c r="Q101" s="8">
        <f t="shared" si="3"/>
        <v>1.7786206782370861E-3</v>
      </c>
      <c r="R101" s="1">
        <f t="shared" si="4"/>
        <v>1.329586366705927E-2</v>
      </c>
      <c r="S101" s="1">
        <f t="shared" si="5"/>
        <v>1.3295863667059271</v>
      </c>
    </row>
    <row r="102" spans="1:19" x14ac:dyDescent="0.2">
      <c r="A102" s="5">
        <v>28125</v>
      </c>
      <c r="B102" s="14">
        <v>7.3928765051999994</v>
      </c>
      <c r="C102" s="14">
        <v>7.4438095236999997</v>
      </c>
      <c r="D102" s="1">
        <v>8.9</v>
      </c>
      <c r="E102" s="1">
        <v>9.2099999999999991</v>
      </c>
      <c r="F102" s="1">
        <v>9.81</v>
      </c>
      <c r="G102" s="1">
        <v>10.64</v>
      </c>
      <c r="H102" s="1">
        <v>68.570000000000007</v>
      </c>
      <c r="I102" s="1">
        <v>193.01</v>
      </c>
      <c r="J102" s="1">
        <v>11.17</v>
      </c>
      <c r="K102" s="1">
        <v>234.70999999999998</v>
      </c>
      <c r="L102" s="1">
        <v>301.02999999999997</v>
      </c>
      <c r="O102" s="5">
        <v>27394</v>
      </c>
      <c r="P102" s="1">
        <v>7.3828765051999996</v>
      </c>
      <c r="Q102" s="8">
        <f t="shared" si="3"/>
        <v>-4.3996002808820767E-2</v>
      </c>
      <c r="R102" s="1">
        <f t="shared" si="4"/>
        <v>-0.32888679548099981</v>
      </c>
      <c r="S102" s="1">
        <f t="shared" si="5"/>
        <v>-32.888679548099979</v>
      </c>
    </row>
    <row r="103" spans="1:19" x14ac:dyDescent="0.2">
      <c r="A103" s="5">
        <v>28156</v>
      </c>
      <c r="B103" s="14">
        <v>6.4545931084000001</v>
      </c>
      <c r="C103" s="14">
        <v>7.5113636362999996</v>
      </c>
      <c r="D103" s="1">
        <v>8.84</v>
      </c>
      <c r="E103" s="1">
        <v>9.14</v>
      </c>
      <c r="F103" s="1">
        <v>9.82</v>
      </c>
      <c r="G103" s="1">
        <v>10.82</v>
      </c>
      <c r="H103" s="1">
        <v>76.990000000000009</v>
      </c>
      <c r="I103" s="1">
        <v>176.51</v>
      </c>
      <c r="J103" s="1">
        <v>11.17</v>
      </c>
      <c r="K103" s="1">
        <v>238.26</v>
      </c>
      <c r="L103" s="1">
        <v>297.98</v>
      </c>
      <c r="O103" s="5">
        <v>27425</v>
      </c>
      <c r="P103" s="1">
        <v>6.4445931084000003</v>
      </c>
      <c r="Q103" s="8">
        <f t="shared" si="3"/>
        <v>-0.12708913607577421</v>
      </c>
      <c r="R103" s="1">
        <f t="shared" si="4"/>
        <v>-0.95003945894898501</v>
      </c>
      <c r="S103" s="1">
        <f t="shared" si="5"/>
        <v>-95.003945894898507</v>
      </c>
    </row>
    <row r="104" spans="1:19" x14ac:dyDescent="0.2">
      <c r="A104" s="5">
        <v>28184</v>
      </c>
      <c r="B104" s="14">
        <v>5.6642207617000002</v>
      </c>
      <c r="C104" s="14">
        <v>7.4022222221999998</v>
      </c>
      <c r="D104" s="1">
        <v>8.629999999999999</v>
      </c>
      <c r="E104" s="1">
        <v>8.92</v>
      </c>
      <c r="F104" s="1">
        <v>9.52</v>
      </c>
      <c r="G104" s="1">
        <v>10.66</v>
      </c>
      <c r="H104" s="1">
        <v>81.600000000000009</v>
      </c>
      <c r="I104" s="1">
        <v>185.01</v>
      </c>
      <c r="J104" s="1">
        <v>11.17</v>
      </c>
      <c r="K104" s="1">
        <v>243.01</v>
      </c>
      <c r="L104" s="1">
        <v>286.45999999999998</v>
      </c>
      <c r="O104" s="5">
        <v>27453</v>
      </c>
      <c r="P104" s="1">
        <v>5.6542207617000004</v>
      </c>
      <c r="Q104" s="8">
        <f t="shared" si="3"/>
        <v>-0.12264115567976108</v>
      </c>
      <c r="R104" s="1">
        <f t="shared" si="4"/>
        <v>-0.91678911970421673</v>
      </c>
      <c r="S104" s="1">
        <f t="shared" si="5"/>
        <v>-91.678911970421666</v>
      </c>
    </row>
    <row r="105" spans="1:19" x14ac:dyDescent="0.2">
      <c r="A105" s="5">
        <v>28215</v>
      </c>
      <c r="B105" s="14">
        <v>5.6568546637999999</v>
      </c>
      <c r="C105" s="14">
        <v>7.7379999999999995</v>
      </c>
      <c r="D105" s="1">
        <v>8.68</v>
      </c>
      <c r="E105" s="1">
        <v>8.93</v>
      </c>
      <c r="F105" s="1">
        <v>9.379999999999999</v>
      </c>
      <c r="G105" s="1">
        <v>10.49</v>
      </c>
      <c r="H105" s="1">
        <v>83.37</v>
      </c>
      <c r="I105" s="1">
        <v>176.76</v>
      </c>
      <c r="J105" s="1">
        <v>11.17</v>
      </c>
      <c r="K105" s="1">
        <v>240.60999999999999</v>
      </c>
      <c r="L105" s="1">
        <v>294.03999999999996</v>
      </c>
      <c r="O105" s="5">
        <v>27484</v>
      </c>
      <c r="P105" s="1">
        <v>5.6468546638000001</v>
      </c>
      <c r="Q105" s="8">
        <f t="shared" si="3"/>
        <v>-1.3027609303648546E-3</v>
      </c>
      <c r="R105" s="1">
        <f t="shared" si="4"/>
        <v>-9.7386317008698962E-3</v>
      </c>
      <c r="S105" s="1">
        <f t="shared" si="5"/>
        <v>-0.97386317008698964</v>
      </c>
    </row>
    <row r="106" spans="1:19" x14ac:dyDescent="0.2">
      <c r="A106" s="5">
        <v>28245</v>
      </c>
      <c r="B106" s="14">
        <v>5.7798219193999998</v>
      </c>
      <c r="C106" s="14">
        <v>8.2368181819000004</v>
      </c>
      <c r="D106" s="1">
        <v>8.9599999999999991</v>
      </c>
      <c r="E106" s="1">
        <v>9.1999999999999993</v>
      </c>
      <c r="F106" s="1">
        <v>9.629999999999999</v>
      </c>
      <c r="G106" s="1">
        <v>10.59</v>
      </c>
      <c r="H106" s="1">
        <v>87.31</v>
      </c>
      <c r="I106" s="1">
        <v>167.06</v>
      </c>
      <c r="J106" s="1">
        <v>11.17</v>
      </c>
      <c r="K106" s="1">
        <v>235.10999999999999</v>
      </c>
      <c r="L106" s="1">
        <v>292.24</v>
      </c>
      <c r="O106" s="5">
        <v>27514</v>
      </c>
      <c r="P106" s="1">
        <v>5.7698219194</v>
      </c>
      <c r="Q106" s="8">
        <f t="shared" si="3"/>
        <v>2.1776238795076397E-2</v>
      </c>
      <c r="R106" s="1">
        <f t="shared" si="4"/>
        <v>0.16278563818769939</v>
      </c>
      <c r="S106" s="1">
        <f t="shared" si="5"/>
        <v>16.278563818769939</v>
      </c>
    </row>
    <row r="107" spans="1:19" x14ac:dyDescent="0.2">
      <c r="A107" s="5">
        <v>28276</v>
      </c>
      <c r="B107" s="14">
        <v>5.3799777092999994</v>
      </c>
      <c r="C107" s="14">
        <v>8.0695238095999997</v>
      </c>
      <c r="D107" s="1">
        <v>8.91</v>
      </c>
      <c r="E107" s="1">
        <v>9.25</v>
      </c>
      <c r="F107" s="1">
        <v>9.7999999999999989</v>
      </c>
      <c r="G107" s="1">
        <v>10.7</v>
      </c>
      <c r="H107" s="1">
        <v>91.17</v>
      </c>
      <c r="I107" s="1">
        <v>172.01</v>
      </c>
      <c r="J107" s="1">
        <v>11.17</v>
      </c>
      <c r="K107" s="1">
        <v>231.60999999999999</v>
      </c>
      <c r="L107" s="1">
        <v>291.56</v>
      </c>
      <c r="O107" s="5">
        <v>27545</v>
      </c>
      <c r="P107" s="1">
        <v>5.3699777092999996</v>
      </c>
      <c r="Q107" s="8">
        <f t="shared" si="3"/>
        <v>-6.9299228933841994E-2</v>
      </c>
      <c r="R107" s="1">
        <f t="shared" si="4"/>
        <v>-0.5180380006882348</v>
      </c>
      <c r="S107" s="1">
        <f t="shared" si="5"/>
        <v>-51.803800068823477</v>
      </c>
    </row>
    <row r="108" spans="1:19" x14ac:dyDescent="0.2">
      <c r="A108" s="5">
        <v>28306</v>
      </c>
      <c r="B108" s="14">
        <v>5.5002224182399999</v>
      </c>
      <c r="C108" s="14">
        <v>7.8709523809999995</v>
      </c>
      <c r="D108" s="1">
        <v>8.7799999999999994</v>
      </c>
      <c r="E108" s="1">
        <v>9.14</v>
      </c>
      <c r="F108" s="1">
        <v>9.68</v>
      </c>
      <c r="G108" s="1">
        <v>10.629999999999999</v>
      </c>
      <c r="H108" s="1">
        <v>95.2</v>
      </c>
      <c r="I108" s="1">
        <v>162.41</v>
      </c>
      <c r="J108" s="1">
        <v>11.17</v>
      </c>
      <c r="K108" s="1">
        <v>219.35999999999999</v>
      </c>
      <c r="L108" s="1">
        <v>295.69</v>
      </c>
      <c r="O108" s="5">
        <v>27575</v>
      </c>
      <c r="P108" s="1">
        <v>5.4902224182400001</v>
      </c>
      <c r="Q108" s="8">
        <f t="shared" si="3"/>
        <v>2.2392031298706261E-2</v>
      </c>
      <c r="R108" s="1">
        <f t="shared" si="4"/>
        <v>0.16738892053769153</v>
      </c>
      <c r="S108" s="1">
        <f t="shared" si="5"/>
        <v>16.738892053769153</v>
      </c>
    </row>
    <row r="109" spans="1:19" x14ac:dyDescent="0.2">
      <c r="A109" s="5">
        <v>28337</v>
      </c>
      <c r="B109" s="14">
        <v>6.3257072208</v>
      </c>
      <c r="C109" s="14">
        <v>8.0713636363999992</v>
      </c>
      <c r="D109" s="1">
        <v>8.85</v>
      </c>
      <c r="E109" s="1">
        <v>9.14</v>
      </c>
      <c r="F109" s="1">
        <v>9.6199999999999992</v>
      </c>
      <c r="G109" s="1">
        <v>10.56</v>
      </c>
      <c r="H109" s="1">
        <v>88.76</v>
      </c>
      <c r="I109" s="1">
        <v>168.41</v>
      </c>
      <c r="J109" s="1">
        <v>11.17</v>
      </c>
      <c r="K109" s="1">
        <v>215.41</v>
      </c>
      <c r="L109" s="1">
        <v>297.71999999999997</v>
      </c>
      <c r="O109" s="5">
        <v>27606</v>
      </c>
      <c r="P109" s="1">
        <v>6.3157072208000002</v>
      </c>
      <c r="Q109" s="8">
        <f t="shared" si="3"/>
        <v>0.15035543911982807</v>
      </c>
      <c r="R109" s="1">
        <f t="shared" si="4"/>
        <v>1.1239638921321413</v>
      </c>
      <c r="S109" s="1">
        <f t="shared" si="5"/>
        <v>112.39638921321414</v>
      </c>
    </row>
    <row r="110" spans="1:19" x14ac:dyDescent="0.2">
      <c r="A110" s="5">
        <v>28368</v>
      </c>
      <c r="B110" s="14">
        <v>6.6482923739999995</v>
      </c>
      <c r="C110" s="14">
        <v>8.407619047599999</v>
      </c>
      <c r="D110" s="1">
        <v>8.9599999999999991</v>
      </c>
      <c r="E110" s="1">
        <v>9.24</v>
      </c>
      <c r="F110" s="1">
        <v>9.69</v>
      </c>
      <c r="G110" s="1">
        <v>10.6</v>
      </c>
      <c r="H110" s="1">
        <v>86.89</v>
      </c>
      <c r="I110" s="1">
        <v>161.85999999999999</v>
      </c>
      <c r="J110" s="1">
        <v>11.17</v>
      </c>
      <c r="K110" s="1">
        <v>211.01</v>
      </c>
      <c r="L110" s="1">
        <v>297.98</v>
      </c>
      <c r="O110" s="5">
        <v>27637</v>
      </c>
      <c r="P110" s="1">
        <v>6.6382923739999997</v>
      </c>
      <c r="Q110" s="8">
        <f t="shared" si="3"/>
        <v>5.1076647780252671E-2</v>
      </c>
      <c r="R110" s="1">
        <f t="shared" si="4"/>
        <v>0.38181730020689741</v>
      </c>
      <c r="S110" s="1">
        <f t="shared" si="5"/>
        <v>38.181730020689741</v>
      </c>
    </row>
    <row r="111" spans="1:19" x14ac:dyDescent="0.2">
      <c r="A111" s="5">
        <v>28398</v>
      </c>
      <c r="B111" s="14">
        <v>6.6243557672</v>
      </c>
      <c r="C111" s="14">
        <v>8.436666666699999</v>
      </c>
      <c r="D111" s="1">
        <v>8.9599999999999991</v>
      </c>
      <c r="E111" s="1">
        <v>9.36</v>
      </c>
      <c r="F111" s="1">
        <v>9.75</v>
      </c>
      <c r="G111" s="1">
        <v>10.62</v>
      </c>
      <c r="H111" s="1">
        <v>83.89</v>
      </c>
      <c r="I111" s="1">
        <v>128.76</v>
      </c>
      <c r="J111" s="1">
        <v>11.17</v>
      </c>
      <c r="K111" s="1">
        <v>204.31</v>
      </c>
      <c r="L111" s="1">
        <v>302.86</v>
      </c>
      <c r="O111" s="5">
        <v>27667</v>
      </c>
      <c r="P111" s="1">
        <v>6.6143557672000002</v>
      </c>
      <c r="Q111" s="8">
        <f t="shared" si="3"/>
        <v>-3.605837985345639E-3</v>
      </c>
      <c r="R111" s="1">
        <f t="shared" si="4"/>
        <v>-2.6955005553055099E-2</v>
      </c>
      <c r="S111" s="1">
        <f t="shared" si="5"/>
        <v>-2.69550055530551</v>
      </c>
    </row>
    <row r="112" spans="1:19" x14ac:dyDescent="0.2">
      <c r="A112" s="5">
        <v>28429</v>
      </c>
      <c r="B112" s="14">
        <v>6.1411196225999998</v>
      </c>
      <c r="C112" s="14">
        <v>8.1477272727999992</v>
      </c>
      <c r="D112" s="1">
        <v>8.8699999999999992</v>
      </c>
      <c r="E112" s="1">
        <v>9.33</v>
      </c>
      <c r="F112" s="1">
        <v>9.73</v>
      </c>
      <c r="G112" s="1">
        <v>10.629999999999999</v>
      </c>
      <c r="H112" s="1">
        <v>89.06</v>
      </c>
      <c r="I112" s="1">
        <v>142.70999999999998</v>
      </c>
      <c r="J112" s="1">
        <v>11.17</v>
      </c>
      <c r="K112" s="1">
        <v>207.81</v>
      </c>
      <c r="L112" s="1">
        <v>301.76</v>
      </c>
      <c r="O112" s="5">
        <v>27698</v>
      </c>
      <c r="P112" s="1">
        <v>6.1311196226</v>
      </c>
      <c r="Q112" s="8">
        <f t="shared" si="3"/>
        <v>-7.3058686530943051E-2</v>
      </c>
      <c r="R112" s="1">
        <f t="shared" si="4"/>
        <v>-0.54614137106099458</v>
      </c>
      <c r="S112" s="1">
        <f t="shared" si="5"/>
        <v>-54.614137106099456</v>
      </c>
    </row>
    <row r="113" spans="1:19" x14ac:dyDescent="0.2">
      <c r="A113" s="5">
        <v>28459</v>
      </c>
      <c r="B113" s="14">
        <v>5.63901319</v>
      </c>
      <c r="C113" s="14">
        <v>8.062941176499999</v>
      </c>
      <c r="D113" s="1">
        <v>8.7899999999999991</v>
      </c>
      <c r="E113" s="1">
        <v>9.24</v>
      </c>
      <c r="F113" s="1">
        <v>9.65</v>
      </c>
      <c r="G113" s="1">
        <v>10.57</v>
      </c>
      <c r="H113" s="1">
        <v>91.240000000000009</v>
      </c>
      <c r="I113" s="1">
        <v>141.41</v>
      </c>
      <c r="J113" s="1">
        <v>11.17</v>
      </c>
      <c r="K113" s="1">
        <v>202.01</v>
      </c>
      <c r="L113" s="1">
        <v>303.13</v>
      </c>
      <c r="O113" s="5">
        <v>27728</v>
      </c>
      <c r="P113" s="1">
        <v>5.6290131900000002</v>
      </c>
      <c r="Q113" s="8">
        <f t="shared" si="3"/>
        <v>-8.1894737585803901E-2</v>
      </c>
      <c r="R113" s="1">
        <f t="shared" si="4"/>
        <v>-0.61219420155942916</v>
      </c>
      <c r="S113" s="1">
        <f t="shared" si="5"/>
        <v>-61.219420155942913</v>
      </c>
    </row>
    <row r="114" spans="1:19" x14ac:dyDescent="0.2">
      <c r="A114" s="5">
        <v>28490</v>
      </c>
      <c r="B114" s="14">
        <v>5.6049877419999996</v>
      </c>
      <c r="C114" s="14">
        <v>8.0068181818999999</v>
      </c>
      <c r="D114" s="1">
        <v>8.7999999999999989</v>
      </c>
      <c r="E114" s="1">
        <v>9.26</v>
      </c>
      <c r="F114" s="1">
        <v>9.68</v>
      </c>
      <c r="G114" s="1">
        <v>10.57</v>
      </c>
      <c r="H114" s="1">
        <v>90.2</v>
      </c>
      <c r="I114" s="1">
        <v>140.76</v>
      </c>
      <c r="J114" s="1">
        <v>11.17</v>
      </c>
      <c r="K114" s="1">
        <v>202.35999999999999</v>
      </c>
      <c r="L114" s="1">
        <v>305.17</v>
      </c>
      <c r="O114" s="5">
        <v>27759</v>
      </c>
      <c r="P114" s="1">
        <v>5.5949877419999998</v>
      </c>
      <c r="Q114" s="8">
        <f t="shared" si="3"/>
        <v>-6.0446559372869801E-3</v>
      </c>
      <c r="R114" s="1">
        <f t="shared" si="4"/>
        <v>-4.5186094055820407E-2</v>
      </c>
      <c r="S114" s="1">
        <f t="shared" si="5"/>
        <v>-4.5186094055820405</v>
      </c>
    </row>
    <row r="115" spans="1:19" x14ac:dyDescent="0.2">
      <c r="A115" s="5">
        <v>28521</v>
      </c>
      <c r="B115" s="14">
        <v>5.00708037323</v>
      </c>
      <c r="C115" s="14">
        <v>7.7523809523999994</v>
      </c>
      <c r="D115" s="1">
        <v>8.61</v>
      </c>
      <c r="E115" s="1">
        <v>9.14</v>
      </c>
      <c r="F115" s="1">
        <v>9.5499999999999989</v>
      </c>
      <c r="G115" s="1">
        <v>10.42</v>
      </c>
      <c r="H115" s="1">
        <v>100.87</v>
      </c>
      <c r="I115" s="1">
        <v>126.26</v>
      </c>
      <c r="J115" s="1">
        <v>11.17</v>
      </c>
      <c r="K115" s="1">
        <v>202.95999999999998</v>
      </c>
      <c r="L115" s="1">
        <v>303.68</v>
      </c>
      <c r="O115" s="5">
        <v>27790</v>
      </c>
      <c r="P115" s="1">
        <v>4.9970803732300002</v>
      </c>
      <c r="Q115" s="8">
        <f t="shared" si="3"/>
        <v>-0.1068648219336884</v>
      </c>
      <c r="R115" s="1">
        <f t="shared" si="4"/>
        <v>-0.79885504572183375</v>
      </c>
      <c r="S115" s="1">
        <f t="shared" si="5"/>
        <v>-79.885504572183379</v>
      </c>
    </row>
    <row r="116" spans="1:19" x14ac:dyDescent="0.2">
      <c r="A116" s="5">
        <v>28549</v>
      </c>
      <c r="B116" s="14">
        <v>5.0200471311200001</v>
      </c>
      <c r="C116" s="14">
        <v>7.8027777777999994</v>
      </c>
      <c r="D116" s="1">
        <v>8.56</v>
      </c>
      <c r="E116" s="1">
        <v>9.0299999999999994</v>
      </c>
      <c r="F116" s="1">
        <v>9.44</v>
      </c>
      <c r="G116" s="1">
        <v>10.25</v>
      </c>
      <c r="H116" s="1">
        <v>99.710000000000008</v>
      </c>
      <c r="I116" s="1">
        <v>132.45999999999998</v>
      </c>
      <c r="J116" s="1">
        <v>12.04</v>
      </c>
      <c r="K116" s="1">
        <v>202.53</v>
      </c>
      <c r="L116" s="1">
        <v>302.12</v>
      </c>
      <c r="O116" s="5">
        <v>27818</v>
      </c>
      <c r="P116" s="1">
        <v>5.0100471311200003</v>
      </c>
      <c r="Q116" s="8">
        <f t="shared" si="3"/>
        <v>2.5948667865069996E-3</v>
      </c>
      <c r="R116" s="1">
        <f t="shared" si="4"/>
        <v>1.9397612683651907E-2</v>
      </c>
      <c r="S116" s="1">
        <f t="shared" si="5"/>
        <v>1.9397612683651908</v>
      </c>
    </row>
    <row r="117" spans="1:19" x14ac:dyDescent="0.2">
      <c r="A117" s="5">
        <v>28580</v>
      </c>
      <c r="B117" s="14">
        <v>5.1445563461199999</v>
      </c>
      <c r="C117" s="14">
        <v>7.7443478259999994</v>
      </c>
      <c r="D117" s="1">
        <v>8.5299999999999994</v>
      </c>
      <c r="E117" s="1">
        <v>9.02</v>
      </c>
      <c r="F117" s="1">
        <v>9.41</v>
      </c>
      <c r="G117" s="1">
        <v>10.129999999999999</v>
      </c>
      <c r="H117" s="1">
        <v>102.78</v>
      </c>
      <c r="I117" s="1">
        <v>128.70999999999998</v>
      </c>
      <c r="J117" s="1">
        <v>12.11</v>
      </c>
      <c r="K117" s="1">
        <v>191.6</v>
      </c>
      <c r="L117" s="1">
        <v>299.58999999999997</v>
      </c>
      <c r="O117" s="5">
        <v>27850</v>
      </c>
      <c r="P117" s="1">
        <v>5.1345563461200001</v>
      </c>
      <c r="Q117" s="8">
        <f t="shared" si="3"/>
        <v>2.4851904930516255E-2</v>
      </c>
      <c r="R117" s="1">
        <f t="shared" si="4"/>
        <v>0.18577740822757768</v>
      </c>
      <c r="S117" s="1">
        <f t="shared" si="5"/>
        <v>18.577740822757768</v>
      </c>
    </row>
    <row r="118" spans="1:19" x14ac:dyDescent="0.2">
      <c r="A118" s="5">
        <v>28610</v>
      </c>
      <c r="B118" s="14">
        <v>4.99465861921</v>
      </c>
      <c r="C118" s="14">
        <v>7.5742857141000002</v>
      </c>
      <c r="D118" s="1">
        <v>8.41</v>
      </c>
      <c r="E118" s="1">
        <v>8.9</v>
      </c>
      <c r="F118" s="1">
        <v>9.27</v>
      </c>
      <c r="G118" s="1">
        <v>9.9499999999999993</v>
      </c>
      <c r="H118" s="1">
        <v>101.65</v>
      </c>
      <c r="I118" s="1">
        <v>128.70999999999998</v>
      </c>
      <c r="J118" s="1">
        <v>12.18</v>
      </c>
      <c r="K118" s="1">
        <v>184.01</v>
      </c>
      <c r="L118" s="1">
        <v>299.05</v>
      </c>
      <c r="O118" s="5">
        <v>27880</v>
      </c>
      <c r="P118" s="1">
        <v>4.9846586192100002</v>
      </c>
      <c r="Q118" s="8">
        <f t="shared" si="3"/>
        <v>-2.919390046683823E-2</v>
      </c>
      <c r="R118" s="1">
        <f t="shared" si="4"/>
        <v>-0.21823547047789271</v>
      </c>
      <c r="S118" s="1">
        <f t="shared" si="5"/>
        <v>-21.823547047789273</v>
      </c>
    </row>
    <row r="119" spans="1:19" x14ac:dyDescent="0.2">
      <c r="A119" s="5">
        <v>28641</v>
      </c>
      <c r="B119" s="14">
        <v>5.3549144157099997</v>
      </c>
      <c r="C119" s="14">
        <v>7.9049999999999994</v>
      </c>
      <c r="D119" s="1">
        <v>8.59</v>
      </c>
      <c r="E119" s="1">
        <v>8.93</v>
      </c>
      <c r="F119" s="1">
        <v>9.2899999999999991</v>
      </c>
      <c r="G119" s="1">
        <v>9.8699999999999992</v>
      </c>
      <c r="H119" s="1">
        <v>100.2</v>
      </c>
      <c r="I119" s="1">
        <v>124.51</v>
      </c>
      <c r="J119" s="1">
        <v>12.18</v>
      </c>
      <c r="K119" s="1">
        <v>175.95999999999998</v>
      </c>
      <c r="L119" s="1">
        <v>300.03999999999996</v>
      </c>
      <c r="O119" s="5">
        <v>27911</v>
      </c>
      <c r="P119" s="1">
        <v>5.3449144157099999</v>
      </c>
      <c r="Q119" s="8">
        <f t="shared" si="3"/>
        <v>7.2272912554460111E-2</v>
      </c>
      <c r="R119" s="1">
        <f t="shared" si="4"/>
        <v>0.54026741277844748</v>
      </c>
      <c r="S119" s="1">
        <f t="shared" si="5"/>
        <v>54.026741277844749</v>
      </c>
    </row>
    <row r="120" spans="1:19" x14ac:dyDescent="0.2">
      <c r="A120" s="5">
        <v>28671</v>
      </c>
      <c r="B120" s="14">
        <v>5.5679874892000001</v>
      </c>
      <c r="C120" s="14">
        <v>7.8713636363999999</v>
      </c>
      <c r="D120" s="1">
        <v>8.629999999999999</v>
      </c>
      <c r="E120" s="1">
        <v>8.9</v>
      </c>
      <c r="F120" s="1">
        <v>9.25</v>
      </c>
      <c r="G120" s="1">
        <v>9.9</v>
      </c>
      <c r="H120" s="1">
        <v>104.29</v>
      </c>
      <c r="I120" s="1">
        <v>123.71000000000001</v>
      </c>
      <c r="J120" s="1">
        <v>12.18</v>
      </c>
      <c r="K120" s="1">
        <v>178.51</v>
      </c>
      <c r="L120" s="1">
        <v>297.98</v>
      </c>
      <c r="O120" s="5">
        <v>27941</v>
      </c>
      <c r="P120" s="1">
        <v>5.5579874892000003</v>
      </c>
      <c r="Q120" s="8">
        <f t="shared" si="3"/>
        <v>3.9864637095727185E-2</v>
      </c>
      <c r="R120" s="1">
        <f t="shared" si="4"/>
        <v>0.29800327098801999</v>
      </c>
      <c r="S120" s="1">
        <f t="shared" si="5"/>
        <v>29.800327098801997</v>
      </c>
    </row>
    <row r="121" spans="1:19" x14ac:dyDescent="0.2">
      <c r="A121" s="5">
        <v>28702</v>
      </c>
      <c r="B121" s="14">
        <v>5.38290823033</v>
      </c>
      <c r="C121" s="14">
        <v>7.8419047618999995</v>
      </c>
      <c r="D121" s="1">
        <v>8.57</v>
      </c>
      <c r="E121" s="1">
        <v>8.82</v>
      </c>
      <c r="F121" s="1">
        <v>9.15</v>
      </c>
      <c r="G121" s="1">
        <v>9.83</v>
      </c>
      <c r="H121" s="1">
        <v>103.45</v>
      </c>
      <c r="I121" s="1">
        <v>114.16000000000001</v>
      </c>
      <c r="J121" s="1">
        <v>12.18</v>
      </c>
      <c r="K121" s="1">
        <v>178.51</v>
      </c>
      <c r="L121" s="1">
        <v>293.27</v>
      </c>
      <c r="O121" s="5">
        <v>27972</v>
      </c>
      <c r="P121" s="1">
        <v>5.3729082303300002</v>
      </c>
      <c r="Q121" s="8">
        <f t="shared" si="3"/>
        <v>-3.3299689722158687E-2</v>
      </c>
      <c r="R121" s="1">
        <f t="shared" si="4"/>
        <v>-0.2489278012555409</v>
      </c>
      <c r="S121" s="1">
        <f t="shared" si="5"/>
        <v>-24.89278012555409</v>
      </c>
    </row>
    <row r="122" spans="1:19" x14ac:dyDescent="0.2">
      <c r="A122" s="5">
        <v>28733</v>
      </c>
      <c r="B122" s="14">
        <v>5.29206782251</v>
      </c>
      <c r="C122" s="14">
        <v>7.7786363635999995</v>
      </c>
      <c r="D122" s="1">
        <v>8.4599999999999991</v>
      </c>
      <c r="E122" s="1">
        <v>8.67</v>
      </c>
      <c r="F122" s="1">
        <v>8.99</v>
      </c>
      <c r="G122" s="1">
        <v>9.65</v>
      </c>
      <c r="H122" s="1">
        <v>102.92</v>
      </c>
      <c r="I122" s="1">
        <v>104.39</v>
      </c>
      <c r="J122" s="1">
        <v>12.18</v>
      </c>
      <c r="K122" s="1">
        <v>177.76</v>
      </c>
      <c r="L122" s="1">
        <v>289.36</v>
      </c>
      <c r="O122" s="5">
        <v>28003</v>
      </c>
      <c r="P122" s="1">
        <v>5.2820678225100002</v>
      </c>
      <c r="Q122" s="8">
        <f t="shared" si="3"/>
        <v>-1.6907120673903764E-2</v>
      </c>
      <c r="R122" s="1">
        <f t="shared" si="4"/>
        <v>-0.12638713483616604</v>
      </c>
      <c r="S122" s="1">
        <f t="shared" si="5"/>
        <v>-12.638713483616604</v>
      </c>
    </row>
    <row r="123" spans="1:19" x14ac:dyDescent="0.2">
      <c r="A123" s="5">
        <v>28763</v>
      </c>
      <c r="B123" s="14">
        <v>5.2302783356499996</v>
      </c>
      <c r="C123" s="14">
        <v>7.6042857141999995</v>
      </c>
      <c r="D123" s="1">
        <v>8.39</v>
      </c>
      <c r="E123" s="1">
        <v>8.5499999999999989</v>
      </c>
      <c r="F123" s="1">
        <v>8.82</v>
      </c>
      <c r="G123" s="1">
        <v>9.41</v>
      </c>
      <c r="H123" s="1">
        <v>105.24000000000001</v>
      </c>
      <c r="I123" s="1">
        <v>116.26</v>
      </c>
      <c r="J123" s="1">
        <v>13.91</v>
      </c>
      <c r="K123" s="1">
        <v>166.01</v>
      </c>
      <c r="L123" s="1">
        <v>286.87</v>
      </c>
      <c r="O123" s="5">
        <v>28033</v>
      </c>
      <c r="P123" s="1">
        <v>5.2202783356499998</v>
      </c>
      <c r="Q123" s="8">
        <f t="shared" si="3"/>
        <v>-1.1697973016680852E-2</v>
      </c>
      <c r="R123" s="1">
        <f t="shared" si="4"/>
        <v>-8.7446781831462692E-2</v>
      </c>
      <c r="S123" s="1">
        <f t="shared" si="5"/>
        <v>-8.7446781831462683</v>
      </c>
    </row>
    <row r="124" spans="1:19" x14ac:dyDescent="0.2">
      <c r="A124" s="5">
        <v>28794</v>
      </c>
      <c r="B124" s="14">
        <v>5.0589173981300002</v>
      </c>
      <c r="C124" s="14">
        <v>7.4209999999999994</v>
      </c>
      <c r="D124" s="1">
        <v>8.33</v>
      </c>
      <c r="E124" s="1">
        <v>8.49</v>
      </c>
      <c r="F124" s="1">
        <v>8.74</v>
      </c>
      <c r="G124" s="1">
        <v>9.2999999999999989</v>
      </c>
      <c r="H124" s="1">
        <v>102.92</v>
      </c>
      <c r="I124" s="1">
        <v>124.01</v>
      </c>
      <c r="J124" s="1">
        <v>13.91</v>
      </c>
      <c r="K124" s="1">
        <v>164.82999999999998</v>
      </c>
      <c r="L124" s="1">
        <v>294.39</v>
      </c>
      <c r="O124" s="5">
        <v>28064</v>
      </c>
      <c r="P124" s="1">
        <v>5.0489173981300004</v>
      </c>
      <c r="Q124" s="8">
        <f t="shared" si="3"/>
        <v>-3.2826015492268268E-2</v>
      </c>
      <c r="R124" s="1">
        <f t="shared" si="4"/>
        <v>-0.24538690686457687</v>
      </c>
      <c r="S124" s="1">
        <f t="shared" si="5"/>
        <v>-24.538690686457688</v>
      </c>
    </row>
    <row r="125" spans="1:19" x14ac:dyDescent="0.2">
      <c r="A125" s="5">
        <v>28824</v>
      </c>
      <c r="B125" s="14">
        <v>4.8866454555700001</v>
      </c>
      <c r="C125" s="14">
        <v>7.3010526316000002</v>
      </c>
      <c r="D125" s="1">
        <v>8.26</v>
      </c>
      <c r="E125" s="1">
        <v>8.4700000000000006</v>
      </c>
      <c r="F125" s="1">
        <v>8.6999999999999993</v>
      </c>
      <c r="G125" s="1">
        <v>9.24</v>
      </c>
      <c r="H125" s="1">
        <v>102.10000000000001</v>
      </c>
      <c r="I125" s="1">
        <v>130.51</v>
      </c>
      <c r="J125" s="1">
        <v>13.91</v>
      </c>
      <c r="K125" s="1">
        <v>165.10999999999999</v>
      </c>
      <c r="L125" s="1">
        <v>297.09999999999997</v>
      </c>
      <c r="O125" s="5">
        <v>28094</v>
      </c>
      <c r="P125" s="1">
        <v>4.8766454555700003</v>
      </c>
      <c r="Q125" s="8">
        <f t="shared" si="3"/>
        <v>-3.4120570604661782E-2</v>
      </c>
      <c r="R125" s="1">
        <f t="shared" si="4"/>
        <v>-0.25506419696610599</v>
      </c>
      <c r="S125" s="1">
        <f t="shared" si="5"/>
        <v>-25.5064196966106</v>
      </c>
    </row>
    <row r="126" spans="1:19" x14ac:dyDescent="0.2">
      <c r="A126" s="5">
        <v>28855</v>
      </c>
      <c r="B126" s="14">
        <v>4.4651472552099998</v>
      </c>
      <c r="C126" s="14">
        <v>6.8790909090999994</v>
      </c>
      <c r="D126" s="1">
        <v>7.99</v>
      </c>
      <c r="E126" s="1">
        <v>8.25</v>
      </c>
      <c r="F126" s="1">
        <v>8.5399999999999991</v>
      </c>
      <c r="G126" s="1">
        <v>9.129999999999999</v>
      </c>
      <c r="H126" s="1">
        <v>107.46000000000001</v>
      </c>
      <c r="I126" s="1">
        <v>134.63999999999999</v>
      </c>
      <c r="J126" s="1">
        <v>13.91</v>
      </c>
      <c r="K126" s="1">
        <v>170.10999999999999</v>
      </c>
      <c r="L126" s="1">
        <v>293.08999999999997</v>
      </c>
      <c r="O126" s="5">
        <v>28125</v>
      </c>
      <c r="P126" s="1">
        <v>4.45514725521</v>
      </c>
      <c r="Q126" s="8">
        <f t="shared" si="3"/>
        <v>-8.6431995969396103E-2</v>
      </c>
      <c r="R126" s="1">
        <f t="shared" si="4"/>
        <v>-0.6461119275977083</v>
      </c>
      <c r="S126" s="1">
        <f t="shared" si="5"/>
        <v>-64.61119275977083</v>
      </c>
    </row>
    <row r="127" spans="1:19" x14ac:dyDescent="0.2">
      <c r="A127" s="5">
        <v>28886</v>
      </c>
      <c r="B127" s="14">
        <v>4.7464544366899997</v>
      </c>
      <c r="C127" s="14">
        <v>7.2233333332999994</v>
      </c>
      <c r="D127" s="1">
        <v>7.97</v>
      </c>
      <c r="E127" s="1">
        <v>8.17</v>
      </c>
      <c r="F127" s="1">
        <v>8.4599999999999991</v>
      </c>
      <c r="G127" s="1">
        <v>9.09</v>
      </c>
      <c r="H127" s="1">
        <v>102.04</v>
      </c>
      <c r="I127" s="1">
        <v>132.38999999999999</v>
      </c>
      <c r="J127" s="1">
        <v>13.91</v>
      </c>
      <c r="K127" s="1">
        <v>171.51</v>
      </c>
      <c r="L127" s="1">
        <v>288.44</v>
      </c>
      <c r="O127" s="5">
        <v>28156</v>
      </c>
      <c r="P127" s="1">
        <v>4.7364544366899999</v>
      </c>
      <c r="Q127" s="8">
        <f t="shared" si="3"/>
        <v>6.3142061387764459E-2</v>
      </c>
      <c r="R127" s="1">
        <f t="shared" si="4"/>
        <v>0.47201083971480529</v>
      </c>
      <c r="S127" s="1">
        <f t="shared" si="5"/>
        <v>47.201083971480529</v>
      </c>
    </row>
    <row r="128" spans="1:19" x14ac:dyDescent="0.2">
      <c r="A128" s="5">
        <v>28914</v>
      </c>
      <c r="B128" s="14">
        <v>4.7958834505899999</v>
      </c>
      <c r="C128" s="14">
        <v>7.4010526314999998</v>
      </c>
      <c r="D128" s="1">
        <v>8.0499999999999989</v>
      </c>
      <c r="E128" s="1">
        <v>8.27</v>
      </c>
      <c r="F128" s="1">
        <v>8.5</v>
      </c>
      <c r="G128" s="1">
        <v>9.129999999999999</v>
      </c>
      <c r="H128" s="1">
        <v>99.83</v>
      </c>
      <c r="I128" s="1">
        <v>143.13999999999999</v>
      </c>
      <c r="J128" s="1">
        <v>13.91</v>
      </c>
      <c r="K128" s="1">
        <v>171.31</v>
      </c>
      <c r="L128" s="1">
        <v>282.82</v>
      </c>
      <c r="O128" s="5">
        <v>28184</v>
      </c>
      <c r="P128" s="1">
        <v>4.7858834505900001</v>
      </c>
      <c r="Q128" s="8">
        <f t="shared" si="3"/>
        <v>1.0435868128933823E-2</v>
      </c>
      <c r="R128" s="1">
        <f t="shared" si="4"/>
        <v>7.8012069457801189E-2</v>
      </c>
      <c r="S128" s="1">
        <f t="shared" si="5"/>
        <v>7.8012069457801188</v>
      </c>
    </row>
    <row r="129" spans="1:19" x14ac:dyDescent="0.2">
      <c r="A129" s="5">
        <v>28945</v>
      </c>
      <c r="B129" s="14">
        <v>4.7308583835600002</v>
      </c>
      <c r="C129" s="14">
        <v>7.47</v>
      </c>
      <c r="D129" s="1">
        <v>8.11</v>
      </c>
      <c r="E129" s="1">
        <v>8.2899999999999991</v>
      </c>
      <c r="F129" s="1">
        <v>8.56</v>
      </c>
      <c r="G129" s="1">
        <v>9.129999999999999</v>
      </c>
      <c r="H129" s="1">
        <v>98.43</v>
      </c>
      <c r="I129" s="1">
        <v>148.88999999999999</v>
      </c>
      <c r="J129" s="1">
        <v>13.91</v>
      </c>
      <c r="K129" s="1">
        <v>172.01</v>
      </c>
      <c r="L129" s="1">
        <v>277.56</v>
      </c>
      <c r="O129" s="5">
        <v>28215</v>
      </c>
      <c r="P129" s="1">
        <v>4.7208583835600004</v>
      </c>
      <c r="Q129" s="8">
        <f t="shared" si="3"/>
        <v>-1.3586847172800121E-2</v>
      </c>
      <c r="R129" s="1">
        <f t="shared" si="4"/>
        <v>-0.1015668320317594</v>
      </c>
      <c r="S129" s="1">
        <f t="shared" si="5"/>
        <v>-10.156683203175939</v>
      </c>
    </row>
    <row r="130" spans="1:19" x14ac:dyDescent="0.2">
      <c r="A130" s="5">
        <v>28975</v>
      </c>
      <c r="B130" s="14">
        <v>4.6612417225199998</v>
      </c>
      <c r="C130" s="14">
        <v>7.3804999999999996</v>
      </c>
      <c r="D130" s="1">
        <v>8.0499999999999989</v>
      </c>
      <c r="E130" s="1">
        <v>8.2899999999999991</v>
      </c>
      <c r="F130" s="1">
        <v>8.56</v>
      </c>
      <c r="G130" s="1">
        <v>9.08</v>
      </c>
      <c r="H130" s="1">
        <v>98.45</v>
      </c>
      <c r="I130" s="1">
        <v>147.38999999999999</v>
      </c>
      <c r="J130" s="1">
        <v>13.91</v>
      </c>
      <c r="K130" s="1">
        <v>171.92999999999998</v>
      </c>
      <c r="L130" s="1">
        <v>277.78999999999996</v>
      </c>
      <c r="O130" s="5">
        <v>28245</v>
      </c>
      <c r="P130" s="1">
        <v>4.65124172252</v>
      </c>
      <c r="Q130" s="8">
        <f t="shared" si="3"/>
        <v>-1.4746610760965617E-2</v>
      </c>
      <c r="R130" s="1">
        <f t="shared" si="4"/>
        <v>-0.11023650440369639</v>
      </c>
      <c r="S130" s="1">
        <f t="shared" si="5"/>
        <v>-11.023650440369639</v>
      </c>
    </row>
    <row r="131" spans="1:19" x14ac:dyDescent="0.2">
      <c r="A131" s="5">
        <v>29006</v>
      </c>
      <c r="B131" s="14">
        <v>5.0981201387699997</v>
      </c>
      <c r="C131" s="14">
        <v>7.4666666667000001</v>
      </c>
      <c r="D131" s="1">
        <v>8.06</v>
      </c>
      <c r="E131" s="1">
        <v>8.2899999999999991</v>
      </c>
      <c r="F131" s="1">
        <v>8.56</v>
      </c>
      <c r="G131" s="1">
        <v>9.02</v>
      </c>
      <c r="H131" s="1">
        <v>96.13000000000001</v>
      </c>
      <c r="I131" s="1">
        <v>143.20999999999998</v>
      </c>
      <c r="J131" s="1">
        <v>13.91</v>
      </c>
      <c r="K131" s="1">
        <v>171.92</v>
      </c>
      <c r="L131" s="1">
        <v>277.28999999999996</v>
      </c>
      <c r="O131" s="5">
        <v>28276</v>
      </c>
      <c r="P131" s="1">
        <v>5.0881201387699999</v>
      </c>
      <c r="Q131" s="8">
        <f t="shared" si="3"/>
        <v>9.3927265515949765E-2</v>
      </c>
      <c r="R131" s="1">
        <f t="shared" si="4"/>
        <v>0.70214190816535504</v>
      </c>
      <c r="S131" s="1">
        <f t="shared" si="5"/>
        <v>70.214190816535506</v>
      </c>
    </row>
    <row r="132" spans="1:19" x14ac:dyDescent="0.2">
      <c r="A132" s="5">
        <v>29036</v>
      </c>
      <c r="B132" s="14">
        <v>5.1606321902699994</v>
      </c>
      <c r="C132" s="14">
        <v>7.2854545454999995</v>
      </c>
      <c r="D132" s="1">
        <v>7.96</v>
      </c>
      <c r="E132" s="1">
        <v>8.1999999999999993</v>
      </c>
      <c r="F132" s="1">
        <v>8.4700000000000006</v>
      </c>
      <c r="G132" s="1">
        <v>8.92</v>
      </c>
      <c r="H132" s="1">
        <v>100.49000000000001</v>
      </c>
      <c r="I132" s="1">
        <v>143.13999999999999</v>
      </c>
      <c r="J132" s="1">
        <v>13.91</v>
      </c>
      <c r="K132" s="1">
        <v>171.98</v>
      </c>
      <c r="L132" s="1">
        <v>267.59999999999997</v>
      </c>
      <c r="O132" s="5">
        <v>28306</v>
      </c>
      <c r="P132" s="1">
        <v>5.1506321902699996</v>
      </c>
      <c r="Q132" s="8">
        <f t="shared" si="3"/>
        <v>1.2285883547378473E-2</v>
      </c>
      <c r="R132" s="1">
        <f t="shared" si="4"/>
        <v>9.1841635866518542E-2</v>
      </c>
      <c r="S132" s="1">
        <f t="shared" si="5"/>
        <v>9.1841635866518541</v>
      </c>
    </row>
    <row r="133" spans="1:19" x14ac:dyDescent="0.2">
      <c r="A133" s="5">
        <v>29067</v>
      </c>
      <c r="B133" s="14">
        <v>5.3368948303699995</v>
      </c>
      <c r="C133" s="14">
        <v>7.34</v>
      </c>
      <c r="D133" s="1">
        <v>7.95</v>
      </c>
      <c r="E133" s="1">
        <v>8.129999999999999</v>
      </c>
      <c r="F133" s="1">
        <v>8.41</v>
      </c>
      <c r="G133" s="1">
        <v>8.879999999999999</v>
      </c>
      <c r="H133" s="1">
        <v>98.86</v>
      </c>
      <c r="I133" s="1">
        <v>144.38999999999999</v>
      </c>
      <c r="J133" s="1">
        <v>13.91</v>
      </c>
      <c r="K133" s="1">
        <v>173.66</v>
      </c>
      <c r="L133" s="1">
        <v>266.82</v>
      </c>
      <c r="O133" s="5">
        <v>28337</v>
      </c>
      <c r="P133" s="1">
        <v>5.3268948303699997</v>
      </c>
      <c r="Q133" s="8">
        <f t="shared" si="3"/>
        <v>3.4221554478880423E-2</v>
      </c>
      <c r="R133" s="1">
        <f t="shared" si="4"/>
        <v>0.25581908969877865</v>
      </c>
      <c r="S133" s="1">
        <f t="shared" si="5"/>
        <v>25.581908969877865</v>
      </c>
    </row>
    <row r="134" spans="1:19" x14ac:dyDescent="0.2">
      <c r="A134" s="5">
        <v>29098</v>
      </c>
      <c r="B134" s="14">
        <v>5.6546403669999998</v>
      </c>
      <c r="C134" s="14">
        <v>7.4065217391999996</v>
      </c>
      <c r="D134" s="1">
        <v>7.99</v>
      </c>
      <c r="E134" s="1">
        <v>8.18</v>
      </c>
      <c r="F134" s="1">
        <v>8.41</v>
      </c>
      <c r="G134" s="1">
        <v>8.83</v>
      </c>
      <c r="H134" s="1">
        <v>96.78</v>
      </c>
      <c r="I134" s="1">
        <v>146.13999999999999</v>
      </c>
      <c r="J134" s="1">
        <v>14.86</v>
      </c>
      <c r="K134" s="1">
        <v>174.29</v>
      </c>
      <c r="L134" s="1">
        <v>267.51</v>
      </c>
      <c r="O134" s="5">
        <v>28368</v>
      </c>
      <c r="P134" s="1">
        <v>5.644640367</v>
      </c>
      <c r="Q134" s="8">
        <f t="shared" si="3"/>
        <v>5.964929790211948E-2</v>
      </c>
      <c r="R134" s="1">
        <f t="shared" si="4"/>
        <v>0.44590110890224804</v>
      </c>
      <c r="S134" s="1">
        <f t="shared" si="5"/>
        <v>44.590110890224807</v>
      </c>
    </row>
    <row r="135" spans="1:19" x14ac:dyDescent="0.2">
      <c r="A135" s="5">
        <v>29128</v>
      </c>
      <c r="B135" s="14">
        <v>5.9860762294000001</v>
      </c>
      <c r="C135" s="14">
        <v>7.3538095238999999</v>
      </c>
      <c r="D135" s="1">
        <v>7.93</v>
      </c>
      <c r="E135" s="1">
        <v>8.16</v>
      </c>
      <c r="F135" s="1">
        <v>8.379999999999999</v>
      </c>
      <c r="G135" s="1">
        <v>8.81</v>
      </c>
      <c r="H135" s="1">
        <v>96.54</v>
      </c>
      <c r="I135" s="1">
        <v>154.38999999999999</v>
      </c>
      <c r="J135" s="1">
        <v>14.86</v>
      </c>
      <c r="K135" s="1">
        <v>174.76999999999998</v>
      </c>
      <c r="L135" s="1">
        <v>263.71999999999997</v>
      </c>
      <c r="O135" s="5">
        <v>28398</v>
      </c>
      <c r="P135" s="1">
        <v>5.9760762294000003</v>
      </c>
      <c r="Q135" s="8">
        <f t="shared" si="3"/>
        <v>5.8716913895464184E-2</v>
      </c>
      <c r="R135" s="1">
        <f t="shared" si="4"/>
        <v>0.43893118507896117</v>
      </c>
      <c r="S135" s="1">
        <f t="shared" si="5"/>
        <v>43.893118507896119</v>
      </c>
    </row>
    <row r="136" spans="1:19" x14ac:dyDescent="0.2">
      <c r="A136" s="5">
        <v>29159</v>
      </c>
      <c r="B136" s="14">
        <v>6.3532733696000001</v>
      </c>
      <c r="C136" s="14">
        <v>7.5335000000000001</v>
      </c>
      <c r="D136" s="1">
        <v>8.0499999999999989</v>
      </c>
      <c r="E136" s="1">
        <v>8.27</v>
      </c>
      <c r="F136" s="1">
        <v>8.49</v>
      </c>
      <c r="G136" s="1">
        <v>8.9</v>
      </c>
      <c r="H136" s="1">
        <v>92.350000000000009</v>
      </c>
      <c r="I136" s="1">
        <v>161.63999999999999</v>
      </c>
      <c r="J136" s="1">
        <v>14.86</v>
      </c>
      <c r="K136" s="1">
        <v>183.95999999999998</v>
      </c>
      <c r="L136" s="1">
        <v>249.14</v>
      </c>
      <c r="O136" s="5">
        <v>28429</v>
      </c>
      <c r="P136" s="1">
        <v>6.3432733696000003</v>
      </c>
      <c r="Q136" s="8">
        <f t="shared" si="3"/>
        <v>6.1444520803387803E-2</v>
      </c>
      <c r="R136" s="1">
        <f t="shared" si="4"/>
        <v>0.45932108047870834</v>
      </c>
      <c r="S136" s="1">
        <f t="shared" si="5"/>
        <v>45.932108047870834</v>
      </c>
    </row>
    <row r="137" spans="1:19" x14ac:dyDescent="0.2">
      <c r="A137" s="5">
        <v>29189</v>
      </c>
      <c r="B137" s="14">
        <v>6.2954627299999997</v>
      </c>
      <c r="C137" s="14">
        <v>7.5873684208999999</v>
      </c>
      <c r="D137" s="1">
        <v>8.09</v>
      </c>
      <c r="E137" s="1">
        <v>8.35</v>
      </c>
      <c r="F137" s="1">
        <v>8.57</v>
      </c>
      <c r="G137" s="1">
        <v>8.9599999999999991</v>
      </c>
      <c r="H137" s="1">
        <v>94.84</v>
      </c>
      <c r="I137" s="1">
        <v>160.13999999999999</v>
      </c>
      <c r="J137" s="1">
        <v>14.86</v>
      </c>
      <c r="K137" s="1">
        <v>181.70999999999998</v>
      </c>
      <c r="L137" s="1">
        <v>244.03</v>
      </c>
      <c r="O137" s="5">
        <v>28459</v>
      </c>
      <c r="P137" s="1">
        <v>6.2854627299999999</v>
      </c>
      <c r="Q137" s="8">
        <f t="shared" si="3"/>
        <v>-9.1136919744081446E-3</v>
      </c>
      <c r="R137" s="1">
        <f t="shared" si="4"/>
        <v>-6.8128301597959184E-2</v>
      </c>
      <c r="S137" s="1">
        <f t="shared" si="5"/>
        <v>-6.8128301597959187</v>
      </c>
    </row>
    <row r="138" spans="1:19" x14ac:dyDescent="0.2">
      <c r="A138" s="5">
        <v>29220</v>
      </c>
      <c r="B138" s="14">
        <v>6.2541684555999995</v>
      </c>
      <c r="C138" s="14">
        <v>7.6952380951999997</v>
      </c>
      <c r="D138" s="1">
        <v>8.1999999999999993</v>
      </c>
      <c r="E138" s="1">
        <v>8.41</v>
      </c>
      <c r="F138" s="1">
        <v>8.58</v>
      </c>
      <c r="G138" s="1">
        <v>9</v>
      </c>
      <c r="H138" s="1">
        <v>95.11</v>
      </c>
      <c r="I138" s="1">
        <v>165.14</v>
      </c>
      <c r="J138" s="1">
        <v>14.86</v>
      </c>
      <c r="K138" s="1">
        <v>191.70999999999998</v>
      </c>
      <c r="L138" s="1">
        <v>239.98999999999998</v>
      </c>
      <c r="O138" s="5">
        <v>28490</v>
      </c>
      <c r="P138" s="1">
        <v>6.2441684555999997</v>
      </c>
      <c r="Q138" s="8">
        <f t="shared" si="3"/>
        <v>-6.5698065796979677E-3</v>
      </c>
      <c r="R138" s="1">
        <f t="shared" si="4"/>
        <v>-4.9111794139936014E-2</v>
      </c>
      <c r="S138" s="1">
        <f t="shared" si="5"/>
        <v>-4.9111794139936018</v>
      </c>
    </row>
    <row r="139" spans="1:19" x14ac:dyDescent="0.2">
      <c r="A139" s="5">
        <v>29251</v>
      </c>
      <c r="B139" s="14">
        <v>6.6468393366999994</v>
      </c>
      <c r="C139" s="14">
        <v>7.9661904762999995</v>
      </c>
      <c r="D139" s="1">
        <v>8.42</v>
      </c>
      <c r="E139" s="1">
        <v>8.6</v>
      </c>
      <c r="F139" s="1">
        <v>8.77</v>
      </c>
      <c r="G139" s="1">
        <v>9.18</v>
      </c>
      <c r="H139" s="1">
        <v>89.26</v>
      </c>
      <c r="I139" s="1">
        <v>175.89</v>
      </c>
      <c r="J139" s="1">
        <v>14.86</v>
      </c>
      <c r="K139" s="1">
        <v>194.76</v>
      </c>
      <c r="L139" s="1">
        <v>241.60999999999999</v>
      </c>
      <c r="O139" s="5">
        <v>28521</v>
      </c>
      <c r="P139" s="1">
        <v>6.6368393366999996</v>
      </c>
      <c r="Q139" s="8">
        <f t="shared" si="3"/>
        <v>6.288601659166293E-2</v>
      </c>
      <c r="R139" s="1">
        <f t="shared" si="4"/>
        <v>0.47009680782296864</v>
      </c>
      <c r="S139" s="1">
        <f t="shared" si="5"/>
        <v>47.009680782296861</v>
      </c>
    </row>
    <row r="140" spans="1:19" x14ac:dyDescent="0.2">
      <c r="A140" s="5">
        <v>29280</v>
      </c>
      <c r="B140" s="14">
        <v>6.6521102150999996</v>
      </c>
      <c r="C140" s="14">
        <v>8.0433333332999997</v>
      </c>
      <c r="D140" s="1">
        <v>8.48</v>
      </c>
      <c r="E140" s="1">
        <v>8.66</v>
      </c>
      <c r="F140" s="1">
        <v>8.7999999999999989</v>
      </c>
      <c r="G140" s="1">
        <v>9.2099999999999991</v>
      </c>
      <c r="H140" s="1">
        <v>87.050000000000011</v>
      </c>
      <c r="I140" s="1">
        <v>182.64</v>
      </c>
      <c r="J140" s="1">
        <v>14.86</v>
      </c>
      <c r="K140" s="1">
        <v>194.10999999999999</v>
      </c>
      <c r="L140" s="1">
        <v>238.10999999999999</v>
      </c>
      <c r="O140" s="5">
        <v>28549</v>
      </c>
      <c r="P140" s="1">
        <v>6.6421102150999998</v>
      </c>
      <c r="Q140" s="8">
        <f t="shared" si="3"/>
        <v>7.9418502280947934E-4</v>
      </c>
      <c r="R140" s="1">
        <f t="shared" si="4"/>
        <v>5.9368340416245027E-3</v>
      </c>
      <c r="S140" s="1">
        <f t="shared" si="5"/>
        <v>0.59368340416245025</v>
      </c>
    </row>
    <row r="141" spans="1:19" x14ac:dyDescent="0.2">
      <c r="A141" s="5">
        <v>29311</v>
      </c>
      <c r="B141" s="14">
        <v>6.4930657222999999</v>
      </c>
      <c r="C141" s="14">
        <v>8.0459090910000004</v>
      </c>
      <c r="D141" s="1">
        <v>8.48</v>
      </c>
      <c r="E141" s="1">
        <v>8.67</v>
      </c>
      <c r="F141" s="1">
        <v>8.84</v>
      </c>
      <c r="G141" s="1">
        <v>9.23</v>
      </c>
      <c r="H141" s="1">
        <v>89.22</v>
      </c>
      <c r="I141" s="1">
        <v>183.64</v>
      </c>
      <c r="J141" s="1">
        <v>14.86</v>
      </c>
      <c r="K141" s="1">
        <v>186.20999999999998</v>
      </c>
      <c r="L141" s="1">
        <v>229.89999999999998</v>
      </c>
      <c r="O141" s="5">
        <v>28580</v>
      </c>
      <c r="P141" s="1">
        <v>6.4830657223000001</v>
      </c>
      <c r="Q141" s="8">
        <f t="shared" si="3"/>
        <v>-2.3944874091133328E-2</v>
      </c>
      <c r="R141" s="1">
        <f t="shared" si="4"/>
        <v>-0.17899700893850218</v>
      </c>
      <c r="S141" s="1">
        <f t="shared" si="5"/>
        <v>-17.899700893850216</v>
      </c>
    </row>
    <row r="142" spans="1:19" x14ac:dyDescent="0.2">
      <c r="A142" s="5">
        <v>29341</v>
      </c>
      <c r="B142" s="14">
        <v>6.4850862398000002</v>
      </c>
      <c r="C142" s="14">
        <v>8.1639999999999997</v>
      </c>
      <c r="D142" s="1">
        <v>8.57</v>
      </c>
      <c r="E142" s="1">
        <v>8.74</v>
      </c>
      <c r="F142" s="1">
        <v>8.94</v>
      </c>
      <c r="G142" s="1">
        <v>9.33</v>
      </c>
      <c r="H142" s="1">
        <v>96.84</v>
      </c>
      <c r="I142" s="1">
        <v>170.64</v>
      </c>
      <c r="J142" s="1">
        <v>14.86</v>
      </c>
      <c r="K142" s="1">
        <v>182.31</v>
      </c>
      <c r="L142" s="1">
        <v>224.98</v>
      </c>
      <c r="O142" s="5">
        <v>28610</v>
      </c>
      <c r="P142" s="1">
        <v>6.4750862398000004</v>
      </c>
      <c r="Q142" s="8">
        <f t="shared" si="3"/>
        <v>-1.2308193132382073E-3</v>
      </c>
      <c r="R142" s="1">
        <f t="shared" si="4"/>
        <v>-9.2008408469753163E-3</v>
      </c>
      <c r="S142" s="1">
        <f t="shared" si="5"/>
        <v>-0.92008408469753167</v>
      </c>
    </row>
    <row r="143" spans="1:19" x14ac:dyDescent="0.2">
      <c r="A143" s="5">
        <v>29372</v>
      </c>
      <c r="B143" s="14">
        <v>6.6129039772000002</v>
      </c>
      <c r="C143" s="14">
        <v>8.3557142856999995</v>
      </c>
      <c r="D143" s="1">
        <v>8.6999999999999993</v>
      </c>
      <c r="E143" s="1">
        <v>8.85</v>
      </c>
      <c r="F143" s="1">
        <v>9.06</v>
      </c>
      <c r="G143" s="1">
        <v>9.5</v>
      </c>
      <c r="H143" s="1">
        <v>97.25</v>
      </c>
      <c r="I143" s="1">
        <v>184.39</v>
      </c>
      <c r="J143" s="1">
        <v>14.86</v>
      </c>
      <c r="K143" s="1">
        <v>183.35999999999999</v>
      </c>
      <c r="L143" s="1">
        <v>221.35</v>
      </c>
      <c r="O143" s="5">
        <v>28641</v>
      </c>
      <c r="P143" s="1">
        <v>6.6029039772000004</v>
      </c>
      <c r="Q143" s="8">
        <f t="shared" si="3"/>
        <v>1.9739928190353861E-2</v>
      </c>
      <c r="R143" s="1">
        <f t="shared" si="4"/>
        <v>0.14756344465567928</v>
      </c>
      <c r="S143" s="1">
        <f t="shared" si="5"/>
        <v>14.756344465567928</v>
      </c>
    </row>
    <row r="144" spans="1:19" x14ac:dyDescent="0.2">
      <c r="A144" s="5">
        <v>29402</v>
      </c>
      <c r="B144" s="14">
        <v>6.9545775942999999</v>
      </c>
      <c r="C144" s="14">
        <v>8.4722727272</v>
      </c>
      <c r="D144" s="1">
        <v>8.77</v>
      </c>
      <c r="E144" s="1">
        <v>8.9599999999999991</v>
      </c>
      <c r="F144" s="1">
        <v>9.19</v>
      </c>
      <c r="G144" s="1">
        <v>9.61</v>
      </c>
      <c r="H144" s="1">
        <v>95.54</v>
      </c>
      <c r="I144" s="1">
        <v>183.39</v>
      </c>
      <c r="J144" s="1">
        <v>14.86</v>
      </c>
      <c r="K144" s="1">
        <v>186.10999999999999</v>
      </c>
      <c r="L144" s="1">
        <v>203.72</v>
      </c>
      <c r="O144" s="5">
        <v>28671</v>
      </c>
      <c r="P144" s="1">
        <v>6.9445775943000001</v>
      </c>
      <c r="Q144" s="8">
        <f t="shared" si="3"/>
        <v>5.1745961819194664E-2</v>
      </c>
      <c r="R144" s="1">
        <f t="shared" si="4"/>
        <v>0.38682067631800959</v>
      </c>
      <c r="S144" s="1">
        <f t="shared" si="5"/>
        <v>38.682067631800962</v>
      </c>
    </row>
    <row r="145" spans="1:19" x14ac:dyDescent="0.2">
      <c r="A145" s="5">
        <v>29433</v>
      </c>
      <c r="B145" s="14">
        <v>7.2415683762</v>
      </c>
      <c r="C145" s="14">
        <v>8.65</v>
      </c>
      <c r="D145" s="1">
        <v>8.89</v>
      </c>
      <c r="E145" s="1">
        <v>9.08</v>
      </c>
      <c r="F145" s="1">
        <v>9.34</v>
      </c>
      <c r="G145" s="1">
        <v>9.61</v>
      </c>
      <c r="H145" s="1">
        <v>100.69000000000001</v>
      </c>
      <c r="I145" s="1">
        <v>200.64</v>
      </c>
      <c r="J145" s="1">
        <v>14.86</v>
      </c>
      <c r="K145" s="1">
        <v>193.10999999999999</v>
      </c>
      <c r="L145" s="1">
        <v>189.14999999999998</v>
      </c>
      <c r="O145" s="5">
        <v>28702</v>
      </c>
      <c r="P145" s="1">
        <v>7.2315683762000003</v>
      </c>
      <c r="Q145" s="8">
        <f t="shared" si="3"/>
        <v>4.1325880228562539E-2</v>
      </c>
      <c r="R145" s="1">
        <f t="shared" si="4"/>
        <v>0.30892661721711162</v>
      </c>
      <c r="S145" s="1">
        <f t="shared" si="5"/>
        <v>30.892661721711161</v>
      </c>
    </row>
    <row r="146" spans="1:19" x14ac:dyDescent="0.2">
      <c r="A146" s="5">
        <v>29464</v>
      </c>
      <c r="B146" s="14">
        <v>7.3155819861999998</v>
      </c>
      <c r="C146" s="14">
        <v>8.4208695652000003</v>
      </c>
      <c r="D146" s="1">
        <v>8.6999999999999993</v>
      </c>
      <c r="E146" s="1">
        <v>8.9700000000000006</v>
      </c>
      <c r="F146" s="1">
        <v>9.19</v>
      </c>
      <c r="G146" s="1">
        <v>9.49</v>
      </c>
      <c r="H146" s="1">
        <v>103.30000000000001</v>
      </c>
      <c r="I146" s="1">
        <v>208.14</v>
      </c>
      <c r="J146" s="1">
        <v>14.86</v>
      </c>
      <c r="K146" s="1">
        <v>194.31</v>
      </c>
      <c r="L146" s="1">
        <v>190.51999999999998</v>
      </c>
      <c r="O146" s="5">
        <v>28733</v>
      </c>
      <c r="P146" s="1">
        <v>7.3055819862</v>
      </c>
      <c r="Q146" s="8">
        <f t="shared" si="3"/>
        <v>1.0234793636687112E-2</v>
      </c>
      <c r="R146" s="1">
        <f t="shared" si="4"/>
        <v>7.6508961421024466E-2</v>
      </c>
      <c r="S146" s="1">
        <f t="shared" si="5"/>
        <v>7.6508961421024466</v>
      </c>
    </row>
    <row r="147" spans="1:19" x14ac:dyDescent="0.2">
      <c r="A147" s="5">
        <v>29494</v>
      </c>
      <c r="B147" s="14">
        <v>8.1231583356999995</v>
      </c>
      <c r="C147" s="14">
        <v>8.426499999999999</v>
      </c>
      <c r="D147" s="1">
        <v>8.6999999999999993</v>
      </c>
      <c r="E147" s="1">
        <v>8.93</v>
      </c>
      <c r="F147" s="1">
        <v>9.1199999999999992</v>
      </c>
      <c r="G147" s="1">
        <v>9.43</v>
      </c>
      <c r="H147" s="1">
        <v>102.55000000000001</v>
      </c>
      <c r="I147" s="1">
        <v>217.39</v>
      </c>
      <c r="J147" s="1">
        <v>14.86</v>
      </c>
      <c r="K147" s="1">
        <v>197.51</v>
      </c>
      <c r="L147" s="1">
        <v>189.2</v>
      </c>
      <c r="O147" s="5">
        <v>28763</v>
      </c>
      <c r="P147" s="1">
        <v>8.1131583356999997</v>
      </c>
      <c r="Q147" s="8">
        <f t="shared" ref="Q147:Q210" si="6">+P147/P146-1</f>
        <v>0.11054237034441394</v>
      </c>
      <c r="R147" s="1">
        <f t="shared" ref="R147:R210" si="7">+Q147*$P$267</f>
        <v>0.82634611388285473</v>
      </c>
      <c r="S147" s="1">
        <f t="shared" ref="S147:S210" si="8">+R147*100</f>
        <v>82.634611388285478</v>
      </c>
    </row>
    <row r="148" spans="1:19" x14ac:dyDescent="0.2">
      <c r="A148" s="5">
        <v>29525</v>
      </c>
      <c r="B148" s="14">
        <v>8.2773195387000005</v>
      </c>
      <c r="C148" s="14">
        <v>8.6523809523999997</v>
      </c>
      <c r="D148" s="1">
        <v>8.9</v>
      </c>
      <c r="E148" s="1">
        <v>9.08</v>
      </c>
      <c r="F148" s="1">
        <v>9.27</v>
      </c>
      <c r="G148" s="1">
        <v>9.6</v>
      </c>
      <c r="H148" s="1">
        <v>93.160000000000011</v>
      </c>
      <c r="I148" s="1">
        <v>241.14</v>
      </c>
      <c r="J148" s="1">
        <v>14.86</v>
      </c>
      <c r="K148" s="1">
        <v>202.91</v>
      </c>
      <c r="L148" s="1">
        <v>179.51</v>
      </c>
      <c r="O148" s="5">
        <v>28794</v>
      </c>
      <c r="P148" s="1">
        <v>8.2673195387000007</v>
      </c>
      <c r="Q148" s="8">
        <f t="shared" si="6"/>
        <v>1.9001379810579033E-2</v>
      </c>
      <c r="R148" s="1">
        <f t="shared" si="7"/>
        <v>0.14204251560702649</v>
      </c>
      <c r="S148" s="1">
        <f t="shared" si="8"/>
        <v>14.20425156070265</v>
      </c>
    </row>
    <row r="149" spans="1:19" x14ac:dyDescent="0.2">
      <c r="A149" s="5">
        <v>29555</v>
      </c>
      <c r="B149" s="14">
        <v>8.9674350981999993</v>
      </c>
      <c r="C149" s="14">
        <v>8.8149999999999995</v>
      </c>
      <c r="D149" s="1">
        <v>9.0399999999999991</v>
      </c>
      <c r="E149" s="1">
        <v>9.25</v>
      </c>
      <c r="F149" s="1">
        <v>9.49</v>
      </c>
      <c r="G149" s="1">
        <v>9.84</v>
      </c>
      <c r="H149" s="1">
        <v>94.710000000000008</v>
      </c>
      <c r="I149" s="1">
        <v>193.39</v>
      </c>
      <c r="J149" s="1">
        <v>14.86</v>
      </c>
      <c r="K149" s="1">
        <v>194.41</v>
      </c>
      <c r="L149" s="1">
        <v>199.10999999999999</v>
      </c>
      <c r="O149" s="5">
        <v>28824</v>
      </c>
      <c r="P149" s="1">
        <v>8.9574350981999995</v>
      </c>
      <c r="Q149" s="8">
        <f t="shared" si="6"/>
        <v>8.347512833748727E-2</v>
      </c>
      <c r="R149" s="1">
        <f t="shared" si="7"/>
        <v>0.62400822139635725</v>
      </c>
      <c r="S149" s="1">
        <f t="shared" si="8"/>
        <v>62.400822139635729</v>
      </c>
    </row>
    <row r="150" spans="1:19" x14ac:dyDescent="0.2">
      <c r="A150" s="5">
        <v>29586</v>
      </c>
      <c r="B150" s="14">
        <v>9.4263179566000002</v>
      </c>
      <c r="C150" s="14">
        <v>9.0165000000000006</v>
      </c>
      <c r="D150" s="1">
        <v>9.17</v>
      </c>
      <c r="E150" s="1">
        <v>9.34</v>
      </c>
      <c r="F150" s="1">
        <v>9.5399999999999991</v>
      </c>
      <c r="G150" s="1">
        <v>9.9499999999999993</v>
      </c>
      <c r="H150" s="1">
        <v>96.12</v>
      </c>
      <c r="I150" s="1">
        <v>226.39</v>
      </c>
      <c r="J150" s="1">
        <v>14.86</v>
      </c>
      <c r="K150" s="1">
        <v>204.16</v>
      </c>
      <c r="L150" s="1">
        <v>194.31</v>
      </c>
      <c r="O150" s="5">
        <v>28855</v>
      </c>
      <c r="P150" s="1">
        <v>9.4163179566000004</v>
      </c>
      <c r="Q150" s="8">
        <f t="shared" si="6"/>
        <v>5.1229269692639301E-2</v>
      </c>
      <c r="R150" s="1">
        <f t="shared" si="7"/>
        <v>0.38295820684569232</v>
      </c>
      <c r="S150" s="1">
        <f t="shared" si="8"/>
        <v>38.295820684569229</v>
      </c>
    </row>
    <row r="151" spans="1:19" x14ac:dyDescent="0.2">
      <c r="A151" s="5">
        <v>29617</v>
      </c>
      <c r="B151" s="14">
        <v>9.7162829975000005</v>
      </c>
      <c r="C151" s="14">
        <v>9.1095454545999992</v>
      </c>
      <c r="D151" s="1">
        <v>9.26</v>
      </c>
      <c r="E151" s="1">
        <v>9.49</v>
      </c>
      <c r="F151" s="1">
        <v>9.73</v>
      </c>
      <c r="G151" s="1">
        <v>10.14</v>
      </c>
      <c r="H151" s="1">
        <v>99.940000000000012</v>
      </c>
      <c r="I151" s="1">
        <v>233.89</v>
      </c>
      <c r="J151" s="1">
        <v>14.86</v>
      </c>
      <c r="K151" s="1">
        <v>198.97</v>
      </c>
      <c r="L151" s="1">
        <v>202.20999999999998</v>
      </c>
      <c r="O151" s="5">
        <v>28886</v>
      </c>
      <c r="P151" s="1">
        <v>9.7062829975000007</v>
      </c>
      <c r="Q151" s="8">
        <f t="shared" si="6"/>
        <v>3.0793888039513329E-2</v>
      </c>
      <c r="R151" s="1">
        <f t="shared" si="7"/>
        <v>0.23019598397892913</v>
      </c>
      <c r="S151" s="1">
        <f t="shared" si="8"/>
        <v>23.019598397892914</v>
      </c>
    </row>
    <row r="152" spans="1:19" x14ac:dyDescent="0.2">
      <c r="A152" s="5">
        <v>29645</v>
      </c>
      <c r="B152" s="14">
        <v>9.6890257220000002</v>
      </c>
      <c r="C152" s="14">
        <v>9.1083333332999992</v>
      </c>
      <c r="D152" s="1">
        <v>9.27</v>
      </c>
      <c r="E152" s="1">
        <v>9.51</v>
      </c>
      <c r="F152" s="1">
        <v>9.69</v>
      </c>
      <c r="G152" s="1">
        <v>10.09</v>
      </c>
      <c r="H152" s="1">
        <v>96.29</v>
      </c>
      <c r="I152" s="1">
        <v>251.64</v>
      </c>
      <c r="J152" s="1">
        <v>15.86</v>
      </c>
      <c r="K152" s="1">
        <v>202.35</v>
      </c>
      <c r="L152" s="1">
        <v>202.66</v>
      </c>
      <c r="O152" s="5">
        <v>28914</v>
      </c>
      <c r="P152" s="1">
        <v>9.6790257220000004</v>
      </c>
      <c r="Q152" s="8">
        <f t="shared" si="6"/>
        <v>-2.8082094357871901E-3</v>
      </c>
      <c r="R152" s="1">
        <f t="shared" si="7"/>
        <v>-2.0992429843885409E-2</v>
      </c>
      <c r="S152" s="1">
        <f t="shared" si="8"/>
        <v>-2.0992429843885407</v>
      </c>
    </row>
    <row r="153" spans="1:19" x14ac:dyDescent="0.2">
      <c r="A153" s="5">
        <v>29676</v>
      </c>
      <c r="B153" s="14">
        <v>9.8530677457000007</v>
      </c>
      <c r="C153" s="14">
        <v>9.1272727271999994</v>
      </c>
      <c r="D153" s="1">
        <v>9.379999999999999</v>
      </c>
      <c r="E153" s="1">
        <v>9.6199999999999992</v>
      </c>
      <c r="F153" s="1">
        <v>9.82</v>
      </c>
      <c r="G153" s="1">
        <v>10.27</v>
      </c>
      <c r="H153" s="1">
        <v>101.51</v>
      </c>
      <c r="I153" s="1">
        <v>238.64</v>
      </c>
      <c r="J153" s="1">
        <v>15.86</v>
      </c>
      <c r="K153" s="1">
        <v>206.26</v>
      </c>
      <c r="L153" s="1">
        <v>209.59</v>
      </c>
      <c r="O153" s="5">
        <v>28945</v>
      </c>
      <c r="P153" s="1">
        <v>9.8430677457000009</v>
      </c>
      <c r="Q153" s="8">
        <f t="shared" si="6"/>
        <v>1.6948195863054627E-2</v>
      </c>
      <c r="R153" s="1">
        <f t="shared" si="7"/>
        <v>0.12669418744256544</v>
      </c>
      <c r="S153" s="1">
        <f t="shared" si="8"/>
        <v>12.669418744256545</v>
      </c>
    </row>
    <row r="154" spans="1:19" x14ac:dyDescent="0.2">
      <c r="A154" s="5">
        <v>29706</v>
      </c>
      <c r="B154" s="14">
        <v>9.8343717226000003</v>
      </c>
      <c r="C154" s="14">
        <v>9.1920000000000002</v>
      </c>
      <c r="D154" s="1">
        <v>9.39</v>
      </c>
      <c r="E154" s="1">
        <v>9.66</v>
      </c>
      <c r="F154" s="1">
        <v>9.89</v>
      </c>
      <c r="G154" s="1">
        <v>10.34</v>
      </c>
      <c r="H154" s="1">
        <v>101.76</v>
      </c>
      <c r="I154" s="1">
        <v>246.39</v>
      </c>
      <c r="J154" s="1">
        <v>15.86</v>
      </c>
      <c r="K154" s="1">
        <v>206.81</v>
      </c>
      <c r="L154" s="1">
        <v>221.81</v>
      </c>
      <c r="O154" s="5">
        <v>28975</v>
      </c>
      <c r="P154" s="1">
        <v>9.8243717226000005</v>
      </c>
      <c r="Q154" s="8">
        <f t="shared" si="6"/>
        <v>-1.8994101821728782E-3</v>
      </c>
      <c r="R154" s="1">
        <f t="shared" si="7"/>
        <v>-1.4198810988201308E-2</v>
      </c>
      <c r="S154" s="1">
        <f t="shared" si="8"/>
        <v>-1.4198810988201309</v>
      </c>
    </row>
    <row r="155" spans="1:19" x14ac:dyDescent="0.2">
      <c r="A155" s="5">
        <v>29737</v>
      </c>
      <c r="B155" s="14">
        <v>9.9948554570999999</v>
      </c>
      <c r="C155" s="14">
        <v>9.2623809523999991</v>
      </c>
      <c r="D155" s="1">
        <v>9.51</v>
      </c>
      <c r="E155" s="1">
        <v>9.8699999999999992</v>
      </c>
      <c r="F155" s="1">
        <v>10.01</v>
      </c>
      <c r="G155" s="1">
        <v>10.48</v>
      </c>
      <c r="H155" s="1">
        <v>99.09</v>
      </c>
      <c r="I155" s="1">
        <v>275.64</v>
      </c>
      <c r="J155" s="1">
        <v>18.110000000000003</v>
      </c>
      <c r="K155" s="1">
        <v>207.01</v>
      </c>
      <c r="L155" s="1">
        <v>220.35999999999999</v>
      </c>
      <c r="O155" s="5">
        <v>29006</v>
      </c>
      <c r="P155" s="1">
        <v>9.9848554571000001</v>
      </c>
      <c r="Q155" s="8">
        <f t="shared" si="6"/>
        <v>1.6335266929163872E-2</v>
      </c>
      <c r="R155" s="1">
        <f t="shared" si="7"/>
        <v>0.1221123113616661</v>
      </c>
      <c r="S155" s="1">
        <f t="shared" si="8"/>
        <v>12.21123113616661</v>
      </c>
    </row>
    <row r="156" spans="1:19" x14ac:dyDescent="0.2">
      <c r="A156" s="5">
        <v>29767</v>
      </c>
      <c r="B156" s="14">
        <v>9.4038118805999993</v>
      </c>
      <c r="C156" s="14">
        <v>8.9238095238999993</v>
      </c>
      <c r="D156" s="1">
        <v>9.2999999999999989</v>
      </c>
      <c r="E156" s="1">
        <v>9.67</v>
      </c>
      <c r="F156" s="1">
        <v>9.9</v>
      </c>
      <c r="G156" s="1">
        <v>10.39</v>
      </c>
      <c r="H156" s="1">
        <v>102.92</v>
      </c>
      <c r="I156" s="1">
        <v>279.89</v>
      </c>
      <c r="J156" s="1">
        <v>19.110000000000003</v>
      </c>
      <c r="K156" s="1">
        <v>218.10999999999999</v>
      </c>
      <c r="L156" s="1">
        <v>217.81</v>
      </c>
      <c r="O156" s="5">
        <v>29036</v>
      </c>
      <c r="P156" s="1">
        <v>9.3938118805999995</v>
      </c>
      <c r="Q156" s="8">
        <f t="shared" si="6"/>
        <v>-5.9194004263699473E-2</v>
      </c>
      <c r="R156" s="1">
        <f t="shared" si="7"/>
        <v>-0.4424976163987695</v>
      </c>
      <c r="S156" s="1">
        <f t="shared" si="8"/>
        <v>-44.249761639876951</v>
      </c>
    </row>
    <row r="157" spans="1:19" x14ac:dyDescent="0.2">
      <c r="A157" s="5">
        <v>29798</v>
      </c>
      <c r="B157" s="14">
        <v>9.5993909033999998</v>
      </c>
      <c r="C157" s="14">
        <v>8.9599999999999991</v>
      </c>
      <c r="D157" s="1">
        <v>9.2099999999999991</v>
      </c>
      <c r="E157" s="1">
        <v>9.5</v>
      </c>
      <c r="F157" s="1">
        <v>9.76</v>
      </c>
      <c r="G157" s="1">
        <v>10.299999999999999</v>
      </c>
      <c r="H157" s="1">
        <v>103.82000000000001</v>
      </c>
      <c r="I157" s="1">
        <v>298.89</v>
      </c>
      <c r="J157" s="1">
        <v>21.76</v>
      </c>
      <c r="K157" s="1">
        <v>224.76</v>
      </c>
      <c r="L157" s="1">
        <v>216.70999999999998</v>
      </c>
      <c r="O157" s="5">
        <v>29067</v>
      </c>
      <c r="P157" s="1">
        <v>9.5893909034</v>
      </c>
      <c r="Q157" s="8">
        <f t="shared" si="6"/>
        <v>2.0819985037587196E-2</v>
      </c>
      <c r="R157" s="1">
        <f t="shared" si="7"/>
        <v>0.15563727893029355</v>
      </c>
      <c r="S157" s="1">
        <f t="shared" si="8"/>
        <v>15.563727893029355</v>
      </c>
    </row>
    <row r="158" spans="1:19" x14ac:dyDescent="0.2">
      <c r="A158" s="5">
        <v>29829</v>
      </c>
      <c r="B158" s="14">
        <v>9.8980740313000002</v>
      </c>
      <c r="C158" s="14">
        <v>9.0395652173999999</v>
      </c>
      <c r="D158" s="1">
        <v>9.24</v>
      </c>
      <c r="E158" s="1">
        <v>9.5399999999999991</v>
      </c>
      <c r="F158" s="1">
        <v>9.86</v>
      </c>
      <c r="G158" s="1">
        <v>10.36</v>
      </c>
      <c r="H158" s="1">
        <v>109.33</v>
      </c>
      <c r="I158" s="1">
        <v>316.39</v>
      </c>
      <c r="J158" s="1">
        <v>26.51</v>
      </c>
      <c r="K158" s="1">
        <v>225.28</v>
      </c>
      <c r="L158" s="1">
        <v>220.41</v>
      </c>
      <c r="O158" s="5">
        <v>29098</v>
      </c>
      <c r="P158" s="1">
        <v>9.8880740313000004</v>
      </c>
      <c r="Q158" s="8">
        <f t="shared" si="6"/>
        <v>3.1147247088874064E-2</v>
      </c>
      <c r="R158" s="1">
        <f t="shared" si="7"/>
        <v>0.23283747679598032</v>
      </c>
      <c r="S158" s="1">
        <f t="shared" si="8"/>
        <v>23.283747679598033</v>
      </c>
    </row>
    <row r="159" spans="1:19" x14ac:dyDescent="0.2">
      <c r="A159" s="5">
        <v>29859</v>
      </c>
      <c r="B159" s="14">
        <v>10.690356833899999</v>
      </c>
      <c r="C159" s="14">
        <v>9.3447368420999997</v>
      </c>
      <c r="D159" s="1">
        <v>9.4499999999999993</v>
      </c>
      <c r="E159" s="1">
        <v>9.7099999999999991</v>
      </c>
      <c r="F159" s="1">
        <v>10.039999999999999</v>
      </c>
      <c r="G159" s="1">
        <v>10.549999999999999</v>
      </c>
      <c r="H159" s="1">
        <v>109.33</v>
      </c>
      <c r="I159" s="1">
        <v>398.01</v>
      </c>
      <c r="J159" s="1">
        <v>28.51</v>
      </c>
      <c r="K159" s="1">
        <v>220.31</v>
      </c>
      <c r="L159" s="1">
        <v>224.51</v>
      </c>
      <c r="O159" s="5">
        <v>29128</v>
      </c>
      <c r="P159" s="1">
        <v>10.680356833899999</v>
      </c>
      <c r="Q159" s="8">
        <f t="shared" si="6"/>
        <v>8.0125088069940009E-2</v>
      </c>
      <c r="R159" s="1">
        <f t="shared" si="7"/>
        <v>0.5989654007311801</v>
      </c>
      <c r="S159" s="1">
        <f t="shared" si="8"/>
        <v>59.896540073118011</v>
      </c>
    </row>
    <row r="160" spans="1:19" x14ac:dyDescent="0.2">
      <c r="A160" s="5">
        <v>29890</v>
      </c>
      <c r="B160" s="14">
        <v>12.233181479100001</v>
      </c>
      <c r="C160" s="14">
        <v>10.3090909092</v>
      </c>
      <c r="D160" s="1">
        <v>10.14</v>
      </c>
      <c r="E160" s="1">
        <v>10.47</v>
      </c>
      <c r="F160" s="1">
        <v>10.84</v>
      </c>
      <c r="G160" s="1">
        <v>11.41</v>
      </c>
      <c r="H160" s="1">
        <v>101.83</v>
      </c>
      <c r="I160" s="1">
        <v>382.51</v>
      </c>
      <c r="J160" s="1">
        <v>29.01</v>
      </c>
      <c r="K160" s="1">
        <v>207.45999999999998</v>
      </c>
      <c r="L160" s="1">
        <v>237.85999999999999</v>
      </c>
      <c r="O160" s="5">
        <v>29159</v>
      </c>
      <c r="P160" s="1">
        <v>12.223181479100001</v>
      </c>
      <c r="Q160" s="8">
        <f t="shared" si="6"/>
        <v>0.14445441001587112</v>
      </c>
      <c r="R160" s="1">
        <f t="shared" si="7"/>
        <v>1.0798514630900327</v>
      </c>
      <c r="S160" s="1">
        <f t="shared" si="8"/>
        <v>107.98514630900327</v>
      </c>
    </row>
    <row r="161" spans="1:19" x14ac:dyDescent="0.2">
      <c r="A161" s="5">
        <v>29920</v>
      </c>
      <c r="B161" s="14">
        <v>12.330069869299999</v>
      </c>
      <c r="C161" s="14">
        <v>10.663157894699999</v>
      </c>
      <c r="D161" s="1">
        <v>10.77</v>
      </c>
      <c r="E161" s="1">
        <v>11.23</v>
      </c>
      <c r="F161" s="1">
        <v>11.51</v>
      </c>
      <c r="G161" s="1">
        <v>12</v>
      </c>
      <c r="H161" s="1">
        <v>106.17</v>
      </c>
      <c r="I161" s="1">
        <v>415.76</v>
      </c>
      <c r="J161" s="1">
        <v>31.01</v>
      </c>
      <c r="K161" s="1">
        <v>219.91</v>
      </c>
      <c r="L161" s="1">
        <v>249.56</v>
      </c>
      <c r="O161" s="5">
        <v>29189</v>
      </c>
      <c r="P161" s="1">
        <v>12.320069869299999</v>
      </c>
      <c r="Q161" s="8">
        <f t="shared" si="6"/>
        <v>7.9266098082291236E-3</v>
      </c>
      <c r="R161" s="1">
        <f t="shared" si="7"/>
        <v>5.9254412501630022E-2</v>
      </c>
      <c r="S161" s="1">
        <f t="shared" si="8"/>
        <v>5.9254412501630025</v>
      </c>
    </row>
    <row r="162" spans="1:19" x14ac:dyDescent="0.2">
      <c r="A162" s="5">
        <v>29951</v>
      </c>
      <c r="B162" s="14">
        <v>12.5913799719</v>
      </c>
      <c r="C162" s="14">
        <v>10.395999999999999</v>
      </c>
      <c r="D162" s="1">
        <v>10.75</v>
      </c>
      <c r="E162" s="1">
        <v>11.16</v>
      </c>
      <c r="F162" s="1">
        <v>11.47</v>
      </c>
      <c r="G162" s="1">
        <v>12.07</v>
      </c>
      <c r="H162" s="1">
        <v>107.95</v>
      </c>
      <c r="I162" s="1">
        <v>526.51</v>
      </c>
      <c r="J162" s="1">
        <v>32.51</v>
      </c>
      <c r="K162" s="1">
        <v>221.85999999999999</v>
      </c>
      <c r="L162" s="1">
        <v>240.31</v>
      </c>
      <c r="O162" s="5">
        <v>29220</v>
      </c>
      <c r="P162" s="1">
        <v>12.581379971900001</v>
      </c>
      <c r="Q162" s="8">
        <f t="shared" si="6"/>
        <v>2.1210115313643696E-2</v>
      </c>
      <c r="R162" s="1">
        <f t="shared" si="7"/>
        <v>0.15855365060319052</v>
      </c>
      <c r="S162" s="1">
        <f t="shared" si="8"/>
        <v>15.855365060319052</v>
      </c>
    </row>
    <row r="163" spans="1:19" x14ac:dyDescent="0.2">
      <c r="A163" s="5">
        <v>29982</v>
      </c>
      <c r="B163" s="14">
        <v>12.551113054</v>
      </c>
      <c r="C163" s="14">
        <v>10.8122727272</v>
      </c>
      <c r="D163" s="1">
        <v>11.1</v>
      </c>
      <c r="E163" s="1">
        <v>11.57</v>
      </c>
      <c r="F163" s="1">
        <v>11.89</v>
      </c>
      <c r="G163" s="1">
        <v>12.43</v>
      </c>
      <c r="H163" s="1">
        <v>114.17</v>
      </c>
      <c r="I163" s="1">
        <v>650.01</v>
      </c>
      <c r="J163" s="1">
        <v>32.51</v>
      </c>
      <c r="K163" s="1">
        <v>226.67999999999998</v>
      </c>
      <c r="L163" s="1">
        <v>239.34</v>
      </c>
      <c r="O163" s="5">
        <v>29251</v>
      </c>
      <c r="P163" s="1">
        <v>12.541113054</v>
      </c>
      <c r="Q163" s="8">
        <f t="shared" si="6"/>
        <v>-3.2005167946548285E-3</v>
      </c>
      <c r="R163" s="1">
        <f t="shared" si="7"/>
        <v>-2.3925076035910018E-2</v>
      </c>
      <c r="S163" s="1">
        <f t="shared" si="8"/>
        <v>-2.3925076035910018</v>
      </c>
    </row>
    <row r="164" spans="1:19" x14ac:dyDescent="0.2">
      <c r="A164" s="5">
        <v>30010</v>
      </c>
      <c r="B164" s="14">
        <v>13.479290862599999</v>
      </c>
      <c r="C164" s="14">
        <v>12.4247368422</v>
      </c>
      <c r="D164" s="1">
        <v>12.39</v>
      </c>
      <c r="E164" s="1">
        <v>12.74</v>
      </c>
      <c r="F164" s="1">
        <v>13</v>
      </c>
      <c r="G164" s="1">
        <v>13.58</v>
      </c>
      <c r="H164" s="1">
        <v>113.67</v>
      </c>
      <c r="I164" s="1">
        <v>640.51</v>
      </c>
      <c r="J164" s="1">
        <v>37.01</v>
      </c>
      <c r="K164" s="1">
        <v>227.31</v>
      </c>
      <c r="L164" s="1">
        <v>251.66</v>
      </c>
      <c r="O164" s="5">
        <v>29279</v>
      </c>
      <c r="P164" s="1">
        <v>13.469290862599999</v>
      </c>
      <c r="Q164" s="8">
        <f t="shared" si="6"/>
        <v>7.4010799887012979E-2</v>
      </c>
      <c r="R164" s="1">
        <f t="shared" si="7"/>
        <v>0.55325877924857925</v>
      </c>
      <c r="S164" s="1">
        <f t="shared" si="8"/>
        <v>55.325877924857927</v>
      </c>
    </row>
    <row r="165" spans="1:19" x14ac:dyDescent="0.2">
      <c r="A165" s="5">
        <v>30041</v>
      </c>
      <c r="B165" s="14">
        <v>16.031581274100002</v>
      </c>
      <c r="C165" s="14">
        <v>12.7590476191</v>
      </c>
      <c r="D165" s="1">
        <v>12.97</v>
      </c>
      <c r="E165" s="1">
        <v>13.52</v>
      </c>
      <c r="F165" s="1">
        <v>13.98</v>
      </c>
      <c r="G165" s="1">
        <v>14.459999999999999</v>
      </c>
      <c r="H165" s="1">
        <v>102.10000000000001</v>
      </c>
      <c r="I165" s="1">
        <v>504.01</v>
      </c>
      <c r="J165" s="1">
        <v>38.01</v>
      </c>
      <c r="K165" s="1">
        <v>216.01</v>
      </c>
      <c r="L165" s="1">
        <v>249.95999999999998</v>
      </c>
      <c r="O165" s="5">
        <v>29311</v>
      </c>
      <c r="P165" s="1">
        <v>16.021581274100001</v>
      </c>
      <c r="Q165" s="8">
        <f t="shared" si="6"/>
        <v>0.18948959062031334</v>
      </c>
      <c r="R165" s="1">
        <f t="shared" si="7"/>
        <v>1.4165065064416873</v>
      </c>
      <c r="S165" s="1">
        <f t="shared" si="8"/>
        <v>141.65065064416873</v>
      </c>
    </row>
    <row r="166" spans="1:19" x14ac:dyDescent="0.2">
      <c r="A166" s="5">
        <v>30071</v>
      </c>
      <c r="B166" s="14">
        <v>13.8591613572</v>
      </c>
      <c r="C166" s="14">
        <v>11.483333333499999</v>
      </c>
      <c r="D166" s="1">
        <v>12.049999999999999</v>
      </c>
      <c r="E166" s="1">
        <v>13.07</v>
      </c>
      <c r="F166" s="1">
        <v>13.56</v>
      </c>
      <c r="G166" s="1">
        <v>14.2</v>
      </c>
      <c r="H166" s="1">
        <v>106.30000000000001</v>
      </c>
      <c r="I166" s="1">
        <v>514.51</v>
      </c>
      <c r="J166" s="1">
        <v>39.51</v>
      </c>
      <c r="K166" s="1">
        <v>225.85999999999999</v>
      </c>
      <c r="L166" s="1">
        <v>239.35999999999999</v>
      </c>
      <c r="O166" s="5">
        <v>29341</v>
      </c>
      <c r="P166" s="1">
        <v>13.8491613572</v>
      </c>
      <c r="Q166" s="8">
        <f t="shared" si="6"/>
        <v>-0.13559335247463178</v>
      </c>
      <c r="R166" s="1">
        <f t="shared" si="7"/>
        <v>-1.0136116996284605</v>
      </c>
      <c r="S166" s="1">
        <f t="shared" si="8"/>
        <v>-101.36116996284605</v>
      </c>
    </row>
    <row r="167" spans="1:19" x14ac:dyDescent="0.2">
      <c r="A167" s="5">
        <v>30102</v>
      </c>
      <c r="B167" s="14">
        <v>8.8984550051000006</v>
      </c>
      <c r="C167" s="14">
        <v>10.191428571499999</v>
      </c>
      <c r="D167" s="1">
        <v>11</v>
      </c>
      <c r="E167" s="1">
        <v>11.92</v>
      </c>
      <c r="F167" s="1">
        <v>12.36</v>
      </c>
      <c r="G167" s="1">
        <v>13.18</v>
      </c>
      <c r="H167" s="1">
        <v>111.25</v>
      </c>
      <c r="I167" s="1">
        <v>535.51</v>
      </c>
      <c r="J167" s="1">
        <v>39.51</v>
      </c>
      <c r="K167" s="1">
        <v>234.26</v>
      </c>
      <c r="L167" s="1">
        <v>223.01</v>
      </c>
      <c r="O167" s="5">
        <v>29372</v>
      </c>
      <c r="P167" s="1">
        <v>8.8884550051000009</v>
      </c>
      <c r="Q167" s="8">
        <f t="shared" si="6"/>
        <v>-0.35819543322173741</v>
      </c>
      <c r="R167" s="1">
        <f t="shared" si="7"/>
        <v>-2.6776466194016781</v>
      </c>
      <c r="S167" s="1">
        <f t="shared" si="8"/>
        <v>-267.7646619401678</v>
      </c>
    </row>
    <row r="168" spans="1:19" x14ac:dyDescent="0.2">
      <c r="A168" s="5">
        <v>30132</v>
      </c>
      <c r="B168" s="14">
        <v>7.3124126549000001</v>
      </c>
      <c r="C168" s="14">
        <v>9.7880952382000004</v>
      </c>
      <c r="D168" s="1">
        <v>10.59</v>
      </c>
      <c r="E168" s="1">
        <v>11.4</v>
      </c>
      <c r="F168" s="1">
        <v>11.9</v>
      </c>
      <c r="G168" s="1">
        <v>12.72</v>
      </c>
      <c r="H168" s="1">
        <v>114.25</v>
      </c>
      <c r="I168" s="1">
        <v>651.51</v>
      </c>
      <c r="J168" s="1">
        <v>39.51</v>
      </c>
      <c r="K168" s="1">
        <v>235.56</v>
      </c>
      <c r="L168" s="1">
        <v>219.91</v>
      </c>
      <c r="O168" s="5">
        <v>29402</v>
      </c>
      <c r="P168" s="1">
        <v>7.3024126549000004</v>
      </c>
      <c r="Q168" s="8">
        <f t="shared" si="6"/>
        <v>-0.17843847432314885</v>
      </c>
      <c r="R168" s="1">
        <f t="shared" si="7"/>
        <v>-1.3338952237473063</v>
      </c>
      <c r="S168" s="1">
        <f t="shared" si="8"/>
        <v>-133.38952237473063</v>
      </c>
    </row>
    <row r="169" spans="1:19" x14ac:dyDescent="0.2">
      <c r="A169" s="5">
        <v>30163</v>
      </c>
      <c r="B169" s="14">
        <v>8.3462641389000005</v>
      </c>
      <c r="C169" s="14">
        <v>10.2577272727</v>
      </c>
      <c r="D169" s="1">
        <v>11.08</v>
      </c>
      <c r="E169" s="1">
        <v>11.44</v>
      </c>
      <c r="F169" s="1">
        <v>11.959999999999999</v>
      </c>
      <c r="G169" s="1">
        <v>12.66</v>
      </c>
      <c r="H169" s="1">
        <v>121.68</v>
      </c>
      <c r="I169" s="1">
        <v>617.20000000000005</v>
      </c>
      <c r="J169" s="1">
        <v>39.51</v>
      </c>
      <c r="K169" s="1">
        <v>234.26</v>
      </c>
      <c r="L169" s="1">
        <v>227.41</v>
      </c>
      <c r="O169" s="5">
        <v>29433</v>
      </c>
      <c r="P169" s="1">
        <v>8.3362641389000007</v>
      </c>
      <c r="Q169" s="8">
        <f t="shared" si="6"/>
        <v>0.14157669976460108</v>
      </c>
      <c r="R169" s="1">
        <f t="shared" si="7"/>
        <v>1.0583394883096038</v>
      </c>
      <c r="S169" s="1">
        <f t="shared" si="8"/>
        <v>105.83394883096038</v>
      </c>
    </row>
    <row r="170" spans="1:19" x14ac:dyDescent="0.2">
      <c r="A170" s="5">
        <v>30194</v>
      </c>
      <c r="B170" s="14">
        <v>9.4840481074999996</v>
      </c>
      <c r="C170" s="14">
        <v>11.111904762</v>
      </c>
      <c r="D170" s="1">
        <v>11.65</v>
      </c>
      <c r="E170" s="1">
        <v>12.1</v>
      </c>
      <c r="F170" s="1">
        <v>12.45</v>
      </c>
      <c r="G170" s="1">
        <v>13.16</v>
      </c>
      <c r="H170" s="1">
        <v>122.39</v>
      </c>
      <c r="I170" s="1">
        <v>632.51</v>
      </c>
      <c r="J170" s="1">
        <v>38.01</v>
      </c>
      <c r="K170" s="1">
        <v>239.60999999999999</v>
      </c>
      <c r="L170" s="1">
        <v>219.10999999999999</v>
      </c>
      <c r="O170" s="5">
        <v>29464</v>
      </c>
      <c r="P170" s="1">
        <v>9.4740481074999998</v>
      </c>
      <c r="Q170" s="8">
        <f t="shared" si="6"/>
        <v>0.13648607453435768</v>
      </c>
      <c r="R170" s="1">
        <f t="shared" si="7"/>
        <v>1.0202851353665723</v>
      </c>
      <c r="S170" s="1">
        <f t="shared" si="8"/>
        <v>102.02851353665723</v>
      </c>
    </row>
    <row r="171" spans="1:19" x14ac:dyDescent="0.2">
      <c r="A171" s="5">
        <v>30224</v>
      </c>
      <c r="B171" s="14">
        <v>10.699063197899999</v>
      </c>
      <c r="C171" s="14">
        <v>11.5185714287</v>
      </c>
      <c r="D171" s="1">
        <v>12.03</v>
      </c>
      <c r="E171" s="1">
        <v>12.53</v>
      </c>
      <c r="F171" s="1">
        <v>12.98</v>
      </c>
      <c r="G171" s="1">
        <v>13.709999999999999</v>
      </c>
      <c r="H171" s="1">
        <v>125.47</v>
      </c>
      <c r="I171" s="1">
        <v>670.51</v>
      </c>
      <c r="J171" s="1">
        <v>36.01</v>
      </c>
      <c r="K171" s="1">
        <v>238.70999999999998</v>
      </c>
      <c r="L171" s="1">
        <v>210.85999999999999</v>
      </c>
      <c r="O171" s="5">
        <v>29494</v>
      </c>
      <c r="P171" s="1">
        <v>10.689063197899999</v>
      </c>
      <c r="Q171" s="8">
        <f t="shared" si="6"/>
        <v>0.12824666674830887</v>
      </c>
      <c r="R171" s="1">
        <f t="shared" si="7"/>
        <v>0.95869243943030646</v>
      </c>
      <c r="S171" s="1">
        <f t="shared" si="8"/>
        <v>95.869243943030654</v>
      </c>
    </row>
    <row r="172" spans="1:19" x14ac:dyDescent="0.2">
      <c r="A172" s="5">
        <v>30255</v>
      </c>
      <c r="B172" s="14">
        <v>12.145175315099999</v>
      </c>
      <c r="C172" s="14">
        <v>11.7613636363</v>
      </c>
      <c r="D172" s="1">
        <v>12.32</v>
      </c>
      <c r="E172" s="1">
        <v>12.69</v>
      </c>
      <c r="F172" s="1">
        <v>13.06</v>
      </c>
      <c r="G172" s="1">
        <v>14.24</v>
      </c>
      <c r="H172" s="1">
        <v>127.48</v>
      </c>
      <c r="I172" s="1">
        <v>629.51</v>
      </c>
      <c r="J172" s="1">
        <v>36.01</v>
      </c>
      <c r="K172" s="1">
        <v>243.66</v>
      </c>
      <c r="L172" s="1">
        <v>211.06</v>
      </c>
      <c r="O172" s="5">
        <v>29525</v>
      </c>
      <c r="P172" s="1">
        <v>12.1351753151</v>
      </c>
      <c r="Q172" s="8">
        <f t="shared" si="6"/>
        <v>0.13528894819184023</v>
      </c>
      <c r="R172" s="1">
        <f t="shared" si="7"/>
        <v>1.0113361622453705</v>
      </c>
      <c r="S172" s="1">
        <f t="shared" si="8"/>
        <v>101.13361622453705</v>
      </c>
    </row>
    <row r="173" spans="1:19" x14ac:dyDescent="0.2">
      <c r="A173" s="5">
        <v>30285</v>
      </c>
      <c r="B173" s="14">
        <v>14.4242316581</v>
      </c>
      <c r="C173" s="14">
        <v>12.694705882299999</v>
      </c>
      <c r="D173" s="1">
        <v>12.98</v>
      </c>
      <c r="E173" s="1">
        <v>13.35</v>
      </c>
      <c r="F173" s="1">
        <v>13.6</v>
      </c>
      <c r="G173" s="1">
        <v>14.65</v>
      </c>
      <c r="H173" s="1">
        <v>140.53</v>
      </c>
      <c r="I173" s="1">
        <v>622.51</v>
      </c>
      <c r="J173" s="1">
        <v>36.01</v>
      </c>
      <c r="K173" s="1">
        <v>235.76</v>
      </c>
      <c r="L173" s="1">
        <v>216.60999999999999</v>
      </c>
      <c r="O173" s="5">
        <v>29555</v>
      </c>
      <c r="P173" s="1">
        <v>14.4142316581</v>
      </c>
      <c r="Q173" s="8">
        <f t="shared" si="6"/>
        <v>0.18780580286830584</v>
      </c>
      <c r="R173" s="1">
        <f t="shared" si="7"/>
        <v>1.4039195548398733</v>
      </c>
      <c r="S173" s="1">
        <f t="shared" si="8"/>
        <v>140.39195548398732</v>
      </c>
    </row>
    <row r="174" spans="1:19" x14ac:dyDescent="0.2">
      <c r="A174" s="5">
        <v>30316</v>
      </c>
      <c r="B174" s="14">
        <v>16.355377852900002</v>
      </c>
      <c r="C174" s="14">
        <v>12.8540909091</v>
      </c>
      <c r="D174" s="1">
        <v>13.22</v>
      </c>
      <c r="E174" s="1">
        <v>13.79</v>
      </c>
      <c r="F174" s="1">
        <v>14.04</v>
      </c>
      <c r="G174" s="1">
        <v>15.15</v>
      </c>
      <c r="H174" s="1">
        <v>135.76999999999998</v>
      </c>
      <c r="I174" s="1">
        <v>589.51</v>
      </c>
      <c r="J174" s="1">
        <v>37.01</v>
      </c>
      <c r="K174" s="1">
        <v>238.91</v>
      </c>
      <c r="L174" s="1">
        <v>203.10999999999999</v>
      </c>
      <c r="O174" s="5">
        <v>29586</v>
      </c>
      <c r="P174" s="1">
        <v>16.3453778529</v>
      </c>
      <c r="Q174" s="8">
        <f t="shared" si="6"/>
        <v>0.13397496589523739</v>
      </c>
      <c r="R174" s="1">
        <f t="shared" si="7"/>
        <v>1.0015136465789738</v>
      </c>
      <c r="S174" s="1">
        <f t="shared" si="8"/>
        <v>100.15136465789737</v>
      </c>
    </row>
    <row r="175" spans="1:19" x14ac:dyDescent="0.2">
      <c r="A175" s="5">
        <v>30347</v>
      </c>
      <c r="B175" s="14">
        <v>15.8358479048</v>
      </c>
      <c r="C175" s="14">
        <v>12.5785714287</v>
      </c>
      <c r="D175" s="1">
        <v>12.82</v>
      </c>
      <c r="E175" s="1">
        <v>13.53</v>
      </c>
      <c r="F175" s="1">
        <v>13.84</v>
      </c>
      <c r="G175" s="1">
        <v>15.04</v>
      </c>
      <c r="H175" s="1">
        <v>129.56</v>
      </c>
      <c r="I175" s="1">
        <v>506.51</v>
      </c>
      <c r="J175" s="1">
        <v>38.01</v>
      </c>
      <c r="K175" s="1">
        <v>236.56</v>
      </c>
      <c r="L175" s="1">
        <v>206.70999999999998</v>
      </c>
      <c r="O175" s="5">
        <v>29617</v>
      </c>
      <c r="P175" s="1">
        <v>15.8258479048</v>
      </c>
      <c r="Q175" s="8">
        <f t="shared" si="6"/>
        <v>-3.178451748105815E-2</v>
      </c>
      <c r="R175" s="1">
        <f t="shared" si="7"/>
        <v>-0.23760131450303501</v>
      </c>
      <c r="S175" s="1">
        <f t="shared" si="8"/>
        <v>-23.760131450303501</v>
      </c>
    </row>
    <row r="176" spans="1:19" x14ac:dyDescent="0.2">
      <c r="A176" s="5">
        <v>30375</v>
      </c>
      <c r="B176" s="14">
        <v>15.5795125001</v>
      </c>
      <c r="C176" s="14">
        <v>13.2044444445</v>
      </c>
      <c r="D176" s="1">
        <v>13.36</v>
      </c>
      <c r="E176" s="1">
        <v>13.9</v>
      </c>
      <c r="F176" s="1">
        <v>14.28</v>
      </c>
      <c r="G176" s="1">
        <v>15.379999999999999</v>
      </c>
      <c r="H176" s="1">
        <v>131.28</v>
      </c>
      <c r="I176" s="1">
        <v>490.51</v>
      </c>
      <c r="J176" s="1">
        <v>38.01</v>
      </c>
      <c r="K176" s="1">
        <v>220.41</v>
      </c>
      <c r="L176" s="1">
        <v>209.70999999999998</v>
      </c>
      <c r="O176" s="5">
        <v>29645</v>
      </c>
      <c r="P176" s="1">
        <v>15.5695125001</v>
      </c>
      <c r="Q176" s="8">
        <f t="shared" si="6"/>
        <v>-1.6197261988234679E-2</v>
      </c>
      <c r="R176" s="1">
        <f t="shared" si="7"/>
        <v>-0.12108067212434777</v>
      </c>
      <c r="S176" s="1">
        <f t="shared" si="8"/>
        <v>-12.108067212434777</v>
      </c>
    </row>
    <row r="177" spans="1:19" x14ac:dyDescent="0.2">
      <c r="A177" s="5">
        <v>30406</v>
      </c>
      <c r="B177" s="14">
        <v>14.0237764091</v>
      </c>
      <c r="C177" s="14">
        <v>13.1259090908</v>
      </c>
      <c r="D177" s="1">
        <v>13.34</v>
      </c>
      <c r="E177" s="1">
        <v>13.91</v>
      </c>
      <c r="F177" s="1">
        <v>14.48</v>
      </c>
      <c r="G177" s="1">
        <v>15.35</v>
      </c>
      <c r="H177" s="1">
        <v>136.01</v>
      </c>
      <c r="I177" s="1">
        <v>507.51</v>
      </c>
      <c r="J177" s="1">
        <v>38.01</v>
      </c>
      <c r="K177" s="1">
        <v>223.26</v>
      </c>
      <c r="L177" s="1">
        <v>211.26</v>
      </c>
      <c r="O177" s="5">
        <v>29676</v>
      </c>
      <c r="P177" s="1">
        <v>14.0137764091</v>
      </c>
      <c r="Q177" s="8">
        <f t="shared" si="6"/>
        <v>-9.9921952661652602E-2</v>
      </c>
      <c r="R177" s="1">
        <f t="shared" si="7"/>
        <v>-0.74695446656591202</v>
      </c>
      <c r="S177" s="1">
        <f t="shared" si="8"/>
        <v>-74.695446656591201</v>
      </c>
    </row>
    <row r="178" spans="1:19" x14ac:dyDescent="0.2">
      <c r="A178" s="5">
        <v>30436</v>
      </c>
      <c r="B178" s="14">
        <v>14.385500285799999</v>
      </c>
      <c r="C178" s="14">
        <v>13.689523809599999</v>
      </c>
      <c r="D178" s="1">
        <v>13.89</v>
      </c>
      <c r="E178" s="1">
        <v>14.4</v>
      </c>
      <c r="F178" s="1">
        <v>14.83</v>
      </c>
      <c r="G178" s="1">
        <v>15.57</v>
      </c>
      <c r="H178" s="1">
        <v>132.88</v>
      </c>
      <c r="I178" s="1">
        <v>482.01</v>
      </c>
      <c r="J178" s="1">
        <v>38.01</v>
      </c>
      <c r="K178" s="1">
        <v>213.95999999999998</v>
      </c>
      <c r="L178" s="1">
        <v>215.79</v>
      </c>
      <c r="O178" s="5">
        <v>29706</v>
      </c>
      <c r="P178" s="1">
        <v>14.375500285799999</v>
      </c>
      <c r="Q178" s="8">
        <f t="shared" si="6"/>
        <v>2.5812019982358825E-2</v>
      </c>
      <c r="R178" s="1">
        <f t="shared" si="7"/>
        <v>0.19295463212370553</v>
      </c>
      <c r="S178" s="1">
        <f t="shared" si="8"/>
        <v>19.295463212370553</v>
      </c>
    </row>
    <row r="179" spans="1:19" x14ac:dyDescent="0.2">
      <c r="A179" s="5">
        <v>30467</v>
      </c>
      <c r="B179" s="14">
        <v>17.244481550100001</v>
      </c>
      <c r="C179" s="14">
        <v>14.111000000000001</v>
      </c>
      <c r="D179" s="1">
        <v>14.33</v>
      </c>
      <c r="E179" s="1">
        <v>14.89</v>
      </c>
      <c r="F179" s="1">
        <v>15.44</v>
      </c>
      <c r="G179" s="1">
        <v>15.959999999999999</v>
      </c>
      <c r="H179" s="1">
        <v>132.6</v>
      </c>
      <c r="I179" s="1">
        <v>479.51</v>
      </c>
      <c r="J179" s="1">
        <v>38.01</v>
      </c>
      <c r="K179" s="1">
        <v>207.01</v>
      </c>
      <c r="L179" s="1">
        <v>223.91</v>
      </c>
      <c r="O179" s="5">
        <v>29737</v>
      </c>
      <c r="P179" s="1">
        <v>17.2344815501</v>
      </c>
      <c r="Q179" s="8">
        <f t="shared" si="6"/>
        <v>0.19887873169353831</v>
      </c>
      <c r="R179" s="1">
        <f t="shared" si="7"/>
        <v>1.4866938944485109</v>
      </c>
      <c r="S179" s="1">
        <f t="shared" si="8"/>
        <v>148.66938944485108</v>
      </c>
    </row>
    <row r="180" spans="1:19" x14ac:dyDescent="0.2">
      <c r="A180" s="5">
        <v>30497</v>
      </c>
      <c r="B180" s="14">
        <v>15.5212135001</v>
      </c>
      <c r="C180" s="14">
        <v>13.4822727274</v>
      </c>
      <c r="D180" s="1">
        <v>13.76</v>
      </c>
      <c r="E180" s="1">
        <v>14.42</v>
      </c>
      <c r="F180" s="1">
        <v>15.09</v>
      </c>
      <c r="G180" s="1">
        <v>15.81</v>
      </c>
      <c r="H180" s="1">
        <v>131.22</v>
      </c>
      <c r="I180" s="1">
        <v>427.51</v>
      </c>
      <c r="J180" s="1">
        <v>36.01</v>
      </c>
      <c r="K180" s="1">
        <v>193.01</v>
      </c>
      <c r="L180" s="1">
        <v>226.85999999999999</v>
      </c>
      <c r="O180" s="5">
        <v>29767</v>
      </c>
      <c r="P180" s="1">
        <v>15.5112135001</v>
      </c>
      <c r="Q180" s="8">
        <f t="shared" si="6"/>
        <v>-9.9989549728578875E-2</v>
      </c>
      <c r="R180" s="1">
        <f t="shared" si="7"/>
        <v>-0.74745978026047422</v>
      </c>
      <c r="S180" s="1">
        <f t="shared" si="8"/>
        <v>-74.745978026047425</v>
      </c>
    </row>
    <row r="181" spans="1:19" x14ac:dyDescent="0.2">
      <c r="A181" s="5">
        <v>30528</v>
      </c>
      <c r="B181" s="14">
        <v>15.7526334546</v>
      </c>
      <c r="C181" s="14">
        <v>14.2909090911</v>
      </c>
      <c r="D181" s="1">
        <v>14.39</v>
      </c>
      <c r="E181" s="1">
        <v>14.799999999999999</v>
      </c>
      <c r="F181" s="1">
        <v>15.37</v>
      </c>
      <c r="G181" s="1">
        <v>16.180000000000003</v>
      </c>
      <c r="H181" s="1">
        <v>130.92999999999998</v>
      </c>
      <c r="I181" s="1">
        <v>406.01</v>
      </c>
      <c r="J181" s="1">
        <v>36.01</v>
      </c>
      <c r="K181" s="1">
        <v>184.01</v>
      </c>
      <c r="L181" s="1">
        <v>240.41</v>
      </c>
      <c r="O181" s="5">
        <v>29798</v>
      </c>
      <c r="P181" s="1">
        <v>15.7426334546</v>
      </c>
      <c r="Q181" s="8">
        <f t="shared" si="6"/>
        <v>1.4919526089851587E-2</v>
      </c>
      <c r="R181" s="1">
        <f t="shared" si="7"/>
        <v>0.11152911202202867</v>
      </c>
      <c r="S181" s="1">
        <f t="shared" si="8"/>
        <v>11.152911202202867</v>
      </c>
    </row>
    <row r="182" spans="1:19" x14ac:dyDescent="0.2">
      <c r="A182" s="5">
        <v>30559</v>
      </c>
      <c r="B182" s="14">
        <v>16.365740285800001</v>
      </c>
      <c r="C182" s="14">
        <v>14.947142857199999</v>
      </c>
      <c r="D182" s="1">
        <v>14.9</v>
      </c>
      <c r="E182" s="1">
        <v>15.43</v>
      </c>
      <c r="F182" s="1">
        <v>15.77</v>
      </c>
      <c r="G182" s="1">
        <v>16.350000000000001</v>
      </c>
      <c r="H182" s="1">
        <v>122.80000000000001</v>
      </c>
      <c r="I182" s="1">
        <v>427.01</v>
      </c>
      <c r="J182" s="1">
        <v>36.01</v>
      </c>
      <c r="K182" s="1">
        <v>184.51</v>
      </c>
      <c r="L182" s="1">
        <v>230.51</v>
      </c>
      <c r="O182" s="5">
        <v>29829</v>
      </c>
      <c r="P182" s="1">
        <v>16.3557402858</v>
      </c>
      <c r="Q182" s="8">
        <f t="shared" si="6"/>
        <v>3.8945633395335744E-2</v>
      </c>
      <c r="R182" s="1">
        <f t="shared" si="7"/>
        <v>0.29113337002519152</v>
      </c>
      <c r="S182" s="1">
        <f t="shared" si="8"/>
        <v>29.113337002519152</v>
      </c>
    </row>
    <row r="183" spans="1:19" x14ac:dyDescent="0.2">
      <c r="A183" s="5">
        <v>30589</v>
      </c>
      <c r="B183" s="14">
        <v>15.4889498573</v>
      </c>
      <c r="C183" s="14">
        <v>15.333809523999999</v>
      </c>
      <c r="D183" s="1">
        <v>15.5</v>
      </c>
      <c r="E183" s="1">
        <v>15.959999999999999</v>
      </c>
      <c r="F183" s="1">
        <v>16.37</v>
      </c>
      <c r="G183" s="1">
        <v>16.930000000000003</v>
      </c>
      <c r="H183" s="1">
        <v>116.19000000000001</v>
      </c>
      <c r="I183" s="1">
        <v>430.51</v>
      </c>
      <c r="J183" s="1">
        <v>36.01</v>
      </c>
      <c r="K183" s="1">
        <v>180.31</v>
      </c>
      <c r="L183" s="1">
        <v>232.31</v>
      </c>
      <c r="O183" s="5">
        <v>29859</v>
      </c>
      <c r="P183" s="1">
        <v>15.4789498573</v>
      </c>
      <c r="Q183" s="8">
        <f t="shared" si="6"/>
        <v>-5.3607504960275443E-2</v>
      </c>
      <c r="R183" s="1">
        <f t="shared" si="7"/>
        <v>-0.40073641682243888</v>
      </c>
      <c r="S183" s="1">
        <f t="shared" si="8"/>
        <v>-40.073641682243888</v>
      </c>
    </row>
    <row r="184" spans="1:19" x14ac:dyDescent="0.2">
      <c r="A184" s="5">
        <v>30620</v>
      </c>
      <c r="B184" s="14">
        <v>14.2232563334</v>
      </c>
      <c r="C184" s="14">
        <v>15.1580952381</v>
      </c>
      <c r="D184" s="1">
        <v>15.41</v>
      </c>
      <c r="E184" s="1">
        <v>15.83</v>
      </c>
      <c r="F184" s="1">
        <v>16.48</v>
      </c>
      <c r="G184" s="1">
        <v>17.12</v>
      </c>
      <c r="H184" s="1">
        <v>121.9</v>
      </c>
      <c r="I184" s="1">
        <v>428.01</v>
      </c>
      <c r="J184" s="1">
        <v>35.01</v>
      </c>
      <c r="K184" s="1">
        <v>186.20999999999998</v>
      </c>
      <c r="L184" s="1">
        <v>232.81</v>
      </c>
      <c r="O184" s="5">
        <v>29890</v>
      </c>
      <c r="P184" s="1">
        <v>14.2132563334</v>
      </c>
      <c r="Q184" s="8">
        <f t="shared" si="6"/>
        <v>-8.1768694618717164E-2</v>
      </c>
      <c r="R184" s="1">
        <f t="shared" si="7"/>
        <v>-0.61125198261017133</v>
      </c>
      <c r="S184" s="1">
        <f t="shared" si="8"/>
        <v>-61.125198261017132</v>
      </c>
    </row>
    <row r="185" spans="1:19" x14ac:dyDescent="0.2">
      <c r="A185" s="5">
        <v>30650</v>
      </c>
      <c r="B185" s="14">
        <v>11.326960833399999</v>
      </c>
      <c r="C185" s="14">
        <v>13.402777777699999</v>
      </c>
      <c r="D185" s="1">
        <v>14.23</v>
      </c>
      <c r="E185" s="1">
        <v>14.98</v>
      </c>
      <c r="F185" s="1">
        <v>15.83</v>
      </c>
      <c r="G185" s="1">
        <v>16.400000000000002</v>
      </c>
      <c r="H185" s="1">
        <v>126.36</v>
      </c>
      <c r="I185" s="1">
        <v>409.01</v>
      </c>
      <c r="J185" s="1">
        <v>36.01</v>
      </c>
      <c r="K185" s="1">
        <v>195.51</v>
      </c>
      <c r="L185" s="1">
        <v>214.20999999999998</v>
      </c>
      <c r="O185" s="5">
        <v>29920</v>
      </c>
      <c r="P185" s="1">
        <v>11.3169608334</v>
      </c>
      <c r="Q185" s="8">
        <f t="shared" si="6"/>
        <v>-0.20377423948894391</v>
      </c>
      <c r="R185" s="1">
        <f t="shared" si="7"/>
        <v>-1.5232896706166221</v>
      </c>
      <c r="S185" s="1">
        <f t="shared" si="8"/>
        <v>-152.32896706166221</v>
      </c>
    </row>
    <row r="186" spans="1:19" x14ac:dyDescent="0.2">
      <c r="A186" s="5">
        <v>30681</v>
      </c>
      <c r="B186" s="14">
        <v>11.3135012727</v>
      </c>
      <c r="C186" s="14">
        <v>13.734545454599999</v>
      </c>
      <c r="D186" s="1">
        <v>14.24</v>
      </c>
      <c r="E186" s="1">
        <v>15.01</v>
      </c>
      <c r="F186" s="1">
        <v>15.76</v>
      </c>
      <c r="G186" s="1">
        <v>16.560000000000002</v>
      </c>
      <c r="H186" s="1">
        <v>122.56</v>
      </c>
      <c r="I186" s="1">
        <v>400.01</v>
      </c>
      <c r="J186" s="1">
        <v>35.01</v>
      </c>
      <c r="K186" s="1">
        <v>191.51</v>
      </c>
      <c r="L186" s="1">
        <v>219.81</v>
      </c>
      <c r="O186" s="5">
        <v>29951</v>
      </c>
      <c r="P186" s="1">
        <v>11.3035012727</v>
      </c>
      <c r="Q186" s="8">
        <f t="shared" si="6"/>
        <v>-1.1893264365001599E-3</v>
      </c>
      <c r="R186" s="1">
        <f t="shared" si="7"/>
        <v>-8.8906658675581285E-3</v>
      </c>
      <c r="S186" s="1">
        <f t="shared" si="8"/>
        <v>-0.88906658675581285</v>
      </c>
    </row>
    <row r="187" spans="1:19" x14ac:dyDescent="0.2">
      <c r="A187" s="5">
        <v>30712</v>
      </c>
      <c r="B187" s="14">
        <v>12.85191945</v>
      </c>
      <c r="C187" s="14">
        <v>14.603999999999999</v>
      </c>
      <c r="D187" s="1">
        <v>15.19</v>
      </c>
      <c r="E187" s="1">
        <v>15.76</v>
      </c>
      <c r="F187" s="1">
        <v>16.200000000000003</v>
      </c>
      <c r="G187" s="1">
        <v>17.110000000000003</v>
      </c>
      <c r="H187" s="1">
        <v>120.41000000000001</v>
      </c>
      <c r="I187" s="1">
        <v>387.01</v>
      </c>
      <c r="J187" s="1">
        <v>35.01</v>
      </c>
      <c r="K187" s="1">
        <v>187.91</v>
      </c>
      <c r="L187" s="1">
        <v>228.31</v>
      </c>
      <c r="O187" s="5">
        <v>29982</v>
      </c>
      <c r="P187" s="1">
        <v>12.841919450000001</v>
      </c>
      <c r="Q187" s="8">
        <f t="shared" si="6"/>
        <v>0.13610103101554549</v>
      </c>
      <c r="R187" s="1">
        <f t="shared" si="7"/>
        <v>1.0174067891319576</v>
      </c>
      <c r="S187" s="1">
        <f t="shared" si="8"/>
        <v>101.74067891319577</v>
      </c>
    </row>
    <row r="188" spans="1:19" x14ac:dyDescent="0.2">
      <c r="A188" s="5">
        <v>30741</v>
      </c>
      <c r="B188" s="14">
        <v>14.1568034445</v>
      </c>
      <c r="C188" s="14">
        <v>14.435555555600001</v>
      </c>
      <c r="D188" s="1">
        <v>15.28</v>
      </c>
      <c r="E188" s="1">
        <v>15.73</v>
      </c>
      <c r="F188" s="1">
        <v>16.360000000000003</v>
      </c>
      <c r="G188" s="1">
        <v>17.190000000000001</v>
      </c>
      <c r="H188" s="1">
        <v>113.12</v>
      </c>
      <c r="I188" s="1">
        <v>363.01</v>
      </c>
      <c r="J188" s="1">
        <v>34.01</v>
      </c>
      <c r="K188" s="1">
        <v>182.01</v>
      </c>
      <c r="L188" s="1">
        <v>237.26</v>
      </c>
      <c r="O188" s="5">
        <v>30010</v>
      </c>
      <c r="P188" s="1">
        <v>14.1468034445</v>
      </c>
      <c r="Q188" s="8">
        <f t="shared" si="6"/>
        <v>0.10161128946342979</v>
      </c>
      <c r="R188" s="1">
        <f t="shared" si="7"/>
        <v>0.75958289941784429</v>
      </c>
      <c r="S188" s="1">
        <f t="shared" si="8"/>
        <v>75.958289941784429</v>
      </c>
    </row>
    <row r="189" spans="1:19" x14ac:dyDescent="0.2">
      <c r="A189" s="5">
        <v>30772</v>
      </c>
      <c r="B189" s="14">
        <v>13.285028347899999</v>
      </c>
      <c r="C189" s="14">
        <v>13.871304347900001</v>
      </c>
      <c r="D189" s="1">
        <v>14.59</v>
      </c>
      <c r="E189" s="1">
        <v>15.22</v>
      </c>
      <c r="F189" s="1">
        <v>16.130000000000003</v>
      </c>
      <c r="G189" s="1">
        <v>16.830000000000002</v>
      </c>
      <c r="H189" s="1">
        <v>111.97</v>
      </c>
      <c r="I189" s="1">
        <v>320.01</v>
      </c>
      <c r="J189" s="1">
        <v>31.51</v>
      </c>
      <c r="K189" s="1">
        <v>178.10999999999999</v>
      </c>
      <c r="L189" s="1">
        <v>248.26</v>
      </c>
      <c r="O189" s="5">
        <v>30041</v>
      </c>
      <c r="P189" s="1">
        <v>13.275028347899999</v>
      </c>
      <c r="Q189" s="8">
        <f t="shared" si="6"/>
        <v>-6.1623468511462831E-2</v>
      </c>
      <c r="R189" s="1">
        <f t="shared" si="7"/>
        <v>-0.46065878241775055</v>
      </c>
      <c r="S189" s="1">
        <f t="shared" si="8"/>
        <v>-46.065878241775053</v>
      </c>
    </row>
    <row r="190" spans="1:19" x14ac:dyDescent="0.2">
      <c r="A190" s="5">
        <v>30802</v>
      </c>
      <c r="B190" s="14">
        <v>13.312524571499999</v>
      </c>
      <c r="C190" s="14">
        <v>13.8819047619</v>
      </c>
      <c r="D190" s="1">
        <v>14.47</v>
      </c>
      <c r="E190" s="1">
        <v>14.91</v>
      </c>
      <c r="F190" s="1">
        <v>15.959999999999999</v>
      </c>
      <c r="G190" s="1">
        <v>16.790000000000003</v>
      </c>
      <c r="H190" s="1">
        <v>116.45</v>
      </c>
      <c r="I190" s="1">
        <v>362.01</v>
      </c>
      <c r="J190" s="1">
        <v>28.21</v>
      </c>
      <c r="K190" s="1">
        <v>179.45999999999998</v>
      </c>
      <c r="L190" s="1">
        <v>235.85999999999999</v>
      </c>
      <c r="O190" s="5">
        <v>30071</v>
      </c>
      <c r="P190" s="1">
        <v>13.302524571499999</v>
      </c>
      <c r="Q190" s="8">
        <f t="shared" si="6"/>
        <v>2.0712741908646137E-3</v>
      </c>
      <c r="R190" s="1">
        <f t="shared" si="7"/>
        <v>1.5483559589631326E-2</v>
      </c>
      <c r="S190" s="1">
        <f t="shared" si="8"/>
        <v>1.5483559589631326</v>
      </c>
    </row>
    <row r="191" spans="1:19" x14ac:dyDescent="0.2">
      <c r="A191" s="5">
        <v>30833</v>
      </c>
      <c r="B191" s="14">
        <v>12.6483517501</v>
      </c>
      <c r="C191" s="14">
        <v>13.6325</v>
      </c>
      <c r="D191" s="1">
        <v>14.27</v>
      </c>
      <c r="E191" s="1">
        <v>14.78</v>
      </c>
      <c r="F191" s="1">
        <v>15.709999999999999</v>
      </c>
      <c r="G191" s="1">
        <v>16.650000000000002</v>
      </c>
      <c r="H191" s="1">
        <v>111.89</v>
      </c>
      <c r="I191" s="1">
        <v>324.01</v>
      </c>
      <c r="J191" s="1">
        <v>33.86</v>
      </c>
      <c r="K191" s="1">
        <v>179.10999999999999</v>
      </c>
      <c r="L191" s="1">
        <v>243.31</v>
      </c>
      <c r="O191" s="5">
        <v>30102</v>
      </c>
      <c r="P191" s="1">
        <v>12.6383517501</v>
      </c>
      <c r="Q191" s="8">
        <f t="shared" si="6"/>
        <v>-4.9928328854430881E-2</v>
      </c>
      <c r="R191" s="1">
        <f t="shared" si="7"/>
        <v>-0.37323318102350667</v>
      </c>
      <c r="S191" s="1">
        <f t="shared" si="8"/>
        <v>-37.323318102350669</v>
      </c>
    </row>
    <row r="192" spans="1:19" x14ac:dyDescent="0.2">
      <c r="A192" s="5">
        <v>30863</v>
      </c>
      <c r="B192" s="14">
        <v>13.0560460001</v>
      </c>
      <c r="C192" s="14">
        <v>14.3095454547</v>
      </c>
      <c r="D192" s="1">
        <v>14.82</v>
      </c>
      <c r="E192" s="1">
        <v>15.27</v>
      </c>
      <c r="F192" s="1">
        <v>16.080000000000002</v>
      </c>
      <c r="G192" s="1">
        <v>16.930000000000003</v>
      </c>
      <c r="H192" s="1">
        <v>109.62</v>
      </c>
      <c r="I192" s="1">
        <v>318.01</v>
      </c>
      <c r="J192" s="1">
        <v>36.11</v>
      </c>
      <c r="K192" s="1">
        <v>173.56</v>
      </c>
      <c r="L192" s="1">
        <v>255.01</v>
      </c>
      <c r="O192" s="5">
        <v>30132</v>
      </c>
      <c r="P192" s="1">
        <v>13.0460460001</v>
      </c>
      <c r="Q192" s="8">
        <f t="shared" si="6"/>
        <v>3.2258498423006321E-2</v>
      </c>
      <c r="R192" s="1">
        <f t="shared" si="7"/>
        <v>0.24114450168287457</v>
      </c>
      <c r="S192" s="1">
        <f t="shared" si="8"/>
        <v>24.114450168287458</v>
      </c>
    </row>
    <row r="193" spans="1:19" x14ac:dyDescent="0.2">
      <c r="A193" s="5">
        <v>30894</v>
      </c>
      <c r="B193" s="14">
        <v>11.8545588095</v>
      </c>
      <c r="C193" s="14">
        <v>13.9561904763</v>
      </c>
      <c r="D193" s="1">
        <v>14.62</v>
      </c>
      <c r="E193" s="1">
        <v>15.22</v>
      </c>
      <c r="F193" s="1">
        <v>16.21</v>
      </c>
      <c r="G193" s="1">
        <v>16.810000000000002</v>
      </c>
      <c r="H193" s="1">
        <v>107.10000000000001</v>
      </c>
      <c r="I193" s="1">
        <v>342.51</v>
      </c>
      <c r="J193" s="1">
        <v>34.36</v>
      </c>
      <c r="K193" s="1">
        <v>173.81</v>
      </c>
      <c r="L193" s="1">
        <v>258.11</v>
      </c>
      <c r="O193" s="5">
        <v>30163</v>
      </c>
      <c r="P193" s="1">
        <v>11.844558809500001</v>
      </c>
      <c r="Q193" s="8">
        <f t="shared" si="6"/>
        <v>-9.209588794879231E-2</v>
      </c>
      <c r="R193" s="1">
        <f t="shared" si="7"/>
        <v>-0.68845166675875513</v>
      </c>
      <c r="S193" s="1">
        <f t="shared" si="8"/>
        <v>-68.845166675875518</v>
      </c>
    </row>
    <row r="194" spans="1:19" x14ac:dyDescent="0.2">
      <c r="A194" s="5">
        <v>30925</v>
      </c>
      <c r="B194" s="14">
        <v>9.0083120909000005</v>
      </c>
      <c r="C194" s="14">
        <v>13.065</v>
      </c>
      <c r="D194" s="1">
        <v>13.72</v>
      </c>
      <c r="E194" s="1">
        <v>14.49</v>
      </c>
      <c r="F194" s="1">
        <v>15.709999999999999</v>
      </c>
      <c r="G194" s="1">
        <v>16.330000000000002</v>
      </c>
      <c r="H194" s="1">
        <v>119.52000000000001</v>
      </c>
      <c r="I194" s="1">
        <v>413.51</v>
      </c>
      <c r="J194" s="1">
        <v>33.839999999999996</v>
      </c>
      <c r="K194" s="1">
        <v>172.06</v>
      </c>
      <c r="L194" s="1">
        <v>261.11</v>
      </c>
      <c r="O194" s="5">
        <v>30194</v>
      </c>
      <c r="P194" s="1">
        <v>8.9983120909000007</v>
      </c>
      <c r="Q194" s="8">
        <f t="shared" si="6"/>
        <v>-0.24029993555497819</v>
      </c>
      <c r="R194" s="1">
        <f t="shared" si="7"/>
        <v>-1.7963330919490375</v>
      </c>
      <c r="S194" s="1">
        <f t="shared" si="8"/>
        <v>-179.63330919490375</v>
      </c>
    </row>
    <row r="195" spans="1:19" x14ac:dyDescent="0.2">
      <c r="A195" s="5">
        <v>30955</v>
      </c>
      <c r="B195" s="14">
        <v>8.2030621429000004</v>
      </c>
      <c r="C195" s="14">
        <v>12.349047619</v>
      </c>
      <c r="D195" s="1">
        <v>12.95</v>
      </c>
      <c r="E195" s="1">
        <v>13.73</v>
      </c>
      <c r="F195" s="1">
        <v>15.08</v>
      </c>
      <c r="G195" s="1">
        <v>15.64</v>
      </c>
      <c r="H195" s="1">
        <v>120.43</v>
      </c>
      <c r="I195" s="1">
        <v>395.51</v>
      </c>
      <c r="J195" s="1">
        <v>33.839999999999996</v>
      </c>
      <c r="K195" s="1">
        <v>169.45999999999998</v>
      </c>
      <c r="L195" s="1">
        <v>268.31</v>
      </c>
      <c r="O195" s="5">
        <v>30224</v>
      </c>
      <c r="P195" s="1">
        <v>8.1930621429000006</v>
      </c>
      <c r="Q195" s="8">
        <f t="shared" si="6"/>
        <v>-8.9488999699660288E-2</v>
      </c>
      <c r="R195" s="1">
        <f t="shared" si="7"/>
        <v>-0.66896418908584687</v>
      </c>
      <c r="S195" s="1">
        <f t="shared" si="8"/>
        <v>-66.896418908584693</v>
      </c>
    </row>
    <row r="196" spans="1:19" x14ac:dyDescent="0.2">
      <c r="A196" s="5">
        <v>30986</v>
      </c>
      <c r="B196" s="14">
        <v>7.9814015999999999</v>
      </c>
      <c r="C196" s="14">
        <v>10.916499999999999</v>
      </c>
      <c r="D196" s="1">
        <v>12.129999999999999</v>
      </c>
      <c r="E196" s="1">
        <v>12.98</v>
      </c>
      <c r="F196" s="1">
        <v>14.35</v>
      </c>
      <c r="G196" s="1">
        <v>14.74</v>
      </c>
      <c r="H196" s="1">
        <v>133.72</v>
      </c>
      <c r="I196" s="1">
        <v>423.01</v>
      </c>
      <c r="J196" s="1">
        <v>35.809999999999995</v>
      </c>
      <c r="K196" s="1">
        <v>167.70999999999998</v>
      </c>
      <c r="L196" s="1">
        <v>277.11</v>
      </c>
      <c r="O196" s="5">
        <v>30255</v>
      </c>
      <c r="P196" s="1">
        <v>7.9714016000000001</v>
      </c>
      <c r="Q196" s="8">
        <f t="shared" si="6"/>
        <v>-2.7054663938084311E-2</v>
      </c>
      <c r="R196" s="1">
        <f t="shared" si="7"/>
        <v>-0.20224386665481275</v>
      </c>
      <c r="S196" s="1">
        <f t="shared" si="8"/>
        <v>-20.224386665481276</v>
      </c>
    </row>
    <row r="197" spans="1:19" x14ac:dyDescent="0.2">
      <c r="A197" s="5">
        <v>31016</v>
      </c>
      <c r="B197" s="14">
        <v>8.3567965263000001</v>
      </c>
      <c r="C197" s="14">
        <v>10.560526315800001</v>
      </c>
      <c r="D197" s="1">
        <v>11.69</v>
      </c>
      <c r="E197" s="1">
        <v>12.52</v>
      </c>
      <c r="F197" s="1">
        <v>13.82</v>
      </c>
      <c r="G197" s="1">
        <v>14.31</v>
      </c>
      <c r="H197" s="1">
        <v>138.54999999999998</v>
      </c>
      <c r="I197" s="1">
        <v>438.01</v>
      </c>
      <c r="J197" s="1">
        <v>35.86</v>
      </c>
      <c r="K197" s="1">
        <v>163.20999999999998</v>
      </c>
      <c r="L197" s="1">
        <v>249.20999999999998</v>
      </c>
      <c r="O197" s="5">
        <v>30285</v>
      </c>
      <c r="P197" s="1">
        <v>8.3467965263000004</v>
      </c>
      <c r="Q197" s="8">
        <f t="shared" si="6"/>
        <v>4.7092712817279336E-2</v>
      </c>
      <c r="R197" s="1">
        <f t="shared" si="7"/>
        <v>0.35203587644732082</v>
      </c>
      <c r="S197" s="1">
        <f t="shared" si="8"/>
        <v>35.203587644732082</v>
      </c>
    </row>
    <row r="198" spans="1:19" x14ac:dyDescent="0.2">
      <c r="A198" s="5">
        <v>31047</v>
      </c>
      <c r="B198" s="14">
        <v>8.2200030455000004</v>
      </c>
      <c r="C198" s="14">
        <v>10.549999999999999</v>
      </c>
      <c r="D198" s="1">
        <v>11.84</v>
      </c>
      <c r="E198" s="1">
        <v>12.45</v>
      </c>
      <c r="F198" s="1">
        <v>13.67</v>
      </c>
      <c r="G198" s="1">
        <v>14.15</v>
      </c>
      <c r="H198" s="1">
        <v>140.64999999999998</v>
      </c>
      <c r="I198" s="1">
        <v>448.01</v>
      </c>
      <c r="J198" s="1">
        <v>34.01</v>
      </c>
      <c r="K198" s="1">
        <v>161.81</v>
      </c>
      <c r="L198" s="1">
        <v>234.70999999999998</v>
      </c>
      <c r="O198" s="5">
        <v>30316</v>
      </c>
      <c r="P198" s="1">
        <v>8.2100030455000006</v>
      </c>
      <c r="Q198" s="8">
        <f t="shared" si="6"/>
        <v>-1.6388740323185824E-2</v>
      </c>
      <c r="R198" s="1">
        <f t="shared" si="7"/>
        <v>-0.12251204524839653</v>
      </c>
      <c r="S198" s="1">
        <f t="shared" si="8"/>
        <v>-12.251204524839652</v>
      </c>
    </row>
    <row r="199" spans="1:19" x14ac:dyDescent="0.2">
      <c r="A199" s="5">
        <v>31078</v>
      </c>
      <c r="B199" s="14">
        <v>8.1349702379999993</v>
      </c>
      <c r="C199" s="14">
        <v>10.467142857299999</v>
      </c>
      <c r="D199" s="1">
        <v>11.799999999999999</v>
      </c>
      <c r="E199" s="1">
        <v>12.36</v>
      </c>
      <c r="F199" s="1">
        <v>13.54</v>
      </c>
      <c r="G199" s="1">
        <v>13.95</v>
      </c>
      <c r="H199" s="1">
        <v>145.31</v>
      </c>
      <c r="I199" s="1">
        <v>500.01</v>
      </c>
      <c r="J199" s="1">
        <v>31.310000000000002</v>
      </c>
      <c r="K199" s="1">
        <v>152.03</v>
      </c>
      <c r="L199" s="1">
        <v>239.85999999999999</v>
      </c>
      <c r="O199" s="5">
        <v>30347</v>
      </c>
      <c r="P199" s="1">
        <v>8.1249702379999995</v>
      </c>
      <c r="Q199" s="8">
        <f t="shared" si="6"/>
        <v>-1.0357219970412612E-2</v>
      </c>
      <c r="R199" s="1">
        <f t="shared" si="7"/>
        <v>-7.742414466520306E-2</v>
      </c>
      <c r="S199" s="1">
        <f t="shared" si="8"/>
        <v>-7.7424144665203061</v>
      </c>
    </row>
    <row r="200" spans="1:19" x14ac:dyDescent="0.2">
      <c r="A200" s="5">
        <v>31106</v>
      </c>
      <c r="B200" s="14">
        <v>8.4067480525999994</v>
      </c>
      <c r="C200" s="14">
        <v>10.7347368421</v>
      </c>
      <c r="D200" s="1">
        <v>12.02</v>
      </c>
      <c r="E200" s="1">
        <v>12.59</v>
      </c>
      <c r="F200" s="1">
        <v>13.53</v>
      </c>
      <c r="G200" s="1">
        <v>13.959999999999999</v>
      </c>
      <c r="H200" s="1">
        <v>148.07</v>
      </c>
      <c r="I200" s="1">
        <v>413.01</v>
      </c>
      <c r="J200" s="1">
        <v>29.51</v>
      </c>
      <c r="K200" s="1">
        <v>151.16</v>
      </c>
      <c r="L200" s="1">
        <v>237.85999999999999</v>
      </c>
      <c r="O200" s="5">
        <v>30375</v>
      </c>
      <c r="P200" s="1">
        <v>8.3967480525999996</v>
      </c>
      <c r="Q200" s="8">
        <f t="shared" si="6"/>
        <v>3.3449699708303138E-2</v>
      </c>
      <c r="R200" s="1">
        <f t="shared" si="7"/>
        <v>0.25004918275575538</v>
      </c>
      <c r="S200" s="1">
        <f t="shared" si="8"/>
        <v>25.004918275575537</v>
      </c>
    </row>
    <row r="201" spans="1:19" x14ac:dyDescent="0.2">
      <c r="A201" s="5">
        <v>31137</v>
      </c>
      <c r="B201" s="14">
        <v>8.6552279564999992</v>
      </c>
      <c r="C201" s="14">
        <v>10.5165217392</v>
      </c>
      <c r="D201" s="1">
        <v>11.74</v>
      </c>
      <c r="E201" s="1">
        <v>12.33</v>
      </c>
      <c r="F201" s="1">
        <v>13.16</v>
      </c>
      <c r="G201" s="1">
        <v>13.62</v>
      </c>
      <c r="H201" s="1">
        <v>152.97</v>
      </c>
      <c r="I201" s="1">
        <v>418.01</v>
      </c>
      <c r="J201" s="1">
        <v>28.310000000000002</v>
      </c>
      <c r="K201" s="1">
        <v>148.26</v>
      </c>
      <c r="L201" s="1">
        <v>239.01</v>
      </c>
      <c r="O201" s="5">
        <v>30406</v>
      </c>
      <c r="P201" s="1">
        <v>8.6452279564999994</v>
      </c>
      <c r="Q201" s="8">
        <f t="shared" si="6"/>
        <v>2.9592397240388646E-2</v>
      </c>
      <c r="R201" s="1">
        <f t="shared" si="7"/>
        <v>0.22121438489045925</v>
      </c>
      <c r="S201" s="1">
        <f t="shared" si="8"/>
        <v>22.121438489045925</v>
      </c>
    </row>
    <row r="202" spans="1:19" x14ac:dyDescent="0.2">
      <c r="A202" s="5">
        <v>31167</v>
      </c>
      <c r="B202" s="14">
        <v>8.510633799999999</v>
      </c>
      <c r="C202" s="14">
        <v>10.41</v>
      </c>
      <c r="D202" s="1">
        <v>11.52</v>
      </c>
      <c r="E202" s="1">
        <v>12.07</v>
      </c>
      <c r="F202" s="1">
        <v>12.87</v>
      </c>
      <c r="G202" s="1">
        <v>13.299999999999999</v>
      </c>
      <c r="H202" s="1">
        <v>164.42999999999998</v>
      </c>
      <c r="I202" s="1">
        <v>429.01</v>
      </c>
      <c r="J202" s="1">
        <v>29.26</v>
      </c>
      <c r="K202" s="1">
        <v>155.73999999999998</v>
      </c>
      <c r="L202" s="1">
        <v>238.31</v>
      </c>
      <c r="O202" s="5">
        <v>30436</v>
      </c>
      <c r="P202" s="1">
        <v>8.5006337999999992</v>
      </c>
      <c r="Q202" s="8">
        <f t="shared" si="6"/>
        <v>-1.6725314500386945E-2</v>
      </c>
      <c r="R202" s="1">
        <f t="shared" si="7"/>
        <v>-0.12502806478458806</v>
      </c>
      <c r="S202" s="1">
        <f t="shared" si="8"/>
        <v>-12.502806478458805</v>
      </c>
    </row>
    <row r="203" spans="1:19" x14ac:dyDescent="0.2">
      <c r="A203" s="5">
        <v>31198</v>
      </c>
      <c r="B203" s="14">
        <v>8.4904583809999998</v>
      </c>
      <c r="C203" s="14">
        <v>10.389047619099999</v>
      </c>
      <c r="D203" s="1">
        <v>11.47</v>
      </c>
      <c r="E203" s="1">
        <v>11.959999999999999</v>
      </c>
      <c r="F203" s="1">
        <v>12.08</v>
      </c>
      <c r="G203" s="1">
        <v>13.1</v>
      </c>
      <c r="H203" s="1">
        <v>162.39999999999998</v>
      </c>
      <c r="I203" s="1">
        <v>436.51</v>
      </c>
      <c r="J203" s="1">
        <v>31.01</v>
      </c>
      <c r="K203" s="1">
        <v>160.06</v>
      </c>
      <c r="L203" s="1">
        <v>238.85999999999999</v>
      </c>
      <c r="O203" s="5">
        <v>30467</v>
      </c>
      <c r="P203" s="1">
        <v>8.480458381</v>
      </c>
      <c r="Q203" s="8">
        <f t="shared" si="6"/>
        <v>-2.3734017338800095E-3</v>
      </c>
      <c r="R203" s="1">
        <f t="shared" si="7"/>
        <v>-1.7742077480010211E-2</v>
      </c>
      <c r="S203" s="1">
        <f t="shared" si="8"/>
        <v>-1.774207748001021</v>
      </c>
    </row>
    <row r="204" spans="1:19" x14ac:dyDescent="0.2">
      <c r="A204" s="5">
        <v>31228</v>
      </c>
      <c r="B204" s="14">
        <v>9.1248005454999994</v>
      </c>
      <c r="C204" s="14">
        <v>10.858636363600001</v>
      </c>
      <c r="D204" s="1">
        <v>11.75</v>
      </c>
      <c r="E204" s="1">
        <v>12.16</v>
      </c>
      <c r="F204" s="1">
        <v>12.89</v>
      </c>
      <c r="G204" s="1">
        <v>13.379999999999999</v>
      </c>
      <c r="H204" s="1">
        <v>168.12</v>
      </c>
      <c r="I204" s="1">
        <v>416.01</v>
      </c>
      <c r="J204" s="1">
        <v>30.26</v>
      </c>
      <c r="K204" s="1">
        <v>153.31</v>
      </c>
      <c r="L204" s="1">
        <v>239.29</v>
      </c>
      <c r="O204" s="5">
        <v>30497</v>
      </c>
      <c r="P204" s="1">
        <v>9.1148005454999996</v>
      </c>
      <c r="Q204" s="8">
        <f t="shared" si="6"/>
        <v>7.4800457239576623E-2</v>
      </c>
      <c r="R204" s="1">
        <f t="shared" si="7"/>
        <v>0.55916176723912903</v>
      </c>
      <c r="S204" s="1">
        <f t="shared" si="8"/>
        <v>55.916176723912905</v>
      </c>
    </row>
    <row r="205" spans="1:19" x14ac:dyDescent="0.2">
      <c r="A205" s="5">
        <v>31259</v>
      </c>
      <c r="B205" s="14">
        <v>9.4304983500000006</v>
      </c>
      <c r="C205" s="14">
        <v>11.387</v>
      </c>
      <c r="D205" s="1">
        <v>12.16</v>
      </c>
      <c r="E205" s="1">
        <v>12.4</v>
      </c>
      <c r="F205" s="1">
        <v>13</v>
      </c>
      <c r="G205" s="1">
        <v>13.4</v>
      </c>
      <c r="H205" s="1">
        <v>162.57</v>
      </c>
      <c r="I205" s="1">
        <v>421.64</v>
      </c>
      <c r="J205" s="1">
        <v>31.610000000000003</v>
      </c>
      <c r="K205" s="1">
        <v>152.01</v>
      </c>
      <c r="L205" s="1">
        <v>241.76</v>
      </c>
      <c r="O205" s="5">
        <v>30528</v>
      </c>
      <c r="P205" s="1">
        <v>9.4204983500000008</v>
      </c>
      <c r="Q205" s="8">
        <f t="shared" si="6"/>
        <v>3.3538616997047077E-2</v>
      </c>
      <c r="R205" s="1">
        <f t="shared" si="7"/>
        <v>0.25071387318876881</v>
      </c>
      <c r="S205" s="1">
        <f t="shared" si="8"/>
        <v>25.07138731887688</v>
      </c>
    </row>
    <row r="206" spans="1:19" x14ac:dyDescent="0.2">
      <c r="A206" s="5">
        <v>31290</v>
      </c>
      <c r="B206" s="14">
        <v>9.7098753913000007</v>
      </c>
      <c r="C206" s="14">
        <v>11.8560869566</v>
      </c>
      <c r="D206" s="1">
        <v>12.52</v>
      </c>
      <c r="E206" s="1">
        <v>12.73</v>
      </c>
      <c r="F206" s="1">
        <v>13.18</v>
      </c>
      <c r="G206" s="1">
        <v>13.65</v>
      </c>
      <c r="H206" s="1">
        <v>164.04999999999998</v>
      </c>
      <c r="I206" s="1">
        <v>414.64</v>
      </c>
      <c r="J206" s="1">
        <v>31.71</v>
      </c>
      <c r="K206" s="1">
        <v>149.41</v>
      </c>
      <c r="L206" s="1">
        <v>246.45999999999998</v>
      </c>
      <c r="O206" s="5">
        <v>30559</v>
      </c>
      <c r="P206" s="1">
        <v>9.6998753913000009</v>
      </c>
      <c r="Q206" s="8">
        <f t="shared" si="6"/>
        <v>2.9656291092073683E-2</v>
      </c>
      <c r="R206" s="1">
        <f t="shared" si="7"/>
        <v>0.22169201564757468</v>
      </c>
      <c r="S206" s="1">
        <f t="shared" si="8"/>
        <v>22.169201564757469</v>
      </c>
    </row>
    <row r="207" spans="1:19" x14ac:dyDescent="0.2">
      <c r="A207" s="5">
        <v>31320</v>
      </c>
      <c r="B207" s="14">
        <v>9.3400586665999992</v>
      </c>
      <c r="C207" s="14">
        <v>11.663809523799999</v>
      </c>
      <c r="D207" s="1">
        <v>12.379999999999999</v>
      </c>
      <c r="E207" s="1">
        <v>12.629999999999999</v>
      </c>
      <c r="F207" s="1">
        <v>13.12</v>
      </c>
      <c r="G207" s="1">
        <v>13.56</v>
      </c>
      <c r="H207" s="1">
        <v>166.07999999999998</v>
      </c>
      <c r="I207" s="1">
        <v>406.89</v>
      </c>
      <c r="J207" s="1">
        <v>32.01</v>
      </c>
      <c r="K207" s="1">
        <v>149.78</v>
      </c>
      <c r="L207" s="1">
        <v>235.66</v>
      </c>
      <c r="O207" s="5">
        <v>30589</v>
      </c>
      <c r="P207" s="1">
        <v>9.3300586665999994</v>
      </c>
      <c r="Q207" s="8">
        <f t="shared" si="6"/>
        <v>-3.8125925311545461E-2</v>
      </c>
      <c r="R207" s="1">
        <f t="shared" si="7"/>
        <v>-0.28500574142949542</v>
      </c>
      <c r="S207" s="1">
        <f t="shared" si="8"/>
        <v>-28.500574142949542</v>
      </c>
    </row>
    <row r="208" spans="1:19" x14ac:dyDescent="0.2">
      <c r="A208" s="5">
        <v>31351</v>
      </c>
      <c r="B208" s="14">
        <v>8.9581251000000002</v>
      </c>
      <c r="C208" s="14">
        <v>11.551</v>
      </c>
      <c r="D208" s="1">
        <v>12.26</v>
      </c>
      <c r="E208" s="1">
        <v>12.5</v>
      </c>
      <c r="F208" s="1">
        <v>12.98</v>
      </c>
      <c r="G208" s="1">
        <v>13.47</v>
      </c>
      <c r="H208" s="1">
        <v>163.56</v>
      </c>
      <c r="I208" s="1">
        <v>382.89</v>
      </c>
      <c r="J208" s="1">
        <v>30.21</v>
      </c>
      <c r="K208" s="1">
        <v>149.53</v>
      </c>
      <c r="L208" s="1">
        <v>234.06</v>
      </c>
      <c r="O208" s="5">
        <v>30620</v>
      </c>
      <c r="P208" s="1">
        <v>8.9481251000000004</v>
      </c>
      <c r="Q208" s="8">
        <f t="shared" si="6"/>
        <v>-4.0935816188086283E-2</v>
      </c>
      <c r="R208" s="1">
        <f t="shared" si="7"/>
        <v>-0.30601074068028028</v>
      </c>
      <c r="S208" s="1">
        <f t="shared" si="8"/>
        <v>-30.601074068028026</v>
      </c>
    </row>
    <row r="209" spans="1:19" x14ac:dyDescent="0.2">
      <c r="A209" s="5">
        <v>31381</v>
      </c>
      <c r="B209" s="14">
        <v>9.0950257895999993</v>
      </c>
      <c r="C209" s="14">
        <v>11.7</v>
      </c>
      <c r="D209" s="1">
        <v>12.42</v>
      </c>
      <c r="E209" s="1">
        <v>12.62</v>
      </c>
      <c r="F209" s="1">
        <v>13.1</v>
      </c>
      <c r="G209" s="1">
        <v>13.62</v>
      </c>
      <c r="H209" s="1">
        <v>166.41</v>
      </c>
      <c r="I209" s="1">
        <v>403.51</v>
      </c>
      <c r="J209" s="1">
        <v>30.26</v>
      </c>
      <c r="K209" s="1">
        <v>146.31</v>
      </c>
      <c r="L209" s="1">
        <v>232.51</v>
      </c>
      <c r="O209" s="5">
        <v>30650</v>
      </c>
      <c r="P209" s="1">
        <v>9.0850257895999995</v>
      </c>
      <c r="Q209" s="8">
        <f t="shared" si="6"/>
        <v>1.5299371440392395E-2</v>
      </c>
      <c r="R209" s="1">
        <f t="shared" si="7"/>
        <v>0.11436859997870907</v>
      </c>
      <c r="S209" s="1">
        <f t="shared" si="8"/>
        <v>11.436859997870908</v>
      </c>
    </row>
    <row r="210" spans="1:19" x14ac:dyDescent="0.2">
      <c r="A210" s="5">
        <v>31412</v>
      </c>
      <c r="B210" s="14">
        <v>9.3410128095000005</v>
      </c>
      <c r="C210" s="14">
        <v>11.839523809599999</v>
      </c>
      <c r="D210" s="1">
        <v>12.58</v>
      </c>
      <c r="E210" s="1">
        <v>12.77</v>
      </c>
      <c r="F210" s="1">
        <v>13.22</v>
      </c>
      <c r="G210" s="1">
        <v>13.76</v>
      </c>
      <c r="H210" s="1">
        <v>164.94</v>
      </c>
      <c r="I210" s="1">
        <v>382.01</v>
      </c>
      <c r="J210" s="1">
        <v>29.26</v>
      </c>
      <c r="K210" s="1">
        <v>145.16</v>
      </c>
      <c r="L210" s="1">
        <v>231.70999999999998</v>
      </c>
      <c r="O210" s="5">
        <v>30681</v>
      </c>
      <c r="P210" s="1">
        <v>9.3310128095000007</v>
      </c>
      <c r="Q210" s="8">
        <f t="shared" si="6"/>
        <v>2.7076094839663778E-2</v>
      </c>
      <c r="R210" s="1">
        <f t="shared" si="7"/>
        <v>0.20240407076643097</v>
      </c>
      <c r="S210" s="1">
        <f t="shared" si="8"/>
        <v>20.240407076643095</v>
      </c>
    </row>
    <row r="211" spans="1:19" x14ac:dyDescent="0.2">
      <c r="A211" s="5">
        <v>31443</v>
      </c>
      <c r="B211" s="14">
        <v>9.2425000475000001</v>
      </c>
      <c r="C211" s="14">
        <v>11.6847619048</v>
      </c>
      <c r="D211" s="1">
        <v>12.209999999999999</v>
      </c>
      <c r="E211" s="1">
        <v>12.72</v>
      </c>
      <c r="F211" s="1">
        <v>13.14</v>
      </c>
      <c r="G211" s="1">
        <v>13.66</v>
      </c>
      <c r="H211" s="1">
        <v>163.41999999999999</v>
      </c>
      <c r="I211" s="1">
        <v>373.14</v>
      </c>
      <c r="J211" s="1">
        <v>28.96</v>
      </c>
      <c r="K211" s="1">
        <v>140.13</v>
      </c>
      <c r="L211" s="1">
        <v>234.67999999999998</v>
      </c>
      <c r="O211" s="5">
        <v>30712</v>
      </c>
      <c r="P211" s="1">
        <v>9.2325000475000003</v>
      </c>
      <c r="Q211" s="8">
        <f t="shared" ref="Q211:Q267" si="9">+P211/P210-1</f>
        <v>-1.0557563686945493E-2</v>
      </c>
      <c r="R211" s="1">
        <f t="shared" ref="R211:R267" si="10">+Q211*$P$267</f>
        <v>-7.8921789876554918E-2</v>
      </c>
      <c r="S211" s="1">
        <f t="shared" ref="S211:S267" si="11">+R211*100</f>
        <v>-7.892178987655492</v>
      </c>
    </row>
    <row r="212" spans="1:19" x14ac:dyDescent="0.2">
      <c r="A212" s="5">
        <v>31471</v>
      </c>
      <c r="B212" s="14">
        <v>9.4383488947999989</v>
      </c>
      <c r="C212" s="14">
        <v>11.8521052631</v>
      </c>
      <c r="D212" s="1">
        <v>12.09</v>
      </c>
      <c r="E212" s="1">
        <v>12.709999999999999</v>
      </c>
      <c r="F212" s="1">
        <v>13.12</v>
      </c>
      <c r="G212" s="1">
        <v>13.6</v>
      </c>
      <c r="H212" s="1">
        <v>157.07</v>
      </c>
      <c r="I212" s="1">
        <v>395.01</v>
      </c>
      <c r="J212" s="1">
        <v>30.41</v>
      </c>
      <c r="K212" s="1">
        <v>149.06</v>
      </c>
      <c r="L212" s="1">
        <v>233.44</v>
      </c>
      <c r="O212" s="5">
        <v>30740</v>
      </c>
      <c r="P212" s="1">
        <v>9.4283488947999992</v>
      </c>
      <c r="Q212" s="8">
        <f t="shared" si="9"/>
        <v>2.1212980914419921E-2</v>
      </c>
      <c r="R212" s="1">
        <f t="shared" si="10"/>
        <v>0.15857507205505547</v>
      </c>
      <c r="S212" s="1">
        <f t="shared" si="11"/>
        <v>15.857507205505547</v>
      </c>
    </row>
    <row r="213" spans="1:19" x14ac:dyDescent="0.2">
      <c r="A213" s="5">
        <v>31502</v>
      </c>
      <c r="B213" s="14">
        <v>9.8942985909000001</v>
      </c>
      <c r="C213" s="14">
        <v>12.3290909092</v>
      </c>
      <c r="D213" s="1">
        <v>12.58</v>
      </c>
      <c r="E213" s="1">
        <v>13.23</v>
      </c>
      <c r="F213" s="1">
        <v>13.549999999999999</v>
      </c>
      <c r="G213" s="1">
        <v>14</v>
      </c>
      <c r="H213" s="1">
        <v>159.19</v>
      </c>
      <c r="I213" s="1">
        <v>388.26</v>
      </c>
      <c r="J213" s="1">
        <v>30.51</v>
      </c>
      <c r="K213" s="1">
        <v>143.76</v>
      </c>
      <c r="L213" s="1">
        <v>224.76</v>
      </c>
      <c r="O213" s="5">
        <v>30772</v>
      </c>
      <c r="P213" s="1">
        <v>9.8842985909000003</v>
      </c>
      <c r="Q213" s="8">
        <f t="shared" si="9"/>
        <v>4.8359442484300796E-2</v>
      </c>
      <c r="R213" s="1">
        <f t="shared" si="10"/>
        <v>0.36150516079885003</v>
      </c>
      <c r="S213" s="1">
        <f t="shared" si="11"/>
        <v>36.150516079885001</v>
      </c>
    </row>
    <row r="214" spans="1:19" x14ac:dyDescent="0.2">
      <c r="A214" s="5">
        <v>31532</v>
      </c>
      <c r="B214" s="14">
        <v>10.085605190499999</v>
      </c>
      <c r="C214" s="14">
        <v>12.6466666668</v>
      </c>
      <c r="D214" s="1">
        <v>12.82</v>
      </c>
      <c r="E214" s="1">
        <v>13.49</v>
      </c>
      <c r="F214" s="1">
        <v>13.78</v>
      </c>
      <c r="G214" s="1">
        <v>14.32</v>
      </c>
      <c r="H214" s="1">
        <v>160.06</v>
      </c>
      <c r="I214" s="1">
        <v>375.51</v>
      </c>
      <c r="J214" s="1">
        <v>30.71</v>
      </c>
      <c r="K214" s="1">
        <v>139.81</v>
      </c>
      <c r="L214" s="1">
        <v>227.01</v>
      </c>
      <c r="O214" s="5">
        <v>30802</v>
      </c>
      <c r="P214" s="1">
        <v>10.075605190499999</v>
      </c>
      <c r="Q214" s="8">
        <f t="shared" si="9"/>
        <v>1.93545953555192E-2</v>
      </c>
      <c r="R214" s="1">
        <f t="shared" si="10"/>
        <v>0.14468293567414575</v>
      </c>
      <c r="S214" s="1">
        <f t="shared" si="11"/>
        <v>14.468293567414575</v>
      </c>
    </row>
    <row r="215" spans="1:19" x14ac:dyDescent="0.2">
      <c r="A215" s="5">
        <v>31563</v>
      </c>
      <c r="B215" s="14">
        <v>10.2320421364</v>
      </c>
      <c r="C215" s="14">
        <v>13.418636363699999</v>
      </c>
      <c r="D215" s="1">
        <v>13.29</v>
      </c>
      <c r="E215" s="1">
        <v>14.11</v>
      </c>
      <c r="F215" s="1">
        <v>14.379999999999999</v>
      </c>
      <c r="G215" s="1">
        <v>14.75</v>
      </c>
      <c r="H215" s="1">
        <v>150.56</v>
      </c>
      <c r="I215" s="1">
        <v>384.76</v>
      </c>
      <c r="J215" s="1">
        <v>30.21</v>
      </c>
      <c r="K215" s="1">
        <v>138.56</v>
      </c>
      <c r="L215" s="1">
        <v>231.59</v>
      </c>
      <c r="O215" s="5">
        <v>30833</v>
      </c>
      <c r="P215" s="1">
        <v>10.222042136400001</v>
      </c>
      <c r="Q215" s="8">
        <f t="shared" si="9"/>
        <v>1.4533811431800991E-2</v>
      </c>
      <c r="R215" s="1">
        <f t="shared" si="10"/>
        <v>0.10864574876724507</v>
      </c>
      <c r="S215" s="1">
        <f t="shared" si="11"/>
        <v>10.864574876724507</v>
      </c>
    </row>
    <row r="216" spans="1:19" x14ac:dyDescent="0.2">
      <c r="A216" s="5">
        <v>31593</v>
      </c>
      <c r="B216" s="14">
        <v>10.268244666699999</v>
      </c>
      <c r="C216" s="14">
        <v>13.5728571429</v>
      </c>
      <c r="D216" s="1">
        <v>13.56</v>
      </c>
      <c r="E216" s="1">
        <v>14.34</v>
      </c>
      <c r="F216" s="1">
        <v>14.67</v>
      </c>
      <c r="G216" s="1">
        <v>15.06</v>
      </c>
      <c r="H216" s="1">
        <v>153.19</v>
      </c>
      <c r="I216" s="1">
        <v>373.51</v>
      </c>
      <c r="J216" s="1">
        <v>30.76</v>
      </c>
      <c r="K216" s="1">
        <v>135.76</v>
      </c>
      <c r="L216" s="1">
        <v>237.31</v>
      </c>
      <c r="O216" s="5">
        <v>30863</v>
      </c>
      <c r="P216" s="1">
        <v>10.2582446667</v>
      </c>
      <c r="Q216" s="8">
        <f t="shared" si="9"/>
        <v>3.5416142701156783E-3</v>
      </c>
      <c r="R216" s="1">
        <f t="shared" si="10"/>
        <v>2.647490894092307E-2</v>
      </c>
      <c r="S216" s="1">
        <f t="shared" si="11"/>
        <v>2.6474908940923072</v>
      </c>
    </row>
    <row r="217" spans="1:19" x14ac:dyDescent="0.2">
      <c r="A217" s="5">
        <v>31624</v>
      </c>
      <c r="B217" s="14">
        <v>10.531867523899999</v>
      </c>
      <c r="C217" s="14">
        <v>13.3723809525</v>
      </c>
      <c r="D217" s="1">
        <v>13.45</v>
      </c>
      <c r="E217" s="1">
        <v>14.129999999999999</v>
      </c>
      <c r="F217" s="1">
        <v>14.58</v>
      </c>
      <c r="G217" s="1">
        <v>15.16</v>
      </c>
      <c r="H217" s="1">
        <v>150.66999999999999</v>
      </c>
      <c r="I217" s="1">
        <v>341.14</v>
      </c>
      <c r="J217" s="1">
        <v>29.560000000000002</v>
      </c>
      <c r="K217" s="1">
        <v>130.73999999999998</v>
      </c>
      <c r="L217" s="1">
        <v>245.31</v>
      </c>
      <c r="O217" s="5">
        <v>30894</v>
      </c>
      <c r="P217" s="1">
        <v>10.521867523899999</v>
      </c>
      <c r="Q217" s="8">
        <f t="shared" si="9"/>
        <v>2.5698632248045694E-2</v>
      </c>
      <c r="R217" s="1">
        <f t="shared" si="10"/>
        <v>0.19210701583576359</v>
      </c>
      <c r="S217" s="1">
        <f t="shared" si="11"/>
        <v>19.210701583576359</v>
      </c>
    </row>
    <row r="218" spans="1:19" x14ac:dyDescent="0.2">
      <c r="A218" s="5">
        <v>31655</v>
      </c>
      <c r="B218" s="14">
        <v>10.9070673479</v>
      </c>
      <c r="C218" s="14">
        <v>12.7260869567</v>
      </c>
      <c r="D218" s="1">
        <v>12.879999999999999</v>
      </c>
      <c r="E218" s="1">
        <v>13.48</v>
      </c>
      <c r="F218" s="1">
        <v>14.14</v>
      </c>
      <c r="G218" s="1">
        <v>14.64</v>
      </c>
      <c r="H218" s="1">
        <v>166.69</v>
      </c>
      <c r="I218" s="1">
        <v>348.01</v>
      </c>
      <c r="J218" s="1">
        <v>27.860000000000003</v>
      </c>
      <c r="K218" s="1">
        <v>130.76</v>
      </c>
      <c r="L218" s="1">
        <v>241.91</v>
      </c>
      <c r="O218" s="5">
        <v>30925</v>
      </c>
      <c r="P218" s="1">
        <v>10.8970673479</v>
      </c>
      <c r="Q218" s="8">
        <f t="shared" si="9"/>
        <v>3.5659052268786962E-2</v>
      </c>
      <c r="R218" s="1">
        <f t="shared" si="10"/>
        <v>0.26656493048999241</v>
      </c>
      <c r="S218" s="1">
        <f t="shared" si="11"/>
        <v>26.656493048999241</v>
      </c>
    </row>
    <row r="219" spans="1:19" x14ac:dyDescent="0.2">
      <c r="A219" s="5">
        <v>31685</v>
      </c>
      <c r="B219" s="14">
        <v>10.802790421199999</v>
      </c>
      <c r="C219" s="14">
        <v>12.5326315791</v>
      </c>
      <c r="D219" s="1">
        <v>12.67</v>
      </c>
      <c r="E219" s="1">
        <v>13.28</v>
      </c>
      <c r="F219" s="1">
        <v>13.95</v>
      </c>
      <c r="G219" s="1">
        <v>14.36</v>
      </c>
      <c r="H219" s="1">
        <v>166.10999999999999</v>
      </c>
      <c r="I219" s="1">
        <v>343.76</v>
      </c>
      <c r="J219" s="1">
        <v>29.76</v>
      </c>
      <c r="K219" s="1">
        <v>123.41000000000001</v>
      </c>
      <c r="L219" s="1">
        <v>246.91</v>
      </c>
      <c r="O219" s="5">
        <v>30955</v>
      </c>
      <c r="P219" s="1">
        <v>10.792790421199999</v>
      </c>
      <c r="Q219" s="8">
        <f t="shared" si="9"/>
        <v>-9.56926513995493E-3</v>
      </c>
      <c r="R219" s="1">
        <f t="shared" si="10"/>
        <v>-7.153388367265115E-2</v>
      </c>
      <c r="S219" s="1">
        <f t="shared" si="11"/>
        <v>-7.1533883672651148</v>
      </c>
    </row>
    <row r="220" spans="1:19" x14ac:dyDescent="0.2">
      <c r="A220" s="5">
        <v>31716</v>
      </c>
      <c r="B220" s="14">
        <v>10.128297909200001</v>
      </c>
      <c r="C220" s="14">
        <v>12.1704545455</v>
      </c>
      <c r="D220" s="1">
        <v>12.64</v>
      </c>
      <c r="E220" s="1">
        <v>13.12</v>
      </c>
      <c r="F220" s="1">
        <v>13.62</v>
      </c>
      <c r="G220" s="1">
        <v>13.95</v>
      </c>
      <c r="H220" s="1">
        <v>166.1</v>
      </c>
      <c r="I220" s="1">
        <v>333.76</v>
      </c>
      <c r="J220" s="1">
        <v>29.71</v>
      </c>
      <c r="K220" s="1">
        <v>121.86</v>
      </c>
      <c r="L220" s="1">
        <v>245.70999999999998</v>
      </c>
      <c r="O220" s="5">
        <v>30986</v>
      </c>
      <c r="P220" s="1">
        <v>10.118297909200001</v>
      </c>
      <c r="Q220" s="8">
        <f t="shared" si="9"/>
        <v>-6.2494728951199674E-2</v>
      </c>
      <c r="R220" s="1">
        <f t="shared" si="10"/>
        <v>-0.46717178441249008</v>
      </c>
      <c r="S220" s="1">
        <f t="shared" si="11"/>
        <v>-46.717178441249004</v>
      </c>
    </row>
    <row r="221" spans="1:19" x14ac:dyDescent="0.2">
      <c r="A221" s="5">
        <v>31746</v>
      </c>
      <c r="B221" s="14">
        <v>8.9300386315000004</v>
      </c>
      <c r="C221" s="14">
        <v>11.582631578999999</v>
      </c>
      <c r="D221" s="1">
        <v>12.299999999999999</v>
      </c>
      <c r="E221" s="1">
        <v>12.67</v>
      </c>
      <c r="F221" s="1">
        <v>13.1</v>
      </c>
      <c r="G221" s="1">
        <v>13.49</v>
      </c>
      <c r="H221" s="1">
        <v>163.59</v>
      </c>
      <c r="I221" s="1">
        <v>329.26</v>
      </c>
      <c r="J221" s="1">
        <v>28.76</v>
      </c>
      <c r="K221" s="1">
        <v>119.71000000000001</v>
      </c>
      <c r="L221" s="1">
        <v>247.51</v>
      </c>
      <c r="O221" s="5">
        <v>31016</v>
      </c>
      <c r="P221" s="1">
        <v>8.9200386315000006</v>
      </c>
      <c r="Q221" s="8">
        <f t="shared" si="9"/>
        <v>-0.11842498495823983</v>
      </c>
      <c r="R221" s="1">
        <f t="shared" si="10"/>
        <v>-0.88527164563214189</v>
      </c>
      <c r="S221" s="1">
        <f t="shared" si="11"/>
        <v>-88.527164563214185</v>
      </c>
    </row>
    <row r="222" spans="1:19" x14ac:dyDescent="0.2">
      <c r="A222" s="5">
        <v>31777</v>
      </c>
      <c r="B222" s="14">
        <v>8.3470973999999991</v>
      </c>
      <c r="C222" s="14">
        <v>11.509499999999999</v>
      </c>
      <c r="D222" s="1">
        <v>12.14</v>
      </c>
      <c r="E222" s="1">
        <v>12.51</v>
      </c>
      <c r="F222" s="1">
        <v>12.93</v>
      </c>
      <c r="G222" s="1">
        <v>13.41</v>
      </c>
      <c r="H222" s="1">
        <v>167.25</v>
      </c>
      <c r="I222" s="1">
        <v>309.01</v>
      </c>
      <c r="J222" s="1">
        <v>27.360000000000003</v>
      </c>
      <c r="K222" s="1">
        <v>115.81</v>
      </c>
      <c r="L222" s="1">
        <v>251.60999999999999</v>
      </c>
      <c r="O222" s="5">
        <v>31047</v>
      </c>
      <c r="P222" s="1">
        <v>8.3370973999999993</v>
      </c>
      <c r="Q222" s="8">
        <f t="shared" si="9"/>
        <v>-6.5351872966269098E-2</v>
      </c>
      <c r="R222" s="1">
        <f t="shared" si="10"/>
        <v>-0.48853001878271574</v>
      </c>
      <c r="S222" s="1">
        <f t="shared" si="11"/>
        <v>-48.85300187827157</v>
      </c>
    </row>
    <row r="223" spans="1:19" x14ac:dyDescent="0.2">
      <c r="A223" s="5">
        <v>31808</v>
      </c>
      <c r="B223" s="14">
        <v>8.0294371427999991</v>
      </c>
      <c r="C223" s="14">
        <v>11.3942857142</v>
      </c>
      <c r="D223" s="1">
        <v>12.09</v>
      </c>
      <c r="E223" s="1">
        <v>12.44</v>
      </c>
      <c r="F223" s="1">
        <v>12.81</v>
      </c>
      <c r="G223" s="1">
        <v>13.27</v>
      </c>
      <c r="H223" s="1">
        <v>179.64</v>
      </c>
      <c r="I223" s="1">
        <v>306.76</v>
      </c>
      <c r="J223" s="1">
        <v>25.91</v>
      </c>
      <c r="K223" s="1">
        <v>113.06</v>
      </c>
      <c r="L223" s="1">
        <v>254.81</v>
      </c>
      <c r="O223" s="5">
        <v>31078</v>
      </c>
      <c r="P223" s="1">
        <v>8.0194371427999993</v>
      </c>
      <c r="Q223" s="8">
        <f t="shared" si="9"/>
        <v>-3.8102020638501877E-2</v>
      </c>
      <c r="R223" s="1">
        <f t="shared" si="10"/>
        <v>-0.28482704493862354</v>
      </c>
      <c r="S223" s="1">
        <f t="shared" si="11"/>
        <v>-28.482704493862354</v>
      </c>
    </row>
    <row r="224" spans="1:19" x14ac:dyDescent="0.2">
      <c r="A224" s="5">
        <v>31836</v>
      </c>
      <c r="B224" s="14">
        <v>8.5666277222999998</v>
      </c>
      <c r="C224" s="14">
        <v>11.518888888899999</v>
      </c>
      <c r="D224" s="1">
        <v>12.14</v>
      </c>
      <c r="E224" s="1">
        <v>12.5</v>
      </c>
      <c r="F224" s="1">
        <v>12.81</v>
      </c>
      <c r="G224" s="1">
        <v>13.24</v>
      </c>
      <c r="H224" s="1">
        <v>181.19</v>
      </c>
      <c r="I224" s="1">
        <v>288.76</v>
      </c>
      <c r="J224" s="1">
        <v>26.71</v>
      </c>
      <c r="K224" s="1">
        <v>107.91000000000001</v>
      </c>
      <c r="L224" s="1">
        <v>259.45999999999998</v>
      </c>
      <c r="O224" s="5">
        <v>31106</v>
      </c>
      <c r="P224" s="1">
        <v>8.5566277223</v>
      </c>
      <c r="Q224" s="8">
        <f t="shared" si="9"/>
        <v>6.6986070210962367E-2</v>
      </c>
      <c r="R224" s="1">
        <f t="shared" si="10"/>
        <v>0.50074626254755361</v>
      </c>
      <c r="S224" s="1">
        <f t="shared" si="11"/>
        <v>50.074626254755358</v>
      </c>
    </row>
    <row r="225" spans="1:23" x14ac:dyDescent="0.2">
      <c r="A225" s="5">
        <v>31867</v>
      </c>
      <c r="B225" s="14">
        <v>8.8328781905000007</v>
      </c>
      <c r="C225" s="14">
        <v>11.865238095300001</v>
      </c>
      <c r="D225" s="1">
        <v>12.57</v>
      </c>
      <c r="E225" s="1">
        <v>12.92</v>
      </c>
      <c r="F225" s="1">
        <v>13.37</v>
      </c>
      <c r="G225" s="1">
        <v>13.7</v>
      </c>
      <c r="H225" s="1">
        <v>180.67</v>
      </c>
      <c r="I225" s="1">
        <v>330.01</v>
      </c>
      <c r="J225" s="1">
        <v>27.21</v>
      </c>
      <c r="K225" s="1">
        <v>123.61</v>
      </c>
      <c r="L225" s="1">
        <v>251.01</v>
      </c>
      <c r="O225" s="5">
        <v>31137</v>
      </c>
      <c r="P225" s="1">
        <v>8.8228781905000009</v>
      </c>
      <c r="Q225" s="8">
        <f t="shared" si="9"/>
        <v>3.1116285158241386E-2</v>
      </c>
      <c r="R225" s="1">
        <f t="shared" si="10"/>
        <v>0.23260602462992933</v>
      </c>
      <c r="S225" s="1">
        <f t="shared" si="11"/>
        <v>23.260602462992932</v>
      </c>
    </row>
    <row r="226" spans="1:23" x14ac:dyDescent="0.2">
      <c r="A226" s="5">
        <v>31897</v>
      </c>
      <c r="B226" s="14">
        <v>8.2304255238999993</v>
      </c>
      <c r="C226" s="14">
        <v>11.4447619048</v>
      </c>
      <c r="D226" s="1">
        <v>12.24</v>
      </c>
      <c r="E226" s="1">
        <v>12.7</v>
      </c>
      <c r="F226" s="1">
        <v>13.15</v>
      </c>
      <c r="G226" s="1">
        <v>13.52</v>
      </c>
      <c r="H226" s="1">
        <v>179.84</v>
      </c>
      <c r="I226" s="1">
        <v>321.01</v>
      </c>
      <c r="J226" s="1">
        <v>28.71</v>
      </c>
      <c r="K226" s="1">
        <v>124.11</v>
      </c>
      <c r="L226" s="1">
        <v>251.51</v>
      </c>
      <c r="O226" s="5">
        <v>31167</v>
      </c>
      <c r="P226" s="1">
        <v>8.2204255238999995</v>
      </c>
      <c r="Q226" s="8">
        <f t="shared" si="9"/>
        <v>-6.8283008514011923E-2</v>
      </c>
      <c r="R226" s="1">
        <f t="shared" si="10"/>
        <v>-0.51044136790246597</v>
      </c>
      <c r="S226" s="1">
        <f t="shared" si="11"/>
        <v>-51.044136790246597</v>
      </c>
    </row>
    <row r="227" spans="1:23" x14ac:dyDescent="0.2">
      <c r="A227" s="5">
        <v>31928</v>
      </c>
      <c r="B227" s="14">
        <v>7.738088909</v>
      </c>
      <c r="C227" s="14">
        <v>10.8568181818</v>
      </c>
      <c r="D227" s="1">
        <v>11.73</v>
      </c>
      <c r="E227" s="1">
        <v>12.31</v>
      </c>
      <c r="F227" s="1">
        <v>12.709999999999999</v>
      </c>
      <c r="G227" s="1">
        <v>13.16</v>
      </c>
      <c r="H227" s="1">
        <v>189.56</v>
      </c>
      <c r="I227" s="1">
        <v>316.01</v>
      </c>
      <c r="J227" s="1">
        <v>27.360000000000003</v>
      </c>
      <c r="K227" s="1">
        <v>128.60999999999999</v>
      </c>
      <c r="L227" s="1">
        <v>251.20999999999998</v>
      </c>
      <c r="O227" s="5">
        <v>31198</v>
      </c>
      <c r="P227" s="1">
        <v>7.7280889090000002</v>
      </c>
      <c r="Q227" s="8">
        <f t="shared" si="9"/>
        <v>-5.9891864900251668E-2</v>
      </c>
      <c r="R227" s="1">
        <f t="shared" si="10"/>
        <v>-0.44771438914617845</v>
      </c>
      <c r="S227" s="1">
        <f t="shared" si="11"/>
        <v>-44.771438914617846</v>
      </c>
    </row>
    <row r="228" spans="1:23" x14ac:dyDescent="0.2">
      <c r="A228" s="5">
        <v>31958</v>
      </c>
      <c r="B228" s="14">
        <v>7.1853905500000002</v>
      </c>
      <c r="C228" s="14">
        <v>10.166</v>
      </c>
      <c r="D228" s="1">
        <v>10.95</v>
      </c>
      <c r="E228" s="1">
        <v>11.47</v>
      </c>
      <c r="F228" s="1">
        <v>11.99</v>
      </c>
      <c r="G228" s="1">
        <v>12.41</v>
      </c>
      <c r="H228" s="1">
        <v>191.85999999999999</v>
      </c>
      <c r="I228" s="1">
        <v>317.76</v>
      </c>
      <c r="J228" s="1">
        <v>27.51</v>
      </c>
      <c r="K228" s="1">
        <v>130.95999999999998</v>
      </c>
      <c r="L228" s="1">
        <v>248.41</v>
      </c>
      <c r="O228" s="5">
        <v>31228</v>
      </c>
      <c r="P228" s="1">
        <v>7.1753905500000004</v>
      </c>
      <c r="Q228" s="8">
        <f t="shared" si="9"/>
        <v>-7.1518115993248532E-2</v>
      </c>
      <c r="R228" s="1">
        <f t="shared" si="10"/>
        <v>-0.53462502241549426</v>
      </c>
      <c r="S228" s="1">
        <f t="shared" si="11"/>
        <v>-53.462502241549423</v>
      </c>
    </row>
    <row r="229" spans="1:23" x14ac:dyDescent="0.2">
      <c r="A229" s="5">
        <v>31989</v>
      </c>
      <c r="B229" s="14">
        <v>7.3206010908999994</v>
      </c>
      <c r="C229" s="14">
        <v>10.3168181819</v>
      </c>
      <c r="D229" s="1">
        <v>10.98</v>
      </c>
      <c r="E229" s="1">
        <v>11.43</v>
      </c>
      <c r="F229" s="1">
        <v>11.93</v>
      </c>
      <c r="G229" s="1">
        <v>12.44</v>
      </c>
      <c r="H229" s="1">
        <v>190.92999999999998</v>
      </c>
      <c r="I229" s="1">
        <v>325.26</v>
      </c>
      <c r="J229" s="1">
        <v>26.71</v>
      </c>
      <c r="K229" s="1">
        <v>141.10999999999999</v>
      </c>
      <c r="L229" s="1">
        <v>236.45999999999998</v>
      </c>
      <c r="O229" s="5">
        <v>31259</v>
      </c>
      <c r="P229" s="1">
        <v>7.3106010908999997</v>
      </c>
      <c r="Q229" s="8">
        <f t="shared" si="9"/>
        <v>1.8843648991343054E-2</v>
      </c>
      <c r="R229" s="1">
        <f t="shared" si="10"/>
        <v>0.14086341795325705</v>
      </c>
      <c r="S229" s="1">
        <f t="shared" si="11"/>
        <v>14.086341795325705</v>
      </c>
    </row>
    <row r="230" spans="1:23" x14ac:dyDescent="0.2">
      <c r="A230" s="5">
        <v>32020</v>
      </c>
      <c r="B230" s="14">
        <v>7.3754970454999995</v>
      </c>
      <c r="C230" s="14">
        <v>10.341818181899999</v>
      </c>
      <c r="D230" s="1">
        <v>11.06</v>
      </c>
      <c r="E230" s="1">
        <v>11.48</v>
      </c>
      <c r="F230" s="1">
        <v>12.01</v>
      </c>
      <c r="G230" s="1">
        <v>12.51</v>
      </c>
      <c r="H230" s="1">
        <v>188.64</v>
      </c>
      <c r="I230" s="1">
        <v>333.51</v>
      </c>
      <c r="J230" s="1">
        <v>27.16</v>
      </c>
      <c r="K230" s="1">
        <v>139.10999999999999</v>
      </c>
      <c r="L230" s="1">
        <v>239.01</v>
      </c>
      <c r="O230" s="5">
        <v>31290</v>
      </c>
      <c r="P230" s="1">
        <v>7.3654970454999997</v>
      </c>
      <c r="Q230" s="8">
        <f t="shared" si="9"/>
        <v>7.5090890499185381E-3</v>
      </c>
      <c r="R230" s="1">
        <f t="shared" si="10"/>
        <v>5.6133286592890991E-2</v>
      </c>
      <c r="S230" s="1">
        <f t="shared" si="11"/>
        <v>5.613328659289099</v>
      </c>
    </row>
    <row r="231" spans="1:23" x14ac:dyDescent="0.2">
      <c r="A231" s="5">
        <v>32050</v>
      </c>
      <c r="B231" s="14">
        <v>7.33819</v>
      </c>
      <c r="C231" s="14">
        <v>10.3826315791</v>
      </c>
      <c r="D231" s="1">
        <v>11.08</v>
      </c>
      <c r="E231" s="1">
        <v>11.47</v>
      </c>
      <c r="F231" s="1">
        <v>12</v>
      </c>
      <c r="G231" s="1">
        <v>12.49</v>
      </c>
      <c r="H231" s="1">
        <v>182.09</v>
      </c>
      <c r="I231" s="1">
        <v>325.26</v>
      </c>
      <c r="J231" s="1">
        <v>28.16</v>
      </c>
      <c r="K231" s="1">
        <v>140.85999999999999</v>
      </c>
      <c r="L231" s="1">
        <v>216.51</v>
      </c>
      <c r="O231" s="5">
        <v>31320</v>
      </c>
      <c r="P231" s="1">
        <v>7.3281900000000002</v>
      </c>
      <c r="Q231" s="8">
        <f t="shared" si="9"/>
        <v>-5.0651090170203972E-3</v>
      </c>
      <c r="R231" s="1">
        <f t="shared" si="10"/>
        <v>-3.786360957854492E-2</v>
      </c>
      <c r="S231" s="1">
        <f t="shared" si="11"/>
        <v>-3.7863609578544919</v>
      </c>
    </row>
    <row r="232" spans="1:23" x14ac:dyDescent="0.2">
      <c r="A232" s="5">
        <v>32081</v>
      </c>
      <c r="B232" s="14">
        <v>7.4032079999999993</v>
      </c>
      <c r="C232" s="14">
        <v>10.2468181818</v>
      </c>
      <c r="D232" s="1">
        <v>11.03</v>
      </c>
      <c r="E232" s="1">
        <v>11.459999999999999</v>
      </c>
      <c r="F232" s="1">
        <v>11.95</v>
      </c>
      <c r="G232" s="1">
        <v>12.37</v>
      </c>
      <c r="H232" s="1">
        <v>189.82999999999998</v>
      </c>
      <c r="I232" s="1">
        <v>324.51</v>
      </c>
      <c r="J232" s="1">
        <v>29.060000000000002</v>
      </c>
      <c r="K232" s="1">
        <v>144.06</v>
      </c>
      <c r="L232" s="1">
        <v>211.56</v>
      </c>
      <c r="O232" s="5">
        <v>31351</v>
      </c>
      <c r="P232" s="1">
        <v>7.3932079999999996</v>
      </c>
      <c r="Q232" s="8">
        <f t="shared" si="9"/>
        <v>8.8723136272392811E-3</v>
      </c>
      <c r="R232" s="1">
        <f t="shared" si="10"/>
        <v>6.6323906970478352E-2</v>
      </c>
      <c r="S232" s="1">
        <f t="shared" si="11"/>
        <v>6.6323906970478355</v>
      </c>
    </row>
    <row r="233" spans="1:23" x14ac:dyDescent="0.2">
      <c r="A233" s="5">
        <v>32111</v>
      </c>
      <c r="B233" s="14">
        <v>7.4831073683999998</v>
      </c>
      <c r="C233" s="14">
        <v>9.7915789473999997</v>
      </c>
      <c r="D233" s="1">
        <v>10.56</v>
      </c>
      <c r="E233" s="1">
        <v>11.08</v>
      </c>
      <c r="F233" s="1">
        <v>11.549999999999999</v>
      </c>
      <c r="G233" s="1">
        <v>12</v>
      </c>
      <c r="H233" s="1">
        <v>202.17999999999998</v>
      </c>
      <c r="I233" s="1">
        <v>325.01</v>
      </c>
      <c r="J233" s="1">
        <v>30.360000000000003</v>
      </c>
      <c r="K233" s="1">
        <v>148.91</v>
      </c>
      <c r="L233" s="1">
        <v>202.10999999999999</v>
      </c>
      <c r="O233" s="5">
        <v>31381</v>
      </c>
      <c r="P233" s="1">
        <v>7.4731073684</v>
      </c>
      <c r="Q233" s="8">
        <f t="shared" si="9"/>
        <v>1.0807131139824566E-2</v>
      </c>
      <c r="R233" s="1">
        <f t="shared" si="10"/>
        <v>8.0787401172890627E-2</v>
      </c>
      <c r="S233" s="1">
        <f t="shared" si="11"/>
        <v>8.0787401172890618</v>
      </c>
    </row>
    <row r="234" spans="1:23" x14ac:dyDescent="0.2">
      <c r="A234" s="5">
        <v>32142</v>
      </c>
      <c r="B234" s="14">
        <v>7.3382223809999996</v>
      </c>
      <c r="C234" s="14">
        <v>9.2690476192000002</v>
      </c>
      <c r="D234" s="1">
        <v>10.17</v>
      </c>
      <c r="E234" s="1">
        <v>10.64</v>
      </c>
      <c r="F234" s="1">
        <v>11.2</v>
      </c>
      <c r="G234" s="1">
        <v>11.59</v>
      </c>
      <c r="H234" s="1">
        <v>211.29</v>
      </c>
      <c r="I234" s="1">
        <v>327.26</v>
      </c>
      <c r="J234" s="1">
        <v>29.810000000000002</v>
      </c>
      <c r="K234" s="1">
        <v>144.51</v>
      </c>
      <c r="L234" s="1">
        <v>200.26</v>
      </c>
      <c r="O234" s="5">
        <v>31412</v>
      </c>
      <c r="P234" s="1">
        <v>7.3282223809999998</v>
      </c>
      <c r="Q234" s="8">
        <f t="shared" si="9"/>
        <v>-1.9387515829445423E-2</v>
      </c>
      <c r="R234" s="1">
        <f t="shared" si="10"/>
        <v>-0.14492902869360391</v>
      </c>
      <c r="S234" s="1">
        <f t="shared" si="11"/>
        <v>-14.492902869360391</v>
      </c>
    </row>
    <row r="235" spans="1:23" x14ac:dyDescent="0.2">
      <c r="A235" s="5">
        <v>32173</v>
      </c>
      <c r="B235" s="14">
        <v>7.3111993808999998</v>
      </c>
      <c r="C235" s="14">
        <v>9.2038095238000004</v>
      </c>
      <c r="D235" s="1">
        <v>10.06</v>
      </c>
      <c r="E235" s="1">
        <v>10.47</v>
      </c>
      <c r="F235" s="1">
        <v>11.049999999999999</v>
      </c>
      <c r="G235" s="1">
        <v>11.45</v>
      </c>
      <c r="H235" s="1">
        <v>211.79</v>
      </c>
      <c r="I235" s="1">
        <v>349.64</v>
      </c>
      <c r="J235" s="1">
        <v>26.610000000000003</v>
      </c>
      <c r="K235" s="1">
        <v>141.20999999999998</v>
      </c>
      <c r="L235" s="1">
        <v>192.31</v>
      </c>
      <c r="O235" s="5">
        <v>31443</v>
      </c>
      <c r="P235" s="1">
        <v>7.3011993809</v>
      </c>
      <c r="Q235" s="8">
        <f t="shared" si="9"/>
        <v>-3.6875245721339489E-3</v>
      </c>
      <c r="R235" s="1">
        <f t="shared" si="10"/>
        <v>-2.7565643748514109E-2</v>
      </c>
      <c r="S235" s="1">
        <f t="shared" si="11"/>
        <v>-2.7565643748514108</v>
      </c>
    </row>
    <row r="236" spans="1:23" x14ac:dyDescent="0.2">
      <c r="A236" s="5">
        <v>32202</v>
      </c>
      <c r="B236" s="14">
        <v>7.3010999474</v>
      </c>
      <c r="C236" s="14">
        <v>8.7142105263000005</v>
      </c>
      <c r="D236" s="1">
        <v>9.68</v>
      </c>
      <c r="E236" s="1">
        <v>10.14</v>
      </c>
      <c r="F236" s="1">
        <v>10.68</v>
      </c>
      <c r="G236" s="1">
        <v>11.12</v>
      </c>
      <c r="H236" s="1">
        <v>226.92999999999998</v>
      </c>
      <c r="I236" s="1">
        <v>337.01</v>
      </c>
      <c r="J236" s="1">
        <v>17.16</v>
      </c>
      <c r="K236" s="1">
        <v>144.60999999999999</v>
      </c>
      <c r="L236" s="1">
        <v>180.56</v>
      </c>
      <c r="O236" s="5">
        <v>31471</v>
      </c>
      <c r="P236" s="1">
        <v>7.2910999474000002</v>
      </c>
      <c r="Q236" s="8">
        <f t="shared" si="9"/>
        <v>-1.3832567737322998E-3</v>
      </c>
      <c r="R236" s="1">
        <f t="shared" si="10"/>
        <v>-1.0340368637966186E-2</v>
      </c>
      <c r="S236" s="1">
        <f t="shared" si="11"/>
        <v>-1.0340368637966186</v>
      </c>
      <c r="V236" s="5">
        <v>32263</v>
      </c>
      <c r="W236" s="1">
        <v>6.0788312500000004</v>
      </c>
    </row>
    <row r="237" spans="1:23" x14ac:dyDescent="0.2">
      <c r="A237" s="5">
        <v>32233</v>
      </c>
      <c r="B237" s="14">
        <v>6.7726084999999996</v>
      </c>
      <c r="C237" s="14">
        <v>7.7885</v>
      </c>
      <c r="D237" s="1">
        <v>9.01</v>
      </c>
      <c r="E237" s="1">
        <v>9.5</v>
      </c>
      <c r="F237" s="1">
        <v>10.16</v>
      </c>
      <c r="G237" s="1">
        <v>10.5</v>
      </c>
      <c r="H237" s="1">
        <v>238.91</v>
      </c>
      <c r="I237" s="1">
        <v>343.76</v>
      </c>
      <c r="J237" s="1">
        <v>12.11</v>
      </c>
      <c r="K237" s="1">
        <v>147.35999999999999</v>
      </c>
      <c r="L237" s="1">
        <v>177.60999999999999</v>
      </c>
      <c r="O237" s="5">
        <v>31502</v>
      </c>
      <c r="P237" s="1">
        <v>6.7626084999999998</v>
      </c>
      <c r="Q237" s="8">
        <f t="shared" si="9"/>
        <v>-7.2484460672968876E-2</v>
      </c>
      <c r="R237" s="1">
        <f t="shared" si="10"/>
        <v>-0.54184881514103744</v>
      </c>
      <c r="S237" s="1">
        <f t="shared" si="11"/>
        <v>-54.184881514103743</v>
      </c>
      <c r="V237" s="5">
        <v>32294</v>
      </c>
      <c r="W237" s="1">
        <v>6.4448894285999998</v>
      </c>
    </row>
    <row r="238" spans="1:23" x14ac:dyDescent="0.2">
      <c r="A238" s="5">
        <v>32263</v>
      </c>
      <c r="B238" s="14">
        <v>6.2449562271999994</v>
      </c>
      <c r="C238" s="14">
        <v>7.3090909091</v>
      </c>
      <c r="D238" s="1">
        <v>8.7999999999999989</v>
      </c>
      <c r="E238" s="1">
        <v>9.2200000000000006</v>
      </c>
      <c r="F238" s="1">
        <v>9.84</v>
      </c>
      <c r="G238" s="1">
        <v>10.199999999999999</v>
      </c>
      <c r="H238" s="1">
        <v>235.53</v>
      </c>
      <c r="I238" s="1">
        <v>345.76</v>
      </c>
      <c r="J238" s="1">
        <v>11.31</v>
      </c>
      <c r="K238" s="1">
        <v>155.10999999999999</v>
      </c>
      <c r="L238" s="1">
        <v>167.60999999999999</v>
      </c>
      <c r="O238" s="5">
        <v>31532</v>
      </c>
      <c r="P238" s="1">
        <v>6.2349562271999996</v>
      </c>
      <c r="Q238" s="8">
        <f t="shared" si="9"/>
        <v>-7.8024962231659556E-2</v>
      </c>
      <c r="R238" s="1">
        <f t="shared" si="10"/>
        <v>-0.583266164142341</v>
      </c>
      <c r="S238" s="1">
        <f t="shared" si="11"/>
        <v>-58.326616414234103</v>
      </c>
      <c r="V238" s="5">
        <v>32324</v>
      </c>
      <c r="W238" s="1">
        <v>6.6567790000000002</v>
      </c>
    </row>
    <row r="239" spans="1:23" x14ac:dyDescent="0.2">
      <c r="A239" s="5">
        <v>32294</v>
      </c>
      <c r="B239" s="14">
        <v>6.3349535499999998</v>
      </c>
      <c r="C239" s="14">
        <v>7.7195238096000001</v>
      </c>
      <c r="D239" s="1">
        <v>9.1</v>
      </c>
      <c r="E239" s="1">
        <v>9.44</v>
      </c>
      <c r="F239" s="1">
        <v>9.9499999999999993</v>
      </c>
      <c r="G239" s="1">
        <v>10.299999999999999</v>
      </c>
      <c r="H239" s="1">
        <v>247.35999999999999</v>
      </c>
      <c r="I239" s="1">
        <v>343.51</v>
      </c>
      <c r="J239" s="1">
        <v>13.91</v>
      </c>
      <c r="K239" s="1">
        <v>147.23999999999998</v>
      </c>
      <c r="L239" s="1">
        <v>174.51</v>
      </c>
      <c r="O239" s="5">
        <v>31563</v>
      </c>
      <c r="P239" s="1">
        <v>6.32495355</v>
      </c>
      <c r="Q239" s="8">
        <f t="shared" si="9"/>
        <v>1.4434315097095141E-2</v>
      </c>
      <c r="R239" s="1">
        <f t="shared" si="10"/>
        <v>0.10790197595620798</v>
      </c>
      <c r="S239" s="1">
        <f t="shared" si="11"/>
        <v>10.790197595620798</v>
      </c>
      <c r="V239" s="5">
        <v>32355</v>
      </c>
      <c r="W239" s="1">
        <v>6.8836250000000003</v>
      </c>
    </row>
    <row r="240" spans="1:23" x14ac:dyDescent="0.2">
      <c r="A240" s="5">
        <v>32324</v>
      </c>
      <c r="B240" s="14">
        <v>6.4046114285</v>
      </c>
      <c r="C240" s="14">
        <v>7.8095238095999999</v>
      </c>
      <c r="D240" s="1">
        <v>9.14</v>
      </c>
      <c r="E240" s="1">
        <v>9.5</v>
      </c>
      <c r="F240" s="1">
        <v>9.9700000000000006</v>
      </c>
      <c r="G240" s="1">
        <v>10.35</v>
      </c>
      <c r="H240" s="1">
        <v>250.85</v>
      </c>
      <c r="I240" s="1">
        <v>347.51</v>
      </c>
      <c r="J240" s="1">
        <v>13.81</v>
      </c>
      <c r="K240" s="1">
        <v>153.20999999999998</v>
      </c>
      <c r="L240" s="1">
        <v>163.81</v>
      </c>
      <c r="O240" s="5">
        <v>31593</v>
      </c>
      <c r="P240" s="1">
        <v>6.3946114285000002</v>
      </c>
      <c r="Q240" s="8">
        <f t="shared" si="9"/>
        <v>1.1013184199589965E-2</v>
      </c>
      <c r="R240" s="1">
        <f t="shared" si="10"/>
        <v>8.2327725888746636E-2</v>
      </c>
      <c r="S240" s="1">
        <f t="shared" si="11"/>
        <v>8.2327725888746635</v>
      </c>
      <c r="V240" s="5">
        <v>32386</v>
      </c>
      <c r="W240" s="1">
        <v>7.2894669131000001</v>
      </c>
    </row>
    <row r="241" spans="1:23" x14ac:dyDescent="0.2">
      <c r="A241" s="5">
        <v>32355</v>
      </c>
      <c r="B241" s="14">
        <v>6.0069926363999997</v>
      </c>
      <c r="C241" s="14">
        <v>7.3131818180999995</v>
      </c>
      <c r="D241" s="1">
        <v>8.89</v>
      </c>
      <c r="E241" s="1">
        <v>9.2899999999999991</v>
      </c>
      <c r="F241" s="1">
        <v>9.77</v>
      </c>
      <c r="G241" s="1">
        <v>10.17</v>
      </c>
      <c r="H241" s="1">
        <v>236.13</v>
      </c>
      <c r="I241" s="1">
        <v>358.89</v>
      </c>
      <c r="J241" s="1">
        <v>12.29</v>
      </c>
      <c r="K241" s="1">
        <v>149.16</v>
      </c>
      <c r="L241" s="1">
        <v>153.85999999999999</v>
      </c>
      <c r="O241" s="5">
        <v>31624</v>
      </c>
      <c r="P241" s="1">
        <v>5.9969926363999999</v>
      </c>
      <c r="Q241" s="8">
        <f t="shared" si="9"/>
        <v>-6.2180289849647741E-2</v>
      </c>
      <c r="R241" s="1">
        <f t="shared" si="10"/>
        <v>-0.46482123295596989</v>
      </c>
      <c r="S241" s="1">
        <f t="shared" si="11"/>
        <v>-46.482123295596992</v>
      </c>
      <c r="V241" s="5">
        <v>32416</v>
      </c>
      <c r="W241" s="1">
        <v>7.4753790000000002</v>
      </c>
    </row>
    <row r="242" spans="1:23" x14ac:dyDescent="0.2">
      <c r="A242" s="5">
        <v>32386</v>
      </c>
      <c r="B242" s="14">
        <v>5.6925125714</v>
      </c>
      <c r="C242" s="14">
        <v>7.1757142856999998</v>
      </c>
      <c r="D242" s="1">
        <v>8.73</v>
      </c>
      <c r="E242" s="1">
        <v>9.23</v>
      </c>
      <c r="F242" s="1">
        <v>9.65</v>
      </c>
      <c r="G242" s="1">
        <v>10.19</v>
      </c>
      <c r="H242" s="1">
        <v>252.94</v>
      </c>
      <c r="I242" s="1">
        <v>385.26</v>
      </c>
      <c r="J242" s="1">
        <v>11.56</v>
      </c>
      <c r="K242" s="1">
        <v>148.81</v>
      </c>
      <c r="L242" s="1">
        <v>154.56</v>
      </c>
      <c r="O242" s="5">
        <v>31655</v>
      </c>
      <c r="P242" s="1">
        <v>5.6825125714000002</v>
      </c>
      <c r="Q242" s="8">
        <f t="shared" si="9"/>
        <v>-5.243962833824356E-2</v>
      </c>
      <c r="R242" s="1">
        <f t="shared" si="10"/>
        <v>-0.39200609644751083</v>
      </c>
      <c r="S242" s="1">
        <f t="shared" si="11"/>
        <v>-39.200609644751083</v>
      </c>
    </row>
    <row r="243" spans="1:23" x14ac:dyDescent="0.2">
      <c r="A243" s="5">
        <v>32416</v>
      </c>
      <c r="B243" s="14">
        <v>5.3615803333100001</v>
      </c>
      <c r="C243" s="14">
        <v>7.4576190475999997</v>
      </c>
      <c r="D243" s="1">
        <v>8.9</v>
      </c>
      <c r="E243" s="1">
        <v>9.3699999999999992</v>
      </c>
      <c r="F243" s="1">
        <v>9.74</v>
      </c>
      <c r="G243" s="1">
        <v>10.209999999999999</v>
      </c>
      <c r="H243" s="1">
        <v>231.32999999999998</v>
      </c>
      <c r="I243" s="1">
        <v>423.64</v>
      </c>
      <c r="J243" s="1">
        <v>15.91</v>
      </c>
      <c r="K243" s="1">
        <v>144.69</v>
      </c>
      <c r="L243" s="1">
        <v>154.35999999999999</v>
      </c>
      <c r="O243" s="5">
        <v>31685</v>
      </c>
      <c r="P243" s="1">
        <v>5.3515803333100003</v>
      </c>
      <c r="Q243" s="8">
        <f t="shared" si="9"/>
        <v>-5.8236956615912661E-2</v>
      </c>
      <c r="R243" s="1">
        <f t="shared" si="10"/>
        <v>-0.43534332251050456</v>
      </c>
      <c r="S243" s="1">
        <f t="shared" si="11"/>
        <v>-43.534332251050458</v>
      </c>
    </row>
    <row r="244" spans="1:23" x14ac:dyDescent="0.2">
      <c r="A244" s="5">
        <v>32447</v>
      </c>
      <c r="B244" s="14">
        <v>5.3303958182699995</v>
      </c>
      <c r="C244" s="14">
        <v>7.4363636363999994</v>
      </c>
      <c r="D244" s="1">
        <v>8.8699999999999992</v>
      </c>
      <c r="E244" s="1">
        <v>9.34</v>
      </c>
      <c r="F244" s="1">
        <v>9.73</v>
      </c>
      <c r="G244" s="1">
        <v>10.25</v>
      </c>
      <c r="H244" s="1">
        <v>243.98999999999998</v>
      </c>
      <c r="I244" s="1">
        <v>400.64</v>
      </c>
      <c r="J244" s="1">
        <v>15.26</v>
      </c>
      <c r="K244" s="1">
        <v>140.56</v>
      </c>
      <c r="L244" s="1">
        <v>163.41</v>
      </c>
      <c r="O244" s="5">
        <v>31716</v>
      </c>
      <c r="P244" s="1">
        <v>5.3203958182699997</v>
      </c>
      <c r="Q244" s="8">
        <f t="shared" si="9"/>
        <v>-5.8271600345598529E-3</v>
      </c>
      <c r="R244" s="1">
        <f t="shared" si="10"/>
        <v>-4.3560229751987999E-2</v>
      </c>
      <c r="S244" s="1">
        <f t="shared" si="11"/>
        <v>-4.3560229751988002</v>
      </c>
    </row>
    <row r="245" spans="1:23" x14ac:dyDescent="0.2">
      <c r="A245" s="5">
        <v>32477</v>
      </c>
      <c r="B245" s="14">
        <v>5.5074585119099995</v>
      </c>
      <c r="C245" s="14">
        <v>7.2605555555999999</v>
      </c>
      <c r="D245" s="1">
        <v>8.69</v>
      </c>
      <c r="E245" s="1">
        <v>9.2099999999999991</v>
      </c>
      <c r="F245" s="1">
        <v>9.52</v>
      </c>
      <c r="G245" s="1">
        <v>10.08</v>
      </c>
      <c r="H245" s="1">
        <v>249.23</v>
      </c>
      <c r="I245" s="1">
        <v>389.26</v>
      </c>
      <c r="J245" s="1">
        <v>14.709999999999999</v>
      </c>
      <c r="K245" s="1">
        <v>143.35999999999999</v>
      </c>
      <c r="L245" s="1">
        <v>162.06</v>
      </c>
      <c r="O245" s="5">
        <v>31746</v>
      </c>
      <c r="P245" s="1">
        <v>5.4974585119099997</v>
      </c>
      <c r="Q245" s="8">
        <f t="shared" si="9"/>
        <v>3.3279985115388433E-2</v>
      </c>
      <c r="R245" s="1">
        <f t="shared" si="10"/>
        <v>0.24878050185188727</v>
      </c>
      <c r="S245" s="1">
        <f t="shared" si="11"/>
        <v>24.878050185188727</v>
      </c>
    </row>
    <row r="246" spans="1:23" x14ac:dyDescent="0.2">
      <c r="A246" s="5">
        <v>32508</v>
      </c>
      <c r="B246" s="14">
        <v>5.6935303635999999</v>
      </c>
      <c r="C246" s="14">
        <v>7.1227272726999997</v>
      </c>
      <c r="D246" s="1">
        <v>8.5</v>
      </c>
      <c r="E246" s="1">
        <v>9.0299999999999994</v>
      </c>
      <c r="F246" s="1">
        <v>9.42</v>
      </c>
      <c r="G246" s="1">
        <v>9.98</v>
      </c>
      <c r="H246" s="1">
        <v>242.17999999999998</v>
      </c>
      <c r="I246" s="1">
        <v>391.01</v>
      </c>
      <c r="J246" s="1">
        <v>15.26</v>
      </c>
      <c r="K246" s="1">
        <v>148.26</v>
      </c>
      <c r="L246" s="1">
        <v>158.31</v>
      </c>
      <c r="O246" s="5">
        <v>31777</v>
      </c>
      <c r="P246" s="1">
        <v>5.6835303636000001</v>
      </c>
      <c r="Q246" s="8">
        <f t="shared" si="9"/>
        <v>3.3846886026858369E-2</v>
      </c>
      <c r="R246" s="1">
        <f t="shared" si="10"/>
        <v>0.25301830102057049</v>
      </c>
      <c r="S246" s="1">
        <f t="shared" si="11"/>
        <v>25.30183010205705</v>
      </c>
    </row>
    <row r="247" spans="1:23" x14ac:dyDescent="0.2">
      <c r="A247" s="5">
        <v>32539</v>
      </c>
      <c r="B247" s="14">
        <v>5.5880739999999998</v>
      </c>
      <c r="C247" s="14">
        <v>7.0945</v>
      </c>
      <c r="D247" s="1">
        <v>8.3699999999999992</v>
      </c>
      <c r="E247" s="1">
        <v>8.8699999999999992</v>
      </c>
      <c r="F247" s="1">
        <v>9.24</v>
      </c>
      <c r="G247" s="1">
        <v>9.73</v>
      </c>
      <c r="H247" s="1">
        <v>274.08999999999997</v>
      </c>
      <c r="I247" s="1">
        <v>404.39</v>
      </c>
      <c r="J247" s="1">
        <v>17.71</v>
      </c>
      <c r="K247" s="1">
        <v>151.41</v>
      </c>
      <c r="L247" s="1">
        <v>153.66</v>
      </c>
      <c r="O247" s="5">
        <v>31808</v>
      </c>
      <c r="P247" s="1">
        <v>5.578074</v>
      </c>
      <c r="Q247" s="8">
        <f t="shared" si="9"/>
        <v>-1.8554728637572238E-2</v>
      </c>
      <c r="R247" s="1">
        <f t="shared" si="10"/>
        <v>-0.13870362880800613</v>
      </c>
      <c r="S247" s="1">
        <f t="shared" si="11"/>
        <v>-13.870362880800613</v>
      </c>
    </row>
    <row r="248" spans="1:23" x14ac:dyDescent="0.2">
      <c r="A248" s="5">
        <v>32567</v>
      </c>
      <c r="B248" s="14">
        <v>5.7618554735999998</v>
      </c>
      <c r="C248" s="14">
        <v>7.2605263159</v>
      </c>
      <c r="D248" s="1">
        <v>8.39</v>
      </c>
      <c r="E248" s="1">
        <v>8.89</v>
      </c>
      <c r="F248" s="1">
        <v>9.2099999999999991</v>
      </c>
      <c r="G248" s="1">
        <v>9.66</v>
      </c>
      <c r="H248" s="1">
        <v>284.20999999999998</v>
      </c>
      <c r="I248" s="1">
        <v>405.51</v>
      </c>
      <c r="J248" s="1">
        <v>18.560000000000002</v>
      </c>
      <c r="K248" s="1">
        <v>154.60999999999999</v>
      </c>
      <c r="L248" s="1">
        <v>153.28</v>
      </c>
      <c r="O248" s="5">
        <v>31836</v>
      </c>
      <c r="P248" s="1">
        <v>5.7518554736</v>
      </c>
      <c r="Q248" s="8">
        <f t="shared" si="9"/>
        <v>3.1154386549909541E-2</v>
      </c>
      <c r="R248" s="1">
        <f t="shared" si="10"/>
        <v>0.23289084697307624</v>
      </c>
      <c r="S248" s="1">
        <f t="shared" si="11"/>
        <v>23.289084697307626</v>
      </c>
    </row>
    <row r="249" spans="1:23" x14ac:dyDescent="0.2">
      <c r="A249" s="5">
        <v>32598</v>
      </c>
      <c r="B249" s="14">
        <v>5.7598730909000002</v>
      </c>
      <c r="C249" s="14">
        <v>7.2586363636</v>
      </c>
      <c r="D249" s="1">
        <v>8.3699999999999992</v>
      </c>
      <c r="E249" s="1">
        <v>8.85</v>
      </c>
      <c r="F249" s="1">
        <v>9.14</v>
      </c>
      <c r="G249" s="1">
        <v>9.6199999999999992</v>
      </c>
      <c r="H249" s="1">
        <v>291.70999999999998</v>
      </c>
      <c r="I249" s="1">
        <v>419.51</v>
      </c>
      <c r="J249" s="1">
        <v>16.510000000000002</v>
      </c>
      <c r="K249" s="1">
        <v>160.70999999999998</v>
      </c>
      <c r="L249" s="1">
        <v>145.69</v>
      </c>
      <c r="O249" s="5">
        <v>31867</v>
      </c>
      <c r="P249" s="1">
        <v>5.7498730909000004</v>
      </c>
      <c r="Q249" s="8">
        <f t="shared" si="9"/>
        <v>-3.4465099290104106E-4</v>
      </c>
      <c r="R249" s="1">
        <f t="shared" si="10"/>
        <v>-2.5763967946615916E-3</v>
      </c>
      <c r="S249" s="1">
        <f t="shared" si="11"/>
        <v>-0.25763967946615918</v>
      </c>
    </row>
    <row r="250" spans="1:23" x14ac:dyDescent="0.2">
      <c r="A250" s="5">
        <v>32628</v>
      </c>
      <c r="B250" s="14">
        <v>5.8062147142999994</v>
      </c>
      <c r="C250" s="14">
        <v>8.0328571428999993</v>
      </c>
      <c r="D250" s="1">
        <v>8.86</v>
      </c>
      <c r="E250" s="1">
        <v>9.16</v>
      </c>
      <c r="F250" s="1">
        <v>9.3699999999999992</v>
      </c>
      <c r="G250" s="1">
        <v>10.049999999999999</v>
      </c>
      <c r="H250" s="1">
        <v>288.37</v>
      </c>
      <c r="I250" s="1">
        <v>452.76</v>
      </c>
      <c r="J250" s="1">
        <v>18.810000000000002</v>
      </c>
      <c r="K250" s="1">
        <v>166.06</v>
      </c>
      <c r="L250" s="1">
        <v>140.67999999999998</v>
      </c>
      <c r="O250" s="5">
        <v>31897</v>
      </c>
      <c r="P250" s="1">
        <v>5.7962147142999996</v>
      </c>
      <c r="Q250" s="8">
        <f t="shared" si="9"/>
        <v>8.0595906496339076E-3</v>
      </c>
      <c r="R250" s="1">
        <f t="shared" si="10"/>
        <v>6.0248494690869674E-2</v>
      </c>
      <c r="S250" s="1">
        <f t="shared" si="11"/>
        <v>6.0248494690869672</v>
      </c>
    </row>
    <row r="251" spans="1:23" x14ac:dyDescent="0.2">
      <c r="A251" s="5">
        <v>32659</v>
      </c>
      <c r="B251" s="14">
        <v>5.8404111499999996</v>
      </c>
      <c r="C251" s="14">
        <v>8.6229999999999993</v>
      </c>
      <c r="D251" s="1">
        <v>9.34</v>
      </c>
      <c r="E251" s="1">
        <v>9.6</v>
      </c>
      <c r="F251" s="1">
        <v>9.84</v>
      </c>
      <c r="G251" s="1">
        <v>10.52</v>
      </c>
      <c r="H251" s="1">
        <v>290.11</v>
      </c>
      <c r="I251" s="1">
        <v>451.76</v>
      </c>
      <c r="J251" s="1">
        <v>18.860000000000003</v>
      </c>
      <c r="K251" s="1">
        <v>162.95999999999998</v>
      </c>
      <c r="L251" s="1">
        <v>144.10999999999999</v>
      </c>
      <c r="O251" s="5">
        <v>31928</v>
      </c>
      <c r="P251" s="1">
        <v>5.8304111499999998</v>
      </c>
      <c r="Q251" s="8">
        <f t="shared" si="9"/>
        <v>5.8997876002822025E-3</v>
      </c>
      <c r="R251" s="1">
        <f t="shared" si="10"/>
        <v>4.410314833160997E-2</v>
      </c>
      <c r="S251" s="1">
        <f t="shared" si="11"/>
        <v>4.4103148331609967</v>
      </c>
    </row>
    <row r="252" spans="1:23" x14ac:dyDescent="0.2">
      <c r="A252" s="5">
        <v>32689</v>
      </c>
      <c r="B252" s="14">
        <v>5.8395348180999997</v>
      </c>
      <c r="C252" s="14">
        <v>8.4122727273999995</v>
      </c>
      <c r="D252" s="1">
        <v>9.33</v>
      </c>
      <c r="E252" s="1">
        <v>9.66</v>
      </c>
      <c r="F252" s="1">
        <v>9.99</v>
      </c>
      <c r="G252" s="1">
        <v>10.53</v>
      </c>
      <c r="H252" s="1">
        <v>304.01</v>
      </c>
      <c r="I252" s="1">
        <v>446.76</v>
      </c>
      <c r="J252" s="1">
        <v>19.610000000000003</v>
      </c>
      <c r="K252" s="1">
        <v>161.29</v>
      </c>
      <c r="L252" s="1">
        <v>146.81</v>
      </c>
      <c r="O252" s="5">
        <v>31958</v>
      </c>
      <c r="P252" s="1">
        <v>5.8295348181</v>
      </c>
      <c r="Q252" s="8">
        <f t="shared" si="9"/>
        <v>-1.5030361966839045E-4</v>
      </c>
      <c r="R252" s="1">
        <f t="shared" si="10"/>
        <v>-1.123576522093073E-3</v>
      </c>
      <c r="S252" s="1">
        <f t="shared" si="11"/>
        <v>-0.1123576522093073</v>
      </c>
    </row>
    <row r="253" spans="1:23" x14ac:dyDescent="0.2">
      <c r="A253" s="5">
        <v>32720</v>
      </c>
      <c r="B253" s="14">
        <v>5.8647081363</v>
      </c>
      <c r="C253" s="14">
        <v>8.4568181818999992</v>
      </c>
      <c r="D253" s="1">
        <v>9.43</v>
      </c>
      <c r="E253" s="1">
        <v>9.65</v>
      </c>
      <c r="F253" s="1">
        <v>10.01</v>
      </c>
      <c r="G253" s="1">
        <v>10.62</v>
      </c>
      <c r="H253" s="1">
        <v>318.67</v>
      </c>
      <c r="I253" s="1">
        <v>461.76</v>
      </c>
      <c r="J253" s="1">
        <v>20.560000000000002</v>
      </c>
      <c r="K253" s="1">
        <v>159.10999999999999</v>
      </c>
      <c r="L253" s="1">
        <v>149.91</v>
      </c>
      <c r="O253" s="5">
        <v>31989</v>
      </c>
      <c r="P253" s="1">
        <v>5.8547081363000002</v>
      </c>
      <c r="Q253" s="8">
        <f t="shared" si="9"/>
        <v>4.318237901562938E-3</v>
      </c>
      <c r="R253" s="1">
        <f t="shared" si="10"/>
        <v>3.2280464926347653E-2</v>
      </c>
      <c r="S253" s="1">
        <f t="shared" si="11"/>
        <v>3.2280464926347654</v>
      </c>
    </row>
    <row r="254" spans="1:23" x14ac:dyDescent="0.2">
      <c r="A254" s="5">
        <v>32751</v>
      </c>
      <c r="B254" s="14">
        <v>6.2238610475999998</v>
      </c>
      <c r="C254" s="14">
        <v>8.7704761905000002</v>
      </c>
      <c r="D254" s="1">
        <v>9.68</v>
      </c>
      <c r="E254" s="1">
        <v>9.8699999999999992</v>
      </c>
      <c r="F254" s="1">
        <v>10.209999999999999</v>
      </c>
      <c r="G254" s="1">
        <v>10.81</v>
      </c>
      <c r="H254" s="1">
        <v>329.81</v>
      </c>
      <c r="I254" s="1">
        <v>453.76</v>
      </c>
      <c r="J254" s="1">
        <v>22.26</v>
      </c>
      <c r="K254" s="1">
        <v>163.29</v>
      </c>
      <c r="L254" s="1">
        <v>141.76</v>
      </c>
      <c r="O254" s="5">
        <v>32020</v>
      </c>
      <c r="P254" s="1">
        <v>6.2138610476</v>
      </c>
      <c r="Q254" s="8">
        <f t="shared" si="9"/>
        <v>6.1344289576657385E-2</v>
      </c>
      <c r="R254" s="1">
        <f t="shared" si="10"/>
        <v>0.45857181407126352</v>
      </c>
      <c r="S254" s="1">
        <f t="shared" si="11"/>
        <v>45.857181407126355</v>
      </c>
    </row>
    <row r="255" spans="1:23" x14ac:dyDescent="0.2">
      <c r="A255" s="5">
        <v>32781</v>
      </c>
      <c r="B255" s="14">
        <v>6.6024580951999994</v>
      </c>
      <c r="C255" s="14">
        <v>9.4319047620000003</v>
      </c>
      <c r="D255" s="1">
        <v>10.19</v>
      </c>
      <c r="E255" s="1">
        <v>10.36</v>
      </c>
      <c r="F255" s="1">
        <v>10.73</v>
      </c>
      <c r="G255" s="1">
        <v>11.32</v>
      </c>
      <c r="H255" s="1">
        <v>321.83999999999997</v>
      </c>
      <c r="I255" s="1">
        <v>459.26</v>
      </c>
      <c r="J255" s="1">
        <v>19.62</v>
      </c>
      <c r="K255" s="1">
        <v>162.48999999999998</v>
      </c>
      <c r="L255" s="1">
        <v>146.51999999999998</v>
      </c>
      <c r="O255" s="5">
        <v>32050</v>
      </c>
      <c r="P255" s="1">
        <v>6.5924580951999996</v>
      </c>
      <c r="Q255" s="8">
        <f t="shared" si="9"/>
        <v>6.0927826467285895E-2</v>
      </c>
      <c r="R255" s="1">
        <f t="shared" si="10"/>
        <v>0.45545859448919318</v>
      </c>
      <c r="S255" s="1">
        <f t="shared" si="11"/>
        <v>45.545859448919316</v>
      </c>
    </row>
    <row r="256" spans="1:23" x14ac:dyDescent="0.2">
      <c r="A256" s="5">
        <v>32812</v>
      </c>
      <c r="B256" s="14">
        <v>6.3267794760999996</v>
      </c>
      <c r="C256" s="14">
        <v>9.5300000000999994</v>
      </c>
      <c r="D256" s="1">
        <v>10.53</v>
      </c>
      <c r="E256" s="1">
        <v>10.75</v>
      </c>
      <c r="F256" s="1">
        <v>10.99</v>
      </c>
      <c r="G256" s="1">
        <v>11.629999999999999</v>
      </c>
      <c r="H256" s="1">
        <v>251.79999999999998</v>
      </c>
      <c r="I256" s="1">
        <v>467.76</v>
      </c>
      <c r="J256" s="1">
        <v>19.62</v>
      </c>
      <c r="K256" s="1">
        <v>172.16</v>
      </c>
      <c r="L256" s="1">
        <v>138.41999999999999</v>
      </c>
      <c r="O256" s="5">
        <v>32081</v>
      </c>
      <c r="P256" s="1">
        <v>6.3167794760999998</v>
      </c>
      <c r="Q256" s="8">
        <f t="shared" si="9"/>
        <v>-4.1817272877429867E-2</v>
      </c>
      <c r="R256" s="1">
        <f t="shared" si="10"/>
        <v>-0.3125999635052088</v>
      </c>
      <c r="S256" s="1">
        <f t="shared" si="11"/>
        <v>-31.259996350520879</v>
      </c>
    </row>
    <row r="257" spans="1:24" x14ac:dyDescent="0.2">
      <c r="A257" s="5">
        <v>32842</v>
      </c>
      <c r="B257" s="14">
        <v>5.8672796315999998</v>
      </c>
      <c r="C257" s="14">
        <v>8.8705263157999994</v>
      </c>
      <c r="D257" s="1">
        <v>10.02</v>
      </c>
      <c r="E257" s="1">
        <v>10.28</v>
      </c>
      <c r="F257" s="1">
        <v>10.64</v>
      </c>
      <c r="G257" s="1">
        <v>11.24</v>
      </c>
      <c r="H257" s="1">
        <v>230.31</v>
      </c>
      <c r="I257" s="1">
        <v>492.64</v>
      </c>
      <c r="J257" s="1">
        <v>19.66</v>
      </c>
      <c r="K257" s="1">
        <v>182.57</v>
      </c>
      <c r="L257" s="1">
        <v>132.42999999999998</v>
      </c>
      <c r="O257" s="5">
        <v>32111</v>
      </c>
      <c r="P257" s="1">
        <v>5.8572796316</v>
      </c>
      <c r="Q257" s="8">
        <f t="shared" si="9"/>
        <v>-7.274273959357791E-2</v>
      </c>
      <c r="R257" s="1">
        <f t="shared" si="10"/>
        <v>-0.54377954796030081</v>
      </c>
      <c r="S257" s="1">
        <f t="shared" si="11"/>
        <v>-54.377954796030082</v>
      </c>
    </row>
    <row r="258" spans="1:24" x14ac:dyDescent="0.2">
      <c r="A258" s="5">
        <v>32873</v>
      </c>
      <c r="B258" s="14">
        <v>5.9434633635999994</v>
      </c>
      <c r="C258" s="14">
        <v>8.9977272728000006</v>
      </c>
      <c r="D258" s="1">
        <v>10.119999999999999</v>
      </c>
      <c r="E258" s="1">
        <v>10.34</v>
      </c>
      <c r="F258" s="1">
        <v>10.629999999999999</v>
      </c>
      <c r="G258" s="1">
        <v>11.299999999999999</v>
      </c>
      <c r="H258" s="1">
        <v>247.09</v>
      </c>
      <c r="I258" s="1">
        <v>486.51</v>
      </c>
      <c r="J258" s="1">
        <v>18.46</v>
      </c>
      <c r="K258" s="1">
        <v>188.60999999999999</v>
      </c>
      <c r="L258" s="1">
        <v>121.26</v>
      </c>
      <c r="O258" s="5">
        <v>32142</v>
      </c>
      <c r="P258" s="1">
        <v>5.9334633635999996</v>
      </c>
      <c r="Q258" s="8">
        <f t="shared" si="9"/>
        <v>1.3006674905700066E-2</v>
      </c>
      <c r="R258" s="1">
        <f t="shared" si="10"/>
        <v>9.7229824449897265E-2</v>
      </c>
      <c r="S258" s="1">
        <f t="shared" si="11"/>
        <v>9.7229824449897269</v>
      </c>
    </row>
    <row r="259" spans="1:24" x14ac:dyDescent="0.2">
      <c r="A259" s="5">
        <v>32904</v>
      </c>
      <c r="B259" s="14">
        <v>5.9913813683999999</v>
      </c>
      <c r="C259" s="14">
        <v>8.6757894736000001</v>
      </c>
      <c r="D259" s="1">
        <v>9.89</v>
      </c>
      <c r="E259" s="1">
        <v>10.1</v>
      </c>
      <c r="F259" s="1">
        <v>10.44</v>
      </c>
      <c r="G259" s="1">
        <v>11.08</v>
      </c>
      <c r="H259" s="1">
        <v>257.08</v>
      </c>
      <c r="I259" s="1">
        <v>456.26</v>
      </c>
      <c r="J259" s="1">
        <v>16.720000000000002</v>
      </c>
      <c r="K259" s="1">
        <v>176.92</v>
      </c>
      <c r="L259" s="1">
        <v>127.76</v>
      </c>
      <c r="O259" s="5">
        <v>32173</v>
      </c>
      <c r="P259" s="1">
        <v>5.9813813684000001</v>
      </c>
      <c r="Q259" s="8">
        <f t="shared" si="9"/>
        <v>8.0758912398386506E-3</v>
      </c>
      <c r="R259" s="1">
        <f t="shared" si="10"/>
        <v>6.0370347780573812E-2</v>
      </c>
      <c r="S259" s="1">
        <f t="shared" si="11"/>
        <v>6.0370347780573814</v>
      </c>
    </row>
    <row r="260" spans="1:24" x14ac:dyDescent="0.2">
      <c r="A260" s="5">
        <v>32932</v>
      </c>
      <c r="B260" s="14">
        <v>5.8315057000000001</v>
      </c>
      <c r="C260" s="14">
        <v>8.2219999999999995</v>
      </c>
      <c r="D260" s="1">
        <v>9.42</v>
      </c>
      <c r="E260" s="1">
        <v>9.6199999999999992</v>
      </c>
      <c r="F260" s="1">
        <v>9.9499999999999993</v>
      </c>
      <c r="G260" s="1">
        <v>10.629999999999999</v>
      </c>
      <c r="H260" s="1">
        <v>267.83</v>
      </c>
      <c r="I260" s="1">
        <v>425.02</v>
      </c>
      <c r="J260" s="1">
        <v>16.82</v>
      </c>
      <c r="K260" s="1">
        <v>177.35999999999999</v>
      </c>
      <c r="L260" s="1">
        <v>128.45999999999998</v>
      </c>
      <c r="O260" s="5">
        <v>32201</v>
      </c>
      <c r="P260" s="1">
        <v>5.8215057000000003</v>
      </c>
      <c r="Q260" s="8">
        <f t="shared" si="9"/>
        <v>-2.6728887284237168E-2</v>
      </c>
      <c r="R260" s="1">
        <f t="shared" si="10"/>
        <v>-0.19980856269795355</v>
      </c>
      <c r="S260" s="1">
        <f t="shared" si="11"/>
        <v>-19.980856269795353</v>
      </c>
    </row>
    <row r="261" spans="1:24" x14ac:dyDescent="0.2">
      <c r="A261" s="5">
        <v>32963</v>
      </c>
      <c r="B261" s="14">
        <v>5.8758970435000002</v>
      </c>
      <c r="C261" s="14">
        <v>8.3834782608000005</v>
      </c>
      <c r="D261" s="1">
        <v>9.4</v>
      </c>
      <c r="E261" s="1">
        <v>9.6</v>
      </c>
      <c r="F261" s="1">
        <v>9.9</v>
      </c>
      <c r="G261" s="1">
        <v>10.58</v>
      </c>
      <c r="H261" s="1">
        <v>258.89999999999998</v>
      </c>
      <c r="I261" s="1">
        <v>456.26</v>
      </c>
      <c r="J261" s="1">
        <v>15.52</v>
      </c>
      <c r="K261" s="1">
        <v>188.66</v>
      </c>
      <c r="L261" s="1">
        <v>124.12</v>
      </c>
      <c r="O261" s="5">
        <v>32233</v>
      </c>
      <c r="P261" s="1">
        <v>5.8658970435000004</v>
      </c>
      <c r="Q261" s="8">
        <f t="shared" si="9"/>
        <v>7.6254058292857252E-3</v>
      </c>
      <c r="R261" s="1">
        <f t="shared" si="10"/>
        <v>5.7002798602720096E-2</v>
      </c>
      <c r="S261" s="1">
        <f t="shared" si="11"/>
        <v>5.7002798602720093</v>
      </c>
    </row>
    <row r="262" spans="1:24" x14ac:dyDescent="0.2">
      <c r="A262" s="5">
        <v>32993</v>
      </c>
      <c r="B262" s="14">
        <v>6.0888312500000001</v>
      </c>
      <c r="C262" s="14">
        <v>8.7285000000000004</v>
      </c>
      <c r="D262" s="1">
        <v>9.68</v>
      </c>
      <c r="E262" s="1">
        <v>9.8699999999999992</v>
      </c>
      <c r="F262" s="1">
        <v>10.18</v>
      </c>
      <c r="G262" s="1">
        <v>10.91</v>
      </c>
      <c r="H262" s="1">
        <v>261.33999999999997</v>
      </c>
      <c r="I262" s="1">
        <v>449.02</v>
      </c>
      <c r="J262" s="1">
        <v>17.060000000000002</v>
      </c>
      <c r="K262" s="1">
        <v>187.85999999999999</v>
      </c>
      <c r="L262" s="1">
        <v>124.93</v>
      </c>
      <c r="O262" s="5">
        <v>32263</v>
      </c>
      <c r="P262" s="1">
        <v>6.0788312500000004</v>
      </c>
      <c r="Q262" s="8">
        <f t="shared" si="9"/>
        <v>3.6300365471970242E-2</v>
      </c>
      <c r="R262" s="1">
        <f t="shared" si="10"/>
        <v>0.27135898974149142</v>
      </c>
      <c r="S262" s="1">
        <f t="shared" si="11"/>
        <v>27.135898974149143</v>
      </c>
    </row>
    <row r="263" spans="1:24" x14ac:dyDescent="0.2">
      <c r="A263" s="5">
        <v>33024</v>
      </c>
      <c r="B263" s="14">
        <v>6.4548894285999996</v>
      </c>
      <c r="C263" s="14">
        <v>9.0990476190000003</v>
      </c>
      <c r="D263" s="1">
        <v>9.92</v>
      </c>
      <c r="E263" s="1">
        <v>10.119999999999999</v>
      </c>
      <c r="F263" s="1">
        <v>10.42</v>
      </c>
      <c r="G263" s="1">
        <v>11.049999999999999</v>
      </c>
      <c r="H263" s="1">
        <v>262.17</v>
      </c>
      <c r="I263" s="1">
        <v>454.76</v>
      </c>
      <c r="J263" s="1">
        <v>17.12</v>
      </c>
      <c r="K263" s="1">
        <v>183.82999999999998</v>
      </c>
      <c r="L263" s="1">
        <v>125.12</v>
      </c>
      <c r="O263" s="5">
        <v>32294</v>
      </c>
      <c r="P263" s="1">
        <v>6.4448894285999998</v>
      </c>
      <c r="Q263" s="8">
        <f t="shared" si="9"/>
        <v>6.0218512991292439E-2</v>
      </c>
      <c r="R263" s="1">
        <f t="shared" si="10"/>
        <v>0.45015620742633472</v>
      </c>
      <c r="S263" s="1">
        <f t="shared" si="11"/>
        <v>45.015620742633473</v>
      </c>
    </row>
    <row r="264" spans="1:24" x14ac:dyDescent="0.2">
      <c r="A264" s="5">
        <v>33054</v>
      </c>
      <c r="B264" s="14">
        <v>6.666779</v>
      </c>
      <c r="C264" s="14">
        <v>8.9313636364000004</v>
      </c>
      <c r="D264" s="1">
        <v>9.8699999999999992</v>
      </c>
      <c r="E264" s="1">
        <v>10.14</v>
      </c>
      <c r="F264" s="1">
        <v>10.43</v>
      </c>
      <c r="G264" s="1">
        <v>11.02</v>
      </c>
      <c r="H264" s="1">
        <v>273.51</v>
      </c>
      <c r="I264" s="1">
        <v>435.76</v>
      </c>
      <c r="J264" s="1">
        <v>17.62</v>
      </c>
      <c r="K264" s="1">
        <v>170.85999999999999</v>
      </c>
      <c r="L264" s="1">
        <v>133.54</v>
      </c>
      <c r="O264" s="5">
        <v>32324</v>
      </c>
      <c r="P264" s="1">
        <v>6.6567790000000002</v>
      </c>
      <c r="Q264" s="8">
        <f t="shared" si="9"/>
        <v>3.2877146108932997E-2</v>
      </c>
      <c r="R264" s="1">
        <f t="shared" si="10"/>
        <v>0.24576912760264946</v>
      </c>
      <c r="S264" s="1">
        <f t="shared" si="11"/>
        <v>24.576912760264946</v>
      </c>
    </row>
    <row r="265" spans="1:24" x14ac:dyDescent="0.2">
      <c r="A265" s="5">
        <v>33085</v>
      </c>
      <c r="B265" s="14">
        <v>6.8936250000000001</v>
      </c>
      <c r="C265" s="14">
        <v>9.0659999999999989</v>
      </c>
      <c r="D265" s="1">
        <v>9.9700000000000006</v>
      </c>
      <c r="E265" s="1">
        <v>10.27</v>
      </c>
      <c r="F265" s="1">
        <v>10.56</v>
      </c>
      <c r="G265" s="1">
        <v>11.12</v>
      </c>
      <c r="H265" s="1">
        <v>272.02999999999997</v>
      </c>
      <c r="I265" s="1">
        <v>435.76</v>
      </c>
      <c r="J265" s="1">
        <v>14.92</v>
      </c>
      <c r="K265" s="1">
        <v>171.01999999999998</v>
      </c>
      <c r="L265" s="1">
        <v>133.06</v>
      </c>
      <c r="O265" s="5">
        <v>32355</v>
      </c>
      <c r="P265" s="1">
        <v>6.8836250000000003</v>
      </c>
      <c r="Q265" s="8">
        <f t="shared" si="9"/>
        <v>3.4077441958040078E-2</v>
      </c>
      <c r="R265" s="1">
        <f t="shared" si="10"/>
        <v>0.25474179398685171</v>
      </c>
      <c r="S265" s="1">
        <f t="shared" si="11"/>
        <v>25.47417939868517</v>
      </c>
    </row>
    <row r="266" spans="1:24" x14ac:dyDescent="0.2">
      <c r="A266" s="5">
        <v>33116</v>
      </c>
      <c r="B266" s="14">
        <v>7.2994669130999998</v>
      </c>
      <c r="C266" s="14">
        <v>9.2704347825000006</v>
      </c>
      <c r="D266" s="1">
        <v>10.119999999999999</v>
      </c>
      <c r="E266" s="1">
        <v>10.379999999999999</v>
      </c>
      <c r="F266" s="1">
        <v>10.64</v>
      </c>
      <c r="G266" s="1">
        <v>11.22</v>
      </c>
      <c r="H266" s="1">
        <v>261.52999999999997</v>
      </c>
      <c r="I266" s="1">
        <v>429.51</v>
      </c>
      <c r="J266" s="1">
        <v>16.020000000000003</v>
      </c>
      <c r="K266" s="1">
        <v>168.26</v>
      </c>
      <c r="L266" s="1">
        <v>136.53</v>
      </c>
      <c r="O266" s="5">
        <v>32386</v>
      </c>
      <c r="P266" s="1">
        <v>7.2894669131000001</v>
      </c>
      <c r="Q266" s="8">
        <f t="shared" si="9"/>
        <v>5.8957586024805275E-2</v>
      </c>
      <c r="R266" s="1">
        <f t="shared" si="10"/>
        <v>0.44073030046052286</v>
      </c>
      <c r="S266" s="1">
        <f t="shared" si="11"/>
        <v>44.073030046052288</v>
      </c>
    </row>
    <row r="267" spans="1:24" x14ac:dyDescent="0.2">
      <c r="A267" s="5">
        <v>33146</v>
      </c>
      <c r="B267" s="14">
        <v>7.485379</v>
      </c>
      <c r="C267" s="14">
        <v>8.9871428571000003</v>
      </c>
      <c r="D267" s="1">
        <v>9.83</v>
      </c>
      <c r="E267" s="1">
        <v>10.07</v>
      </c>
      <c r="F267" s="1">
        <v>10.35</v>
      </c>
      <c r="G267" s="1">
        <v>10.92</v>
      </c>
      <c r="H267" s="1">
        <v>271.92</v>
      </c>
      <c r="I267" s="1">
        <v>394.76</v>
      </c>
      <c r="J267" s="1">
        <v>15.06</v>
      </c>
      <c r="K267" s="1">
        <v>169.12</v>
      </c>
      <c r="L267" s="1">
        <v>133.91</v>
      </c>
      <c r="O267" s="5">
        <v>32416</v>
      </c>
      <c r="P267" s="1">
        <v>7.4753790000000002</v>
      </c>
      <c r="Q267" s="8">
        <f t="shared" si="9"/>
        <v>2.55042088970725E-2</v>
      </c>
      <c r="R267" s="1">
        <f t="shared" si="10"/>
        <v>0.19065362760078894</v>
      </c>
      <c r="S267" s="1">
        <f t="shared" si="11"/>
        <v>19.065362760078894</v>
      </c>
    </row>
    <row r="268" spans="1:24" x14ac:dyDescent="0.2">
      <c r="A268" s="5"/>
      <c r="X268" s="17" t="s">
        <v>33</v>
      </c>
    </row>
    <row r="269" spans="1:24" x14ac:dyDescent="0.2">
      <c r="A269" s="5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X269" s="17" t="s">
        <v>34</v>
      </c>
    </row>
    <row r="270" spans="1:24" x14ac:dyDescent="0.2">
      <c r="A270" s="5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X270" s="16" t="s">
        <v>35</v>
      </c>
    </row>
    <row r="271" spans="1:24" x14ac:dyDescent="0.2">
      <c r="A271" s="5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</row>
    <row r="272" spans="1:24" x14ac:dyDescent="0.2">
      <c r="A272" s="5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</row>
    <row r="273" spans="1:12" x14ac:dyDescent="0.2">
      <c r="A273" s="5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</row>
    <row r="274" spans="1:12" x14ac:dyDescent="0.2">
      <c r="A274" s="5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</row>
    <row r="275" spans="1:12" x14ac:dyDescent="0.2">
      <c r="A275" s="5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</row>
    <row r="276" spans="1:12" x14ac:dyDescent="0.2">
      <c r="A276" s="5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</row>
    <row r="277" spans="1:12" x14ac:dyDescent="0.2">
      <c r="A277" s="5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</row>
    <row r="278" spans="1:12" x14ac:dyDescent="0.2">
      <c r="A278" s="5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</row>
    <row r="279" spans="1:12" x14ac:dyDescent="0.2">
      <c r="A279" s="5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</row>
    <row r="280" spans="1:12" x14ac:dyDescent="0.2">
      <c r="A280" s="5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</row>
    <row r="281" spans="1:12" x14ac:dyDescent="0.2">
      <c r="A281" s="5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</row>
    <row r="282" spans="1:12" x14ac:dyDescent="0.2">
      <c r="A282" s="5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</row>
    <row r="283" spans="1:12" x14ac:dyDescent="0.2">
      <c r="A283" s="5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</row>
    <row r="284" spans="1:12" x14ac:dyDescent="0.2">
      <c r="A284" s="5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</row>
    <row r="285" spans="1:12" x14ac:dyDescent="0.2">
      <c r="A285" s="5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</row>
    <row r="286" spans="1:12" x14ac:dyDescent="0.2">
      <c r="A286" s="5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</row>
    <row r="287" spans="1:12" x14ac:dyDescent="0.2">
      <c r="A287" s="5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</row>
    <row r="288" spans="1:12" x14ac:dyDescent="0.2">
      <c r="A288" s="5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</row>
    <row r="289" spans="1:12" x14ac:dyDescent="0.2">
      <c r="A289" s="5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</row>
    <row r="290" spans="1:12" x14ac:dyDescent="0.2">
      <c r="A290" s="5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</row>
    <row r="291" spans="1:12" x14ac:dyDescent="0.2">
      <c r="A291" s="5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</row>
    <row r="292" spans="1:12" x14ac:dyDescent="0.2">
      <c r="A292" s="5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</row>
    <row r="293" spans="1:12" x14ac:dyDescent="0.2">
      <c r="A293" s="5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</row>
    <row r="294" spans="1:12" x14ac:dyDescent="0.2">
      <c r="A294" s="5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</row>
    <row r="295" spans="1:12" x14ac:dyDescent="0.2">
      <c r="A295" s="5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</row>
    <row r="296" spans="1:12" x14ac:dyDescent="0.2">
      <c r="A296" s="5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</row>
    <row r="297" spans="1:12" x14ac:dyDescent="0.2">
      <c r="A297" s="5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</row>
    <row r="298" spans="1:12" x14ac:dyDescent="0.2">
      <c r="A298" s="5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</row>
    <row r="299" spans="1:12" x14ac:dyDescent="0.2">
      <c r="A299" s="5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</row>
    <row r="300" spans="1:12" x14ac:dyDescent="0.2">
      <c r="A300" s="5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</row>
    <row r="301" spans="1:12" x14ac:dyDescent="0.2">
      <c r="A301" s="5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</row>
    <row r="302" spans="1:12" x14ac:dyDescent="0.2">
      <c r="A302" s="5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</row>
    <row r="303" spans="1:12" x14ac:dyDescent="0.2">
      <c r="A303" s="5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</row>
    <row r="304" spans="1:12" x14ac:dyDescent="0.2">
      <c r="A304" s="5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</row>
    <row r="305" spans="1:12" x14ac:dyDescent="0.2">
      <c r="A305" s="5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</row>
    <row r="306" spans="1:12" x14ac:dyDescent="0.2">
      <c r="A306" s="5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</row>
    <row r="307" spans="1:12" x14ac:dyDescent="0.2">
      <c r="A307" s="5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</row>
    <row r="308" spans="1:12" x14ac:dyDescent="0.2">
      <c r="A308" s="5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</row>
    <row r="309" spans="1:12" x14ac:dyDescent="0.2">
      <c r="A309" s="5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</row>
    <row r="310" spans="1:12" x14ac:dyDescent="0.2">
      <c r="A310" s="5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</row>
    <row r="311" spans="1:12" x14ac:dyDescent="0.2">
      <c r="A311" s="5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</row>
    <row r="312" spans="1:12" x14ac:dyDescent="0.2">
      <c r="A312" s="5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</row>
    <row r="313" spans="1:12" x14ac:dyDescent="0.2">
      <c r="A313" s="5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</row>
    <row r="314" spans="1:12" x14ac:dyDescent="0.2">
      <c r="A314" s="5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</row>
    <row r="315" spans="1:12" x14ac:dyDescent="0.2">
      <c r="A315" s="5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</row>
    <row r="316" spans="1:12" x14ac:dyDescent="0.2">
      <c r="A316" s="5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</row>
    <row r="317" spans="1:12" x14ac:dyDescent="0.2">
      <c r="A317" s="5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</row>
    <row r="318" spans="1:12" x14ac:dyDescent="0.2">
      <c r="A318" s="5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</row>
    <row r="319" spans="1:12" x14ac:dyDescent="0.2">
      <c r="A319" s="5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</row>
    <row r="320" spans="1:12" x14ac:dyDescent="0.2">
      <c r="A320" s="5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</row>
    <row r="321" spans="1:12" x14ac:dyDescent="0.2">
      <c r="A321" s="5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</row>
    <row r="322" spans="1:12" x14ac:dyDescent="0.2">
      <c r="A322" s="5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</row>
    <row r="323" spans="1:12" x14ac:dyDescent="0.2">
      <c r="A323" s="5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</row>
    <row r="324" spans="1:12" x14ac:dyDescent="0.2">
      <c r="A324" s="5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</row>
    <row r="325" spans="1:12" x14ac:dyDescent="0.2">
      <c r="A325" s="5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</row>
    <row r="326" spans="1:12" x14ac:dyDescent="0.2">
      <c r="A326" s="5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</row>
    <row r="327" spans="1:12" x14ac:dyDescent="0.2">
      <c r="A327" s="5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</row>
    <row r="328" spans="1:12" x14ac:dyDescent="0.2">
      <c r="A328" s="5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</row>
    <row r="329" spans="1:12" x14ac:dyDescent="0.2">
      <c r="A329" s="5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</row>
    <row r="330" spans="1:12" x14ac:dyDescent="0.2">
      <c r="A330" s="5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</row>
    <row r="331" spans="1:12" x14ac:dyDescent="0.2">
      <c r="A331" s="5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</row>
    <row r="332" spans="1:12" x14ac:dyDescent="0.2">
      <c r="A332" s="5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</row>
    <row r="333" spans="1:12" x14ac:dyDescent="0.2">
      <c r="A333" s="5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</row>
    <row r="334" spans="1:12" x14ac:dyDescent="0.2">
      <c r="A334" s="5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</row>
    <row r="335" spans="1:12" x14ac:dyDescent="0.2">
      <c r="A335" s="5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</row>
    <row r="336" spans="1:12" x14ac:dyDescent="0.2">
      <c r="A336" s="5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</row>
    <row r="337" spans="1:12" x14ac:dyDescent="0.2">
      <c r="A337" s="5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</row>
    <row r="338" spans="1:12" x14ac:dyDescent="0.2">
      <c r="A338" s="5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</row>
    <row r="339" spans="1:12" x14ac:dyDescent="0.2">
      <c r="A339" s="5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</row>
    <row r="340" spans="1:12" x14ac:dyDescent="0.2">
      <c r="A340" s="5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</row>
    <row r="341" spans="1:12" x14ac:dyDescent="0.2">
      <c r="A341" s="5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</row>
    <row r="342" spans="1:12" x14ac:dyDescent="0.2">
      <c r="A342" s="5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</row>
    <row r="343" spans="1:12" x14ac:dyDescent="0.2">
      <c r="A343" s="5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</row>
    <row r="344" spans="1:12" x14ac:dyDescent="0.2">
      <c r="A344" s="5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</row>
    <row r="345" spans="1:12" x14ac:dyDescent="0.2">
      <c r="A345" s="5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</row>
    <row r="346" spans="1:12" x14ac:dyDescent="0.2">
      <c r="A346" s="5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</row>
    <row r="347" spans="1:12" x14ac:dyDescent="0.2">
      <c r="A347" s="5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</row>
    <row r="348" spans="1:12" x14ac:dyDescent="0.2">
      <c r="A348" s="5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</row>
    <row r="349" spans="1:12" x14ac:dyDescent="0.2">
      <c r="A349" s="5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</row>
    <row r="350" spans="1:12" x14ac:dyDescent="0.2">
      <c r="A350" s="5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</row>
    <row r="351" spans="1:12" x14ac:dyDescent="0.2">
      <c r="A351" s="5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</row>
    <row r="352" spans="1:12" x14ac:dyDescent="0.2">
      <c r="A352" s="5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</row>
    <row r="353" spans="1:12" x14ac:dyDescent="0.2">
      <c r="A353" s="5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</row>
    <row r="354" spans="1:12" x14ac:dyDescent="0.2">
      <c r="A354" s="5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</row>
    <row r="355" spans="1:12" x14ac:dyDescent="0.2">
      <c r="A355" s="5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</row>
    <row r="356" spans="1:12" x14ac:dyDescent="0.2">
      <c r="A356" s="5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</row>
    <row r="357" spans="1:12" x14ac:dyDescent="0.2">
      <c r="A357" s="5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</row>
    <row r="358" spans="1:12" x14ac:dyDescent="0.2">
      <c r="A358" s="5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</row>
    <row r="359" spans="1:12" x14ac:dyDescent="0.2">
      <c r="A359" s="5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</row>
    <row r="360" spans="1:12" x14ac:dyDescent="0.2">
      <c r="A360" s="5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</row>
    <row r="361" spans="1:12" x14ac:dyDescent="0.2">
      <c r="A361" s="5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</row>
    <row r="362" spans="1:12" x14ac:dyDescent="0.2">
      <c r="A362" s="5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</row>
    <row r="363" spans="1:12" x14ac:dyDescent="0.2">
      <c r="A363" s="5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</row>
    <row r="364" spans="1:12" x14ac:dyDescent="0.2">
      <c r="A364" s="5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</row>
    <row r="365" spans="1:12" x14ac:dyDescent="0.2">
      <c r="A365" s="5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</row>
    <row r="366" spans="1:12" x14ac:dyDescent="0.2">
      <c r="A366" s="5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</row>
    <row r="367" spans="1:12" x14ac:dyDescent="0.2">
      <c r="A367" s="5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</row>
    <row r="368" spans="1:12" x14ac:dyDescent="0.2">
      <c r="A368" s="5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</row>
    <row r="369" spans="1:12" x14ac:dyDescent="0.2">
      <c r="A369" s="5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</row>
    <row r="370" spans="1:12" x14ac:dyDescent="0.2">
      <c r="A370" s="5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</row>
    <row r="371" spans="1:12" x14ac:dyDescent="0.2">
      <c r="A371" s="5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</row>
    <row r="372" spans="1:12" x14ac:dyDescent="0.2">
      <c r="A372" s="5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</row>
    <row r="373" spans="1:12" x14ac:dyDescent="0.2">
      <c r="A373" s="5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</row>
    <row r="374" spans="1:12" x14ac:dyDescent="0.2">
      <c r="A374" s="5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</row>
    <row r="375" spans="1:12" x14ac:dyDescent="0.2">
      <c r="A375" s="5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</row>
    <row r="376" spans="1:12" x14ac:dyDescent="0.2">
      <c r="A376" s="5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</row>
    <row r="377" spans="1:12" x14ac:dyDescent="0.2">
      <c r="A377" s="5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</row>
    <row r="378" spans="1:12" x14ac:dyDescent="0.2">
      <c r="A378" s="5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</row>
    <row r="379" spans="1:12" x14ac:dyDescent="0.2">
      <c r="A379" s="5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</row>
    <row r="380" spans="1:12" x14ac:dyDescent="0.2">
      <c r="A380" s="5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</row>
    <row r="381" spans="1:12" x14ac:dyDescent="0.2">
      <c r="A381" s="5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</row>
    <row r="382" spans="1:12" x14ac:dyDescent="0.2">
      <c r="A382" s="5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</row>
    <row r="383" spans="1:12" x14ac:dyDescent="0.2">
      <c r="A383" s="5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</row>
    <row r="384" spans="1:12" x14ac:dyDescent="0.2">
      <c r="A384" s="5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</row>
    <row r="385" spans="1:12" x14ac:dyDescent="0.2">
      <c r="A385" s="5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</row>
    <row r="386" spans="1:12" x14ac:dyDescent="0.2">
      <c r="A386" s="5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</row>
    <row r="387" spans="1:12" x14ac:dyDescent="0.2">
      <c r="A387" s="5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</row>
    <row r="388" spans="1:12" x14ac:dyDescent="0.2">
      <c r="A388" s="5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</row>
    <row r="389" spans="1:12" x14ac:dyDescent="0.2">
      <c r="A389" s="5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</row>
    <row r="390" spans="1:12" x14ac:dyDescent="0.2">
      <c r="A390" s="5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</row>
    <row r="391" spans="1:12" x14ac:dyDescent="0.2">
      <c r="A391" s="5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</row>
    <row r="392" spans="1:12" x14ac:dyDescent="0.2">
      <c r="A392" s="5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</row>
    <row r="393" spans="1:12" x14ac:dyDescent="0.2">
      <c r="A393" s="5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</row>
    <row r="394" spans="1:12" x14ac:dyDescent="0.2">
      <c r="A394" s="5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</row>
    <row r="395" spans="1:12" x14ac:dyDescent="0.2">
      <c r="A395" s="5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</row>
    <row r="396" spans="1:12" x14ac:dyDescent="0.2">
      <c r="A396" s="5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</row>
    <row r="397" spans="1:12" x14ac:dyDescent="0.2">
      <c r="A397" s="5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</row>
    <row r="398" spans="1:12" x14ac:dyDescent="0.2">
      <c r="A398" s="5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</row>
    <row r="399" spans="1:12" x14ac:dyDescent="0.2">
      <c r="A399" s="5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</row>
    <row r="400" spans="1:12" x14ac:dyDescent="0.2">
      <c r="A400" s="5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</row>
    <row r="401" spans="1:12" x14ac:dyDescent="0.2">
      <c r="A401" s="5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</row>
    <row r="402" spans="1:12" x14ac:dyDescent="0.2">
      <c r="A402" s="5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</row>
    <row r="403" spans="1:12" x14ac:dyDescent="0.2">
      <c r="A403" s="5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</row>
    <row r="404" spans="1:12" x14ac:dyDescent="0.2">
      <c r="A404" s="5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</row>
    <row r="405" spans="1:12" x14ac:dyDescent="0.2">
      <c r="A405" s="5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</row>
    <row r="406" spans="1:12" x14ac:dyDescent="0.2">
      <c r="A406" s="5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</row>
    <row r="407" spans="1:12" x14ac:dyDescent="0.2">
      <c r="A407" s="5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</row>
    <row r="408" spans="1:12" x14ac:dyDescent="0.2">
      <c r="A408" s="5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</row>
    <row r="409" spans="1:12" x14ac:dyDescent="0.2">
      <c r="A409" s="5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</row>
    <row r="410" spans="1:12" x14ac:dyDescent="0.2">
      <c r="A410" s="5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</row>
    <row r="411" spans="1:12" x14ac:dyDescent="0.2">
      <c r="A411" s="5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</row>
    <row r="412" spans="1:12" x14ac:dyDescent="0.2">
      <c r="A412" s="5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</row>
    <row r="413" spans="1:12" x14ac:dyDescent="0.2">
      <c r="A413" s="5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</row>
    <row r="414" spans="1:12" x14ac:dyDescent="0.2">
      <c r="A414" s="5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</row>
    <row r="415" spans="1:12" x14ac:dyDescent="0.2">
      <c r="A415" s="5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</row>
    <row r="416" spans="1:12" x14ac:dyDescent="0.2">
      <c r="A416" s="5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</row>
    <row r="417" spans="1:12" x14ac:dyDescent="0.2">
      <c r="A417" s="5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</row>
    <row r="418" spans="1:12" x14ac:dyDescent="0.2">
      <c r="A418" s="5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</row>
    <row r="419" spans="1:12" x14ac:dyDescent="0.2">
      <c r="A419" s="5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</row>
    <row r="420" spans="1:12" x14ac:dyDescent="0.2">
      <c r="A420" s="5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</row>
    <row r="421" spans="1:12" x14ac:dyDescent="0.2">
      <c r="A421" s="5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</row>
    <row r="422" spans="1:12" x14ac:dyDescent="0.2">
      <c r="A422" s="5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</row>
    <row r="423" spans="1:12" x14ac:dyDescent="0.2">
      <c r="A423" s="5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</row>
    <row r="424" spans="1:12" x14ac:dyDescent="0.2">
      <c r="A424" s="5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</row>
    <row r="425" spans="1:12" x14ac:dyDescent="0.2">
      <c r="A425" s="5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</row>
    <row r="426" spans="1:12" x14ac:dyDescent="0.2">
      <c r="A426" s="5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</row>
    <row r="427" spans="1:12" x14ac:dyDescent="0.2">
      <c r="A427" s="5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</row>
    <row r="428" spans="1:12" x14ac:dyDescent="0.2">
      <c r="A428" s="5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</row>
    <row r="429" spans="1:12" x14ac:dyDescent="0.2">
      <c r="A429" s="5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</row>
    <row r="430" spans="1:12" x14ac:dyDescent="0.2">
      <c r="A430" s="5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</row>
    <row r="431" spans="1:12" x14ac:dyDescent="0.2">
      <c r="A431" s="5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</row>
    <row r="432" spans="1:12" x14ac:dyDescent="0.2">
      <c r="A432" s="5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</row>
    <row r="433" spans="1:12" x14ac:dyDescent="0.2">
      <c r="A433" s="5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</row>
    <row r="434" spans="1:12" x14ac:dyDescent="0.2">
      <c r="A434" s="5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</row>
    <row r="435" spans="1:12" x14ac:dyDescent="0.2">
      <c r="A435" s="5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</row>
    <row r="436" spans="1:12" x14ac:dyDescent="0.2">
      <c r="A436" s="5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</row>
    <row r="437" spans="1:12" x14ac:dyDescent="0.2">
      <c r="A437" s="5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</row>
    <row r="438" spans="1:12" x14ac:dyDescent="0.2">
      <c r="A438" s="5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</row>
    <row r="439" spans="1:12" x14ac:dyDescent="0.2">
      <c r="A439" s="5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</row>
    <row r="440" spans="1:12" x14ac:dyDescent="0.2">
      <c r="A440" s="5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</row>
    <row r="441" spans="1:12" x14ac:dyDescent="0.2">
      <c r="A441" s="5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</row>
    <row r="442" spans="1:12" x14ac:dyDescent="0.2">
      <c r="A442" s="5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</row>
    <row r="443" spans="1:12" x14ac:dyDescent="0.2">
      <c r="A443" s="5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</row>
    <row r="444" spans="1:12" x14ac:dyDescent="0.2">
      <c r="A444" s="5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</row>
    <row r="445" spans="1:12" x14ac:dyDescent="0.2">
      <c r="A445" s="5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</row>
    <row r="446" spans="1:12" x14ac:dyDescent="0.2">
      <c r="A446" s="5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</row>
    <row r="447" spans="1:12" x14ac:dyDescent="0.2">
      <c r="A447" s="5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</row>
    <row r="448" spans="1:12" x14ac:dyDescent="0.2">
      <c r="A448" s="5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</row>
    <row r="449" spans="1:12" x14ac:dyDescent="0.2">
      <c r="A449" s="5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</row>
    <row r="450" spans="1:12" x14ac:dyDescent="0.2">
      <c r="A450" s="5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</row>
    <row r="451" spans="1:12" x14ac:dyDescent="0.2">
      <c r="A451" s="5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</row>
    <row r="452" spans="1:12" x14ac:dyDescent="0.2">
      <c r="A452" s="5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</row>
    <row r="453" spans="1:12" x14ac:dyDescent="0.2">
      <c r="A453" s="5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</row>
    <row r="454" spans="1:12" x14ac:dyDescent="0.2">
      <c r="A454" s="5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</row>
    <row r="455" spans="1:12" x14ac:dyDescent="0.2">
      <c r="A455" s="5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</row>
    <row r="456" spans="1:12" x14ac:dyDescent="0.2">
      <c r="A456" s="5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</row>
    <row r="457" spans="1:12" x14ac:dyDescent="0.2">
      <c r="A457" s="5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</row>
    <row r="458" spans="1:12" x14ac:dyDescent="0.2">
      <c r="A458" s="5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</row>
    <row r="459" spans="1:12" x14ac:dyDescent="0.2">
      <c r="A459" s="5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</row>
    <row r="460" spans="1:12" x14ac:dyDescent="0.2">
      <c r="A460" s="5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</row>
    <row r="461" spans="1:12" x14ac:dyDescent="0.2">
      <c r="A461" s="5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</row>
    <row r="462" spans="1:12" x14ac:dyDescent="0.2">
      <c r="A462" s="5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</row>
    <row r="463" spans="1:12" x14ac:dyDescent="0.2">
      <c r="A463" s="5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</row>
    <row r="464" spans="1:12" x14ac:dyDescent="0.2">
      <c r="A464" s="5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</row>
    <row r="465" spans="1:12" x14ac:dyDescent="0.2">
      <c r="A465" s="5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</row>
    <row r="466" spans="1:12" x14ac:dyDescent="0.2">
      <c r="A466" s="5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</row>
    <row r="467" spans="1:12" x14ac:dyDescent="0.2">
      <c r="A467" s="5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</row>
    <row r="468" spans="1:12" x14ac:dyDescent="0.2">
      <c r="A468" s="5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</row>
    <row r="469" spans="1:12" x14ac:dyDescent="0.2">
      <c r="A469" s="5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</row>
    <row r="470" spans="1:12" x14ac:dyDescent="0.2">
      <c r="A470" s="5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</row>
    <row r="471" spans="1:12" x14ac:dyDescent="0.2">
      <c r="A471" s="5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</row>
    <row r="472" spans="1:12" x14ac:dyDescent="0.2">
      <c r="A472" s="5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</row>
    <row r="473" spans="1:12" x14ac:dyDescent="0.2">
      <c r="A473" s="5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</row>
    <row r="474" spans="1:12" x14ac:dyDescent="0.2">
      <c r="A474" s="5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</row>
    <row r="475" spans="1:12" x14ac:dyDescent="0.2">
      <c r="A475" s="5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</row>
    <row r="476" spans="1:12" x14ac:dyDescent="0.2">
      <c r="A476" s="5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</row>
    <row r="477" spans="1:12" x14ac:dyDescent="0.2">
      <c r="A477" s="5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</row>
    <row r="478" spans="1:12" x14ac:dyDescent="0.2">
      <c r="A478" s="5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</row>
    <row r="479" spans="1:12" x14ac:dyDescent="0.2">
      <c r="A479" s="5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</row>
    <row r="480" spans="1:12" x14ac:dyDescent="0.2">
      <c r="A480" s="5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</row>
    <row r="481" spans="1:12" x14ac:dyDescent="0.2">
      <c r="A481" s="5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</row>
    <row r="482" spans="1:12" x14ac:dyDescent="0.2">
      <c r="A482" s="5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</row>
    <row r="483" spans="1:12" x14ac:dyDescent="0.2">
      <c r="A483" s="5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</row>
    <row r="484" spans="1:12" x14ac:dyDescent="0.2">
      <c r="A484" s="5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</row>
    <row r="485" spans="1:12" x14ac:dyDescent="0.2">
      <c r="A485" s="5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</row>
    <row r="486" spans="1:12" x14ac:dyDescent="0.2">
      <c r="A486" s="5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</row>
    <row r="487" spans="1:12" x14ac:dyDescent="0.2">
      <c r="A487" s="5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</row>
    <row r="488" spans="1:12" x14ac:dyDescent="0.2">
      <c r="A488" s="5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</row>
    <row r="489" spans="1:12" x14ac:dyDescent="0.2">
      <c r="A489" s="5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</row>
    <row r="490" spans="1:12" x14ac:dyDescent="0.2">
      <c r="A490" s="5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</row>
    <row r="491" spans="1:12" x14ac:dyDescent="0.2">
      <c r="A491" s="5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</row>
    <row r="492" spans="1:12" x14ac:dyDescent="0.2">
      <c r="A492" s="5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</row>
    <row r="493" spans="1:12" x14ac:dyDescent="0.2">
      <c r="A493" s="5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</row>
    <row r="494" spans="1:12" x14ac:dyDescent="0.2">
      <c r="A494" s="5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</row>
    <row r="495" spans="1:12" x14ac:dyDescent="0.2">
      <c r="A495" s="5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</row>
    <row r="496" spans="1:12" x14ac:dyDescent="0.2">
      <c r="A496" s="5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</row>
    <row r="497" spans="1:12" x14ac:dyDescent="0.2">
      <c r="A497" s="5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</row>
    <row r="498" spans="1:12" x14ac:dyDescent="0.2">
      <c r="A498" s="5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</row>
    <row r="499" spans="1:12" x14ac:dyDescent="0.2">
      <c r="A499" s="5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</row>
    <row r="500" spans="1:12" x14ac:dyDescent="0.2">
      <c r="A500" s="5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</row>
    <row r="501" spans="1:12" x14ac:dyDescent="0.2">
      <c r="A501" s="5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</row>
    <row r="502" spans="1:12" x14ac:dyDescent="0.2">
      <c r="A502" s="5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</row>
    <row r="503" spans="1:12" x14ac:dyDescent="0.2">
      <c r="A503" s="5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</row>
    <row r="504" spans="1:12" x14ac:dyDescent="0.2">
      <c r="A504" s="5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</row>
    <row r="505" spans="1:12" x14ac:dyDescent="0.2">
      <c r="A505" s="5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</row>
    <row r="506" spans="1:12" x14ac:dyDescent="0.2">
      <c r="A506" s="5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</row>
    <row r="507" spans="1:12" x14ac:dyDescent="0.2">
      <c r="A507" s="5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</row>
    <row r="508" spans="1:12" x14ac:dyDescent="0.2">
      <c r="A508" s="5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</row>
    <row r="509" spans="1:12" x14ac:dyDescent="0.2">
      <c r="A509" s="5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</row>
    <row r="510" spans="1:12" x14ac:dyDescent="0.2">
      <c r="A510" s="5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</row>
    <row r="511" spans="1:12" x14ac:dyDescent="0.2">
      <c r="A511" s="5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</row>
    <row r="512" spans="1:12" x14ac:dyDescent="0.2">
      <c r="A512" s="5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</row>
    <row r="513" spans="1:12" x14ac:dyDescent="0.2">
      <c r="A513" s="5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</row>
    <row r="514" spans="1:12" x14ac:dyDescent="0.2">
      <c r="A514" s="5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</row>
    <row r="515" spans="1:12" x14ac:dyDescent="0.2">
      <c r="A515" s="5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</row>
    <row r="516" spans="1:12" x14ac:dyDescent="0.2">
      <c r="A516" s="5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</row>
    <row r="517" spans="1:12" x14ac:dyDescent="0.2">
      <c r="A517" s="5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</row>
    <row r="518" spans="1:12" x14ac:dyDescent="0.2">
      <c r="A518" s="5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</row>
    <row r="519" spans="1:12" x14ac:dyDescent="0.2">
      <c r="A519" s="5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</row>
    <row r="520" spans="1:12" x14ac:dyDescent="0.2">
      <c r="A520" s="5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</row>
    <row r="521" spans="1:12" x14ac:dyDescent="0.2">
      <c r="A521" s="5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</row>
    <row r="522" spans="1:12" x14ac:dyDescent="0.2">
      <c r="A522" s="5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</row>
    <row r="523" spans="1:12" x14ac:dyDescent="0.2">
      <c r="A523" s="5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</row>
    <row r="524" spans="1:12" x14ac:dyDescent="0.2">
      <c r="A524" s="5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</row>
    <row r="525" spans="1:12" x14ac:dyDescent="0.2">
      <c r="A525" s="5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</row>
    <row r="526" spans="1:12" x14ac:dyDescent="0.2">
      <c r="A526" s="5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</row>
    <row r="527" spans="1:12" x14ac:dyDescent="0.2">
      <c r="A527" s="5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</row>
    <row r="528" spans="1:12" x14ac:dyDescent="0.2">
      <c r="A528" s="5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</row>
    <row r="529" spans="1:12" x14ac:dyDescent="0.2">
      <c r="A529" s="5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</row>
    <row r="530" spans="1:12" x14ac:dyDescent="0.2">
      <c r="A530" s="5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</row>
    <row r="531" spans="1:12" x14ac:dyDescent="0.2">
      <c r="A531" s="5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</row>
    <row r="532" spans="1:12" x14ac:dyDescent="0.2">
      <c r="A532" s="5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</row>
    <row r="533" spans="1:12" x14ac:dyDescent="0.2">
      <c r="A533" s="5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</row>
    <row r="534" spans="1:12" x14ac:dyDescent="0.2">
      <c r="A534" s="5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</row>
    <row r="535" spans="1:12" x14ac:dyDescent="0.2">
      <c r="A535" s="5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</row>
    <row r="536" spans="1:12" x14ac:dyDescent="0.2">
      <c r="A536" s="5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</row>
    <row r="537" spans="1:12" x14ac:dyDescent="0.2">
      <c r="A537" s="5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</row>
    <row r="538" spans="1:12" x14ac:dyDescent="0.2">
      <c r="A538" s="5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</row>
    <row r="539" spans="1:12" x14ac:dyDescent="0.2">
      <c r="A539" s="5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</row>
    <row r="540" spans="1:12" x14ac:dyDescent="0.2">
      <c r="A540" s="5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</row>
    <row r="541" spans="1:12" x14ac:dyDescent="0.2">
      <c r="A541" s="5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</row>
    <row r="542" spans="1:12" x14ac:dyDescent="0.2">
      <c r="A542" s="5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</row>
    <row r="543" spans="1:12" x14ac:dyDescent="0.2">
      <c r="A543" s="5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</row>
    <row r="544" spans="1:12" x14ac:dyDescent="0.2">
      <c r="A544" s="5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</row>
    <row r="545" spans="1:12" x14ac:dyDescent="0.2">
      <c r="A545" s="5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</row>
    <row r="546" spans="1:12" x14ac:dyDescent="0.2">
      <c r="A546" s="5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</row>
    <row r="547" spans="1:12" x14ac:dyDescent="0.2">
      <c r="A547" s="5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</row>
    <row r="548" spans="1:12" x14ac:dyDescent="0.2">
      <c r="A548" s="5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</row>
    <row r="549" spans="1:12" x14ac:dyDescent="0.2">
      <c r="A549" s="5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</row>
    <row r="550" spans="1:12" x14ac:dyDescent="0.2">
      <c r="A550" s="5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</row>
    <row r="551" spans="1:12" x14ac:dyDescent="0.2">
      <c r="A551" s="5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</row>
    <row r="552" spans="1:12" x14ac:dyDescent="0.2">
      <c r="A552" s="5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</row>
    <row r="553" spans="1:12" x14ac:dyDescent="0.2">
      <c r="A553" s="5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</row>
    <row r="554" spans="1:12" x14ac:dyDescent="0.2">
      <c r="A554" s="5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</row>
    <row r="555" spans="1:12" x14ac:dyDescent="0.2">
      <c r="A555" s="5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</row>
    <row r="556" spans="1:12" x14ac:dyDescent="0.2">
      <c r="A556" s="5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</row>
    <row r="557" spans="1:12" x14ac:dyDescent="0.2">
      <c r="A557" s="5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</row>
    <row r="558" spans="1:12" x14ac:dyDescent="0.2">
      <c r="A558" s="5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</row>
    <row r="559" spans="1:12" x14ac:dyDescent="0.2">
      <c r="A559" s="5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</row>
    <row r="560" spans="1:12" x14ac:dyDescent="0.2">
      <c r="A560" s="5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</row>
    <row r="561" spans="1:12" x14ac:dyDescent="0.2">
      <c r="A561" s="5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</row>
    <row r="562" spans="1:12" x14ac:dyDescent="0.2">
      <c r="A562" s="5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</row>
    <row r="563" spans="1:12" x14ac:dyDescent="0.2">
      <c r="A563" s="5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</row>
    <row r="564" spans="1:12" x14ac:dyDescent="0.2">
      <c r="A564" s="5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</row>
    <row r="565" spans="1:12" x14ac:dyDescent="0.2">
      <c r="A565" s="5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</row>
    <row r="566" spans="1:12" x14ac:dyDescent="0.2">
      <c r="A566" s="5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</row>
    <row r="567" spans="1:12" x14ac:dyDescent="0.2">
      <c r="A567" s="5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</row>
    <row r="568" spans="1:12" x14ac:dyDescent="0.2">
      <c r="A568" s="5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</row>
    <row r="569" spans="1:12" x14ac:dyDescent="0.2">
      <c r="A569" s="5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</row>
    <row r="570" spans="1:12" x14ac:dyDescent="0.2">
      <c r="A570" s="5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</row>
    <row r="571" spans="1:12" x14ac:dyDescent="0.2">
      <c r="A571" s="5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</row>
    <row r="572" spans="1:12" x14ac:dyDescent="0.2">
      <c r="A572" s="5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</row>
    <row r="573" spans="1:12" x14ac:dyDescent="0.2">
      <c r="A573" s="5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</row>
    <row r="574" spans="1:12" x14ac:dyDescent="0.2">
      <c r="A574" s="5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</row>
    <row r="575" spans="1:12" x14ac:dyDescent="0.2">
      <c r="A575" s="5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</row>
    <row r="576" spans="1:12" x14ac:dyDescent="0.2">
      <c r="A576" s="5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</row>
    <row r="577" spans="1:12" x14ac:dyDescent="0.2">
      <c r="A577" s="5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</row>
    <row r="578" spans="1:12" x14ac:dyDescent="0.2">
      <c r="A578" s="5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</row>
    <row r="579" spans="1:12" x14ac:dyDescent="0.2">
      <c r="A579" s="5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</row>
    <row r="580" spans="1:12" x14ac:dyDescent="0.2">
      <c r="A580" s="5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</row>
    <row r="581" spans="1:12" x14ac:dyDescent="0.2">
      <c r="A581" s="5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</row>
    <row r="582" spans="1:12" x14ac:dyDescent="0.2">
      <c r="A582" s="5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</row>
    <row r="583" spans="1:12" x14ac:dyDescent="0.2">
      <c r="A583" s="5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</row>
    <row r="584" spans="1:12" x14ac:dyDescent="0.2">
      <c r="A584" s="5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</row>
    <row r="585" spans="1:12" x14ac:dyDescent="0.2">
      <c r="A585" s="5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</row>
    <row r="586" spans="1:12" x14ac:dyDescent="0.2">
      <c r="A586" s="5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</row>
    <row r="587" spans="1:12" x14ac:dyDescent="0.2">
      <c r="A587" s="5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</row>
    <row r="588" spans="1:12" x14ac:dyDescent="0.2">
      <c r="A588" s="5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</row>
    <row r="589" spans="1:12" x14ac:dyDescent="0.2">
      <c r="A589" s="5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</row>
    <row r="590" spans="1:12" x14ac:dyDescent="0.2">
      <c r="A590" s="5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</row>
    <row r="591" spans="1:12" x14ac:dyDescent="0.2">
      <c r="A591" s="5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</row>
    <row r="592" spans="1:12" x14ac:dyDescent="0.2">
      <c r="A592" s="5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</row>
    <row r="593" spans="1:12" x14ac:dyDescent="0.2">
      <c r="A593" s="5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</row>
    <row r="594" spans="1:12" x14ac:dyDescent="0.2">
      <c r="A594" s="5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</row>
    <row r="595" spans="1:12" x14ac:dyDescent="0.2">
      <c r="A595" s="5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</row>
    <row r="596" spans="1:12" x14ac:dyDescent="0.2">
      <c r="A596" s="5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</row>
    <row r="597" spans="1:12" x14ac:dyDescent="0.2">
      <c r="A597" s="5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</row>
    <row r="598" spans="1:12" x14ac:dyDescent="0.2">
      <c r="A598" s="5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</row>
    <row r="599" spans="1:12" x14ac:dyDescent="0.2">
      <c r="A599" s="5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</row>
    <row r="600" spans="1:12" x14ac:dyDescent="0.2">
      <c r="A600" s="5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</row>
    <row r="601" spans="1:12" x14ac:dyDescent="0.2">
      <c r="A601" s="5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</row>
    <row r="602" spans="1:12" x14ac:dyDescent="0.2">
      <c r="A602" s="5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</row>
    <row r="603" spans="1:12" x14ac:dyDescent="0.2">
      <c r="A603" s="5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</row>
    <row r="604" spans="1:12" x14ac:dyDescent="0.2">
      <c r="A604" s="5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</row>
    <row r="605" spans="1:12" x14ac:dyDescent="0.2">
      <c r="A605" s="5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</row>
    <row r="606" spans="1:12" x14ac:dyDescent="0.2">
      <c r="A606" s="5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</row>
    <row r="607" spans="1:12" x14ac:dyDescent="0.2">
      <c r="A607" s="5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</row>
    <row r="608" spans="1:12" x14ac:dyDescent="0.2">
      <c r="A608" s="5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</row>
    <row r="609" spans="1:12" x14ac:dyDescent="0.2">
      <c r="A609" s="5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</row>
    <row r="610" spans="1:12" x14ac:dyDescent="0.2">
      <c r="A610" s="5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</row>
    <row r="611" spans="1:12" x14ac:dyDescent="0.2">
      <c r="A611" s="5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</row>
    <row r="612" spans="1:12" x14ac:dyDescent="0.2">
      <c r="A612" s="5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</row>
    <row r="613" spans="1:12" x14ac:dyDescent="0.2">
      <c r="A613" s="5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</row>
    <row r="614" spans="1:12" x14ac:dyDescent="0.2">
      <c r="A614" s="5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</row>
    <row r="615" spans="1:12" x14ac:dyDescent="0.2">
      <c r="A615" s="5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</row>
    <row r="616" spans="1:12" x14ac:dyDescent="0.2">
      <c r="A616" s="5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</row>
    <row r="617" spans="1:12" x14ac:dyDescent="0.2">
      <c r="A617" s="5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</row>
    <row r="618" spans="1:12" x14ac:dyDescent="0.2">
      <c r="A618" s="5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</row>
    <row r="619" spans="1:12" x14ac:dyDescent="0.2">
      <c r="A619" s="5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</row>
    <row r="620" spans="1:12" x14ac:dyDescent="0.2">
      <c r="A620" s="5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</row>
    <row r="621" spans="1:12" x14ac:dyDescent="0.2">
      <c r="A621" s="5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</row>
    <row r="622" spans="1:12" x14ac:dyDescent="0.2">
      <c r="A622" s="5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</row>
    <row r="623" spans="1:12" x14ac:dyDescent="0.2">
      <c r="A623" s="5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</row>
    <row r="624" spans="1:12" x14ac:dyDescent="0.2">
      <c r="A624" s="5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</row>
    <row r="625" spans="1:12" x14ac:dyDescent="0.2">
      <c r="A625" s="5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</row>
    <row r="626" spans="1:12" x14ac:dyDescent="0.2">
      <c r="A626" s="5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</row>
    <row r="627" spans="1:12" x14ac:dyDescent="0.2">
      <c r="A627" s="5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</row>
    <row r="628" spans="1:12" x14ac:dyDescent="0.2">
      <c r="A628" s="5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</row>
    <row r="629" spans="1:12" x14ac:dyDescent="0.2">
      <c r="A629" s="5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</row>
    <row r="630" spans="1:12" x14ac:dyDescent="0.2">
      <c r="A630" s="5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</row>
    <row r="631" spans="1:12" x14ac:dyDescent="0.2">
      <c r="A631" s="5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</row>
    <row r="632" spans="1:12" x14ac:dyDescent="0.2">
      <c r="A632" s="5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</row>
    <row r="633" spans="1:12" x14ac:dyDescent="0.2">
      <c r="A633" s="5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</row>
    <row r="634" spans="1:12" x14ac:dyDescent="0.2">
      <c r="A634" s="5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</row>
    <row r="635" spans="1:12" x14ac:dyDescent="0.2">
      <c r="A635" s="5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</row>
    <row r="636" spans="1:12" x14ac:dyDescent="0.2">
      <c r="A636" s="5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</row>
    <row r="637" spans="1:12" x14ac:dyDescent="0.2">
      <c r="A637" s="5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</row>
    <row r="638" spans="1:12" x14ac:dyDescent="0.2">
      <c r="A638" s="5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</row>
    <row r="639" spans="1:12" x14ac:dyDescent="0.2">
      <c r="A639" s="5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</row>
    <row r="640" spans="1:12" x14ac:dyDescent="0.2">
      <c r="A640" s="5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</row>
    <row r="641" spans="1:12" x14ac:dyDescent="0.2">
      <c r="A641" s="5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</row>
    <row r="642" spans="1:12" x14ac:dyDescent="0.2">
      <c r="A642" s="5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</row>
    <row r="643" spans="1:12" x14ac:dyDescent="0.2">
      <c r="A643" s="5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</row>
    <row r="644" spans="1:12" x14ac:dyDescent="0.2">
      <c r="A644" s="5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</row>
    <row r="645" spans="1:12" x14ac:dyDescent="0.2">
      <c r="A645" s="5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</row>
    <row r="646" spans="1:12" x14ac:dyDescent="0.2">
      <c r="A646" s="5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</row>
    <row r="647" spans="1:12" x14ac:dyDescent="0.2">
      <c r="A647" s="5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</row>
    <row r="648" spans="1:12" x14ac:dyDescent="0.2">
      <c r="A648" s="5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</row>
    <row r="649" spans="1:12" x14ac:dyDescent="0.2">
      <c r="A649" s="5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</row>
    <row r="650" spans="1:12" x14ac:dyDescent="0.2">
      <c r="A650" s="5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</row>
    <row r="651" spans="1:12" x14ac:dyDescent="0.2">
      <c r="A651" s="5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</row>
    <row r="652" spans="1:12" x14ac:dyDescent="0.2">
      <c r="A652" s="5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</row>
    <row r="653" spans="1:12" x14ac:dyDescent="0.2">
      <c r="A653" s="5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</row>
    <row r="654" spans="1:12" x14ac:dyDescent="0.2">
      <c r="A654" s="5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</row>
    <row r="655" spans="1:12" x14ac:dyDescent="0.2">
      <c r="A655" s="5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</row>
    <row r="656" spans="1:12" x14ac:dyDescent="0.2">
      <c r="A656" s="5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</row>
    <row r="657" spans="1:12" x14ac:dyDescent="0.2">
      <c r="A657" s="5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</row>
    <row r="658" spans="1:12" x14ac:dyDescent="0.2">
      <c r="A658" s="5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</row>
    <row r="659" spans="1:12" x14ac:dyDescent="0.2">
      <c r="A659" s="5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</row>
    <row r="660" spans="1:12" x14ac:dyDescent="0.2">
      <c r="A660" s="5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</row>
    <row r="661" spans="1:12" x14ac:dyDescent="0.2">
      <c r="A661" s="5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</row>
    <row r="662" spans="1:12" x14ac:dyDescent="0.2">
      <c r="A662" s="5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</row>
    <row r="663" spans="1:12" x14ac:dyDescent="0.2">
      <c r="A663" s="5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</row>
    <row r="664" spans="1:12" x14ac:dyDescent="0.2">
      <c r="A664" s="5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</row>
    <row r="665" spans="1:12" x14ac:dyDescent="0.2">
      <c r="A665" s="5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</row>
    <row r="666" spans="1:12" x14ac:dyDescent="0.2">
      <c r="A666" s="5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</row>
    <row r="667" spans="1:12" x14ac:dyDescent="0.2">
      <c r="A667" s="5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</row>
    <row r="668" spans="1:12" x14ac:dyDescent="0.2">
      <c r="A668" s="5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</row>
    <row r="669" spans="1:12" x14ac:dyDescent="0.2">
      <c r="A669" s="5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</row>
    <row r="670" spans="1:12" x14ac:dyDescent="0.2">
      <c r="A670" s="5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</row>
    <row r="671" spans="1:12" x14ac:dyDescent="0.2">
      <c r="A671" s="5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</row>
    <row r="672" spans="1:12" x14ac:dyDescent="0.2">
      <c r="A672" s="5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</row>
    <row r="673" spans="1:12" x14ac:dyDescent="0.2">
      <c r="A673" s="5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</row>
    <row r="674" spans="1:12" x14ac:dyDescent="0.2">
      <c r="A674" s="5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</row>
    <row r="675" spans="1:12" x14ac:dyDescent="0.2">
      <c r="A675" s="5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</row>
    <row r="676" spans="1:12" x14ac:dyDescent="0.2">
      <c r="A676" s="5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</row>
    <row r="677" spans="1:12" x14ac:dyDescent="0.2">
      <c r="A677" s="5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</row>
    <row r="678" spans="1:12" x14ac:dyDescent="0.2">
      <c r="A678" s="5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</row>
    <row r="679" spans="1:12" x14ac:dyDescent="0.2">
      <c r="A679" s="5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</row>
    <row r="680" spans="1:12" x14ac:dyDescent="0.2">
      <c r="A680" s="5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</row>
    <row r="681" spans="1:12" x14ac:dyDescent="0.2">
      <c r="A681" s="5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</row>
    <row r="682" spans="1:12" x14ac:dyDescent="0.2">
      <c r="A682" s="5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</row>
    <row r="683" spans="1:12" x14ac:dyDescent="0.2">
      <c r="A683" s="5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</row>
    <row r="684" spans="1:12" x14ac:dyDescent="0.2">
      <c r="A684" s="5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</row>
    <row r="685" spans="1:12" x14ac:dyDescent="0.2">
      <c r="A685" s="5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</row>
    <row r="686" spans="1:12" x14ac:dyDescent="0.2">
      <c r="A686" s="5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</row>
    <row r="687" spans="1:12" x14ac:dyDescent="0.2">
      <c r="A687" s="5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</row>
    <row r="688" spans="1:12" x14ac:dyDescent="0.2">
      <c r="A688" s="5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</row>
    <row r="689" spans="1:12" x14ac:dyDescent="0.2">
      <c r="A689" s="5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</row>
    <row r="690" spans="1:12" x14ac:dyDescent="0.2">
      <c r="A690" s="5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</row>
    <row r="691" spans="1:12" x14ac:dyDescent="0.2">
      <c r="A691" s="5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</row>
    <row r="692" spans="1:12" x14ac:dyDescent="0.2">
      <c r="A692" s="5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</row>
    <row r="693" spans="1:12" x14ac:dyDescent="0.2">
      <c r="A693" s="5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</row>
    <row r="694" spans="1:12" x14ac:dyDescent="0.2">
      <c r="A694" s="5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</row>
    <row r="695" spans="1:12" x14ac:dyDescent="0.2">
      <c r="A695" s="5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</row>
    <row r="696" spans="1:12" x14ac:dyDescent="0.2">
      <c r="A696" s="5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</row>
    <row r="697" spans="1:12" x14ac:dyDescent="0.2">
      <c r="A697" s="5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</row>
    <row r="698" spans="1:12" x14ac:dyDescent="0.2">
      <c r="A698" s="5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</row>
    <row r="699" spans="1:12" x14ac:dyDescent="0.2">
      <c r="A699" s="5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</row>
    <row r="700" spans="1:12" x14ac:dyDescent="0.2">
      <c r="A700" s="5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</row>
    <row r="701" spans="1:12" x14ac:dyDescent="0.2">
      <c r="A701" s="5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</row>
    <row r="702" spans="1:12" x14ac:dyDescent="0.2">
      <c r="A702" s="5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</row>
    <row r="703" spans="1:12" x14ac:dyDescent="0.2">
      <c r="A703" s="5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</row>
    <row r="704" spans="1:12" x14ac:dyDescent="0.2">
      <c r="A704" s="5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</row>
    <row r="705" spans="1:12" x14ac:dyDescent="0.2">
      <c r="A705" s="5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</row>
    <row r="706" spans="1:12" x14ac:dyDescent="0.2">
      <c r="A706" s="5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</row>
    <row r="707" spans="1:12" x14ac:dyDescent="0.2">
      <c r="A707" s="5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</row>
    <row r="708" spans="1:12" x14ac:dyDescent="0.2">
      <c r="A708" s="5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</row>
    <row r="709" spans="1:12" x14ac:dyDescent="0.2">
      <c r="A709" s="5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</row>
    <row r="710" spans="1:12" x14ac:dyDescent="0.2">
      <c r="A710" s="5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</row>
    <row r="711" spans="1:12" x14ac:dyDescent="0.2">
      <c r="A711" s="5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</row>
    <row r="712" spans="1:12" x14ac:dyDescent="0.2">
      <c r="A712" s="5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</row>
    <row r="713" spans="1:12" x14ac:dyDescent="0.2">
      <c r="A713" s="5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</row>
    <row r="714" spans="1:12" x14ac:dyDescent="0.2">
      <c r="A714" s="5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</row>
    <row r="715" spans="1:12" x14ac:dyDescent="0.2">
      <c r="A715" s="5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</row>
    <row r="716" spans="1:12" x14ac:dyDescent="0.2">
      <c r="A716" s="5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</row>
    <row r="717" spans="1:12" x14ac:dyDescent="0.2">
      <c r="A717" s="5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</row>
    <row r="718" spans="1:12" x14ac:dyDescent="0.2">
      <c r="A718" s="5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</row>
    <row r="719" spans="1:12" x14ac:dyDescent="0.2">
      <c r="A719" s="5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</row>
    <row r="720" spans="1:12" x14ac:dyDescent="0.2">
      <c r="A720" s="5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</row>
    <row r="721" spans="1:12" x14ac:dyDescent="0.2">
      <c r="A721" s="5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</row>
    <row r="722" spans="1:12" x14ac:dyDescent="0.2">
      <c r="A722" s="5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</row>
    <row r="723" spans="1:12" x14ac:dyDescent="0.2">
      <c r="A723" s="5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</row>
    <row r="724" spans="1:12" x14ac:dyDescent="0.2">
      <c r="A724" s="5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</row>
    <row r="725" spans="1:12" x14ac:dyDescent="0.2">
      <c r="A725" s="5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</row>
    <row r="726" spans="1:12" x14ac:dyDescent="0.2">
      <c r="A726" s="5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</row>
    <row r="727" spans="1:12" x14ac:dyDescent="0.2">
      <c r="A727" s="5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</row>
    <row r="728" spans="1:12" x14ac:dyDescent="0.2">
      <c r="A728" s="5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</row>
    <row r="729" spans="1:12" x14ac:dyDescent="0.2">
      <c r="A729" s="5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</row>
    <row r="730" spans="1:12" x14ac:dyDescent="0.2">
      <c r="A730" s="5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</row>
    <row r="731" spans="1:12" x14ac:dyDescent="0.2">
      <c r="A731" s="5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</row>
    <row r="732" spans="1:12" x14ac:dyDescent="0.2">
      <c r="A732" s="5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</row>
    <row r="733" spans="1:12" x14ac:dyDescent="0.2">
      <c r="A733" s="5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</row>
    <row r="734" spans="1:12" x14ac:dyDescent="0.2">
      <c r="A734" s="5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</row>
    <row r="735" spans="1:12" x14ac:dyDescent="0.2">
      <c r="A735" s="5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</row>
    <row r="736" spans="1:12" x14ac:dyDescent="0.2">
      <c r="A736" s="5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</row>
    <row r="737" spans="1:12" x14ac:dyDescent="0.2">
      <c r="A737" s="5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</row>
    <row r="738" spans="1:12" x14ac:dyDescent="0.2">
      <c r="A738" s="5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</row>
    <row r="739" spans="1:12" x14ac:dyDescent="0.2">
      <c r="A739" s="5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</row>
    <row r="740" spans="1:12" x14ac:dyDescent="0.2">
      <c r="A740" s="5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</row>
    <row r="741" spans="1:12" x14ac:dyDescent="0.2">
      <c r="A741" s="5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</row>
    <row r="742" spans="1:12" x14ac:dyDescent="0.2">
      <c r="A742" s="5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</row>
    <row r="743" spans="1:12" x14ac:dyDescent="0.2">
      <c r="A743" s="5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</row>
    <row r="744" spans="1:12" x14ac:dyDescent="0.2">
      <c r="A744" s="5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</row>
    <row r="745" spans="1:12" x14ac:dyDescent="0.2">
      <c r="A745" s="5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</row>
    <row r="746" spans="1:12" x14ac:dyDescent="0.2">
      <c r="A746" s="5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</row>
    <row r="747" spans="1:12" x14ac:dyDescent="0.2">
      <c r="A747" s="5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</row>
    <row r="748" spans="1:12" x14ac:dyDescent="0.2">
      <c r="A748" s="5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</row>
    <row r="749" spans="1:12" x14ac:dyDescent="0.2">
      <c r="A749" s="5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</row>
    <row r="750" spans="1:12" x14ac:dyDescent="0.2">
      <c r="A750" s="5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</row>
    <row r="751" spans="1:12" x14ac:dyDescent="0.2">
      <c r="A751" s="5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</row>
    <row r="752" spans="1:12" x14ac:dyDescent="0.2">
      <c r="A752" s="5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</row>
    <row r="753" spans="1:12" x14ac:dyDescent="0.2">
      <c r="A753" s="5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</row>
    <row r="754" spans="1:12" x14ac:dyDescent="0.2">
      <c r="A754" s="5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</row>
    <row r="755" spans="1:12" x14ac:dyDescent="0.2">
      <c r="A755" s="5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</row>
    <row r="756" spans="1:12" x14ac:dyDescent="0.2">
      <c r="A756" s="5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</row>
    <row r="757" spans="1:12" x14ac:dyDescent="0.2">
      <c r="A757" s="5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</row>
    <row r="758" spans="1:12" x14ac:dyDescent="0.2">
      <c r="A758" s="5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</row>
    <row r="759" spans="1:12" x14ac:dyDescent="0.2">
      <c r="A759" s="5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</row>
    <row r="760" spans="1:12" x14ac:dyDescent="0.2">
      <c r="A760" s="5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</row>
    <row r="761" spans="1:12" x14ac:dyDescent="0.2">
      <c r="A761" s="5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</row>
    <row r="762" spans="1:12" x14ac:dyDescent="0.2">
      <c r="A762" s="5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</row>
    <row r="763" spans="1:12" x14ac:dyDescent="0.2">
      <c r="A763" s="5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</row>
    <row r="764" spans="1:12" x14ac:dyDescent="0.2">
      <c r="A764" s="5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</row>
    <row r="765" spans="1:12" x14ac:dyDescent="0.2">
      <c r="A765" s="5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</row>
    <row r="766" spans="1:12" x14ac:dyDescent="0.2">
      <c r="A766" s="5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</row>
    <row r="767" spans="1:12" x14ac:dyDescent="0.2">
      <c r="A767" s="5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</row>
    <row r="768" spans="1:12" x14ac:dyDescent="0.2">
      <c r="A768" s="5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</row>
    <row r="769" spans="1:12" x14ac:dyDescent="0.2">
      <c r="A769" s="5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</row>
    <row r="770" spans="1:12" x14ac:dyDescent="0.2">
      <c r="A770" s="5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</row>
    <row r="771" spans="1:12" x14ac:dyDescent="0.2">
      <c r="A771" s="5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</row>
    <row r="772" spans="1:12" x14ac:dyDescent="0.2">
      <c r="A772" s="5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</row>
    <row r="773" spans="1:12" x14ac:dyDescent="0.2">
      <c r="A773" s="5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</row>
    <row r="774" spans="1:12" x14ac:dyDescent="0.2">
      <c r="A774" s="5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</row>
    <row r="775" spans="1:12" x14ac:dyDescent="0.2">
      <c r="A775" s="5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</row>
    <row r="776" spans="1:12" x14ac:dyDescent="0.2">
      <c r="A776" s="5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</row>
    <row r="777" spans="1:12" x14ac:dyDescent="0.2">
      <c r="A777" s="5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</row>
    <row r="778" spans="1:12" x14ac:dyDescent="0.2">
      <c r="A778" s="5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</row>
    <row r="779" spans="1:12" x14ac:dyDescent="0.2">
      <c r="A779" s="5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</row>
    <row r="780" spans="1:12" x14ac:dyDescent="0.2">
      <c r="A780" s="5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</row>
    <row r="781" spans="1:12" x14ac:dyDescent="0.2">
      <c r="A781" s="5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</row>
    <row r="782" spans="1:12" x14ac:dyDescent="0.2">
      <c r="A782" s="5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</row>
    <row r="783" spans="1:12" x14ac:dyDescent="0.2">
      <c r="A783" s="5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</row>
    <row r="784" spans="1:12" x14ac:dyDescent="0.2">
      <c r="A784" s="5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6"/>
  <sheetViews>
    <sheetView workbookViewId="0">
      <selection activeCell="B6" sqref="B6"/>
    </sheetView>
  </sheetViews>
  <sheetFormatPr baseColWidth="10" defaultRowHeight="16" x14ac:dyDescent="0.2"/>
  <sheetData>
    <row r="1" spans="1:2" x14ac:dyDescent="0.2">
      <c r="A1" s="45" t="s">
        <v>61</v>
      </c>
    </row>
    <row r="2" spans="1:2" ht="18" x14ac:dyDescent="0.2">
      <c r="A2" s="1">
        <v>12</v>
      </c>
      <c r="B2" s="9" t="s">
        <v>24</v>
      </c>
    </row>
    <row r="3" spans="1:2" x14ac:dyDescent="0.2">
      <c r="A3" s="1">
        <v>13</v>
      </c>
      <c r="B3" s="1" t="s">
        <v>21</v>
      </c>
    </row>
    <row r="5" spans="1:2" ht="20" x14ac:dyDescent="0.2">
      <c r="B5" s="39" t="s">
        <v>108</v>
      </c>
    </row>
    <row r="6" spans="1:2" x14ac:dyDescent="0.2">
      <c r="B6">
        <f>LINEST('Simulation and  VaR'!E17:E267,'Simulation and  VaR'!D17:D267)</f>
        <v>1.0475795753109485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I283"/>
  <sheetViews>
    <sheetView topLeftCell="AH60" workbookViewId="0">
      <selection activeCell="B1" sqref="B1"/>
    </sheetView>
  </sheetViews>
  <sheetFormatPr baseColWidth="10" defaultRowHeight="16" x14ac:dyDescent="0.2"/>
  <cols>
    <col min="1" max="1" width="16.33203125" customWidth="1"/>
    <col min="2" max="10" width="11" bestFit="1" customWidth="1"/>
    <col min="11" max="12" width="11.1640625" bestFit="1" customWidth="1"/>
    <col min="14" max="14" width="11.83203125" customWidth="1"/>
    <col min="39" max="39" width="11.6640625" bestFit="1" customWidth="1"/>
    <col min="40" max="40" width="11.1640625" bestFit="1" customWidth="1"/>
    <col min="41" max="41" width="11.6640625" bestFit="1" customWidth="1"/>
    <col min="42" max="49" width="11.1640625" bestFit="1" customWidth="1"/>
  </cols>
  <sheetData>
    <row r="1" spans="1:50" ht="20" x14ac:dyDescent="0.2">
      <c r="B1" s="51" t="s">
        <v>60</v>
      </c>
      <c r="G1" s="37" t="s">
        <v>32</v>
      </c>
      <c r="H1" s="38" t="s">
        <v>43</v>
      </c>
      <c r="I1" s="49" t="s">
        <v>53</v>
      </c>
      <c r="J1" s="39" t="s">
        <v>48</v>
      </c>
      <c r="Z1" s="37" t="s">
        <v>32</v>
      </c>
    </row>
    <row r="2" spans="1:50" ht="20" x14ac:dyDescent="0.2">
      <c r="Z2" t="s">
        <v>67</v>
      </c>
      <c r="AB2">
        <f>COUNT(X5:X254)</f>
        <v>250</v>
      </c>
      <c r="AM2" s="38" t="s">
        <v>43</v>
      </c>
      <c r="AU2" s="62"/>
    </row>
    <row r="3" spans="1:50" ht="18" x14ac:dyDescent="0.2">
      <c r="A3" s="50" t="s">
        <v>32</v>
      </c>
      <c r="B3" s="43" t="s">
        <v>17</v>
      </c>
      <c r="C3" s="43"/>
      <c r="D3" s="43"/>
      <c r="E3" s="43"/>
      <c r="F3" s="43"/>
      <c r="G3" s="43"/>
      <c r="H3" s="43"/>
      <c r="I3" s="43"/>
      <c r="J3" s="43"/>
      <c r="K3" s="43"/>
      <c r="L3" s="43"/>
      <c r="N3" s="43" t="s">
        <v>36</v>
      </c>
      <c r="O3" s="43"/>
      <c r="P3" s="43"/>
      <c r="Q3" s="43"/>
      <c r="R3" s="43"/>
      <c r="S3" s="43"/>
      <c r="T3" s="43"/>
      <c r="U3" s="43"/>
      <c r="V3" s="43"/>
      <c r="W3" s="43"/>
      <c r="X3" s="43"/>
      <c r="Z3" s="24" t="s">
        <v>41</v>
      </c>
      <c r="AA3" s="24"/>
      <c r="AM3" s="46" t="s">
        <v>44</v>
      </c>
      <c r="AN3" s="31"/>
      <c r="AO3" s="31"/>
      <c r="AQ3" s="41" t="s">
        <v>51</v>
      </c>
      <c r="AR3" s="41"/>
      <c r="AS3" s="41"/>
      <c r="AT3" s="42" t="s">
        <v>52</v>
      </c>
      <c r="AU3" s="41"/>
      <c r="AV3" s="41"/>
      <c r="AW3" s="41"/>
    </row>
    <row r="4" spans="1:50" x14ac:dyDescent="0.2">
      <c r="B4" s="4" t="s">
        <v>6</v>
      </c>
      <c r="C4" s="4" t="s">
        <v>7</v>
      </c>
      <c r="D4" s="4" t="s">
        <v>8</v>
      </c>
      <c r="E4" s="4" t="s">
        <v>9</v>
      </c>
      <c r="F4" s="4" t="s">
        <v>10</v>
      </c>
      <c r="G4" s="4" t="s">
        <v>11</v>
      </c>
      <c r="H4" s="4" t="s">
        <v>12</v>
      </c>
      <c r="I4" s="4" t="s">
        <v>13</v>
      </c>
      <c r="J4" s="4" t="s">
        <v>14</v>
      </c>
      <c r="K4" s="4" t="s">
        <v>15</v>
      </c>
      <c r="L4" s="4" t="s">
        <v>16</v>
      </c>
      <c r="N4" s="4" t="s">
        <v>6</v>
      </c>
      <c r="O4" s="4" t="s">
        <v>7</v>
      </c>
      <c r="P4" s="4" t="s">
        <v>8</v>
      </c>
      <c r="Q4" s="4" t="s">
        <v>9</v>
      </c>
      <c r="R4" s="4" t="s">
        <v>10</v>
      </c>
      <c r="S4" s="4" t="s">
        <v>11</v>
      </c>
      <c r="T4" s="4" t="s">
        <v>12</v>
      </c>
      <c r="U4" s="4" t="s">
        <v>13</v>
      </c>
      <c r="V4" s="4" t="s">
        <v>14</v>
      </c>
      <c r="W4" s="4" t="s">
        <v>15</v>
      </c>
      <c r="X4" s="4" t="s">
        <v>16</v>
      </c>
      <c r="Z4" s="27"/>
      <c r="AA4" s="20" t="s">
        <v>6</v>
      </c>
      <c r="AB4" s="20" t="s">
        <v>7</v>
      </c>
      <c r="AC4" s="20" t="s">
        <v>8</v>
      </c>
      <c r="AD4" s="20" t="s">
        <v>9</v>
      </c>
      <c r="AE4" s="20" t="s">
        <v>10</v>
      </c>
      <c r="AF4" s="20" t="s">
        <v>11</v>
      </c>
      <c r="AG4" s="20" t="s">
        <v>12</v>
      </c>
      <c r="AH4" s="20" t="s">
        <v>13</v>
      </c>
      <c r="AI4" s="20" t="s">
        <v>14</v>
      </c>
      <c r="AJ4" s="20" t="s">
        <v>15</v>
      </c>
      <c r="AK4" s="20" t="s">
        <v>16</v>
      </c>
      <c r="AM4" s="40" t="s">
        <v>45</v>
      </c>
      <c r="AN4" s="44" t="s">
        <v>46</v>
      </c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5" spans="1:50" x14ac:dyDescent="0.2">
      <c r="B5" s="8">
        <f>+'Simulation and  VaR'!B18/'Simulation and  VaR'!B17-1</f>
        <v>5.1386968087673734E-2</v>
      </c>
      <c r="C5" s="8">
        <f>+'Simulation and  VaR'!C18/'Simulation and  VaR'!C17-1</f>
        <v>-8.6805555555555802E-3</v>
      </c>
      <c r="D5" s="8">
        <f>+'Simulation and  VaR'!D18/'Simulation and  VaR'!D17-1</f>
        <v>1.9736842105263275E-2</v>
      </c>
      <c r="E5" s="8">
        <f>+'Simulation and  VaR'!E18/'Simulation and  VaR'!E17-1</f>
        <v>1.9230769230769162E-2</v>
      </c>
      <c r="F5" s="8">
        <f>+'Simulation and  VaR'!F18/'Simulation and  VaR'!F17-1</f>
        <v>2.3291925465838581E-2</v>
      </c>
      <c r="G5" s="8">
        <f>+'Simulation and  VaR'!G18/'Simulation and  VaR'!G17-1</f>
        <v>3.1203566121842385E-2</v>
      </c>
      <c r="H5" s="8">
        <f>+'Simulation and  VaR'!H18/'Simulation and  VaR'!H17-1</f>
        <v>2.6273800659504243E-2</v>
      </c>
      <c r="I5" s="8">
        <f>+'Simulation and  VaR'!I18/'Simulation and  VaR'!I17-1</f>
        <v>0</v>
      </c>
      <c r="J5" s="8">
        <f>+'Simulation and  VaR'!J18/'Simulation and  VaR'!J17-1</f>
        <v>0</v>
      </c>
      <c r="K5" s="8">
        <f>+'Simulation and  VaR'!K18/'Simulation and  VaR'!K17-1</f>
        <v>-0.13518272305867973</v>
      </c>
      <c r="L5" s="8">
        <f>+'Simulation and  VaR'!L18/'Simulation and  VaR'!L17-1</f>
        <v>-4.3425138892050352E-4</v>
      </c>
      <c r="N5" s="26">
        <f>B5-$B$256</f>
        <v>4.686604359524868E-2</v>
      </c>
      <c r="O5" s="26">
        <f>C5-$C$256</f>
        <v>-1.1197325574132173E-2</v>
      </c>
      <c r="P5" s="26">
        <f>D5-$D$256</f>
        <v>1.7444633781812331E-2</v>
      </c>
      <c r="Q5" s="26">
        <f>E5-$E$256</f>
        <v>1.7018009958259844E-2</v>
      </c>
      <c r="R5" s="26">
        <f>F5-$F$256</f>
        <v>2.1110816054393806E-2</v>
      </c>
      <c r="S5" s="26">
        <f>G5-$G$256</f>
        <v>2.9025564150920776E-2</v>
      </c>
      <c r="T5" s="26">
        <f>H5-$H$256</f>
        <v>2.0930420614443838E-2</v>
      </c>
      <c r="U5" s="26">
        <f>I5-$I$256</f>
        <v>-1.240176612903738E-2</v>
      </c>
      <c r="V5" s="26">
        <f>J5-$J$256</f>
        <v>-1.0229205971642284E-2</v>
      </c>
      <c r="W5" s="26">
        <f>K5-$K$256</f>
        <v>-0.13361580777680832</v>
      </c>
      <c r="X5" s="26">
        <f>L5-$L$256</f>
        <v>3.0899837248352028E-3</v>
      </c>
      <c r="Z5" s="20" t="s">
        <v>6</v>
      </c>
      <c r="AA5" s="28">
        <f t="array" ref="AA5:AK15">MMULT(TRANSPOSE(N5:X254),N5:X254)/(AB2-1)</f>
        <v>5.4169423202421844E-3</v>
      </c>
      <c r="AB5" s="29">
        <v>1.7676737047775052E-3</v>
      </c>
      <c r="AC5" s="29">
        <v>1.1654514408621925E-3</v>
      </c>
      <c r="AD5" s="29">
        <v>1.0021186318558183E-3</v>
      </c>
      <c r="AE5" s="29">
        <v>9.2681128256068973E-4</v>
      </c>
      <c r="AF5" s="29">
        <v>8.3266864006789523E-4</v>
      </c>
      <c r="AG5" s="29">
        <v>-8.5525250221585997E-4</v>
      </c>
      <c r="AH5" s="29">
        <v>-6.0310956447181814E-4</v>
      </c>
      <c r="AI5" s="29">
        <v>3.9465515905971597E-4</v>
      </c>
      <c r="AJ5" s="29">
        <v>-3.9259097383557989E-4</v>
      </c>
      <c r="AK5" s="29">
        <v>3.5966247260960858E-4</v>
      </c>
      <c r="AM5" s="27">
        <f t="array" ref="AM5:AX15">EIGEN_JK(AA5:AK15)</f>
        <v>1.1591607758921927E-2</v>
      </c>
      <c r="AN5" s="27">
        <v>0.11401955600041436</v>
      </c>
      <c r="AO5" s="27">
        <v>-0.74707494685851539</v>
      </c>
      <c r="AP5" s="27">
        <v>0.25867221695940801</v>
      </c>
      <c r="AQ5" s="27">
        <v>-0.39418683377143621</v>
      </c>
      <c r="AR5" s="27">
        <v>-0.44536508005046543</v>
      </c>
      <c r="AS5" s="27">
        <v>-1.8623057758633387E-2</v>
      </c>
      <c r="AT5" s="27">
        <v>4.8522331748479197E-2</v>
      </c>
      <c r="AU5" s="27">
        <v>7.4225567771163875E-2</v>
      </c>
      <c r="AV5" s="27">
        <v>1.5133680531396334E-4</v>
      </c>
      <c r="AW5" s="27">
        <v>3.9356085937506226E-3</v>
      </c>
      <c r="AX5" s="27">
        <v>2.7843428779849373E-3</v>
      </c>
    </row>
    <row r="6" spans="1:50" x14ac:dyDescent="0.2">
      <c r="B6" s="8">
        <f>+'Simulation and  VaR'!B19/'Simulation and  VaR'!B18-1</f>
        <v>6.1136490755879791E-3</v>
      </c>
      <c r="C6" s="8">
        <f>+'Simulation and  VaR'!C19/'Simulation and  VaR'!C18-1</f>
        <v>-2.9772329246935181E-2</v>
      </c>
      <c r="D6" s="8">
        <f>+'Simulation and  VaR'!D19/'Simulation and  VaR'!D18-1</f>
        <v>-3.225806451612967E-3</v>
      </c>
      <c r="E6" s="8">
        <f>+'Simulation and  VaR'!E19/'Simulation and  VaR'!E18-1</f>
        <v>-9.4339622641508303E-3</v>
      </c>
      <c r="F6" s="8">
        <f>+'Simulation and  VaR'!F19/'Simulation and  VaR'!F18-1</f>
        <v>-1.5174506828528056E-2</v>
      </c>
      <c r="G6" s="8">
        <f>+'Simulation and  VaR'!G19/'Simulation and  VaR'!G18-1</f>
        <v>-1.2968299711815567E-2</v>
      </c>
      <c r="H6" s="8">
        <f>+'Simulation and  VaR'!H19/'Simulation and  VaR'!H18-1</f>
        <v>-4.3843283582089554E-2</v>
      </c>
      <c r="I6" s="8">
        <f>+'Simulation and  VaR'!I19/'Simulation and  VaR'!I18-1</f>
        <v>5.7126535275635604E-3</v>
      </c>
      <c r="J6" s="8">
        <f>+'Simulation and  VaR'!J19/'Simulation and  VaR'!J18-1</f>
        <v>0</v>
      </c>
      <c r="K6" s="8">
        <f>+'Simulation and  VaR'!K19/'Simulation and  VaR'!K18-1</f>
        <v>1.0803174471267774E-3</v>
      </c>
      <c r="L6" s="8">
        <f>+'Simulation and  VaR'!L19/'Simulation and  VaR'!L18-1</f>
        <v>7.6051788208153503E-4</v>
      </c>
      <c r="N6" s="26">
        <f t="shared" ref="N6:N69" si="0">B6-$B$256</f>
        <v>1.5927245831629262E-3</v>
      </c>
      <c r="O6" s="26">
        <f t="shared" ref="O6:O69" si="1">C6-$C$256</f>
        <v>-3.2289099265511774E-2</v>
      </c>
      <c r="P6" s="26">
        <f t="shared" ref="P6:P69" si="2">D6-$D$256</f>
        <v>-5.5180147750639105E-3</v>
      </c>
      <c r="Q6" s="26">
        <f t="shared" ref="Q6:Q69" si="3">E6-$E$256</f>
        <v>-1.1646721536660149E-2</v>
      </c>
      <c r="R6" s="26">
        <f t="shared" ref="R6:R69" si="4">F6-$F$256</f>
        <v>-1.7355616239972831E-2</v>
      </c>
      <c r="S6" s="26">
        <f t="shared" ref="S6:S69" si="5">G6-$G$256</f>
        <v>-1.5146301682737177E-2</v>
      </c>
      <c r="T6" s="26">
        <f t="shared" ref="T6:T69" si="6">H6-$H$256</f>
        <v>-4.9186663627149962E-2</v>
      </c>
      <c r="U6" s="26">
        <f t="shared" ref="U6:U69" si="7">I6-$I$256</f>
        <v>-6.6891126014738192E-3</v>
      </c>
      <c r="V6" s="26">
        <f t="shared" ref="V6:V69" si="8">J6-$J$256</f>
        <v>-1.0229205971642284E-2</v>
      </c>
      <c r="W6" s="26">
        <f t="shared" ref="W6:W69" si="9">K6-$K$256</f>
        <v>2.6472327289981919E-3</v>
      </c>
      <c r="X6" s="26">
        <f t="shared" ref="X6:X69" si="10">L6-$L$256</f>
        <v>4.2847529958372418E-3</v>
      </c>
      <c r="Z6" s="20" t="s">
        <v>7</v>
      </c>
      <c r="AA6" s="29">
        <v>1.7676737047775052E-3</v>
      </c>
      <c r="AB6" s="28">
        <v>1.4740724440008102E-3</v>
      </c>
      <c r="AC6" s="29">
        <v>8.9397421644477125E-4</v>
      </c>
      <c r="AD6" s="29">
        <v>7.5987654830825507E-4</v>
      </c>
      <c r="AE6" s="29">
        <v>6.8246403512442478E-4</v>
      </c>
      <c r="AF6" s="29">
        <v>6.3132001893478201E-4</v>
      </c>
      <c r="AG6" s="29">
        <v>-5.4845128947745181E-4</v>
      </c>
      <c r="AH6" s="29">
        <v>5.464191926476125E-5</v>
      </c>
      <c r="AI6" s="29">
        <v>6.7840116118763412E-4</v>
      </c>
      <c r="AJ6" s="29">
        <v>-1.2314167192020405E-4</v>
      </c>
      <c r="AK6" s="29">
        <v>2.315997541759787E-4</v>
      </c>
      <c r="AM6" s="33">
        <v>7.7351315871149176E-3</v>
      </c>
      <c r="AN6" s="33">
        <v>0.10527475751065747</v>
      </c>
      <c r="AO6" s="33">
        <v>-0.31186465361553228</v>
      </c>
      <c r="AP6" s="33">
        <v>0.15214864038183473</v>
      </c>
      <c r="AQ6" s="33">
        <v>0.1160955659217409</v>
      </c>
      <c r="AR6" s="33">
        <v>0.38833694333973973</v>
      </c>
      <c r="AS6" s="33">
        <v>0.1415461736744266</v>
      </c>
      <c r="AT6" s="33">
        <v>-7.4305336656419474E-2</v>
      </c>
      <c r="AU6" s="33">
        <v>-0.79783822501742652</v>
      </c>
      <c r="AV6" s="33">
        <v>-0.1961085660201311</v>
      </c>
      <c r="AW6" s="33">
        <v>-5.438463609650307E-2</v>
      </c>
      <c r="AX6" s="27">
        <v>2.6570634081515859E-2</v>
      </c>
    </row>
    <row r="7" spans="1:50" x14ac:dyDescent="0.2">
      <c r="B7" s="8">
        <f>+'Simulation and  VaR'!B20/'Simulation and  VaR'!B19-1</f>
        <v>-4.0511033631621673E-3</v>
      </c>
      <c r="C7" s="8">
        <f>+'Simulation and  VaR'!C20/'Simulation and  VaR'!C19-1</f>
        <v>5.4151624548735011E-3</v>
      </c>
      <c r="D7" s="8">
        <f>+'Simulation and  VaR'!D20/'Simulation and  VaR'!D19-1</f>
        <v>-1.132686084142398E-2</v>
      </c>
      <c r="E7" s="8">
        <f>+'Simulation and  VaR'!E20/'Simulation and  VaR'!E19-1</f>
        <v>-3.1746031746032743E-3</v>
      </c>
      <c r="F7" s="8">
        <f>+'Simulation and  VaR'!F20/'Simulation and  VaR'!F19-1</f>
        <v>-1.0785824345146411E-2</v>
      </c>
      <c r="G7" s="8">
        <f>+'Simulation and  VaR'!G20/'Simulation and  VaR'!G19-1</f>
        <v>-5.8394160583942201E-3</v>
      </c>
      <c r="H7" s="8">
        <f>+'Simulation and  VaR'!H20/'Simulation and  VaR'!H19-1</f>
        <v>-3.1219512195121868E-2</v>
      </c>
      <c r="I7" s="8">
        <f>+'Simulation and  VaR'!I20/'Simulation and  VaR'!I19-1</f>
        <v>0</v>
      </c>
      <c r="J7" s="8">
        <f>+'Simulation and  VaR'!J20/'Simulation and  VaR'!J19-1</f>
        <v>0</v>
      </c>
      <c r="K7" s="8">
        <f>+'Simulation and  VaR'!K20/'Simulation and  VaR'!K19-1</f>
        <v>4.1505831569477181E-5</v>
      </c>
      <c r="L7" s="8">
        <f>+'Simulation and  VaR'!L20/'Simulation and  VaR'!L19-1</f>
        <v>-1.448395677451364E-4</v>
      </c>
      <c r="N7" s="26">
        <f t="shared" si="0"/>
        <v>-8.5720278555872203E-3</v>
      </c>
      <c r="O7" s="26">
        <f t="shared" si="1"/>
        <v>2.8983924362969071E-3</v>
      </c>
      <c r="P7" s="26">
        <f t="shared" si="2"/>
        <v>-1.3619069164874924E-2</v>
      </c>
      <c r="Q7" s="26">
        <f t="shared" si="3"/>
        <v>-5.3873624471125932E-3</v>
      </c>
      <c r="R7" s="26">
        <f t="shared" si="4"/>
        <v>-1.2966933756591184E-2</v>
      </c>
      <c r="S7" s="26">
        <f t="shared" si="5"/>
        <v>-8.0174180293158294E-3</v>
      </c>
      <c r="T7" s="26">
        <f t="shared" si="6"/>
        <v>-3.6562892240182276E-2</v>
      </c>
      <c r="U7" s="26">
        <f t="shared" si="7"/>
        <v>-1.240176612903738E-2</v>
      </c>
      <c r="V7" s="26">
        <f t="shared" si="8"/>
        <v>-1.0229205971642284E-2</v>
      </c>
      <c r="W7" s="26">
        <f t="shared" si="9"/>
        <v>1.6084211134408917E-3</v>
      </c>
      <c r="X7" s="26">
        <f t="shared" si="10"/>
        <v>3.37939554601057E-3</v>
      </c>
      <c r="Z7" s="20" t="s">
        <v>8</v>
      </c>
      <c r="AA7" s="29">
        <v>1.1654514408621925E-3</v>
      </c>
      <c r="AB7" s="29">
        <v>8.9397421644477125E-4</v>
      </c>
      <c r="AC7" s="28">
        <v>7.3997753772856324E-4</v>
      </c>
      <c r="AD7" s="29">
        <v>6.3547098851785716E-4</v>
      </c>
      <c r="AE7" s="29">
        <v>5.8103634003881432E-4</v>
      </c>
      <c r="AF7" s="29">
        <v>5.2692407471868058E-4</v>
      </c>
      <c r="AG7" s="29">
        <v>-3.9208931959668395E-4</v>
      </c>
      <c r="AH7" s="29">
        <v>-4.1249695285012105E-5</v>
      </c>
      <c r="AI7" s="29">
        <v>4.4078302674869363E-4</v>
      </c>
      <c r="AJ7" s="29">
        <v>-1.0450229778179507E-4</v>
      </c>
      <c r="AK7" s="29">
        <v>1.8818633909618233E-4</v>
      </c>
      <c r="AM7" s="33">
        <v>5.048608082653977E-3</v>
      </c>
      <c r="AN7" s="33">
        <v>6.9445219518172535E-2</v>
      </c>
      <c r="AO7" s="33">
        <v>-0.22085988115292174</v>
      </c>
      <c r="AP7" s="33">
        <v>9.1788562848883024E-2</v>
      </c>
      <c r="AQ7" s="33">
        <v>0.11302898895820204</v>
      </c>
      <c r="AR7" s="33">
        <v>0.35107126638949426</v>
      </c>
      <c r="AS7" s="33">
        <v>9.8895089197765462E-2</v>
      </c>
      <c r="AT7" s="33">
        <v>-4.2298053603352676E-2</v>
      </c>
      <c r="AU7" s="33">
        <v>0.11496479071996282</v>
      </c>
      <c r="AV7" s="33">
        <v>0.72331884756699405</v>
      </c>
      <c r="AW7" s="33">
        <v>0.20028021476113214</v>
      </c>
      <c r="AX7" s="27">
        <v>-0.4624477938304411</v>
      </c>
    </row>
    <row r="8" spans="1:50" x14ac:dyDescent="0.2">
      <c r="B8" s="8">
        <f>+'Simulation and  VaR'!B21/'Simulation and  VaR'!B20-1</f>
        <v>3.8658849574693566E-2</v>
      </c>
      <c r="C8" s="8">
        <f>+'Simulation and  VaR'!C21/'Simulation and  VaR'!C20-1</f>
        <v>3.2315978456014527E-2</v>
      </c>
      <c r="D8" s="8">
        <f>+'Simulation and  VaR'!D21/'Simulation and  VaR'!D20-1</f>
        <v>1.6366612111293755E-3</v>
      </c>
      <c r="E8" s="8">
        <f>+'Simulation and  VaR'!E21/'Simulation and  VaR'!E20-1</f>
        <v>1.5923566878981443E-3</v>
      </c>
      <c r="F8" s="8">
        <f>+'Simulation and  VaR'!F21/'Simulation and  VaR'!F20-1</f>
        <v>3.1152647975076775E-3</v>
      </c>
      <c r="G8" s="8">
        <f>+'Simulation and  VaR'!G21/'Simulation and  VaR'!G20-1</f>
        <v>7.3421439060206151E-3</v>
      </c>
      <c r="H8" s="8">
        <f>+'Simulation and  VaR'!H21/'Simulation and  VaR'!H20-1</f>
        <v>9.3991272239006829E-3</v>
      </c>
      <c r="I8" s="8">
        <f>+'Simulation and  VaR'!I21/'Simulation and  VaR'!I20-1</f>
        <v>0.11928429423459241</v>
      </c>
      <c r="J8" s="8">
        <f>+'Simulation and  VaR'!J21/'Simulation and  VaR'!J20-1</f>
        <v>0</v>
      </c>
      <c r="K8" s="8">
        <f>+'Simulation and  VaR'!K21/'Simulation and  VaR'!K20-1</f>
        <v>-3.9013862372374586E-3</v>
      </c>
      <c r="L8" s="8">
        <f>+'Simulation and  VaR'!L21/'Simulation and  VaR'!L20-1</f>
        <v>-1.4481859345460979E-4</v>
      </c>
      <c r="N8" s="26">
        <f t="shared" si="0"/>
        <v>3.4137925082268511E-2</v>
      </c>
      <c r="O8" s="26">
        <f t="shared" si="1"/>
        <v>2.9799208437437934E-2</v>
      </c>
      <c r="P8" s="26">
        <f t="shared" si="2"/>
        <v>-6.5554711232156853E-4</v>
      </c>
      <c r="Q8" s="26">
        <f t="shared" si="3"/>
        <v>-6.2040258461117407E-4</v>
      </c>
      <c r="R8" s="26">
        <f t="shared" si="4"/>
        <v>9.3415538606290418E-4</v>
      </c>
      <c r="S8" s="26">
        <f t="shared" si="5"/>
        <v>5.1641419350990057E-3</v>
      </c>
      <c r="T8" s="26">
        <f t="shared" si="6"/>
        <v>4.0557471788402778E-3</v>
      </c>
      <c r="U8" s="26">
        <f t="shared" si="7"/>
        <v>0.10688252810555504</v>
      </c>
      <c r="V8" s="26">
        <f t="shared" si="8"/>
        <v>-1.0229205971642284E-2</v>
      </c>
      <c r="W8" s="26">
        <f t="shared" si="9"/>
        <v>-2.334470955366044E-3</v>
      </c>
      <c r="X8" s="26">
        <f t="shared" si="10"/>
        <v>3.3794165203010966E-3</v>
      </c>
      <c r="Z8" s="20" t="s">
        <v>9</v>
      </c>
      <c r="AA8" s="29">
        <v>1.0021186318558183E-3</v>
      </c>
      <c r="AB8" s="29">
        <v>7.5987654830825507E-4</v>
      </c>
      <c r="AC8" s="29">
        <v>6.3547098851785716E-4</v>
      </c>
      <c r="AD8" s="28">
        <v>5.9705743124708211E-4</v>
      </c>
      <c r="AE8" s="29">
        <v>5.4855392730570013E-4</v>
      </c>
      <c r="AF8" s="29">
        <v>4.9696129709805468E-4</v>
      </c>
      <c r="AG8" s="29">
        <v>-3.6646634720822037E-4</v>
      </c>
      <c r="AH8" s="29">
        <v>-9.8341161169294001E-5</v>
      </c>
      <c r="AI8" s="29">
        <v>3.5043998645975483E-4</v>
      </c>
      <c r="AJ8" s="29">
        <v>-8.7300328497902959E-5</v>
      </c>
      <c r="AK8" s="29">
        <v>1.6584699997137747E-4</v>
      </c>
      <c r="AM8" s="33">
        <v>2.0146025085972857E-3</v>
      </c>
      <c r="AN8" s="33">
        <v>5.6776315338581067E-2</v>
      </c>
      <c r="AO8" s="33">
        <v>-0.19697892586725105</v>
      </c>
      <c r="AP8" s="33">
        <v>7.1590222647557503E-2</v>
      </c>
      <c r="AQ8" s="33">
        <v>0.11852154863674855</v>
      </c>
      <c r="AR8" s="33">
        <v>0.3235058124065856</v>
      </c>
      <c r="AS8" s="33">
        <v>9.9256235805855061E-2</v>
      </c>
      <c r="AT8" s="33">
        <v>-2.525576991286196E-2</v>
      </c>
      <c r="AU8" s="33">
        <v>0.26602212348027038</v>
      </c>
      <c r="AV8" s="33">
        <v>0.24660088565431415</v>
      </c>
      <c r="AW8" s="33">
        <v>-9.2304019701575632E-2</v>
      </c>
      <c r="AX8" s="27">
        <v>0.82677552564985546</v>
      </c>
    </row>
    <row r="9" spans="1:50" x14ac:dyDescent="0.2">
      <c r="B9" s="8">
        <f>+'Simulation and  VaR'!B22/'Simulation and  VaR'!B21-1</f>
        <v>4.1180027160212296E-2</v>
      </c>
      <c r="C9" s="8">
        <f>+'Simulation and  VaR'!C22/'Simulation and  VaR'!C21-1</f>
        <v>-1.7391304347826209E-2</v>
      </c>
      <c r="D9" s="8">
        <f>+'Simulation and  VaR'!D22/'Simulation and  VaR'!D21-1</f>
        <v>1.6339869281045694E-2</v>
      </c>
      <c r="E9" s="8">
        <f>+'Simulation and  VaR'!E22/'Simulation and  VaR'!E21-1</f>
        <v>1.5898251192368873E-2</v>
      </c>
      <c r="F9" s="8">
        <f>+'Simulation and  VaR'!F22/'Simulation and  VaR'!F21-1</f>
        <v>2.1739130434782705E-2</v>
      </c>
      <c r="G9" s="8">
        <f>+'Simulation and  VaR'!G22/'Simulation and  VaR'!G21-1</f>
        <v>1.7492711370262315E-2</v>
      </c>
      <c r="H9" s="8">
        <f>+'Simulation and  VaR'!H22/'Simulation and  VaR'!H21-1</f>
        <v>8.1919964527214173E-2</v>
      </c>
      <c r="I9" s="8">
        <f>+'Simulation and  VaR'!I22/'Simulation and  VaR'!I21-1</f>
        <v>-7.6122811469169216E-3</v>
      </c>
      <c r="J9" s="8">
        <f>+'Simulation and  VaR'!J22/'Simulation and  VaR'!J21-1</f>
        <v>0</v>
      </c>
      <c r="K9" s="8">
        <f>+'Simulation and  VaR'!K22/'Simulation and  VaR'!K21-1</f>
        <v>7.4999999999980638E-4</v>
      </c>
      <c r="L9" s="8">
        <f>+'Simulation and  VaR'!L22/'Simulation and  VaR'!L21-1</f>
        <v>6.1585807253017322E-4</v>
      </c>
      <c r="N9" s="26">
        <f t="shared" si="0"/>
        <v>3.6659102667787241E-2</v>
      </c>
      <c r="O9" s="26">
        <f t="shared" si="1"/>
        <v>-1.9908074366402802E-2</v>
      </c>
      <c r="P9" s="26">
        <f t="shared" si="2"/>
        <v>1.404766095759475E-2</v>
      </c>
      <c r="Q9" s="26">
        <f t="shared" si="3"/>
        <v>1.3685491919859554E-2</v>
      </c>
      <c r="R9" s="26">
        <f t="shared" si="4"/>
        <v>1.9558021023337931E-2</v>
      </c>
      <c r="S9" s="26">
        <f t="shared" si="5"/>
        <v>1.5314709399340706E-2</v>
      </c>
      <c r="T9" s="26">
        <f t="shared" si="6"/>
        <v>7.6576584482153764E-2</v>
      </c>
      <c r="U9" s="26">
        <f t="shared" si="7"/>
        <v>-2.0014047275954301E-2</v>
      </c>
      <c r="V9" s="26">
        <f t="shared" si="8"/>
        <v>-1.0229205971642284E-2</v>
      </c>
      <c r="W9" s="26">
        <f t="shared" si="9"/>
        <v>2.3169152818712209E-3</v>
      </c>
      <c r="X9" s="26">
        <f t="shared" si="10"/>
        <v>4.14009318628588E-3</v>
      </c>
      <c r="Z9" s="20" t="s">
        <v>10</v>
      </c>
      <c r="AA9" s="29">
        <v>9.2681128256068973E-4</v>
      </c>
      <c r="AB9" s="29">
        <v>6.8246403512442478E-4</v>
      </c>
      <c r="AC9" s="29">
        <v>5.8103634003881432E-4</v>
      </c>
      <c r="AD9" s="29">
        <v>5.4855392730570013E-4</v>
      </c>
      <c r="AE9" s="28">
        <v>5.6765025371002191E-4</v>
      </c>
      <c r="AF9" s="29">
        <v>4.908174363610397E-4</v>
      </c>
      <c r="AG9" s="29">
        <v>-2.9885566713187573E-4</v>
      </c>
      <c r="AH9" s="29">
        <v>-8.7529881839739152E-5</v>
      </c>
      <c r="AI9" s="29">
        <v>2.7140792101243172E-4</v>
      </c>
      <c r="AJ9" s="29">
        <v>-1.0297890423133819E-4</v>
      </c>
      <c r="AK9" s="29">
        <v>1.7382607908494373E-4</v>
      </c>
      <c r="AM9" s="33">
        <v>1.4882792402879993E-3</v>
      </c>
      <c r="AN9" s="33">
        <v>4.8323925109651736E-2</v>
      </c>
      <c r="AO9" s="33">
        <v>-0.18317344357278054</v>
      </c>
      <c r="AP9" s="33">
        <v>6.8539015998643302E-2</v>
      </c>
      <c r="AQ9" s="33">
        <v>9.3643839291078015E-2</v>
      </c>
      <c r="AR9" s="33">
        <v>0.32893599846129884</v>
      </c>
      <c r="AS9" s="33">
        <v>7.0347803809019074E-2</v>
      </c>
      <c r="AT9" s="33">
        <v>-2.3340434844468662E-2</v>
      </c>
      <c r="AU9" s="33">
        <v>0.39614419727274841</v>
      </c>
      <c r="AV9" s="33">
        <v>-0.32553281048433258</v>
      </c>
      <c r="AW9" s="33">
        <v>-0.69059690120603634</v>
      </c>
      <c r="AX9" s="27">
        <v>-0.31165225379716827</v>
      </c>
    </row>
    <row r="10" spans="1:50" x14ac:dyDescent="0.2">
      <c r="B10" s="8">
        <f>+'Simulation and  VaR'!B23/'Simulation and  VaR'!B22-1</f>
        <v>5.2801335848298825E-2</v>
      </c>
      <c r="C10" s="8">
        <f>+'Simulation and  VaR'!C23/'Simulation and  VaR'!C22-1</f>
        <v>4.0707964601770064E-2</v>
      </c>
      <c r="D10" s="8">
        <f>+'Simulation and  VaR'!D23/'Simulation and  VaR'!D22-1</f>
        <v>9.6463022508037621E-3</v>
      </c>
      <c r="E10" s="8">
        <f>+'Simulation and  VaR'!E23/'Simulation and  VaR'!E22-1</f>
        <v>1.5649452269170583E-2</v>
      </c>
      <c r="F10" s="8">
        <f>+'Simulation and  VaR'!F23/'Simulation and  VaR'!F22-1</f>
        <v>7.5987841945288626E-3</v>
      </c>
      <c r="G10" s="8">
        <f>+'Simulation and  VaR'!G23/'Simulation and  VaR'!G22-1</f>
        <v>8.5959885386819312E-3</v>
      </c>
      <c r="H10" s="8">
        <f>+'Simulation and  VaR'!H23/'Simulation and  VaR'!H22-1</f>
        <v>1.1168032786885274E-2</v>
      </c>
      <c r="I10" s="8">
        <f>+'Simulation and  VaR'!I23/'Simulation and  VaR'!I22-1</f>
        <v>5.625159805676283E-2</v>
      </c>
      <c r="J10" s="8">
        <f>+'Simulation and  VaR'!J23/'Simulation and  VaR'!J22-1</f>
        <v>0</v>
      </c>
      <c r="K10" s="8">
        <f>+'Simulation and  VaR'!K23/'Simulation and  VaR'!K22-1</f>
        <v>-5.2044300108252672E-3</v>
      </c>
      <c r="L10" s="8">
        <f>+'Simulation and  VaR'!L23/'Simulation and  VaR'!L22-1</f>
        <v>-3.6225632713549061E-5</v>
      </c>
      <c r="N10" s="26">
        <f t="shared" si="0"/>
        <v>4.828041135587377E-2</v>
      </c>
      <c r="O10" s="26">
        <f t="shared" si="1"/>
        <v>3.819119458319347E-2</v>
      </c>
      <c r="P10" s="26">
        <f t="shared" si="2"/>
        <v>7.3540939273528186E-3</v>
      </c>
      <c r="Q10" s="26">
        <f t="shared" si="3"/>
        <v>1.3436692996661264E-2</v>
      </c>
      <c r="R10" s="26">
        <f t="shared" si="4"/>
        <v>5.4176747830840897E-3</v>
      </c>
      <c r="S10" s="26">
        <f t="shared" si="5"/>
        <v>6.4179865677603219E-3</v>
      </c>
      <c r="T10" s="26">
        <f t="shared" si="6"/>
        <v>5.8246527418248685E-3</v>
      </c>
      <c r="U10" s="26">
        <f t="shared" si="7"/>
        <v>4.3849831927725451E-2</v>
      </c>
      <c r="V10" s="26">
        <f t="shared" si="8"/>
        <v>-1.0229205971642284E-2</v>
      </c>
      <c r="W10" s="26">
        <f t="shared" si="9"/>
        <v>-3.6375147289538527E-3</v>
      </c>
      <c r="X10" s="26">
        <f t="shared" si="10"/>
        <v>3.4880094810421573E-3</v>
      </c>
      <c r="Z10" s="20" t="s">
        <v>11</v>
      </c>
      <c r="AA10" s="29">
        <v>8.3266864006789523E-4</v>
      </c>
      <c r="AB10" s="29">
        <v>6.3132001893478201E-4</v>
      </c>
      <c r="AC10" s="29">
        <v>5.2692407471868058E-4</v>
      </c>
      <c r="AD10" s="29">
        <v>4.9696129709805468E-4</v>
      </c>
      <c r="AE10" s="29">
        <v>4.908174363610397E-4</v>
      </c>
      <c r="AF10" s="28">
        <v>4.8429002990667345E-4</v>
      </c>
      <c r="AG10" s="29">
        <v>-2.9146849002284773E-4</v>
      </c>
      <c r="AH10" s="29">
        <v>-9.0539418893644471E-5</v>
      </c>
      <c r="AI10" s="29">
        <v>2.2708681846573427E-4</v>
      </c>
      <c r="AJ10" s="29">
        <v>-6.8518759278536878E-5</v>
      </c>
      <c r="AK10" s="29">
        <v>1.4439348117256936E-4</v>
      </c>
      <c r="AM10" s="33">
        <v>1.0086087615003138E-3</v>
      </c>
      <c r="AN10" s="33">
        <v>4.2118823663639796E-2</v>
      </c>
      <c r="AO10" s="33">
        <v>-0.1669388316703864</v>
      </c>
      <c r="AP10" s="33">
        <v>6.2563618050611475E-2</v>
      </c>
      <c r="AQ10" s="33">
        <v>9.875096256641834E-2</v>
      </c>
      <c r="AR10" s="33">
        <v>0.29749167931500103</v>
      </c>
      <c r="AS10" s="33">
        <v>8.9666943736644147E-2</v>
      </c>
      <c r="AT10" s="33">
        <v>-1.3418411025050499E-3</v>
      </c>
      <c r="AU10" s="33">
        <v>0.33699330427836899</v>
      </c>
      <c r="AV10" s="33">
        <v>-0.52084064006538677</v>
      </c>
      <c r="AW10" s="33">
        <v>0.68626841114725479</v>
      </c>
      <c r="AX10" s="27">
        <v>-6.5912210036334323E-2</v>
      </c>
    </row>
    <row r="11" spans="1:50" x14ac:dyDescent="0.2">
      <c r="B11" s="8">
        <f>+'Simulation and  VaR'!B24/'Simulation and  VaR'!B23-1</f>
        <v>-2.3294359405268361E-2</v>
      </c>
      <c r="C11" s="8">
        <f>+'Simulation and  VaR'!C24/'Simulation and  VaR'!C23-1</f>
        <v>-2.5510204081632737E-2</v>
      </c>
      <c r="D11" s="8">
        <f>+'Simulation and  VaR'!D24/'Simulation and  VaR'!D23-1</f>
        <v>1.5923566878981443E-3</v>
      </c>
      <c r="E11" s="8">
        <f>+'Simulation and  VaR'!E24/'Simulation and  VaR'!E23-1</f>
        <v>3.0816640986131016E-3</v>
      </c>
      <c r="F11" s="8">
        <f>+'Simulation and  VaR'!F24/'Simulation and  VaR'!F23-1</f>
        <v>4.5248868778280382E-3</v>
      </c>
      <c r="G11" s="8">
        <f>+'Simulation and  VaR'!G24/'Simulation and  VaR'!G23-1</f>
        <v>5.6818181818181213E-3</v>
      </c>
      <c r="H11" s="8">
        <f>+'Simulation and  VaR'!H24/'Simulation and  VaR'!H23-1</f>
        <v>9.1194649913870496E-3</v>
      </c>
      <c r="I11" s="8">
        <f>+'Simulation and  VaR'!I24/'Simulation and  VaR'!I23-1</f>
        <v>-7.2621641249092095E-3</v>
      </c>
      <c r="J11" s="8">
        <f>+'Simulation and  VaR'!J24/'Simulation and  VaR'!J23-1</f>
        <v>0</v>
      </c>
      <c r="K11" s="8">
        <f>+'Simulation and  VaR'!K24/'Simulation and  VaR'!K23-1</f>
        <v>-1.8415435483195575E-3</v>
      </c>
      <c r="L11" s="8">
        <f>+'Simulation and  VaR'!L24/'Simulation and  VaR'!L23-1</f>
        <v>-1.1578780056998861E-3</v>
      </c>
      <c r="N11" s="26">
        <f t="shared" si="0"/>
        <v>-2.7815283897693416E-2</v>
      </c>
      <c r="O11" s="26">
        <f t="shared" si="1"/>
        <v>-2.802697410020933E-2</v>
      </c>
      <c r="P11" s="26">
        <f t="shared" si="2"/>
        <v>-6.9985163555279966E-4</v>
      </c>
      <c r="Q11" s="26">
        <f t="shared" si="3"/>
        <v>8.6890482610378324E-4</v>
      </c>
      <c r="R11" s="26">
        <f t="shared" si="4"/>
        <v>2.3437774663832649E-3</v>
      </c>
      <c r="S11" s="26">
        <f t="shared" si="5"/>
        <v>3.5038162108965119E-3</v>
      </c>
      <c r="T11" s="26">
        <f t="shared" si="6"/>
        <v>3.7760849463266445E-3</v>
      </c>
      <c r="U11" s="26">
        <f t="shared" si="7"/>
        <v>-1.9663930253946589E-2</v>
      </c>
      <c r="V11" s="26">
        <f t="shared" si="8"/>
        <v>-1.0229205971642284E-2</v>
      </c>
      <c r="W11" s="26">
        <f t="shared" si="9"/>
        <v>-2.7462826644814291E-4</v>
      </c>
      <c r="X11" s="26">
        <f t="shared" si="10"/>
        <v>2.3663571080558203E-3</v>
      </c>
      <c r="Z11" s="20" t="s">
        <v>12</v>
      </c>
      <c r="AA11" s="29">
        <v>-8.5525250221585997E-4</v>
      </c>
      <c r="AB11" s="29">
        <v>-5.4845128947745181E-4</v>
      </c>
      <c r="AC11" s="29">
        <v>-3.9208931959668395E-4</v>
      </c>
      <c r="AD11" s="29">
        <v>-3.6646634720822037E-4</v>
      </c>
      <c r="AE11" s="29">
        <v>-2.9885566713187573E-4</v>
      </c>
      <c r="AF11" s="29">
        <v>-2.9146849002284773E-4</v>
      </c>
      <c r="AG11" s="28">
        <v>2.162575138737308E-3</v>
      </c>
      <c r="AH11" s="29">
        <v>1.1137919489540159E-4</v>
      </c>
      <c r="AI11" s="29">
        <v>-2.7201402861004803E-4</v>
      </c>
      <c r="AJ11" s="29">
        <v>-2.3682559368339155E-6</v>
      </c>
      <c r="AK11" s="29">
        <v>-1.2826715940619476E-5</v>
      </c>
      <c r="AM11" s="33">
        <v>4.1786735649079244E-4</v>
      </c>
      <c r="AN11" s="33">
        <v>-4.9145639984557968E-2</v>
      </c>
      <c r="AO11" s="33">
        <v>0.19510221610188194</v>
      </c>
      <c r="AP11" s="33">
        <v>-7.9911969172200989E-2</v>
      </c>
      <c r="AQ11" s="33">
        <v>-0.87903588965751689</v>
      </c>
      <c r="AR11" s="33">
        <v>0.38103249647045767</v>
      </c>
      <c r="AS11" s="33">
        <v>0.18627330784349794</v>
      </c>
      <c r="AT11" s="33">
        <v>-1.6225748687630905E-2</v>
      </c>
      <c r="AU11" s="33">
        <v>-7.7313458385916941E-3</v>
      </c>
      <c r="AV11" s="33">
        <v>7.6232519719156289E-3</v>
      </c>
      <c r="AW11" s="33">
        <v>5.4078957962833477E-3</v>
      </c>
      <c r="AX11" s="27">
        <v>1.1657474212028E-2</v>
      </c>
    </row>
    <row r="12" spans="1:50" x14ac:dyDescent="0.2">
      <c r="B12" s="8">
        <f>+'Simulation and  VaR'!B25/'Simulation and  VaR'!B24-1</f>
        <v>-3.8493244961708029E-2</v>
      </c>
      <c r="C12" s="8">
        <f>+'Simulation and  VaR'!C25/'Simulation and  VaR'!C24-1</f>
        <v>-3.839441535776611E-2</v>
      </c>
      <c r="D12" s="8">
        <f>+'Simulation and  VaR'!D25/'Simulation and  VaR'!D24-1</f>
        <v>-6.3593004769475492E-3</v>
      </c>
      <c r="E12" s="8">
        <f>+'Simulation and  VaR'!E25/'Simulation and  VaR'!E24-1</f>
        <v>-7.6804915514592231E-3</v>
      </c>
      <c r="F12" s="8">
        <f>+'Simulation and  VaR'!F25/'Simulation and  VaR'!F24-1</f>
        <v>-7.5075075075076159E-3</v>
      </c>
      <c r="G12" s="8">
        <f>+'Simulation and  VaR'!G25/'Simulation and  VaR'!G24-1</f>
        <v>-1.2711864406779627E-2</v>
      </c>
      <c r="H12" s="8">
        <f>+'Simulation and  VaR'!H25/'Simulation and  VaR'!H24-1</f>
        <v>-1.8475750577367278E-2</v>
      </c>
      <c r="I12" s="8">
        <f>+'Simulation and  VaR'!I25/'Simulation and  VaR'!I24-1</f>
        <v>-5.4864667154352564E-2</v>
      </c>
      <c r="J12" s="8">
        <f>+'Simulation and  VaR'!J25/'Simulation and  VaR'!J24-1</f>
        <v>0</v>
      </c>
      <c r="K12" s="8">
        <f>+'Simulation and  VaR'!K25/'Simulation and  VaR'!K24-1</f>
        <v>2.1384544425344654E-3</v>
      </c>
      <c r="L12" s="8">
        <f>+'Simulation and  VaR'!L25/'Simulation and  VaR'!L24-1</f>
        <v>-3.7489951716825898E-3</v>
      </c>
      <c r="N12" s="26">
        <f t="shared" si="0"/>
        <v>-4.3014169454133083E-2</v>
      </c>
      <c r="O12" s="26">
        <f t="shared" si="1"/>
        <v>-4.0911185376342703E-2</v>
      </c>
      <c r="P12" s="26">
        <f t="shared" si="2"/>
        <v>-8.6515088003984927E-3</v>
      </c>
      <c r="Q12" s="26">
        <f t="shared" si="3"/>
        <v>-9.893250823968542E-3</v>
      </c>
      <c r="R12" s="26">
        <f t="shared" si="4"/>
        <v>-9.6886169189523887E-3</v>
      </c>
      <c r="S12" s="26">
        <f t="shared" si="5"/>
        <v>-1.4889866377701236E-2</v>
      </c>
      <c r="T12" s="26">
        <f t="shared" si="6"/>
        <v>-2.3819130622427683E-2</v>
      </c>
      <c r="U12" s="26">
        <f t="shared" si="7"/>
        <v>-6.7266433283389937E-2</v>
      </c>
      <c r="V12" s="26">
        <f t="shared" si="8"/>
        <v>-1.0229205971642284E-2</v>
      </c>
      <c r="W12" s="26">
        <f t="shared" si="9"/>
        <v>3.7053697244058799E-3</v>
      </c>
      <c r="X12" s="26">
        <f t="shared" si="10"/>
        <v>-2.2476005792688341E-4</v>
      </c>
      <c r="Z12" s="20" t="s">
        <v>13</v>
      </c>
      <c r="AA12" s="29">
        <v>-6.0310956447181814E-4</v>
      </c>
      <c r="AB12" s="29">
        <v>5.464191926476125E-5</v>
      </c>
      <c r="AC12" s="29">
        <v>-4.1249695285012105E-5</v>
      </c>
      <c r="AD12" s="29">
        <v>-9.8341161169294001E-5</v>
      </c>
      <c r="AE12" s="29">
        <v>-8.7529881839739152E-5</v>
      </c>
      <c r="AF12" s="29">
        <v>-9.0539418893644471E-5</v>
      </c>
      <c r="AG12" s="29">
        <v>1.1137919489540159E-4</v>
      </c>
      <c r="AH12" s="28">
        <v>5.6111809296600585E-3</v>
      </c>
      <c r="AI12" s="29">
        <v>1.586362189378795E-3</v>
      </c>
      <c r="AJ12" s="29">
        <v>6.2831333403792333E-4</v>
      </c>
      <c r="AK12" s="29">
        <v>-4.5965559518841115E-4</v>
      </c>
      <c r="AM12" s="33">
        <v>3.1361454276699003E-4</v>
      </c>
      <c r="AN12" s="33">
        <v>0.23280926707496061</v>
      </c>
      <c r="AO12" s="33">
        <v>0.36204378534513509</v>
      </c>
      <c r="AP12" s="33">
        <v>0.88241965325279226</v>
      </c>
      <c r="AQ12" s="33">
        <v>-4.4569188263020927E-2</v>
      </c>
      <c r="AR12" s="33">
        <v>1.5545721503313624E-2</v>
      </c>
      <c r="AS12" s="33">
        <v>-0.181503376340479</v>
      </c>
      <c r="AT12" s="33">
        <v>-8.5613568853080482E-3</v>
      </c>
      <c r="AU12" s="33">
        <v>2.7308661139925569E-2</v>
      </c>
      <c r="AV12" s="33">
        <v>-5.9196117681734679E-4</v>
      </c>
      <c r="AW12" s="33">
        <v>3.5673339717809979E-3</v>
      </c>
      <c r="AX12" s="27">
        <v>7.4836150416861787E-3</v>
      </c>
    </row>
    <row r="13" spans="1:50" x14ac:dyDescent="0.2">
      <c r="B13" s="8">
        <f>+'Simulation and  VaR'!B26/'Simulation and  VaR'!B25-1</f>
        <v>-4.3797682790390535E-2</v>
      </c>
      <c r="C13" s="8">
        <f>+'Simulation and  VaR'!C26/'Simulation and  VaR'!C25-1</f>
        <v>-1.4519056261342977E-2</v>
      </c>
      <c r="D13" s="8">
        <f>+'Simulation and  VaR'!D26/'Simulation and  VaR'!D25-1</f>
        <v>-3.520000000000012E-2</v>
      </c>
      <c r="E13" s="8">
        <f>+'Simulation and  VaR'!E26/'Simulation and  VaR'!E25-1</f>
        <v>-3.0959752321981449E-2</v>
      </c>
      <c r="F13" s="8">
        <f>+'Simulation and  VaR'!F26/'Simulation and  VaR'!F25-1</f>
        <v>-3.3282904689863835E-2</v>
      </c>
      <c r="G13" s="8">
        <f>+'Simulation and  VaR'!G26/'Simulation and  VaR'!G25-1</f>
        <v>-2.2889842632331958E-2</v>
      </c>
      <c r="H13" s="8">
        <f>+'Simulation and  VaR'!H26/'Simulation and  VaR'!H25-1</f>
        <v>1.1457800511508909E-2</v>
      </c>
      <c r="I13" s="8">
        <f>+'Simulation and  VaR'!I26/'Simulation and  VaR'!I25-1</f>
        <v>2.9669762641898911E-2</v>
      </c>
      <c r="J13" s="8">
        <f>+'Simulation and  VaR'!J26/'Simulation and  VaR'!J25-1</f>
        <v>0</v>
      </c>
      <c r="K13" s="8">
        <f>+'Simulation and  VaR'!K26/'Simulation and  VaR'!K25-1</f>
        <v>5.4393305439326411E-4</v>
      </c>
      <c r="L13" s="8">
        <f>+'Simulation and  VaR'!L26/'Simulation and  VaR'!L25-1</f>
        <v>-2.2658796658789893E-3</v>
      </c>
      <c r="N13" s="26">
        <f t="shared" si="0"/>
        <v>-4.831860728281559E-2</v>
      </c>
      <c r="O13" s="26">
        <f t="shared" si="1"/>
        <v>-1.7035826279919571E-2</v>
      </c>
      <c r="P13" s="26">
        <f t="shared" si="2"/>
        <v>-3.7492208323451064E-2</v>
      </c>
      <c r="Q13" s="26">
        <f t="shared" si="3"/>
        <v>-3.3172511594490764E-2</v>
      </c>
      <c r="R13" s="26">
        <f t="shared" si="4"/>
        <v>-3.5464014101308609E-2</v>
      </c>
      <c r="S13" s="26">
        <f t="shared" si="5"/>
        <v>-2.5067844603253567E-2</v>
      </c>
      <c r="T13" s="26">
        <f t="shared" si="6"/>
        <v>6.1144204664485037E-3</v>
      </c>
      <c r="U13" s="26">
        <f t="shared" si="7"/>
        <v>1.7267996512861532E-2</v>
      </c>
      <c r="V13" s="26">
        <f t="shared" si="8"/>
        <v>-1.0229205971642284E-2</v>
      </c>
      <c r="W13" s="26">
        <f t="shared" si="9"/>
        <v>2.1108483362646787E-3</v>
      </c>
      <c r="X13" s="26">
        <f t="shared" si="10"/>
        <v>1.2583554478767171E-3</v>
      </c>
      <c r="Z13" s="20" t="s">
        <v>14</v>
      </c>
      <c r="AA13" s="29">
        <v>3.9465515905971597E-4</v>
      </c>
      <c r="AB13" s="29">
        <v>6.7840116118763412E-4</v>
      </c>
      <c r="AC13" s="29">
        <v>4.4078302674869363E-4</v>
      </c>
      <c r="AD13" s="29">
        <v>3.5043998645975483E-4</v>
      </c>
      <c r="AE13" s="29">
        <v>2.7140792101243172E-4</v>
      </c>
      <c r="AF13" s="29">
        <v>2.2708681846573427E-4</v>
      </c>
      <c r="AG13" s="29">
        <v>-2.7201402861004803E-4</v>
      </c>
      <c r="AH13" s="29">
        <v>1.586362189378795E-3</v>
      </c>
      <c r="AI13" s="28">
        <v>1.0949765440290428E-2</v>
      </c>
      <c r="AJ13" s="29">
        <v>-1.2834525763443614E-4</v>
      </c>
      <c r="AK13" s="29">
        <v>6.4581455485440622E-4</v>
      </c>
      <c r="AM13" s="33">
        <v>6.6861306037697133E-5</v>
      </c>
      <c r="AN13" s="33">
        <v>0.95069232476078269</v>
      </c>
      <c r="AO13" s="33">
        <v>9.6323239970162455E-2</v>
      </c>
      <c r="AP13" s="33">
        <v>-0.27785935897970826</v>
      </c>
      <c r="AQ13" s="33">
        <v>-2.0598389757112819E-2</v>
      </c>
      <c r="AR13" s="33">
        <v>-6.4387185735275854E-2</v>
      </c>
      <c r="AS13" s="33">
        <v>6.3857743898988975E-2</v>
      </c>
      <c r="AT13" s="33">
        <v>-2.7564114311286504E-2</v>
      </c>
      <c r="AU13" s="33">
        <v>1.5818879107322228E-2</v>
      </c>
      <c r="AV13" s="33">
        <v>-6.2311447686497169E-3</v>
      </c>
      <c r="AW13" s="33">
        <v>2.1833260676570849E-4</v>
      </c>
      <c r="AX13" s="27">
        <v>-1.8457354275576794E-3</v>
      </c>
    </row>
    <row r="14" spans="1:50" x14ac:dyDescent="0.2">
      <c r="B14" s="8">
        <f>+'Simulation and  VaR'!B27/'Simulation and  VaR'!B26-1</f>
        <v>2.3890892183726642E-2</v>
      </c>
      <c r="C14" s="8">
        <f>+'Simulation and  VaR'!C27/'Simulation and  VaR'!C26-1</f>
        <v>7.3664825046040328E-3</v>
      </c>
      <c r="D14" s="8">
        <f>+'Simulation and  VaR'!D27/'Simulation and  VaR'!D26-1</f>
        <v>-8.2918739635157168E-3</v>
      </c>
      <c r="E14" s="8">
        <f>+'Simulation and  VaR'!E27/'Simulation and  VaR'!E26-1</f>
        <v>-3.1948881789136685E-3</v>
      </c>
      <c r="F14" s="8">
        <f>+'Simulation and  VaR'!F27/'Simulation and  VaR'!F26-1</f>
        <v>1.5649452269170805E-3</v>
      </c>
      <c r="G14" s="8">
        <f>+'Simulation and  VaR'!G27/'Simulation and  VaR'!G26-1</f>
        <v>-4.3923865300147247E-3</v>
      </c>
      <c r="H14" s="8">
        <f>+'Simulation and  VaR'!H27/'Simulation and  VaR'!H26-1</f>
        <v>3.8535450591686171E-2</v>
      </c>
      <c r="I14" s="8">
        <f>+'Simulation and  VaR'!I27/'Simulation and  VaR'!I26-1</f>
        <v>-3.3826108744675509E-2</v>
      </c>
      <c r="J14" s="8">
        <f>+'Simulation and  VaR'!J27/'Simulation and  VaR'!J26-1</f>
        <v>0</v>
      </c>
      <c r="K14" s="8">
        <f>+'Simulation and  VaR'!K27/'Simulation and  VaR'!K26-1</f>
        <v>-1.5054572826496138E-3</v>
      </c>
      <c r="L14" s="8">
        <f>+'Simulation and  VaR'!L27/'Simulation and  VaR'!L26-1</f>
        <v>-1.2931139430246708E-3</v>
      </c>
      <c r="N14" s="26">
        <f t="shared" si="0"/>
        <v>1.9369967691301587E-2</v>
      </c>
      <c r="O14" s="26">
        <f t="shared" si="1"/>
        <v>4.8497124860274387E-3</v>
      </c>
      <c r="P14" s="26">
        <f t="shared" si="2"/>
        <v>-1.058408228696666E-2</v>
      </c>
      <c r="Q14" s="26">
        <f t="shared" si="3"/>
        <v>-5.4076474514229873E-3</v>
      </c>
      <c r="R14" s="26">
        <f t="shared" si="4"/>
        <v>-6.1616418452769281E-4</v>
      </c>
      <c r="S14" s="26">
        <f t="shared" si="5"/>
        <v>-6.570388500936334E-3</v>
      </c>
      <c r="T14" s="26">
        <f t="shared" si="6"/>
        <v>3.3192070546625763E-2</v>
      </c>
      <c r="U14" s="26">
        <f t="shared" si="7"/>
        <v>-4.6227874873712889E-2</v>
      </c>
      <c r="V14" s="26">
        <f t="shared" si="8"/>
        <v>-1.0229205971642284E-2</v>
      </c>
      <c r="W14" s="26">
        <f t="shared" si="9"/>
        <v>6.1457999221800792E-5</v>
      </c>
      <c r="X14" s="26">
        <f t="shared" si="10"/>
        <v>2.2311211707310356E-3</v>
      </c>
      <c r="Z14" s="20" t="s">
        <v>15</v>
      </c>
      <c r="AA14" s="29">
        <v>-3.9259097383557989E-4</v>
      </c>
      <c r="AB14" s="29">
        <v>-1.2314167192020405E-4</v>
      </c>
      <c r="AC14" s="29">
        <v>-1.0450229778179507E-4</v>
      </c>
      <c r="AD14" s="29">
        <v>-8.7300328497902959E-5</v>
      </c>
      <c r="AE14" s="29">
        <v>-1.0297890423133819E-4</v>
      </c>
      <c r="AF14" s="29">
        <v>-6.8518759278536878E-5</v>
      </c>
      <c r="AG14" s="29">
        <v>-2.3682559368339155E-6</v>
      </c>
      <c r="AH14" s="29">
        <v>6.2831333403792333E-4</v>
      </c>
      <c r="AI14" s="29">
        <v>-1.2834525763443614E-4</v>
      </c>
      <c r="AJ14" s="28">
        <v>8.4876478960358836E-4</v>
      </c>
      <c r="AK14" s="29">
        <v>-4.2541335751584308E-4</v>
      </c>
      <c r="AM14" s="33">
        <v>3.2045499316174503E-5</v>
      </c>
      <c r="AN14" s="33">
        <v>-7.2402817121902281E-3</v>
      </c>
      <c r="AO14" s="33">
        <v>9.5161934395799092E-2</v>
      </c>
      <c r="AP14" s="33">
        <v>0.1165070637243039</v>
      </c>
      <c r="AQ14" s="33">
        <v>8.7496466105116022E-2</v>
      </c>
      <c r="AR14" s="33">
        <v>-0.12522914442247174</v>
      </c>
      <c r="AS14" s="33">
        <v>0.67913500941114091</v>
      </c>
      <c r="AT14" s="33">
        <v>0.70138276833902446</v>
      </c>
      <c r="AU14" s="33">
        <v>-1.0357461553788878E-2</v>
      </c>
      <c r="AV14" s="33">
        <v>9.7870105464493359E-3</v>
      </c>
      <c r="AW14" s="33">
        <v>-2.1387077701841044E-2</v>
      </c>
      <c r="AX14" s="27">
        <v>-1.2541932544795244E-2</v>
      </c>
    </row>
    <row r="15" spans="1:50" x14ac:dyDescent="0.2">
      <c r="B15" s="8">
        <f>+'Simulation and  VaR'!B28/'Simulation and  VaR'!B27-1</f>
        <v>2.9186973720561005E-2</v>
      </c>
      <c r="C15" s="8">
        <f>+'Simulation and  VaR'!C28/'Simulation and  VaR'!C27-1</f>
        <v>2.1937842778793515E-2</v>
      </c>
      <c r="D15" s="8">
        <f>+'Simulation and  VaR'!D28/'Simulation and  VaR'!D27-1</f>
        <v>2.006688963210701E-2</v>
      </c>
      <c r="E15" s="8">
        <f>+'Simulation and  VaR'!E28/'Simulation and  VaR'!E27-1</f>
        <v>1.4423076923076872E-2</v>
      </c>
      <c r="F15" s="8">
        <f>+'Simulation and  VaR'!F28/'Simulation and  VaR'!F27-1</f>
        <v>1.2499999999999956E-2</v>
      </c>
      <c r="G15" s="8">
        <f>+'Simulation and  VaR'!G28/'Simulation and  VaR'!G27-1</f>
        <v>7.3529411764705621E-3</v>
      </c>
      <c r="H15" s="8">
        <f>+'Simulation and  VaR'!H28/'Simulation and  VaR'!H27-1</f>
        <v>7.206856252434779E-3</v>
      </c>
      <c r="I15" s="8">
        <f>+'Simulation and  VaR'!I28/'Simulation and  VaR'!I27-1</f>
        <v>2.4636929460581047E-2</v>
      </c>
      <c r="J15" s="8">
        <f>+'Simulation and  VaR'!J28/'Simulation and  VaR'!J27-1</f>
        <v>0</v>
      </c>
      <c r="K15" s="8">
        <f>+'Simulation and  VaR'!K28/'Simulation and  VaR'!K27-1</f>
        <v>9.632700925576998E-4</v>
      </c>
      <c r="L15" s="8">
        <f>+'Simulation and  VaR'!L28/'Simulation and  VaR'!L27-1</f>
        <v>-1.828561501587056E-3</v>
      </c>
      <c r="N15" s="26">
        <f t="shared" si="0"/>
        <v>2.466604922813595E-2</v>
      </c>
      <c r="O15" s="26">
        <f t="shared" si="1"/>
        <v>1.9421072760216922E-2</v>
      </c>
      <c r="P15" s="26">
        <f t="shared" si="2"/>
        <v>1.7774681308656066E-2</v>
      </c>
      <c r="Q15" s="26">
        <f t="shared" si="3"/>
        <v>1.2210317650567553E-2</v>
      </c>
      <c r="R15" s="26">
        <f t="shared" si="4"/>
        <v>1.0318890588555183E-2</v>
      </c>
      <c r="S15" s="26">
        <f t="shared" si="5"/>
        <v>5.1749392055489528E-3</v>
      </c>
      <c r="T15" s="26">
        <f t="shared" si="6"/>
        <v>1.8634762073743739E-3</v>
      </c>
      <c r="U15" s="26">
        <f t="shared" si="7"/>
        <v>1.2235163331543668E-2</v>
      </c>
      <c r="V15" s="26">
        <f t="shared" si="8"/>
        <v>-1.0229205971642284E-2</v>
      </c>
      <c r="W15" s="26">
        <f t="shared" si="9"/>
        <v>2.5301853744291143E-3</v>
      </c>
      <c r="X15" s="26">
        <f t="shared" si="10"/>
        <v>1.6956736121686504E-3</v>
      </c>
      <c r="Z15" s="20" t="s">
        <v>16</v>
      </c>
      <c r="AA15" s="29">
        <v>3.5966247260960858E-4</v>
      </c>
      <c r="AB15" s="29">
        <v>2.315997541759787E-4</v>
      </c>
      <c r="AC15" s="29">
        <v>1.8818633909618233E-4</v>
      </c>
      <c r="AD15" s="29">
        <v>1.6584699997137747E-4</v>
      </c>
      <c r="AE15" s="29">
        <v>1.7382607908494373E-4</v>
      </c>
      <c r="AF15" s="29">
        <v>1.4439348117256936E-4</v>
      </c>
      <c r="AG15" s="29">
        <v>-1.2826715940619476E-5</v>
      </c>
      <c r="AH15" s="29">
        <v>-4.5965559518841115E-4</v>
      </c>
      <c r="AI15" s="29">
        <v>6.4581455485440622E-4</v>
      </c>
      <c r="AJ15" s="29">
        <v>-4.2541335751584308E-4</v>
      </c>
      <c r="AK15" s="28">
        <v>8.8381445629693851E-4</v>
      </c>
      <c r="AM15" s="33">
        <v>1.8864127735577562E-5</v>
      </c>
      <c r="AN15" s="33">
        <v>5.7250449208453791E-2</v>
      </c>
      <c r="AO15" s="33">
        <v>-9.024442233139969E-2</v>
      </c>
      <c r="AP15" s="33">
        <v>-0.10930363947736776</v>
      </c>
      <c r="AQ15" s="33">
        <v>-5.4993594932050499E-2</v>
      </c>
      <c r="AR15" s="33">
        <v>0.2469446247549639</v>
      </c>
      <c r="AS15" s="33">
        <v>-0.6434698561879586</v>
      </c>
      <c r="AT15" s="33">
        <v>0.70435545337876027</v>
      </c>
      <c r="AU15" s="33">
        <v>-4.7982243744413205E-2</v>
      </c>
      <c r="AV15" s="33">
        <v>9.9797397153485335E-3</v>
      </c>
      <c r="AW15" s="33">
        <v>2.6053405717296699E-3</v>
      </c>
      <c r="AX15" s="27">
        <v>6.8089843556291586E-3</v>
      </c>
    </row>
    <row r="16" spans="1:50" x14ac:dyDescent="0.2">
      <c r="B16" s="8">
        <f>+'Simulation and  VaR'!B29/'Simulation and  VaR'!B28-1</f>
        <v>1.8918283176204476E-2</v>
      </c>
      <c r="C16" s="8">
        <f>+'Simulation and  VaR'!C29/'Simulation and  VaR'!C28-1</f>
        <v>2.1466905187835339E-2</v>
      </c>
      <c r="D16" s="8">
        <f>+'Simulation and  VaR'!D29/'Simulation and  VaR'!D28-1</f>
        <v>1.6393442622950838E-2</v>
      </c>
      <c r="E16" s="8">
        <f>+'Simulation and  VaR'!E29/'Simulation and  VaR'!E28-1</f>
        <v>2.0537124802527673E-2</v>
      </c>
      <c r="F16" s="8">
        <f>+'Simulation and  VaR'!F29/'Simulation and  VaR'!F28-1</f>
        <v>1.8518518518518601E-2</v>
      </c>
      <c r="G16" s="8">
        <f>+'Simulation and  VaR'!G29/'Simulation and  VaR'!G28-1</f>
        <v>2.481751824817513E-2</v>
      </c>
      <c r="H16" s="8">
        <f>+'Simulation and  VaR'!H29/'Simulation and  VaR'!H28-1</f>
        <v>4.7959775672017146E-2</v>
      </c>
      <c r="I16" s="8">
        <f>+'Simulation and  VaR'!I29/'Simulation and  VaR'!I28-1</f>
        <v>2.8347253859782207E-2</v>
      </c>
      <c r="J16" s="8">
        <f>+'Simulation and  VaR'!J29/'Simulation and  VaR'!J28-1</f>
        <v>0</v>
      </c>
      <c r="K16" s="8">
        <f>+'Simulation and  VaR'!K29/'Simulation and  VaR'!K28-1</f>
        <v>-1.0878661087866393E-3</v>
      </c>
      <c r="L16" s="8">
        <f>+'Simulation and  VaR'!L29/'Simulation and  VaR'!L28-1</f>
        <v>-1.2533222501343033E-3</v>
      </c>
      <c r="N16" s="26">
        <f t="shared" si="0"/>
        <v>1.4397358683779423E-2</v>
      </c>
      <c r="O16" s="26">
        <f t="shared" si="1"/>
        <v>1.8950135169258746E-2</v>
      </c>
      <c r="P16" s="26">
        <f t="shared" si="2"/>
        <v>1.4101234299499894E-2</v>
      </c>
      <c r="Q16" s="26">
        <f t="shared" si="3"/>
        <v>1.8324365530018354E-2</v>
      </c>
      <c r="R16" s="26">
        <f t="shared" si="4"/>
        <v>1.6337409107073826E-2</v>
      </c>
      <c r="S16" s="26">
        <f t="shared" si="5"/>
        <v>2.2639516277253521E-2</v>
      </c>
      <c r="T16" s="26">
        <f t="shared" si="6"/>
        <v>4.2616395626956738E-2</v>
      </c>
      <c r="U16" s="26">
        <f t="shared" si="7"/>
        <v>1.5945487730744827E-2</v>
      </c>
      <c r="V16" s="26">
        <f t="shared" si="8"/>
        <v>-1.0229205971642284E-2</v>
      </c>
      <c r="W16" s="26">
        <f t="shared" si="9"/>
        <v>4.790491730847753E-4</v>
      </c>
      <c r="X16" s="26">
        <f t="shared" si="10"/>
        <v>2.2709128636214031E-3</v>
      </c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</row>
    <row r="17" spans="2:61" x14ac:dyDescent="0.2">
      <c r="B17" s="8">
        <f>+'Simulation and  VaR'!B30/'Simulation and  VaR'!B29-1</f>
        <v>9.1116184404472333E-2</v>
      </c>
      <c r="C17" s="8">
        <f>+'Simulation and  VaR'!C30/'Simulation and  VaR'!C29-1</f>
        <v>5.7793345008756658E-2</v>
      </c>
      <c r="D17" s="8">
        <f>+'Simulation and  VaR'!D30/'Simulation and  VaR'!D29-1</f>
        <v>4.1935483870967794E-2</v>
      </c>
      <c r="E17" s="8">
        <f>+'Simulation and  VaR'!E30/'Simulation and  VaR'!E29-1</f>
        <v>3.2507739938080427E-2</v>
      </c>
      <c r="F17" s="8">
        <f>+'Simulation and  VaR'!F30/'Simulation and  VaR'!F29-1</f>
        <v>3.9393939393939315E-2</v>
      </c>
      <c r="G17" s="8">
        <f>+'Simulation and  VaR'!G30/'Simulation and  VaR'!G29-1</f>
        <v>3.1339031339031376E-2</v>
      </c>
      <c r="H17" s="8">
        <f>+'Simulation and  VaR'!H30/'Simulation and  VaR'!H29-1</f>
        <v>-4.1612843698099367E-2</v>
      </c>
      <c r="I17" s="8">
        <f>+'Simulation and  VaR'!I30/'Simulation and  VaR'!I29-1</f>
        <v>2.7073590942653158E-2</v>
      </c>
      <c r="J17" s="8">
        <f>+'Simulation and  VaR'!J30/'Simulation and  VaR'!J29-1</f>
        <v>0</v>
      </c>
      <c r="K17" s="8">
        <f>+'Simulation and  VaR'!K30/'Simulation and  VaR'!K29-1</f>
        <v>-1.298483706123843E-3</v>
      </c>
      <c r="L17" s="8">
        <f>+'Simulation and  VaR'!L30/'Simulation and  VaR'!L29-1</f>
        <v>-5.3684972097711725E-4</v>
      </c>
      <c r="N17" s="26">
        <f t="shared" si="0"/>
        <v>8.6595259912047279E-2</v>
      </c>
      <c r="O17" s="26">
        <f t="shared" si="1"/>
        <v>5.5276574990180065E-2</v>
      </c>
      <c r="P17" s="26">
        <f t="shared" si="2"/>
        <v>3.964327554751685E-2</v>
      </c>
      <c r="Q17" s="26">
        <f t="shared" si="3"/>
        <v>3.0294980665571108E-2</v>
      </c>
      <c r="R17" s="26">
        <f t="shared" si="4"/>
        <v>3.721282998249454E-2</v>
      </c>
      <c r="S17" s="26">
        <f t="shared" si="5"/>
        <v>2.9161029368109766E-2</v>
      </c>
      <c r="T17" s="26">
        <f t="shared" si="6"/>
        <v>-4.6956223743159775E-2</v>
      </c>
      <c r="U17" s="26">
        <f t="shared" si="7"/>
        <v>1.4671824813615779E-2</v>
      </c>
      <c r="V17" s="26">
        <f t="shared" si="8"/>
        <v>-1.0229205971642284E-2</v>
      </c>
      <c r="W17" s="26">
        <f t="shared" si="9"/>
        <v>2.6843157574757154E-4</v>
      </c>
      <c r="X17" s="26">
        <f t="shared" si="10"/>
        <v>2.9873853927785891E-3</v>
      </c>
      <c r="Z17" s="21" t="s">
        <v>37</v>
      </c>
      <c r="AA17" s="16" t="s">
        <v>42</v>
      </c>
      <c r="AB17" s="19"/>
      <c r="AC17" s="22"/>
      <c r="AD17" s="19"/>
      <c r="AE17" s="19"/>
      <c r="AF17" s="19"/>
      <c r="AG17" s="19"/>
    </row>
    <row r="18" spans="2:61" x14ac:dyDescent="0.2">
      <c r="B18" s="8">
        <f>+'Simulation and  VaR'!B31/'Simulation and  VaR'!B30-1</f>
        <v>3.2436922282988556E-2</v>
      </c>
      <c r="C18" s="8">
        <f>+'Simulation and  VaR'!C31/'Simulation and  VaR'!C30-1</f>
        <v>1.6556291390728006E-3</v>
      </c>
      <c r="D18" s="8">
        <f>+'Simulation and  VaR'!D31/'Simulation and  VaR'!D30-1</f>
        <v>2.1671826625387025E-2</v>
      </c>
      <c r="E18" s="8">
        <f>+'Simulation and  VaR'!E31/'Simulation and  VaR'!E30-1</f>
        <v>1.0494752623688264E-2</v>
      </c>
      <c r="F18" s="8">
        <f>+'Simulation and  VaR'!F31/'Simulation and  VaR'!F30-1</f>
        <v>1.1661807580174877E-2</v>
      </c>
      <c r="G18" s="8">
        <f>+'Simulation and  VaR'!G31/'Simulation and  VaR'!G30-1</f>
        <v>1.2430939226519389E-2</v>
      </c>
      <c r="H18" s="8">
        <f>+'Simulation and  VaR'!H31/'Simulation and  VaR'!H30-1</f>
        <v>-8.1833060556464332E-3</v>
      </c>
      <c r="I18" s="8">
        <f>+'Simulation and  VaR'!I31/'Simulation and  VaR'!I30-1</f>
        <v>1.9170860292355707E-2</v>
      </c>
      <c r="J18" s="8">
        <f>+'Simulation and  VaR'!J31/'Simulation and  VaR'!J30-1</f>
        <v>0</v>
      </c>
      <c r="K18" s="8">
        <f>+'Simulation and  VaR'!K31/'Simulation and  VaR'!K30-1</f>
        <v>1.1743488654951673E-3</v>
      </c>
      <c r="L18" s="8">
        <f>+'Simulation and  VaR'!L31/'Simulation and  VaR'!L30-1</f>
        <v>2.1478601227054028E-4</v>
      </c>
      <c r="N18" s="26">
        <f t="shared" si="0"/>
        <v>2.7915997790563502E-2</v>
      </c>
      <c r="O18" s="26">
        <f t="shared" si="1"/>
        <v>-8.611408795037934E-4</v>
      </c>
      <c r="P18" s="26">
        <f t="shared" si="2"/>
        <v>1.9379618301936082E-2</v>
      </c>
      <c r="Q18" s="26">
        <f t="shared" si="3"/>
        <v>8.2819933511789449E-3</v>
      </c>
      <c r="R18" s="26">
        <f t="shared" si="4"/>
        <v>9.4806981687301038E-3</v>
      </c>
      <c r="S18" s="26">
        <f t="shared" si="5"/>
        <v>1.0252937255597779E-2</v>
      </c>
      <c r="T18" s="26">
        <f t="shared" si="6"/>
        <v>-1.3526686100706838E-2</v>
      </c>
      <c r="U18" s="26">
        <f t="shared" si="7"/>
        <v>6.7690941633183274E-3</v>
      </c>
      <c r="V18" s="26">
        <f t="shared" si="8"/>
        <v>-1.0229205971642284E-2</v>
      </c>
      <c r="W18" s="26">
        <f t="shared" si="9"/>
        <v>2.7412641473665818E-3</v>
      </c>
      <c r="X18" s="26">
        <f t="shared" si="10"/>
        <v>3.7390211260262467E-3</v>
      </c>
      <c r="AM18" t="s">
        <v>57</v>
      </c>
    </row>
    <row r="19" spans="2:61" x14ac:dyDescent="0.2">
      <c r="B19" s="8">
        <f>+'Simulation and  VaR'!B32/'Simulation and  VaR'!B31-1</f>
        <v>-1.6543339196827267E-3</v>
      </c>
      <c r="C19" s="8">
        <f>+'Simulation and  VaR'!C32/'Simulation and  VaR'!C31-1</f>
        <v>2.4793388429752206E-2</v>
      </c>
      <c r="D19" s="8">
        <f>+'Simulation and  VaR'!D32/'Simulation and  VaR'!D31-1</f>
        <v>1.060606060606073E-2</v>
      </c>
      <c r="E19" s="8">
        <f>+'Simulation and  VaR'!E32/'Simulation and  VaR'!E31-1</f>
        <v>5.9347181008901906E-3</v>
      </c>
      <c r="F19" s="8">
        <f>+'Simulation and  VaR'!F32/'Simulation and  VaR'!F31-1</f>
        <v>5.7636887608070175E-3</v>
      </c>
      <c r="G19" s="8">
        <f>+'Simulation and  VaR'!G32/'Simulation and  VaR'!G31-1</f>
        <v>-2.7285129604366354E-3</v>
      </c>
      <c r="H19" s="8">
        <f>+'Simulation and  VaR'!H32/'Simulation and  VaR'!H31-1</f>
        <v>-4.7369442826635688E-2</v>
      </c>
      <c r="I19" s="8">
        <f>+'Simulation and  VaR'!I32/'Simulation and  VaR'!I31-1</f>
        <v>4.2323066071008331E-3</v>
      </c>
      <c r="J19" s="8">
        <f>+'Simulation and  VaR'!J32/'Simulation and  VaR'!J31-1</f>
        <v>0</v>
      </c>
      <c r="K19" s="8">
        <f>+'Simulation and  VaR'!K32/'Simulation and  VaR'!K31-1</f>
        <v>1.8851325876587666E-3</v>
      </c>
      <c r="L19" s="8">
        <f>+'Simulation and  VaR'!L32/'Simulation and  VaR'!L31-1</f>
        <v>-3.9361935384329971E-4</v>
      </c>
      <c r="N19" s="26">
        <f t="shared" si="0"/>
        <v>-6.1752584121077796E-3</v>
      </c>
      <c r="O19" s="26">
        <f t="shared" si="1"/>
        <v>2.2276618411175612E-2</v>
      </c>
      <c r="P19" s="26">
        <f t="shared" si="2"/>
        <v>8.3138522826097863E-3</v>
      </c>
      <c r="Q19" s="26">
        <f t="shared" si="3"/>
        <v>3.7219588283808722E-3</v>
      </c>
      <c r="R19" s="26">
        <f t="shared" si="4"/>
        <v>3.5825793493622442E-3</v>
      </c>
      <c r="S19" s="26">
        <f t="shared" si="5"/>
        <v>-4.9065149313582447E-3</v>
      </c>
      <c r="T19" s="26">
        <f t="shared" si="6"/>
        <v>-5.2712822871696097E-2</v>
      </c>
      <c r="U19" s="26">
        <f t="shared" si="7"/>
        <v>-8.1694595219365465E-3</v>
      </c>
      <c r="V19" s="26">
        <f t="shared" si="8"/>
        <v>-1.0229205971642284E-2</v>
      </c>
      <c r="W19" s="26">
        <f t="shared" si="9"/>
        <v>3.4520478695301811E-3</v>
      </c>
      <c r="X19" s="26">
        <f t="shared" si="10"/>
        <v>3.1306157599124067E-3</v>
      </c>
      <c r="Z19" s="15" t="s">
        <v>38</v>
      </c>
      <c r="AM19" t="s">
        <v>47</v>
      </c>
    </row>
    <row r="20" spans="2:61" x14ac:dyDescent="0.2">
      <c r="B20" s="8">
        <f>+'Simulation and  VaR'!B33/'Simulation and  VaR'!B32-1</f>
        <v>-1.8222213629191963E-2</v>
      </c>
      <c r="C20" s="8">
        <f>+'Simulation and  VaR'!C33/'Simulation and  VaR'!C32-1</f>
        <v>1.7741935483870819E-2</v>
      </c>
      <c r="D20" s="8">
        <f>+'Simulation and  VaR'!D33/'Simulation and  VaR'!D32-1</f>
        <v>2.8485757121439192E-2</v>
      </c>
      <c r="E20" s="8">
        <f>+'Simulation and  VaR'!E33/'Simulation and  VaR'!E32-1</f>
        <v>2.6548672566371723E-2</v>
      </c>
      <c r="F20" s="8">
        <f>+'Simulation and  VaR'!F33/'Simulation and  VaR'!F32-1</f>
        <v>2.2922636103151817E-2</v>
      </c>
      <c r="G20" s="8">
        <f>+'Simulation and  VaR'!G33/'Simulation and  VaR'!G32-1</f>
        <v>2.8727770177838563E-2</v>
      </c>
      <c r="H20" s="8">
        <f>+'Simulation and  VaR'!H33/'Simulation and  VaR'!H32-1</f>
        <v>3.4440595068270019E-2</v>
      </c>
      <c r="I20" s="8">
        <f>+'Simulation and  VaR'!I33/'Simulation and  VaR'!I32-1</f>
        <v>1.6389604308124417E-2</v>
      </c>
      <c r="J20" s="8">
        <f>+'Simulation and  VaR'!J33/'Simulation and  VaR'!J32-1</f>
        <v>5.8441558441558517E-2</v>
      </c>
      <c r="K20" s="8">
        <f>+'Simulation and  VaR'!K33/'Simulation and  VaR'!K32-1</f>
        <v>1.2543903662809441E-4</v>
      </c>
      <c r="L20" s="8">
        <f>+'Simulation and  VaR'!L33/'Simulation and  VaR'!L32-1</f>
        <v>3.5796386221820242E-4</v>
      </c>
      <c r="N20" s="26">
        <f t="shared" si="0"/>
        <v>-2.2743138121617018E-2</v>
      </c>
      <c r="O20" s="26">
        <f t="shared" si="1"/>
        <v>1.5225165465294226E-2</v>
      </c>
      <c r="P20" s="26">
        <f t="shared" si="2"/>
        <v>2.6193548797988249E-2</v>
      </c>
      <c r="Q20" s="26">
        <f t="shared" si="3"/>
        <v>2.4335913293862404E-2</v>
      </c>
      <c r="R20" s="26">
        <f t="shared" si="4"/>
        <v>2.0741526691707042E-2</v>
      </c>
      <c r="S20" s="26">
        <f t="shared" si="5"/>
        <v>2.6549768206916954E-2</v>
      </c>
      <c r="T20" s="26">
        <f t="shared" si="6"/>
        <v>2.9097215023209614E-2</v>
      </c>
      <c r="U20" s="26">
        <f t="shared" si="7"/>
        <v>3.9878381790870374E-3</v>
      </c>
      <c r="V20" s="26">
        <f t="shared" si="8"/>
        <v>4.8212352469916231E-2</v>
      </c>
      <c r="W20" s="26">
        <f t="shared" si="9"/>
        <v>1.692354318499509E-3</v>
      </c>
      <c r="X20" s="26">
        <f t="shared" si="10"/>
        <v>3.8821989759739088E-3</v>
      </c>
      <c r="Z20" s="1"/>
      <c r="AM20" s="27">
        <v>0.11401955600041436</v>
      </c>
      <c r="AN20" s="27">
        <v>-0.74707494685851539</v>
      </c>
      <c r="AO20" s="27">
        <v>0.25867221695940801</v>
      </c>
      <c r="AP20" s="27">
        <v>-0.39418683377143621</v>
      </c>
      <c r="AQ20" s="27">
        <v>-0.44536508005046543</v>
      </c>
      <c r="AR20" s="27">
        <v>-1.8623057758633387E-2</v>
      </c>
      <c r="AS20" s="27">
        <v>4.8522331748479197E-2</v>
      </c>
      <c r="AT20" s="27">
        <v>7.4225567771163875E-2</v>
      </c>
      <c r="AU20" s="27">
        <v>1.5133680531396334E-4</v>
      </c>
      <c r="AV20" s="27">
        <v>3.9356085937506226E-3</v>
      </c>
      <c r="AW20" s="27">
        <v>2.7843428779849373E-3</v>
      </c>
      <c r="AY20" s="27">
        <f>AM5</f>
        <v>1.1591607758921927E-2</v>
      </c>
      <c r="AZ20" s="27">
        <v>0</v>
      </c>
      <c r="BA20" s="27">
        <v>0</v>
      </c>
      <c r="BB20" s="27">
        <v>0</v>
      </c>
      <c r="BC20" s="27">
        <v>0</v>
      </c>
      <c r="BD20" s="27">
        <v>0</v>
      </c>
      <c r="BE20" s="27">
        <v>0</v>
      </c>
      <c r="BF20" s="27">
        <v>0</v>
      </c>
      <c r="BG20" s="27">
        <v>0</v>
      </c>
      <c r="BH20" s="27">
        <v>0</v>
      </c>
      <c r="BI20" s="27">
        <v>0</v>
      </c>
    </row>
    <row r="21" spans="2:61" ht="18" x14ac:dyDescent="0.2">
      <c r="B21" s="8">
        <f>+'Simulation and  VaR'!B34/'Simulation and  VaR'!B33-1</f>
        <v>1.6872681040622783E-2</v>
      </c>
      <c r="C21" s="8">
        <f>+'Simulation and  VaR'!C34/'Simulation and  VaR'!C33-1</f>
        <v>-2.0602218700475405E-2</v>
      </c>
      <c r="D21" s="8">
        <f>+'Simulation and  VaR'!D34/'Simulation and  VaR'!D33-1</f>
        <v>5.8309037900874383E-3</v>
      </c>
      <c r="E21" s="8">
        <f>+'Simulation and  VaR'!E34/'Simulation and  VaR'!E33-1</f>
        <v>1.0057471264367734E-2</v>
      </c>
      <c r="F21" s="8">
        <f>+'Simulation and  VaR'!F34/'Simulation and  VaR'!F33-1</f>
        <v>1.1204481792717047E-2</v>
      </c>
      <c r="G21" s="8">
        <f>+'Simulation and  VaR'!G34/'Simulation and  VaR'!G33-1</f>
        <v>3.9893617021276029E-3</v>
      </c>
      <c r="H21" s="8">
        <f>+'Simulation and  VaR'!H34/'Simulation and  VaR'!H33-1</f>
        <v>2.1473601260835196E-2</v>
      </c>
      <c r="I21" s="8">
        <f>+'Simulation and  VaR'!I34/'Simulation and  VaR'!I33-1</f>
        <v>4.6072333563695889E-3</v>
      </c>
      <c r="J21" s="8">
        <f>+'Simulation and  VaR'!J34/'Simulation and  VaR'!J33-1</f>
        <v>3.0674846625766916E-2</v>
      </c>
      <c r="K21" s="8">
        <f>+'Simulation and  VaR'!K34/'Simulation and  VaR'!K33-1</f>
        <v>5.8530875036577612E-4</v>
      </c>
      <c r="L21" s="8">
        <f>+'Simulation and  VaR'!L34/'Simulation and  VaR'!L33-1</f>
        <v>6.4475041389289167E-4</v>
      </c>
      <c r="N21" s="26">
        <f t="shared" si="0"/>
        <v>1.235175654819773E-2</v>
      </c>
      <c r="O21" s="26">
        <f t="shared" si="1"/>
        <v>-2.3118988719051999E-2</v>
      </c>
      <c r="P21" s="26">
        <f t="shared" si="2"/>
        <v>3.5386954666364943E-3</v>
      </c>
      <c r="Q21" s="26">
        <f t="shared" si="3"/>
        <v>7.8447119918584156E-3</v>
      </c>
      <c r="R21" s="26">
        <f t="shared" si="4"/>
        <v>9.0233723812722742E-3</v>
      </c>
      <c r="S21" s="26">
        <f t="shared" si="5"/>
        <v>1.8113597312059936E-3</v>
      </c>
      <c r="T21" s="26">
        <f t="shared" si="6"/>
        <v>1.6130221215774791E-2</v>
      </c>
      <c r="U21" s="26">
        <f t="shared" si="7"/>
        <v>-7.7945327726677907E-3</v>
      </c>
      <c r="V21" s="26">
        <f t="shared" si="8"/>
        <v>2.044564065412463E-2</v>
      </c>
      <c r="W21" s="26">
        <f t="shared" si="9"/>
        <v>2.1522240322371907E-3</v>
      </c>
      <c r="X21" s="26">
        <f t="shared" si="10"/>
        <v>4.1689855276485985E-3</v>
      </c>
      <c r="Z21" s="15" t="s">
        <v>39</v>
      </c>
      <c r="AM21" s="27">
        <v>0.10527475751065747</v>
      </c>
      <c r="AN21" s="27">
        <v>-0.31186465361553228</v>
      </c>
      <c r="AO21" s="27">
        <v>0.15214864038183473</v>
      </c>
      <c r="AP21" s="27">
        <v>0.1160955659217409</v>
      </c>
      <c r="AQ21" s="27">
        <v>0.38833694333973973</v>
      </c>
      <c r="AR21" s="27">
        <v>0.1415461736744266</v>
      </c>
      <c r="AS21" s="27">
        <v>-7.4305336656419474E-2</v>
      </c>
      <c r="AT21" s="27">
        <v>-0.79783822501742652</v>
      </c>
      <c r="AU21" s="27">
        <v>-0.1961085660201311</v>
      </c>
      <c r="AV21" s="27">
        <v>-5.438463609650307E-2</v>
      </c>
      <c r="AW21" s="27">
        <v>2.6570634081515859E-2</v>
      </c>
      <c r="AY21" s="27">
        <v>0</v>
      </c>
      <c r="AZ21" s="33">
        <f>AM6</f>
        <v>7.7351315871149176E-3</v>
      </c>
      <c r="BA21" s="27">
        <v>0</v>
      </c>
      <c r="BB21" s="27">
        <v>0</v>
      </c>
      <c r="BC21" s="27">
        <v>0</v>
      </c>
      <c r="BD21" s="27">
        <v>0</v>
      </c>
      <c r="BE21" s="27">
        <v>0</v>
      </c>
      <c r="BF21" s="27">
        <v>0</v>
      </c>
      <c r="BG21" s="27">
        <v>0</v>
      </c>
      <c r="BH21" s="27">
        <v>0</v>
      </c>
      <c r="BI21" s="27">
        <v>0</v>
      </c>
    </row>
    <row r="22" spans="2:61" x14ac:dyDescent="0.2">
      <c r="B22" s="8">
        <f>+'Simulation and  VaR'!B35/'Simulation and  VaR'!B34-1</f>
        <v>-1.327485540025708E-2</v>
      </c>
      <c r="C22" s="8">
        <f>+'Simulation and  VaR'!C35/'Simulation and  VaR'!C34-1</f>
        <v>2.4271844660194164E-2</v>
      </c>
      <c r="D22" s="8">
        <f>+'Simulation and  VaR'!D35/'Simulation and  VaR'!D34-1</f>
        <v>-1.4492753623188359E-2</v>
      </c>
      <c r="E22" s="8">
        <f>+'Simulation and  VaR'!E35/'Simulation and  VaR'!E34-1</f>
        <v>-8.5348506401137225E-3</v>
      </c>
      <c r="F22" s="8">
        <f>+'Simulation and  VaR'!F35/'Simulation and  VaR'!F34-1</f>
        <v>-1.2465373961218829E-2</v>
      </c>
      <c r="G22" s="8">
        <f>+'Simulation and  VaR'!G35/'Simulation and  VaR'!G34-1</f>
        <v>-2.6490066225166586E-3</v>
      </c>
      <c r="H22" s="8">
        <f>+'Simulation and  VaR'!H35/'Simulation and  VaR'!H34-1</f>
        <v>-2.2179363548698872E-3</v>
      </c>
      <c r="I22" s="8">
        <f>+'Simulation and  VaR'!I35/'Simulation and  VaR'!I34-1</f>
        <v>-5.274019720247769E-3</v>
      </c>
      <c r="J22" s="8">
        <f>+'Simulation and  VaR'!J35/'Simulation and  VaR'!J34-1</f>
        <v>0</v>
      </c>
      <c r="K22" s="8">
        <f>+'Simulation and  VaR'!K35/'Simulation and  VaR'!K34-1</f>
        <v>-2.6741319516984108E-3</v>
      </c>
      <c r="L22" s="8">
        <f>+'Simulation and  VaR'!L35/'Simulation and  VaR'!L34-1</f>
        <v>6.4516639907363782E-4</v>
      </c>
      <c r="N22" s="26">
        <f t="shared" si="0"/>
        <v>-1.7795779892682134E-2</v>
      </c>
      <c r="O22" s="26">
        <f t="shared" si="1"/>
        <v>2.1755074641617571E-2</v>
      </c>
      <c r="P22" s="26">
        <f t="shared" si="2"/>
        <v>-1.6784961946639303E-2</v>
      </c>
      <c r="Q22" s="26">
        <f t="shared" si="3"/>
        <v>-1.0747609912623041E-2</v>
      </c>
      <c r="R22" s="26">
        <f t="shared" si="4"/>
        <v>-1.4646483372663601E-2</v>
      </c>
      <c r="S22" s="26">
        <f t="shared" si="5"/>
        <v>-4.827008593438268E-3</v>
      </c>
      <c r="T22" s="26">
        <f t="shared" si="6"/>
        <v>-7.5613163999302922E-3</v>
      </c>
      <c r="U22" s="26">
        <f t="shared" si="7"/>
        <v>-1.7675785849285149E-2</v>
      </c>
      <c r="V22" s="26">
        <f t="shared" si="8"/>
        <v>-1.0229205971642284E-2</v>
      </c>
      <c r="W22" s="26">
        <f t="shared" si="9"/>
        <v>-1.1072166698269962E-3</v>
      </c>
      <c r="X22" s="26">
        <f t="shared" si="10"/>
        <v>4.1694015128293446E-3</v>
      </c>
      <c r="Z22" s="27"/>
      <c r="AA22" s="20" t="s">
        <v>6</v>
      </c>
      <c r="AB22" s="20" t="s">
        <v>7</v>
      </c>
      <c r="AC22" s="20" t="s">
        <v>8</v>
      </c>
      <c r="AD22" s="20" t="s">
        <v>9</v>
      </c>
      <c r="AE22" s="20" t="s">
        <v>10</v>
      </c>
      <c r="AF22" s="20" t="s">
        <v>11</v>
      </c>
      <c r="AG22" s="20" t="s">
        <v>12</v>
      </c>
      <c r="AH22" s="20" t="s">
        <v>13</v>
      </c>
      <c r="AI22" s="20" t="s">
        <v>14</v>
      </c>
      <c r="AJ22" s="20" t="s">
        <v>15</v>
      </c>
      <c r="AK22" s="20" t="s">
        <v>16</v>
      </c>
      <c r="AM22" s="27">
        <v>6.9445219518172535E-2</v>
      </c>
      <c r="AN22" s="27">
        <v>-0.22085988115292174</v>
      </c>
      <c r="AO22" s="27">
        <v>9.1788562848883024E-2</v>
      </c>
      <c r="AP22" s="27">
        <v>0.11302898895820204</v>
      </c>
      <c r="AQ22" s="27">
        <v>0.35107126638949426</v>
      </c>
      <c r="AR22" s="27">
        <v>9.8895089197765462E-2</v>
      </c>
      <c r="AS22" s="27">
        <v>-4.2298053603352676E-2</v>
      </c>
      <c r="AT22" s="27">
        <v>0.11496479071996282</v>
      </c>
      <c r="AU22" s="27">
        <v>0.72331884756699405</v>
      </c>
      <c r="AV22" s="27">
        <v>0.20028021476113214</v>
      </c>
      <c r="AW22" s="27">
        <v>-0.4624477938304411</v>
      </c>
      <c r="AY22" s="27">
        <v>0</v>
      </c>
      <c r="AZ22" s="27">
        <v>0</v>
      </c>
      <c r="BA22" s="33">
        <f>AM7</f>
        <v>5.048608082653977E-3</v>
      </c>
      <c r="BB22" s="27">
        <v>0</v>
      </c>
      <c r="BC22" s="27">
        <v>0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</row>
    <row r="23" spans="2:61" x14ac:dyDescent="0.2">
      <c r="B23" s="8">
        <f>+'Simulation and  VaR'!B36/'Simulation and  VaR'!B35-1</f>
        <v>6.7322550605810605E-2</v>
      </c>
      <c r="C23" s="8">
        <f>+'Simulation and  VaR'!C36/'Simulation and  VaR'!C35-1</f>
        <v>3.9494470774091628E-2</v>
      </c>
      <c r="D23" s="8">
        <f>+'Simulation and  VaR'!D36/'Simulation and  VaR'!D35-1</f>
        <v>2.7941176470588358E-2</v>
      </c>
      <c r="E23" s="8">
        <f>+'Simulation and  VaR'!E36/'Simulation and  VaR'!E35-1</f>
        <v>2.2955523672883782E-2</v>
      </c>
      <c r="F23" s="8">
        <f>+'Simulation and  VaR'!F36/'Simulation and  VaR'!F35-1</f>
        <v>2.244039270687237E-2</v>
      </c>
      <c r="G23" s="8">
        <f>+'Simulation and  VaR'!G36/'Simulation and  VaR'!G35-1</f>
        <v>2.3904382470119501E-2</v>
      </c>
      <c r="H23" s="8">
        <f>+'Simulation and  VaR'!H36/'Simulation and  VaR'!H35-1</f>
        <v>-5.5571663284043726E-2</v>
      </c>
      <c r="I23" s="8">
        <f>+'Simulation and  VaR'!I36/'Simulation and  VaR'!I35-1</f>
        <v>-5.6938681420009241E-2</v>
      </c>
      <c r="J23" s="8">
        <f>+'Simulation and  VaR'!J36/'Simulation and  VaR'!J35-1</f>
        <v>0</v>
      </c>
      <c r="K23" s="8">
        <f>+'Simulation and  VaR'!K36/'Simulation and  VaR'!K35-1</f>
        <v>1.2149650173864934E-3</v>
      </c>
      <c r="L23" s="8">
        <f>+'Simulation and  VaR'!L36/'Simulation and  VaR'!L35-1</f>
        <v>6.814730996576035E-4</v>
      </c>
      <c r="N23" s="26">
        <f t="shared" si="0"/>
        <v>6.280162611338555E-2</v>
      </c>
      <c r="O23" s="26">
        <f t="shared" si="1"/>
        <v>3.6977700755515035E-2</v>
      </c>
      <c r="P23" s="26">
        <f t="shared" si="2"/>
        <v>2.5648968147137415E-2</v>
      </c>
      <c r="Q23" s="26">
        <f t="shared" si="3"/>
        <v>2.0742764400374463E-2</v>
      </c>
      <c r="R23" s="26">
        <f t="shared" si="4"/>
        <v>2.0259283295427595E-2</v>
      </c>
      <c r="S23" s="26">
        <f t="shared" si="5"/>
        <v>2.1726380499197891E-2</v>
      </c>
      <c r="T23" s="26">
        <f t="shared" si="6"/>
        <v>-6.0915043329104135E-2</v>
      </c>
      <c r="U23" s="26">
        <f t="shared" si="7"/>
        <v>-6.9340447549046613E-2</v>
      </c>
      <c r="V23" s="26">
        <f t="shared" si="8"/>
        <v>-1.0229205971642284E-2</v>
      </c>
      <c r="W23" s="26">
        <f t="shared" si="9"/>
        <v>2.781880299257908E-3</v>
      </c>
      <c r="X23" s="26">
        <f t="shared" si="10"/>
        <v>4.2057082134133103E-3</v>
      </c>
      <c r="Z23" s="20" t="s">
        <v>6</v>
      </c>
      <c r="AA23" s="29">
        <f t="array" ref="AA23:AK33">MMULT(TRANSPOSE(B257:L257),B257:L257)</f>
        <v>5.4169423202421844E-3</v>
      </c>
      <c r="AB23" s="29">
        <v>2.8257681088530275E-3</v>
      </c>
      <c r="AC23" s="29">
        <v>2.0021028045908297E-3</v>
      </c>
      <c r="AD23" s="29">
        <v>1.7983953033016426E-3</v>
      </c>
      <c r="AE23" s="29">
        <v>1.7535474565628468E-3</v>
      </c>
      <c r="AF23" s="29">
        <v>1.6196824251293255E-3</v>
      </c>
      <c r="AG23" s="29">
        <v>3.4226517190228006E-3</v>
      </c>
      <c r="AH23" s="29">
        <v>5.513206276243565E-3</v>
      </c>
      <c r="AI23" s="29">
        <v>7.7015743721809546E-3</v>
      </c>
      <c r="AJ23" s="29">
        <v>2.1442271122096962E-3</v>
      </c>
      <c r="AK23" s="29">
        <v>2.1880520861160329E-3</v>
      </c>
      <c r="AM23" s="27">
        <v>5.6776315338581067E-2</v>
      </c>
      <c r="AN23" s="27">
        <v>-0.19697892586725105</v>
      </c>
      <c r="AO23" s="27">
        <v>7.1590222647557503E-2</v>
      </c>
      <c r="AP23" s="27">
        <v>0.11852154863674855</v>
      </c>
      <c r="AQ23" s="27">
        <v>0.3235058124065856</v>
      </c>
      <c r="AR23" s="27">
        <v>9.9256235805855061E-2</v>
      </c>
      <c r="AS23" s="27">
        <v>-2.525576991286196E-2</v>
      </c>
      <c r="AT23" s="27">
        <v>0.26602212348027038</v>
      </c>
      <c r="AU23" s="27">
        <v>0.24660088565431415</v>
      </c>
      <c r="AV23" s="27">
        <v>-9.2304019701575632E-2</v>
      </c>
      <c r="AW23" s="27">
        <v>0.82677552564985546</v>
      </c>
      <c r="AY23" s="27">
        <v>0</v>
      </c>
      <c r="AZ23" s="27">
        <v>0</v>
      </c>
      <c r="BA23" s="27">
        <v>0</v>
      </c>
      <c r="BB23" s="33">
        <f>AM8</f>
        <v>2.0146025085972857E-3</v>
      </c>
      <c r="BC23" s="27">
        <v>0</v>
      </c>
      <c r="BD23" s="27">
        <v>0</v>
      </c>
      <c r="BE23" s="27">
        <v>0</v>
      </c>
      <c r="BF23" s="27">
        <v>0</v>
      </c>
      <c r="BG23" s="27">
        <v>0</v>
      </c>
      <c r="BH23" s="27">
        <v>0</v>
      </c>
      <c r="BI23" s="27">
        <v>0</v>
      </c>
    </row>
    <row r="24" spans="2:61" x14ac:dyDescent="0.2">
      <c r="B24" s="8">
        <f>+'Simulation and  VaR'!B37/'Simulation and  VaR'!B36-1</f>
        <v>8.6941658425222945E-2</v>
      </c>
      <c r="C24" s="8">
        <f>+'Simulation and  VaR'!C37/'Simulation and  VaR'!C36-1</f>
        <v>2.2796352583586588E-2</v>
      </c>
      <c r="D24" s="8">
        <f>+'Simulation and  VaR'!D37/'Simulation and  VaR'!D36-1</f>
        <v>1.4306151645207432E-2</v>
      </c>
      <c r="E24" s="8">
        <f>+'Simulation and  VaR'!E37/'Simulation and  VaR'!E36-1</f>
        <v>1.6830294530154388E-2</v>
      </c>
      <c r="F24" s="8">
        <f>+'Simulation and  VaR'!F37/'Simulation and  VaR'!F36-1</f>
        <v>1.6460905349794164E-2</v>
      </c>
      <c r="G24" s="8">
        <f>+'Simulation and  VaR'!G37/'Simulation and  VaR'!G36-1</f>
        <v>1.8158236057068677E-2</v>
      </c>
      <c r="H24" s="8">
        <f>+'Simulation and  VaR'!H37/'Simulation and  VaR'!H36-1</f>
        <v>-6.017191977077363E-2</v>
      </c>
      <c r="I24" s="8">
        <f>+'Simulation and  VaR'!I37/'Simulation and  VaR'!I36-1</f>
        <v>1.3933023710584136E-2</v>
      </c>
      <c r="J24" s="8">
        <f>+'Simulation and  VaR'!J37/'Simulation and  VaR'!J36-1</f>
        <v>0</v>
      </c>
      <c r="K24" s="8">
        <f>+'Simulation and  VaR'!K37/'Simulation and  VaR'!K36-1</f>
        <v>3.3475604653121493E-4</v>
      </c>
      <c r="L24" s="8">
        <f>+'Simulation and  VaR'!L37/'Simulation and  VaR'!L36-1</f>
        <v>2.5530591025186844E-3</v>
      </c>
      <c r="N24" s="26">
        <f t="shared" si="0"/>
        <v>8.2420733932797891E-2</v>
      </c>
      <c r="O24" s="26">
        <f t="shared" si="1"/>
        <v>2.0279582565009995E-2</v>
      </c>
      <c r="P24" s="26">
        <f t="shared" si="2"/>
        <v>1.2013943321756489E-2</v>
      </c>
      <c r="Q24" s="26">
        <f t="shared" si="3"/>
        <v>1.4617535257645069E-2</v>
      </c>
      <c r="R24" s="26">
        <f t="shared" si="4"/>
        <v>1.4279795938349391E-2</v>
      </c>
      <c r="S24" s="26">
        <f t="shared" si="5"/>
        <v>1.5980234086147068E-2</v>
      </c>
      <c r="T24" s="26">
        <f t="shared" si="6"/>
        <v>-6.5515299815834038E-2</v>
      </c>
      <c r="U24" s="26">
        <f t="shared" si="7"/>
        <v>1.5312575815467563E-3</v>
      </c>
      <c r="V24" s="26">
        <f t="shared" si="8"/>
        <v>-1.0229205971642284E-2</v>
      </c>
      <c r="W24" s="26">
        <f t="shared" si="9"/>
        <v>1.9016713284026295E-3</v>
      </c>
      <c r="X24" s="26">
        <f t="shared" si="10"/>
        <v>6.0772942162743912E-3</v>
      </c>
      <c r="Z24" s="20" t="s">
        <v>7</v>
      </c>
      <c r="AA24" s="29">
        <v>2.8257681088530275E-3</v>
      </c>
      <c r="AB24" s="29">
        <v>1.4740724440008102E-3</v>
      </c>
      <c r="AC24" s="29">
        <v>1.0444043745337561E-3</v>
      </c>
      <c r="AD24" s="29">
        <v>9.3813959882697211E-4</v>
      </c>
      <c r="AE24" s="29">
        <v>9.1474455277088776E-4</v>
      </c>
      <c r="AF24" s="29">
        <v>8.4491336123282824E-4</v>
      </c>
      <c r="AG24" s="29">
        <v>1.7854389992642968E-3</v>
      </c>
      <c r="AH24" s="29">
        <v>2.8759845595403908E-3</v>
      </c>
      <c r="AI24" s="29">
        <v>4.0175549160906942E-3</v>
      </c>
      <c r="AJ24" s="29">
        <v>1.1185440482130312E-3</v>
      </c>
      <c r="AK24" s="29">
        <v>1.1414055088516421E-3</v>
      </c>
      <c r="AM24" s="27">
        <v>4.8323925109651736E-2</v>
      </c>
      <c r="AN24" s="27">
        <v>-0.18317344357278054</v>
      </c>
      <c r="AO24" s="27">
        <v>6.8539015998643302E-2</v>
      </c>
      <c r="AP24" s="27">
        <v>9.3643839291078015E-2</v>
      </c>
      <c r="AQ24" s="27">
        <v>0.32893599846129884</v>
      </c>
      <c r="AR24" s="27">
        <v>7.0347803809019074E-2</v>
      </c>
      <c r="AS24" s="27">
        <v>-2.3340434844468662E-2</v>
      </c>
      <c r="AT24" s="27">
        <v>0.39614419727274841</v>
      </c>
      <c r="AU24" s="27">
        <v>-0.32553281048433258</v>
      </c>
      <c r="AV24" s="27">
        <v>-0.69059690120603634</v>
      </c>
      <c r="AW24" s="27">
        <v>-0.31165225379716827</v>
      </c>
      <c r="AY24" s="27">
        <v>0</v>
      </c>
      <c r="AZ24" s="27">
        <v>0</v>
      </c>
      <c r="BA24" s="27">
        <v>0</v>
      </c>
      <c r="BB24" s="27">
        <v>0</v>
      </c>
      <c r="BC24" s="33">
        <f>AM9</f>
        <v>1.4882792402879993E-3</v>
      </c>
      <c r="BD24" s="27">
        <v>0</v>
      </c>
      <c r="BE24" s="27">
        <v>0</v>
      </c>
      <c r="BF24" s="27">
        <v>0</v>
      </c>
      <c r="BG24" s="27">
        <v>0</v>
      </c>
      <c r="BH24" s="27">
        <v>0</v>
      </c>
      <c r="BI24" s="27">
        <v>0</v>
      </c>
    </row>
    <row r="25" spans="2:61" x14ac:dyDescent="0.2">
      <c r="B25" s="8">
        <f>+'Simulation and  VaR'!B38/'Simulation and  VaR'!B37-1</f>
        <v>-1.4563374635706561E-3</v>
      </c>
      <c r="C25" s="8">
        <f>+'Simulation and  VaR'!C38/'Simulation and  VaR'!C37-1</f>
        <v>-4.4576523031202298E-3</v>
      </c>
      <c r="D25" s="8">
        <f>+'Simulation and  VaR'!D38/'Simulation and  VaR'!D37-1</f>
        <v>-1.5514809590973289E-2</v>
      </c>
      <c r="E25" s="8">
        <f>+'Simulation and  VaR'!E38/'Simulation and  VaR'!E37-1</f>
        <v>-1.3793103448275223E-3</v>
      </c>
      <c r="F25" s="8">
        <f>+'Simulation and  VaR'!F38/'Simulation and  VaR'!F37-1</f>
        <v>1.3495276653170407E-3</v>
      </c>
      <c r="G25" s="8">
        <f>+'Simulation and  VaR'!G38/'Simulation and  VaR'!G37-1</f>
        <v>2.5477707006369421E-3</v>
      </c>
      <c r="H25" s="8">
        <f>+'Simulation and  VaR'!H38/'Simulation and  VaR'!H37-1</f>
        <v>4.006968641114983E-2</v>
      </c>
      <c r="I25" s="8">
        <f>+'Simulation and  VaR'!I38/'Simulation and  VaR'!I37-1</f>
        <v>-1.3259402121504227E-2</v>
      </c>
      <c r="J25" s="8">
        <f>+'Simulation and  VaR'!J38/'Simulation and  VaR'!J37-1</f>
        <v>0</v>
      </c>
      <c r="K25" s="8">
        <f>+'Simulation and  VaR'!K38/'Simulation and  VaR'!K37-1</f>
        <v>-2.133355642934931E-3</v>
      </c>
      <c r="L25" s="8">
        <f>+'Simulation and  VaR'!L38/'Simulation and  VaR'!L37-1</f>
        <v>-3.5957288468724258E-5</v>
      </c>
      <c r="N25" s="26">
        <f t="shared" si="0"/>
        <v>-5.977261955995709E-3</v>
      </c>
      <c r="O25" s="26">
        <f t="shared" si="1"/>
        <v>-6.9744223216968238E-3</v>
      </c>
      <c r="P25" s="26">
        <f t="shared" si="2"/>
        <v>-1.7807017914424232E-2</v>
      </c>
      <c r="Q25" s="26">
        <f t="shared" si="3"/>
        <v>-3.5920696173368408E-3</v>
      </c>
      <c r="R25" s="26">
        <f t="shared" si="4"/>
        <v>-8.3158174612773259E-4</v>
      </c>
      <c r="S25" s="26">
        <f t="shared" si="5"/>
        <v>3.6976872971533278E-4</v>
      </c>
      <c r="T25" s="26">
        <f t="shared" si="6"/>
        <v>3.4726306366089421E-2</v>
      </c>
      <c r="U25" s="26">
        <f t="shared" si="7"/>
        <v>-2.5661168250541606E-2</v>
      </c>
      <c r="V25" s="26">
        <f t="shared" si="8"/>
        <v>-1.0229205971642284E-2</v>
      </c>
      <c r="W25" s="26">
        <f t="shared" si="9"/>
        <v>-5.6644036106351641E-4</v>
      </c>
      <c r="X25" s="26">
        <f t="shared" si="10"/>
        <v>3.4882778252869821E-3</v>
      </c>
      <c r="Z25" s="20" t="s">
        <v>8</v>
      </c>
      <c r="AA25" s="29">
        <v>2.0021028045908297E-3</v>
      </c>
      <c r="AB25" s="29">
        <v>1.0444043745337561E-3</v>
      </c>
      <c r="AC25" s="29">
        <v>7.3997753772856399E-4</v>
      </c>
      <c r="AD25" s="29">
        <v>6.6468721054098608E-4</v>
      </c>
      <c r="AE25" s="29">
        <v>6.4811143874440023E-4</v>
      </c>
      <c r="AF25" s="29">
        <v>5.9863490031640564E-4</v>
      </c>
      <c r="AG25" s="29">
        <v>1.2650126585595262E-3</v>
      </c>
      <c r="AH25" s="29">
        <v>2.0376819791320046E-3</v>
      </c>
      <c r="AI25" s="29">
        <v>2.8465032002812558E-3</v>
      </c>
      <c r="AJ25" s="29">
        <v>7.9250670604201598E-4</v>
      </c>
      <c r="AK25" s="29">
        <v>8.0870442386543075E-4</v>
      </c>
      <c r="AM25" s="27">
        <v>4.2118823663639796E-2</v>
      </c>
      <c r="AN25" s="27">
        <v>-0.1669388316703864</v>
      </c>
      <c r="AO25" s="27">
        <v>6.2563618050611475E-2</v>
      </c>
      <c r="AP25" s="27">
        <v>9.875096256641834E-2</v>
      </c>
      <c r="AQ25" s="27">
        <v>0.29749167931500103</v>
      </c>
      <c r="AR25" s="27">
        <v>8.9666943736644147E-2</v>
      </c>
      <c r="AS25" s="27">
        <v>-1.3418411025050499E-3</v>
      </c>
      <c r="AT25" s="27">
        <v>0.33699330427836899</v>
      </c>
      <c r="AU25" s="27">
        <v>-0.52084064006538677</v>
      </c>
      <c r="AV25" s="27">
        <v>0.68626841114725479</v>
      </c>
      <c r="AW25" s="27">
        <v>-6.5912210036334323E-2</v>
      </c>
      <c r="AY25" s="27">
        <v>0</v>
      </c>
      <c r="AZ25" s="27">
        <v>0</v>
      </c>
      <c r="BA25" s="27">
        <v>0</v>
      </c>
      <c r="BB25" s="27">
        <v>0</v>
      </c>
      <c r="BC25" s="27">
        <v>0</v>
      </c>
      <c r="BD25" s="33">
        <f>AM10</f>
        <v>1.0086087615003138E-3</v>
      </c>
      <c r="BE25" s="27">
        <v>0</v>
      </c>
      <c r="BF25" s="27">
        <v>0</v>
      </c>
      <c r="BG25" s="27">
        <v>0</v>
      </c>
      <c r="BH25" s="27">
        <v>0</v>
      </c>
      <c r="BI25" s="27">
        <v>0</v>
      </c>
    </row>
    <row r="26" spans="2:61" x14ac:dyDescent="0.2">
      <c r="B26" s="8">
        <f>+'Simulation and  VaR'!B39/'Simulation and  VaR'!B38-1</f>
        <v>1.6047205464883252E-2</v>
      </c>
      <c r="C26" s="8">
        <f>+'Simulation and  VaR'!C39/'Simulation and  VaR'!C38-1</f>
        <v>7.0149253731343286E-2</v>
      </c>
      <c r="D26" s="8">
        <f>+'Simulation and  VaR'!D39/'Simulation and  VaR'!D38-1</f>
        <v>2.4355300859598916E-2</v>
      </c>
      <c r="E26" s="8">
        <f>+'Simulation and  VaR'!E39/'Simulation and  VaR'!E38-1</f>
        <v>1.7955801104972302E-2</v>
      </c>
      <c r="F26" s="8">
        <f>+'Simulation and  VaR'!F39/'Simulation and  VaR'!F38-1</f>
        <v>2.0215633423180446E-2</v>
      </c>
      <c r="G26" s="8">
        <f>+'Simulation and  VaR'!G39/'Simulation and  VaR'!G38-1</f>
        <v>2.414231257941557E-2</v>
      </c>
      <c r="H26" s="8">
        <f>+'Simulation and  VaR'!H39/'Simulation and  VaR'!H38-1</f>
        <v>-2.5020938023450623E-2</v>
      </c>
      <c r="I26" s="8">
        <f>+'Simulation and  VaR'!I39/'Simulation and  VaR'!I38-1</f>
        <v>-1.7102369899828496E-3</v>
      </c>
      <c r="J26" s="8">
        <f>+'Simulation and  VaR'!J39/'Simulation and  VaR'!J38-1</f>
        <v>0</v>
      </c>
      <c r="K26" s="8">
        <f>+'Simulation and  VaR'!K39/'Simulation and  VaR'!K38-1</f>
        <v>-5.4495912806540314E-4</v>
      </c>
      <c r="L26" s="8">
        <f>+'Simulation and  VaR'!L39/'Simulation and  VaR'!L38-1</f>
        <v>-3.5114402583926729E-3</v>
      </c>
      <c r="N26" s="26">
        <f t="shared" si="0"/>
        <v>1.1526280972458199E-2</v>
      </c>
      <c r="O26" s="26">
        <f t="shared" si="1"/>
        <v>6.7632483712766686E-2</v>
      </c>
      <c r="P26" s="26">
        <f t="shared" si="2"/>
        <v>2.2063092536147973E-2</v>
      </c>
      <c r="Q26" s="26">
        <f t="shared" si="3"/>
        <v>1.5743041832462983E-2</v>
      </c>
      <c r="R26" s="26">
        <f t="shared" si="4"/>
        <v>1.8034524011735671E-2</v>
      </c>
      <c r="S26" s="26">
        <f t="shared" si="5"/>
        <v>2.1964310608493961E-2</v>
      </c>
      <c r="T26" s="26">
        <f t="shared" si="6"/>
        <v>-3.0364318068511028E-2</v>
      </c>
      <c r="U26" s="26">
        <f t="shared" si="7"/>
        <v>-1.4112003119020229E-2</v>
      </c>
      <c r="V26" s="26">
        <f t="shared" si="8"/>
        <v>-1.0229205971642284E-2</v>
      </c>
      <c r="W26" s="26">
        <f t="shared" si="9"/>
        <v>1.0219561538060114E-3</v>
      </c>
      <c r="X26" s="26">
        <f t="shared" si="10"/>
        <v>1.2794855363033441E-5</v>
      </c>
      <c r="Z26" s="20" t="s">
        <v>9</v>
      </c>
      <c r="AA26" s="29">
        <v>1.7983953033016426E-3</v>
      </c>
      <c r="AB26" s="29">
        <v>9.3813959882697211E-4</v>
      </c>
      <c r="AC26" s="29">
        <v>6.6468721054098608E-4</v>
      </c>
      <c r="AD26" s="29">
        <v>5.9705743124708211E-4</v>
      </c>
      <c r="AE26" s="29">
        <v>5.8216819075492259E-4</v>
      </c>
      <c r="AF26" s="29">
        <v>5.3772573049339111E-4</v>
      </c>
      <c r="AG26" s="29">
        <v>1.1363017016678707E-3</v>
      </c>
      <c r="AH26" s="29">
        <v>1.8303544116168996E-3</v>
      </c>
      <c r="AI26" s="29">
        <v>2.5568806828903598E-3</v>
      </c>
      <c r="AJ26" s="29">
        <v>7.1187170544536238E-4</v>
      </c>
      <c r="AK26" s="29">
        <v>7.2642135773646327E-4</v>
      </c>
      <c r="AM26" s="27">
        <v>-4.9145639984557968E-2</v>
      </c>
      <c r="AN26" s="27">
        <v>0.19510221610188194</v>
      </c>
      <c r="AO26" s="27">
        <v>-7.9911969172200989E-2</v>
      </c>
      <c r="AP26" s="27">
        <v>-0.87903588965751689</v>
      </c>
      <c r="AQ26" s="27">
        <v>0.38103249647045767</v>
      </c>
      <c r="AR26" s="27">
        <v>0.18627330784349794</v>
      </c>
      <c r="AS26" s="27">
        <v>-1.6225748687630905E-2</v>
      </c>
      <c r="AT26" s="27">
        <v>-7.7313458385916941E-3</v>
      </c>
      <c r="AU26" s="27">
        <v>7.6232519719156289E-3</v>
      </c>
      <c r="AV26" s="27">
        <v>5.4078957962833477E-3</v>
      </c>
      <c r="AW26" s="27">
        <v>1.1657474212028E-2</v>
      </c>
      <c r="AY26" s="27">
        <v>0</v>
      </c>
      <c r="AZ26" s="27">
        <v>0</v>
      </c>
      <c r="BA26" s="27">
        <v>0</v>
      </c>
      <c r="BB26" s="27">
        <v>0</v>
      </c>
      <c r="BC26" s="27">
        <v>0</v>
      </c>
      <c r="BD26" s="27">
        <v>0</v>
      </c>
      <c r="BE26" s="33">
        <f>AM11</f>
        <v>4.1786735649079244E-4</v>
      </c>
      <c r="BF26" s="27">
        <v>0</v>
      </c>
      <c r="BG26" s="27">
        <v>0</v>
      </c>
      <c r="BH26" s="27">
        <v>0</v>
      </c>
      <c r="BI26" s="27">
        <v>0</v>
      </c>
    </row>
    <row r="27" spans="2:61" x14ac:dyDescent="0.2">
      <c r="B27" s="8">
        <f>+'Simulation and  VaR'!B40/'Simulation and  VaR'!B39-1</f>
        <v>-1.2922832111911475E-2</v>
      </c>
      <c r="C27" s="8">
        <f>+'Simulation and  VaR'!C40/'Simulation and  VaR'!C39-1</f>
        <v>-8.3682008368201055E-3</v>
      </c>
      <c r="D27" s="8">
        <f>+'Simulation and  VaR'!D40/'Simulation and  VaR'!D39-1</f>
        <v>2.657342657342654E-2</v>
      </c>
      <c r="E27" s="8">
        <f>+'Simulation and  VaR'!E40/'Simulation and  VaR'!E39-1</f>
        <v>2.3066485753052923E-2</v>
      </c>
      <c r="F27" s="8">
        <f>+'Simulation and  VaR'!F40/'Simulation and  VaR'!F39-1</f>
        <v>3.0383091149273511E-2</v>
      </c>
      <c r="G27" s="8">
        <f>+'Simulation and  VaR'!G40/'Simulation and  VaR'!G39-1</f>
        <v>2.1091811414392092E-2</v>
      </c>
      <c r="H27" s="8">
        <f>+'Simulation and  VaR'!H40/'Simulation and  VaR'!H39-1</f>
        <v>4.4239235477289807E-2</v>
      </c>
      <c r="I27" s="8">
        <f>+'Simulation and  VaR'!I40/'Simulation and  VaR'!I39-1</f>
        <v>-2.0802741067058261E-2</v>
      </c>
      <c r="J27" s="8">
        <f>+'Simulation and  VaR'!J40/'Simulation and  VaR'!J39-1</f>
        <v>0</v>
      </c>
      <c r="K27" s="8">
        <f>+'Simulation and  VaR'!K40/'Simulation and  VaR'!K39-1</f>
        <v>2.6004529821324063E-3</v>
      </c>
      <c r="L27" s="8">
        <f>+'Simulation and  VaR'!L40/'Simulation and  VaR'!L39-1</f>
        <v>-1.0748150322059669E-4</v>
      </c>
      <c r="N27" s="26">
        <f t="shared" si="0"/>
        <v>-1.744375660433653E-2</v>
      </c>
      <c r="O27" s="26">
        <f t="shared" si="1"/>
        <v>-1.0884970855396699E-2</v>
      </c>
      <c r="P27" s="26">
        <f t="shared" si="2"/>
        <v>2.4281218249975596E-2</v>
      </c>
      <c r="Q27" s="26">
        <f t="shared" si="3"/>
        <v>2.0853726480543604E-2</v>
      </c>
      <c r="R27" s="26">
        <f t="shared" si="4"/>
        <v>2.8201981737828737E-2</v>
      </c>
      <c r="S27" s="26">
        <f t="shared" si="5"/>
        <v>1.8913809443470483E-2</v>
      </c>
      <c r="T27" s="26">
        <f t="shared" si="6"/>
        <v>3.8895855432229398E-2</v>
      </c>
      <c r="U27" s="26">
        <f t="shared" si="7"/>
        <v>-3.3204507196095641E-2</v>
      </c>
      <c r="V27" s="26">
        <f t="shared" si="8"/>
        <v>-1.0229205971642284E-2</v>
      </c>
      <c r="W27" s="26">
        <f t="shared" si="9"/>
        <v>4.1673682640038208E-3</v>
      </c>
      <c r="X27" s="26">
        <f t="shared" si="10"/>
        <v>3.4167536105351097E-3</v>
      </c>
      <c r="Z27" s="20" t="s">
        <v>10</v>
      </c>
      <c r="AA27" s="29">
        <v>1.7535474565628468E-3</v>
      </c>
      <c r="AB27" s="29">
        <v>9.1474455277088776E-4</v>
      </c>
      <c r="AC27" s="29">
        <v>6.4811143874440023E-4</v>
      </c>
      <c r="AD27" s="29">
        <v>5.8216819075492259E-4</v>
      </c>
      <c r="AE27" s="29">
        <v>5.6765025371002158E-4</v>
      </c>
      <c r="AF27" s="29">
        <v>5.2431608629314173E-4</v>
      </c>
      <c r="AG27" s="29">
        <v>1.1079649480787816E-3</v>
      </c>
      <c r="AH27" s="29">
        <v>1.784709578148323E-3</v>
      </c>
      <c r="AI27" s="29">
        <v>2.4931179535365115E-3</v>
      </c>
      <c r="AJ27" s="29">
        <v>6.941192607604332E-4</v>
      </c>
      <c r="AK27" s="29">
        <v>7.0830607815374706E-4</v>
      </c>
      <c r="AM27" s="27">
        <v>0.23280926707496061</v>
      </c>
      <c r="AN27" s="27">
        <v>0.36204378534513509</v>
      </c>
      <c r="AO27" s="27">
        <v>0.88241965325279226</v>
      </c>
      <c r="AP27" s="27">
        <v>-4.4569188263020927E-2</v>
      </c>
      <c r="AQ27" s="27">
        <v>1.5545721503313624E-2</v>
      </c>
      <c r="AR27" s="27">
        <v>-0.181503376340479</v>
      </c>
      <c r="AS27" s="27">
        <v>-8.5613568853080482E-3</v>
      </c>
      <c r="AT27" s="27">
        <v>2.7308661139925569E-2</v>
      </c>
      <c r="AU27" s="27">
        <v>-5.9196117681734679E-4</v>
      </c>
      <c r="AV27" s="27">
        <v>3.5673339717809979E-3</v>
      </c>
      <c r="AW27" s="27">
        <v>7.4836150416861787E-3</v>
      </c>
      <c r="AY27" s="27">
        <v>0</v>
      </c>
      <c r="AZ27" s="27">
        <v>0</v>
      </c>
      <c r="BA27" s="27">
        <v>0</v>
      </c>
      <c r="BB27" s="27">
        <v>0</v>
      </c>
      <c r="BC27" s="27">
        <v>0</v>
      </c>
      <c r="BD27" s="27">
        <v>0</v>
      </c>
      <c r="BE27" s="27">
        <v>0</v>
      </c>
      <c r="BF27" s="33">
        <f>AM12</f>
        <v>3.1361454276699003E-4</v>
      </c>
      <c r="BG27" s="27">
        <v>0</v>
      </c>
      <c r="BH27" s="27">
        <v>0</v>
      </c>
      <c r="BI27" s="27">
        <v>0</v>
      </c>
    </row>
    <row r="28" spans="2:61" x14ac:dyDescent="0.2">
      <c r="B28" s="8">
        <f>+'Simulation and  VaR'!B41/'Simulation and  VaR'!B40-1</f>
        <v>3.6381699355868768E-2</v>
      </c>
      <c r="C28" s="8">
        <f>+'Simulation and  VaR'!C41/'Simulation and  VaR'!C40-1</f>
        <v>5.6258790436005679E-3</v>
      </c>
      <c r="D28" s="8">
        <f>+'Simulation and  VaR'!D41/'Simulation and  VaR'!D40-1</f>
        <v>2.7247956403269047E-3</v>
      </c>
      <c r="E28" s="8">
        <f>+'Simulation and  VaR'!E41/'Simulation and  VaR'!E40-1</f>
        <v>6.6312997347479641E-3</v>
      </c>
      <c r="F28" s="8">
        <f>+'Simulation and  VaR'!F41/'Simulation and  VaR'!F40-1</f>
        <v>6.4102564102563875E-3</v>
      </c>
      <c r="G28" s="8">
        <f>+'Simulation and  VaR'!G41/'Simulation and  VaR'!G40-1</f>
        <v>3.6452004860265674E-3</v>
      </c>
      <c r="H28" s="8">
        <f>+'Simulation and  VaR'!H41/'Simulation and  VaR'!H40-1</f>
        <v>-3.5269922879177296E-2</v>
      </c>
      <c r="I28" s="8">
        <f>+'Simulation and  VaR'!I41/'Simulation and  VaR'!I40-1</f>
        <v>-0.10997250687328164</v>
      </c>
      <c r="J28" s="8">
        <f>+'Simulation and  VaR'!J41/'Simulation and  VaR'!J40-1</f>
        <v>0</v>
      </c>
      <c r="K28" s="8">
        <f>+'Simulation and  VaR'!K41/'Simulation and  VaR'!K40-1</f>
        <v>2.5937081659972439E-3</v>
      </c>
      <c r="L28" s="8">
        <f>+'Simulation and  VaR'!L41/'Simulation and  VaR'!L40-1</f>
        <v>-1.4310358713492954E-3</v>
      </c>
      <c r="N28" s="26">
        <f t="shared" si="0"/>
        <v>3.1860774863443714E-2</v>
      </c>
      <c r="O28" s="26">
        <f t="shared" si="1"/>
        <v>3.1091090250239739E-3</v>
      </c>
      <c r="P28" s="26">
        <f t="shared" si="2"/>
        <v>4.325873168759607E-4</v>
      </c>
      <c r="Q28" s="26">
        <f t="shared" si="3"/>
        <v>4.4185404622386452E-3</v>
      </c>
      <c r="R28" s="26">
        <f t="shared" si="4"/>
        <v>4.2291469988116146E-3</v>
      </c>
      <c r="S28" s="26">
        <f t="shared" si="5"/>
        <v>1.4671985151049581E-3</v>
      </c>
      <c r="T28" s="26">
        <f t="shared" si="6"/>
        <v>-4.0613302924237704E-2</v>
      </c>
      <c r="U28" s="26">
        <f t="shared" si="7"/>
        <v>-0.12237427300231901</v>
      </c>
      <c r="V28" s="26">
        <f t="shared" si="8"/>
        <v>-1.0229205971642284E-2</v>
      </c>
      <c r="W28" s="26">
        <f t="shared" si="9"/>
        <v>4.1606234478686584E-3</v>
      </c>
      <c r="X28" s="26">
        <f t="shared" si="10"/>
        <v>2.0931992424064109E-3</v>
      </c>
      <c r="Z28" s="20" t="s">
        <v>11</v>
      </c>
      <c r="AA28" s="29">
        <v>1.6196824251293255E-3</v>
      </c>
      <c r="AB28" s="29">
        <v>8.4491336123282824E-4</v>
      </c>
      <c r="AC28" s="29">
        <v>5.9863490031640564E-4</v>
      </c>
      <c r="AD28" s="29">
        <v>5.3772573049339111E-4</v>
      </c>
      <c r="AE28" s="29">
        <v>5.2431608629314173E-4</v>
      </c>
      <c r="AF28" s="29">
        <v>4.8429002990667356E-4</v>
      </c>
      <c r="AG28" s="29">
        <v>1.0233833976641008E-3</v>
      </c>
      <c r="AH28" s="29">
        <v>1.6484656442391588E-3</v>
      </c>
      <c r="AI28" s="29">
        <v>2.3027944399249597E-3</v>
      </c>
      <c r="AJ28" s="29">
        <v>6.4113050570133807E-4</v>
      </c>
      <c r="AK28" s="29">
        <v>6.5423430777665189E-4</v>
      </c>
      <c r="AM28" s="27">
        <v>0.95069232476078269</v>
      </c>
      <c r="AN28" s="27">
        <v>9.6323239970162455E-2</v>
      </c>
      <c r="AO28" s="27">
        <v>-0.27785935897970826</v>
      </c>
      <c r="AP28" s="27">
        <v>-2.0598389757112819E-2</v>
      </c>
      <c r="AQ28" s="27">
        <v>-6.4387185735275854E-2</v>
      </c>
      <c r="AR28" s="27">
        <v>6.3857743898988975E-2</v>
      </c>
      <c r="AS28" s="27">
        <v>-2.7564114311286504E-2</v>
      </c>
      <c r="AT28" s="27">
        <v>1.5818879107322228E-2</v>
      </c>
      <c r="AU28" s="27">
        <v>-6.2311447686497169E-3</v>
      </c>
      <c r="AV28" s="27">
        <v>2.1833260676570849E-4</v>
      </c>
      <c r="AW28" s="27">
        <v>-1.8457354275576794E-3</v>
      </c>
      <c r="AY28" s="27">
        <v>0</v>
      </c>
      <c r="AZ28" s="27">
        <v>0</v>
      </c>
      <c r="BA28" s="27">
        <v>0</v>
      </c>
      <c r="BB28" s="27">
        <v>0</v>
      </c>
      <c r="BC28" s="27">
        <v>0</v>
      </c>
      <c r="BD28" s="27">
        <v>0</v>
      </c>
      <c r="BE28" s="27">
        <v>0</v>
      </c>
      <c r="BF28" s="27">
        <v>0</v>
      </c>
      <c r="BG28" s="33">
        <f>AM13</f>
        <v>6.6861306037697133E-5</v>
      </c>
      <c r="BH28" s="27">
        <v>0</v>
      </c>
      <c r="BI28" s="27">
        <v>0</v>
      </c>
    </row>
    <row r="29" spans="2:61" x14ac:dyDescent="0.2">
      <c r="B29" s="8">
        <f>+'Simulation and  VaR'!B42/'Simulation and  VaR'!B41-1</f>
        <v>8.0207586461914948E-2</v>
      </c>
      <c r="C29" s="8">
        <f>+'Simulation and  VaR'!C42/'Simulation and  VaR'!C41-1</f>
        <v>7.1328671328671378E-2</v>
      </c>
      <c r="D29" s="8">
        <f>+'Simulation and  VaR'!D42/'Simulation and  VaR'!D41-1</f>
        <v>5.0271739130434812E-2</v>
      </c>
      <c r="E29" s="8">
        <f>+'Simulation and  VaR'!E42/'Simulation and  VaR'!E41-1</f>
        <v>4.6113306982872082E-2</v>
      </c>
      <c r="F29" s="8">
        <f>+'Simulation and  VaR'!F42/'Simulation and  VaR'!F41-1</f>
        <v>4.7133757961783651E-2</v>
      </c>
      <c r="G29" s="8">
        <f>+'Simulation and  VaR'!G42/'Simulation and  VaR'!G41-1</f>
        <v>4.8426150121065437E-2</v>
      </c>
      <c r="H29" s="8">
        <f>+'Simulation and  VaR'!H42/'Simulation and  VaR'!H41-1</f>
        <v>-1.8652739287998266E-2</v>
      </c>
      <c r="I29" s="8">
        <f>+'Simulation and  VaR'!I42/'Simulation and  VaR'!I41-1</f>
        <v>-1.2075259758494772E-2</v>
      </c>
      <c r="J29" s="8">
        <f>+'Simulation and  VaR'!J42/'Simulation and  VaR'!J41-1</f>
        <v>0</v>
      </c>
      <c r="K29" s="8">
        <f>+'Simulation and  VaR'!K42/'Simulation and  VaR'!K41-1</f>
        <v>3.3380622548606631E-4</v>
      </c>
      <c r="L29" s="8">
        <f>+'Simulation and  VaR'!L42/'Simulation and  VaR'!L41-1</f>
        <v>-7.154666812814181E-5</v>
      </c>
      <c r="N29" s="26">
        <f t="shared" si="0"/>
        <v>7.5686661969489893E-2</v>
      </c>
      <c r="O29" s="26">
        <f t="shared" si="1"/>
        <v>6.8811901310094778E-2</v>
      </c>
      <c r="P29" s="26">
        <f t="shared" si="2"/>
        <v>4.7979530806983868E-2</v>
      </c>
      <c r="Q29" s="26">
        <f t="shared" si="3"/>
        <v>4.3900547710362767E-2</v>
      </c>
      <c r="R29" s="26">
        <f t="shared" si="4"/>
        <v>4.4952648550338876E-2</v>
      </c>
      <c r="S29" s="26">
        <f t="shared" si="5"/>
        <v>4.6248148150143831E-2</v>
      </c>
      <c r="T29" s="26">
        <f t="shared" si="6"/>
        <v>-2.3996119333058671E-2</v>
      </c>
      <c r="U29" s="26">
        <f t="shared" si="7"/>
        <v>-2.4477025887532151E-2</v>
      </c>
      <c r="V29" s="26">
        <f t="shared" si="8"/>
        <v>-1.0229205971642284E-2</v>
      </c>
      <c r="W29" s="26">
        <f t="shared" si="9"/>
        <v>1.9007215073574809E-3</v>
      </c>
      <c r="X29" s="26">
        <f t="shared" si="10"/>
        <v>3.4526884456275646E-3</v>
      </c>
      <c r="Z29" s="20" t="s">
        <v>12</v>
      </c>
      <c r="AA29" s="29">
        <v>3.4226517190228006E-3</v>
      </c>
      <c r="AB29" s="29">
        <v>1.7854389992642968E-3</v>
      </c>
      <c r="AC29" s="29">
        <v>1.2650126585595262E-3</v>
      </c>
      <c r="AD29" s="29">
        <v>1.1363017016678707E-3</v>
      </c>
      <c r="AE29" s="29">
        <v>1.1079649480787816E-3</v>
      </c>
      <c r="AF29" s="29">
        <v>1.0233833976641008E-3</v>
      </c>
      <c r="AG29" s="29">
        <v>2.1625751387373071E-3</v>
      </c>
      <c r="AH29" s="29">
        <v>3.4834753303905749E-3</v>
      </c>
      <c r="AI29" s="29">
        <v>4.8661782248677473E-3</v>
      </c>
      <c r="AJ29" s="29">
        <v>1.3548127666332061E-3</v>
      </c>
      <c r="AK29" s="29">
        <v>1.3825032261967384E-3</v>
      </c>
      <c r="AM29" s="27">
        <v>-7.2402817121902281E-3</v>
      </c>
      <c r="AN29" s="27">
        <v>9.5161934395799092E-2</v>
      </c>
      <c r="AO29" s="27">
        <v>0.1165070637243039</v>
      </c>
      <c r="AP29" s="27">
        <v>8.7496466105116022E-2</v>
      </c>
      <c r="AQ29" s="27">
        <v>-0.12522914442247174</v>
      </c>
      <c r="AR29" s="27">
        <v>0.67913500941114091</v>
      </c>
      <c r="AS29" s="27">
        <v>0.70138276833902446</v>
      </c>
      <c r="AT29" s="27">
        <v>-1.0357461553788878E-2</v>
      </c>
      <c r="AU29" s="27">
        <v>9.7870105464493359E-3</v>
      </c>
      <c r="AV29" s="27">
        <v>-2.1387077701841044E-2</v>
      </c>
      <c r="AW29" s="27">
        <v>-1.2541932544795244E-2</v>
      </c>
      <c r="AY29" s="27">
        <v>0</v>
      </c>
      <c r="AZ29" s="27">
        <v>0</v>
      </c>
      <c r="BA29" s="27">
        <v>0</v>
      </c>
      <c r="BB29" s="27">
        <v>0</v>
      </c>
      <c r="BC29" s="27">
        <v>0</v>
      </c>
      <c r="BD29" s="27">
        <v>0</v>
      </c>
      <c r="BE29" s="27">
        <v>0</v>
      </c>
      <c r="BF29" s="27">
        <v>0</v>
      </c>
      <c r="BG29" s="27">
        <v>0</v>
      </c>
      <c r="BH29" s="33">
        <f>AM14</f>
        <v>3.2045499316174503E-5</v>
      </c>
      <c r="BI29" s="27">
        <v>0</v>
      </c>
    </row>
    <row r="30" spans="2:61" x14ac:dyDescent="0.2">
      <c r="B30" s="8">
        <f>+'Simulation and  VaR'!B43/'Simulation and  VaR'!B42-1</f>
        <v>7.8287008659878587E-3</v>
      </c>
      <c r="C30" s="8">
        <f>+'Simulation and  VaR'!C43/'Simulation and  VaR'!C42-1</f>
        <v>1.958224543080922E-2</v>
      </c>
      <c r="D30" s="8">
        <f>+'Simulation and  VaR'!D43/'Simulation and  VaR'!D42-1</f>
        <v>2.4579560155239433E-2</v>
      </c>
      <c r="E30" s="8">
        <f>+'Simulation and  VaR'!E43/'Simulation and  VaR'!E42-1</f>
        <v>2.7707808564231717E-2</v>
      </c>
      <c r="F30" s="8">
        <f>+'Simulation and  VaR'!F43/'Simulation and  VaR'!F42-1</f>
        <v>1.703163017031617E-2</v>
      </c>
      <c r="G30" s="8">
        <f>+'Simulation and  VaR'!G43/'Simulation and  VaR'!G42-1</f>
        <v>2.4249422632794282E-2</v>
      </c>
      <c r="H30" s="8">
        <f>+'Simulation and  VaR'!H43/'Simulation and  VaR'!H42-1</f>
        <v>-7.6463560334528169E-2</v>
      </c>
      <c r="I30" s="8">
        <f>+'Simulation and  VaR'!I43/'Simulation and  VaR'!I42-1</f>
        <v>-9.6645821489483863E-3</v>
      </c>
      <c r="J30" s="8">
        <f>+'Simulation and  VaR'!J43/'Simulation and  VaR'!J42-1</f>
        <v>0</v>
      </c>
      <c r="K30" s="8">
        <f>+'Simulation and  VaR'!K43/'Simulation and  VaR'!K42-1</f>
        <v>1.334779344289716E-3</v>
      </c>
      <c r="L30" s="8">
        <f>+'Simulation and  VaR'!L43/'Simulation and  VaR'!L42-1</f>
        <v>1.7889868011056187E-4</v>
      </c>
      <c r="N30" s="26">
        <f t="shared" si="0"/>
        <v>3.3077763735628058E-3</v>
      </c>
      <c r="O30" s="26">
        <f t="shared" si="1"/>
        <v>1.7065475412232627E-2</v>
      </c>
      <c r="P30" s="26">
        <f t="shared" si="2"/>
        <v>2.2287351831788489E-2</v>
      </c>
      <c r="Q30" s="26">
        <f t="shared" si="3"/>
        <v>2.5495049291722399E-2</v>
      </c>
      <c r="R30" s="26">
        <f t="shared" si="4"/>
        <v>1.4850520758871397E-2</v>
      </c>
      <c r="S30" s="26">
        <f t="shared" si="5"/>
        <v>2.2071420661872673E-2</v>
      </c>
      <c r="T30" s="26">
        <f t="shared" si="6"/>
        <v>-8.1806940379588577E-2</v>
      </c>
      <c r="U30" s="26">
        <f t="shared" si="7"/>
        <v>-2.2066348277985766E-2</v>
      </c>
      <c r="V30" s="26">
        <f t="shared" si="8"/>
        <v>-1.0229205971642284E-2</v>
      </c>
      <c r="W30" s="26">
        <f t="shared" si="9"/>
        <v>2.9016946261611306E-3</v>
      </c>
      <c r="X30" s="26">
        <f t="shared" si="10"/>
        <v>3.7031337938662682E-3</v>
      </c>
      <c r="Z30" s="20" t="s">
        <v>13</v>
      </c>
      <c r="AA30" s="29">
        <v>5.513206276243565E-3</v>
      </c>
      <c r="AB30" s="29">
        <v>2.8759845595403908E-3</v>
      </c>
      <c r="AC30" s="29">
        <v>2.0376819791320046E-3</v>
      </c>
      <c r="AD30" s="29">
        <v>1.8303544116168996E-3</v>
      </c>
      <c r="AE30" s="29">
        <v>1.784709578148323E-3</v>
      </c>
      <c r="AF30" s="29">
        <v>1.6484656442391588E-3</v>
      </c>
      <c r="AG30" s="29">
        <v>3.4834753303905749E-3</v>
      </c>
      <c r="AH30" s="29">
        <v>5.6111809296600559E-3</v>
      </c>
      <c r="AI30" s="29">
        <v>7.838438302545242E-3</v>
      </c>
      <c r="AJ30" s="29">
        <v>2.1823319640216486E-3</v>
      </c>
      <c r="AK30" s="29">
        <v>2.2269357472839788E-3</v>
      </c>
      <c r="AM30" s="27">
        <v>5.7250449208453791E-2</v>
      </c>
      <c r="AN30" s="27">
        <v>-9.024442233139969E-2</v>
      </c>
      <c r="AO30" s="27">
        <v>-0.10930363947736776</v>
      </c>
      <c r="AP30" s="27">
        <v>-5.4993594932050499E-2</v>
      </c>
      <c r="AQ30" s="27">
        <v>0.2469446247549639</v>
      </c>
      <c r="AR30" s="27">
        <v>-0.6434698561879586</v>
      </c>
      <c r="AS30" s="27">
        <v>0.70435545337876027</v>
      </c>
      <c r="AT30" s="27">
        <v>-4.7982243744413205E-2</v>
      </c>
      <c r="AU30" s="27">
        <v>9.9797397153485335E-3</v>
      </c>
      <c r="AV30" s="27">
        <v>2.6053405717296699E-3</v>
      </c>
      <c r="AW30" s="27">
        <v>6.8089843556291586E-3</v>
      </c>
      <c r="AY30" s="27">
        <v>0</v>
      </c>
      <c r="AZ30" s="27">
        <v>0</v>
      </c>
      <c r="BA30" s="27">
        <v>0</v>
      </c>
      <c r="BB30" s="27">
        <v>0</v>
      </c>
      <c r="BC30" s="27">
        <v>0</v>
      </c>
      <c r="BD30" s="27">
        <v>0</v>
      </c>
      <c r="BE30" s="27">
        <v>0</v>
      </c>
      <c r="BF30" s="27">
        <v>0</v>
      </c>
      <c r="BG30" s="27">
        <v>0</v>
      </c>
      <c r="BH30" s="27">
        <v>0</v>
      </c>
      <c r="BI30" s="33">
        <f>AM15</f>
        <v>1.8864127735577562E-5</v>
      </c>
    </row>
    <row r="31" spans="2:61" x14ac:dyDescent="0.2">
      <c r="B31" s="8">
        <f>+'Simulation and  VaR'!B44/'Simulation and  VaR'!B43-1</f>
        <v>-9.5636258025680765E-2</v>
      </c>
      <c r="C31" s="8">
        <f>+'Simulation and  VaR'!C44/'Simulation and  VaR'!C43-1</f>
        <v>-7.1702944942381497E-2</v>
      </c>
      <c r="D31" s="8">
        <f>+'Simulation and  VaR'!D44/'Simulation and  VaR'!D43-1</f>
        <v>2.525252525252375E-3</v>
      </c>
      <c r="E31" s="8">
        <f>+'Simulation and  VaR'!E44/'Simulation and  VaR'!E43-1</f>
        <v>-2.450980392156854E-3</v>
      </c>
      <c r="F31" s="8">
        <f>+'Simulation and  VaR'!F44/'Simulation and  VaR'!F43-1</f>
        <v>-4.7846889952152249E-3</v>
      </c>
      <c r="G31" s="8">
        <f>+'Simulation and  VaR'!G44/'Simulation and  VaR'!G43-1</f>
        <v>-9.0191657271702086E-3</v>
      </c>
      <c r="H31" s="8">
        <f>+'Simulation and  VaR'!H44/'Simulation and  VaR'!H43-1</f>
        <v>5.2687286839938841E-2</v>
      </c>
      <c r="I31" s="8">
        <f>+'Simulation and  VaR'!I44/'Simulation and  VaR'!I43-1</f>
        <v>3.7313432835821558E-3</v>
      </c>
      <c r="J31" s="8">
        <f>+'Simulation and  VaR'!J44/'Simulation and  VaR'!J43-1</f>
        <v>0</v>
      </c>
      <c r="K31" s="8">
        <f>+'Simulation and  VaR'!K44/'Simulation and  VaR'!K43-1</f>
        <v>1.7495626093475547E-3</v>
      </c>
      <c r="L31" s="8">
        <f>+'Simulation and  VaR'!L44/'Simulation and  VaR'!L43-1</f>
        <v>-7.1554357365166688E-5</v>
      </c>
      <c r="N31" s="26">
        <f t="shared" si="0"/>
        <v>-0.10015718251810582</v>
      </c>
      <c r="O31" s="26">
        <f t="shared" si="1"/>
        <v>-7.4219714960958097E-2</v>
      </c>
      <c r="P31" s="26">
        <f t="shared" si="2"/>
        <v>2.3304420180143099E-4</v>
      </c>
      <c r="Q31" s="26">
        <f t="shared" si="3"/>
        <v>-4.6637396646661729E-3</v>
      </c>
      <c r="R31" s="26">
        <f t="shared" si="4"/>
        <v>-6.9657984066599978E-3</v>
      </c>
      <c r="S31" s="26">
        <f t="shared" si="5"/>
        <v>-1.1197167698091818E-2</v>
      </c>
      <c r="T31" s="26">
        <f t="shared" si="6"/>
        <v>4.7343906794878432E-2</v>
      </c>
      <c r="U31" s="26">
        <f t="shared" si="7"/>
        <v>-8.6704228454552237E-3</v>
      </c>
      <c r="V31" s="26">
        <f t="shared" si="8"/>
        <v>-1.0229205971642284E-2</v>
      </c>
      <c r="W31" s="26">
        <f t="shared" si="9"/>
        <v>3.3164778912189692E-3</v>
      </c>
      <c r="X31" s="26">
        <f t="shared" si="10"/>
        <v>3.4526807563905397E-3</v>
      </c>
      <c r="Z31" s="20" t="s">
        <v>14</v>
      </c>
      <c r="AA31" s="29">
        <v>7.7015743721809546E-3</v>
      </c>
      <c r="AB31" s="29">
        <v>4.0175549160906942E-3</v>
      </c>
      <c r="AC31" s="29">
        <v>2.8465032002812558E-3</v>
      </c>
      <c r="AD31" s="29">
        <v>2.5568806828903598E-3</v>
      </c>
      <c r="AE31" s="29">
        <v>2.4931179535365115E-3</v>
      </c>
      <c r="AF31" s="29">
        <v>2.3027944399249597E-3</v>
      </c>
      <c r="AG31" s="29">
        <v>4.8661782248677473E-3</v>
      </c>
      <c r="AH31" s="29">
        <v>7.838438302545242E-3</v>
      </c>
      <c r="AI31" s="29">
        <v>1.0949765440290419E-2</v>
      </c>
      <c r="AJ31" s="29">
        <v>3.0485693956570424E-3</v>
      </c>
      <c r="AK31" s="29">
        <v>3.1108778486448625E-3</v>
      </c>
    </row>
    <row r="32" spans="2:61" ht="20" x14ac:dyDescent="0.2">
      <c r="B32" s="8">
        <f>+'Simulation and  VaR'!B45/'Simulation and  VaR'!B44-1</f>
        <v>-7.1224766064812872E-2</v>
      </c>
      <c r="C32" s="8">
        <f>+'Simulation and  VaR'!C45/'Simulation and  VaR'!C44-1</f>
        <v>-2.344827586206899E-2</v>
      </c>
      <c r="D32" s="8">
        <f>+'Simulation and  VaR'!D45/'Simulation and  VaR'!D44-1</f>
        <v>-1.133501259445846E-2</v>
      </c>
      <c r="E32" s="8">
        <f>+'Simulation and  VaR'!E45/'Simulation and  VaR'!E44-1</f>
        <v>-8.5995085995086429E-3</v>
      </c>
      <c r="F32" s="8">
        <f>+'Simulation and  VaR'!F45/'Simulation and  VaR'!F44-1</f>
        <v>-1.6826923076923128E-2</v>
      </c>
      <c r="G32" s="8">
        <f>+'Simulation and  VaR'!G45/'Simulation and  VaR'!G44-1</f>
        <v>-1.7064846416382062E-2</v>
      </c>
      <c r="H32" s="8">
        <f>+'Simulation and  VaR'!H45/'Simulation and  VaR'!H44-1</f>
        <v>1.4523516925482038E-3</v>
      </c>
      <c r="I32" s="8">
        <f>+'Simulation and  VaR'!I45/'Simulation and  VaR'!I44-1</f>
        <v>4.0034315127253084E-3</v>
      </c>
      <c r="J32" s="8">
        <f>+'Simulation and  VaR'!J45/'Simulation and  VaR'!J44-1</f>
        <v>0</v>
      </c>
      <c r="K32" s="8">
        <f>+'Simulation and  VaR'!K45/'Simulation and  VaR'!K44-1</f>
        <v>4.9900199600805273E-4</v>
      </c>
      <c r="L32" s="8">
        <f>+'Simulation and  VaR'!L45/'Simulation and  VaR'!L44-1</f>
        <v>-4.6488705383773699E-4</v>
      </c>
      <c r="N32" s="26">
        <f t="shared" si="0"/>
        <v>-7.5745690557237927E-2</v>
      </c>
      <c r="O32" s="26">
        <f t="shared" si="1"/>
        <v>-2.5965045880645583E-2</v>
      </c>
      <c r="P32" s="26">
        <f t="shared" si="2"/>
        <v>-1.3627220917909404E-2</v>
      </c>
      <c r="Q32" s="26">
        <f t="shared" si="3"/>
        <v>-1.0812267872017962E-2</v>
      </c>
      <c r="R32" s="26">
        <f t="shared" si="4"/>
        <v>-1.9008032488367903E-2</v>
      </c>
      <c r="S32" s="26">
        <f t="shared" si="5"/>
        <v>-1.9242848387303672E-2</v>
      </c>
      <c r="T32" s="26">
        <f t="shared" si="6"/>
        <v>-3.8910283525122012E-3</v>
      </c>
      <c r="U32" s="26">
        <f t="shared" si="7"/>
        <v>-8.3983346163120712E-3</v>
      </c>
      <c r="V32" s="26">
        <f t="shared" si="8"/>
        <v>-1.0229205971642284E-2</v>
      </c>
      <c r="W32" s="26">
        <f t="shared" si="9"/>
        <v>2.0659172778794673E-3</v>
      </c>
      <c r="X32" s="26">
        <f t="shared" si="10"/>
        <v>3.0593480599179694E-3</v>
      </c>
      <c r="Z32" s="20" t="s">
        <v>15</v>
      </c>
      <c r="AA32" s="29">
        <v>2.1442271122096962E-3</v>
      </c>
      <c r="AB32" s="29">
        <v>1.1185440482130312E-3</v>
      </c>
      <c r="AC32" s="29">
        <v>7.9250670604201598E-4</v>
      </c>
      <c r="AD32" s="29">
        <v>7.1187170544536238E-4</v>
      </c>
      <c r="AE32" s="29">
        <v>6.941192607604332E-4</v>
      </c>
      <c r="AF32" s="29">
        <v>6.4113050570133807E-4</v>
      </c>
      <c r="AG32" s="29">
        <v>1.3548127666332061E-3</v>
      </c>
      <c r="AH32" s="29">
        <v>2.1823319640216486E-3</v>
      </c>
      <c r="AI32" s="29">
        <v>3.0485693956570424E-3</v>
      </c>
      <c r="AJ32" s="29">
        <v>8.4876478960358879E-4</v>
      </c>
      <c r="AK32" s="29">
        <v>8.6611234320235926E-4</v>
      </c>
      <c r="AM32" s="39" t="s">
        <v>48</v>
      </c>
    </row>
    <row r="33" spans="2:49" x14ac:dyDescent="0.2">
      <c r="B33" s="8">
        <f>+'Simulation and  VaR'!B46/'Simulation and  VaR'!B45-1</f>
        <v>-1.9906275754764335E-2</v>
      </c>
      <c r="C33" s="8">
        <f>+'Simulation and  VaR'!C46/'Simulation and  VaR'!C45-1</f>
        <v>4.5197740112994156E-2</v>
      </c>
      <c r="D33" s="8">
        <f>+'Simulation and  VaR'!D46/'Simulation and  VaR'!D45-1</f>
        <v>-1.2738853503184711E-3</v>
      </c>
      <c r="E33" s="8">
        <f>+'Simulation and  VaR'!E46/'Simulation and  VaR'!E45-1</f>
        <v>-3.7174721189592308E-3</v>
      </c>
      <c r="F33" s="8">
        <f>+'Simulation and  VaR'!F46/'Simulation and  VaR'!F45-1</f>
        <v>6.1124694376528677E-3</v>
      </c>
      <c r="G33" s="8">
        <f>+'Simulation and  VaR'!G46/'Simulation and  VaR'!G45-1</f>
        <v>8.101851851851638E-3</v>
      </c>
      <c r="H33" s="8">
        <f>+'Simulation and  VaR'!H46/'Simulation and  VaR'!H45-1</f>
        <v>-9.0473003123605511E-2</v>
      </c>
      <c r="I33" s="8">
        <f>+'Simulation and  VaR'!I46/'Simulation and  VaR'!I45-1</f>
        <v>2.4209626886926738E-2</v>
      </c>
      <c r="J33" s="8">
        <f>+'Simulation and  VaR'!J46/'Simulation and  VaR'!J45-1</f>
        <v>0</v>
      </c>
      <c r="K33" s="8">
        <f>+'Simulation and  VaR'!K46/'Simulation and  VaR'!K45-1</f>
        <v>1.6625103906897643E-4</v>
      </c>
      <c r="L33" s="8">
        <f>+'Simulation and  VaR'!L46/'Simulation and  VaR'!L45-1</f>
        <v>1.3248931312037637E-3</v>
      </c>
      <c r="N33" s="26">
        <f t="shared" si="0"/>
        <v>-2.442720024718939E-2</v>
      </c>
      <c r="O33" s="26">
        <f t="shared" si="1"/>
        <v>4.2680970094417563E-2</v>
      </c>
      <c r="P33" s="26">
        <f t="shared" si="2"/>
        <v>-3.566093673769415E-3</v>
      </c>
      <c r="Q33" s="26">
        <f t="shared" si="3"/>
        <v>-5.9302313914685496E-3</v>
      </c>
      <c r="R33" s="26">
        <f t="shared" si="4"/>
        <v>3.9313600262080948E-3</v>
      </c>
      <c r="S33" s="26">
        <f t="shared" si="5"/>
        <v>5.9238498809300287E-3</v>
      </c>
      <c r="T33" s="26">
        <f t="shared" si="6"/>
        <v>-9.581638316866592E-2</v>
      </c>
      <c r="U33" s="26">
        <f t="shared" si="7"/>
        <v>1.1807860757889359E-2</v>
      </c>
      <c r="V33" s="26">
        <f t="shared" si="8"/>
        <v>-1.0229205971642284E-2</v>
      </c>
      <c r="W33" s="26">
        <f t="shared" si="9"/>
        <v>1.733166320940391E-3</v>
      </c>
      <c r="X33" s="26">
        <f t="shared" si="10"/>
        <v>4.8491282449594705E-3</v>
      </c>
      <c r="Z33" s="20" t="s">
        <v>16</v>
      </c>
      <c r="AA33" s="29">
        <v>2.1880520861160329E-3</v>
      </c>
      <c r="AB33" s="29">
        <v>1.1414055088516421E-3</v>
      </c>
      <c r="AC33" s="29">
        <v>8.0870442386543075E-4</v>
      </c>
      <c r="AD33" s="29">
        <v>7.2642135773646327E-4</v>
      </c>
      <c r="AE33" s="29">
        <v>7.0830607815374706E-4</v>
      </c>
      <c r="AF33" s="29">
        <v>6.5423430777665189E-4</v>
      </c>
      <c r="AG33" s="29">
        <v>1.3825032261967384E-3</v>
      </c>
      <c r="AH33" s="29">
        <v>2.2269357472839788E-3</v>
      </c>
      <c r="AI33" s="29">
        <v>3.1108778486448625E-3</v>
      </c>
      <c r="AJ33" s="29">
        <v>8.6611234320235926E-4</v>
      </c>
      <c r="AK33" s="29">
        <v>8.8381445629693873E-4</v>
      </c>
      <c r="AM33" s="36" t="s">
        <v>49</v>
      </c>
      <c r="AN33" s="34"/>
      <c r="AO33" s="34"/>
      <c r="AP33" s="34"/>
      <c r="AQ33" s="34"/>
    </row>
    <row r="34" spans="2:49" x14ac:dyDescent="0.2">
      <c r="B34" s="8">
        <f>+'Simulation and  VaR'!B47/'Simulation and  VaR'!B46-1</f>
        <v>5.1584159059188339E-2</v>
      </c>
      <c r="C34" s="8">
        <f>+'Simulation and  VaR'!C47/'Simulation and  VaR'!C46-1</f>
        <v>7.0270270270270441E-2</v>
      </c>
      <c r="D34" s="8">
        <f>+'Simulation and  VaR'!D47/'Simulation and  VaR'!D46-1</f>
        <v>3.5714285714285587E-2</v>
      </c>
      <c r="E34" s="8">
        <f>+'Simulation and  VaR'!E47/'Simulation and  VaR'!E46-1</f>
        <v>2.6119402985074647E-2</v>
      </c>
      <c r="F34" s="8">
        <f>+'Simulation and  VaR'!F47/'Simulation and  VaR'!F46-1</f>
        <v>3.2806804374240439E-2</v>
      </c>
      <c r="G34" s="8">
        <f>+'Simulation and  VaR'!G47/'Simulation and  VaR'!G46-1</f>
        <v>3.214695752009189E-2</v>
      </c>
      <c r="H34" s="8">
        <f>+'Simulation and  VaR'!H47/'Simulation and  VaR'!H46-1</f>
        <v>-6.0959156138844617E-2</v>
      </c>
      <c r="I34" s="8">
        <f>+'Simulation and  VaR'!I47/'Simulation and  VaR'!I46-1</f>
        <v>2.780867630700623E-4</v>
      </c>
      <c r="J34" s="8">
        <f>+'Simulation and  VaR'!J47/'Simulation and  VaR'!J46-1</f>
        <v>0</v>
      </c>
      <c r="K34" s="8">
        <f>+'Simulation and  VaR'!K47/'Simulation and  VaR'!K46-1</f>
        <v>-9.5578457446798826E-4</v>
      </c>
      <c r="L34" s="8">
        <f>+'Simulation and  VaR'!L47/'Simulation and  VaR'!L46-1</f>
        <v>2.2969712433840161E-3</v>
      </c>
      <c r="N34" s="26">
        <f t="shared" si="0"/>
        <v>4.7063234566763285E-2</v>
      </c>
      <c r="O34" s="26">
        <f t="shared" si="1"/>
        <v>6.7753500251693841E-2</v>
      </c>
      <c r="P34" s="26">
        <f t="shared" si="2"/>
        <v>3.3422077390834644E-2</v>
      </c>
      <c r="Q34" s="26">
        <f t="shared" si="3"/>
        <v>2.3906643712565328E-2</v>
      </c>
      <c r="R34" s="26">
        <f t="shared" si="4"/>
        <v>3.0625694962795665E-2</v>
      </c>
      <c r="S34" s="26">
        <f t="shared" si="5"/>
        <v>2.9968955549170281E-2</v>
      </c>
      <c r="T34" s="26">
        <f t="shared" si="6"/>
        <v>-6.6302536183905025E-2</v>
      </c>
      <c r="U34" s="26">
        <f t="shared" si="7"/>
        <v>-1.2123679365967317E-2</v>
      </c>
      <c r="V34" s="26">
        <f t="shared" si="8"/>
        <v>-1.0229205971642284E-2</v>
      </c>
      <c r="W34" s="26">
        <f t="shared" si="9"/>
        <v>6.1113070740342629E-4</v>
      </c>
      <c r="X34" s="26">
        <f t="shared" si="10"/>
        <v>5.821206357139723E-3</v>
      </c>
      <c r="AM34" s="35">
        <f t="array" ref="AM34:AW44">MMULT(MMULT(AM20:AW30,AY20:BI30),TRANSPOSE(AM20:AW30))</f>
        <v>5.4169423202423969E-3</v>
      </c>
      <c r="AN34" s="35">
        <v>1.7676737047770041E-3</v>
      </c>
      <c r="AO34" s="35">
        <v>1.1654514408595449E-3</v>
      </c>
      <c r="AP34" s="35">
        <v>1.0021186318545441E-3</v>
      </c>
      <c r="AQ34" s="35">
        <v>9.2681128256216316E-4</v>
      </c>
      <c r="AR34" s="35">
        <v>8.3266864007046782E-4</v>
      </c>
      <c r="AS34" s="35">
        <v>-8.5525250221631143E-4</v>
      </c>
      <c r="AT34" s="35">
        <v>-6.0310956447142804E-4</v>
      </c>
      <c r="AU34" s="35">
        <v>3.9465515905954456E-4</v>
      </c>
      <c r="AV34" s="35">
        <v>-3.9259097383717074E-4</v>
      </c>
      <c r="AW34" s="35">
        <v>3.5966247261090355E-4</v>
      </c>
    </row>
    <row r="35" spans="2:49" x14ac:dyDescent="0.2">
      <c r="B35" s="8">
        <f>+'Simulation and  VaR'!B48/'Simulation and  VaR'!B47-1</f>
        <v>-2.3794037813598679E-2</v>
      </c>
      <c r="C35" s="8">
        <f>+'Simulation and  VaR'!C48/'Simulation and  VaR'!C47-1</f>
        <v>-8.8383838383838675E-3</v>
      </c>
      <c r="D35" s="8">
        <f>+'Simulation and  VaR'!D48/'Simulation and  VaR'!D47-1</f>
        <v>4.556650246305427E-2</v>
      </c>
      <c r="E35" s="8">
        <f>+'Simulation and  VaR'!E48/'Simulation and  VaR'!E47-1</f>
        <v>4.1212121212121255E-2</v>
      </c>
      <c r="F35" s="8">
        <f>+'Simulation and  VaR'!F48/'Simulation and  VaR'!F47-1</f>
        <v>3.1764705882352917E-2</v>
      </c>
      <c r="G35" s="8">
        <f>+'Simulation and  VaR'!G48/'Simulation and  VaR'!G47-1</f>
        <v>3.0033370411568283E-2</v>
      </c>
      <c r="H35" s="8">
        <f>+'Simulation and  VaR'!H48/'Simulation and  VaR'!H47-1</f>
        <v>-5.0026123301985304E-2</v>
      </c>
      <c r="I35" s="8">
        <f>+'Simulation and  VaR'!I48/'Simulation and  VaR'!I47-1</f>
        <v>-1.5568529329997305E-2</v>
      </c>
      <c r="J35" s="8">
        <f>+'Simulation and  VaR'!J48/'Simulation and  VaR'!J47-1</f>
        <v>0</v>
      </c>
      <c r="K35" s="8">
        <f>+'Simulation and  VaR'!K48/'Simulation and  VaR'!K47-1</f>
        <v>-2.5789276652385951E-3</v>
      </c>
      <c r="L35" s="8">
        <f>+'Simulation and  VaR'!L48/'Simulation and  VaR'!L47-1</f>
        <v>-7.1775209732005685E-5</v>
      </c>
      <c r="N35" s="26">
        <f t="shared" si="0"/>
        <v>-2.8314962306023733E-2</v>
      </c>
      <c r="O35" s="26">
        <f t="shared" si="1"/>
        <v>-1.1355153856960461E-2</v>
      </c>
      <c r="P35" s="26">
        <f t="shared" si="2"/>
        <v>4.3274294139603327E-2</v>
      </c>
      <c r="Q35" s="26">
        <f t="shared" si="3"/>
        <v>3.899936193961194E-2</v>
      </c>
      <c r="R35" s="26">
        <f t="shared" si="4"/>
        <v>2.9583596470908143E-2</v>
      </c>
      <c r="S35" s="26">
        <f t="shared" si="5"/>
        <v>2.7855368440646674E-2</v>
      </c>
      <c r="T35" s="26">
        <f t="shared" si="6"/>
        <v>-5.5369503347045712E-2</v>
      </c>
      <c r="U35" s="26">
        <f t="shared" si="7"/>
        <v>-2.7970295459034684E-2</v>
      </c>
      <c r="V35" s="26">
        <f t="shared" si="8"/>
        <v>-1.0229205971642284E-2</v>
      </c>
      <c r="W35" s="26">
        <f t="shared" si="9"/>
        <v>-1.0120123833671805E-3</v>
      </c>
      <c r="X35" s="26">
        <f t="shared" si="10"/>
        <v>3.4524599040237007E-3</v>
      </c>
      <c r="Z35" s="17" t="s">
        <v>40</v>
      </c>
      <c r="AA35" s="23"/>
      <c r="AM35" s="35">
        <v>1.7676737047770041E-3</v>
      </c>
      <c r="AN35" s="35">
        <v>1.4740724440073505E-3</v>
      </c>
      <c r="AO35" s="35">
        <v>8.9397421643448521E-4</v>
      </c>
      <c r="AP35" s="35">
        <v>7.5987654833305392E-4</v>
      </c>
      <c r="AQ35" s="35">
        <v>6.8246403509707241E-4</v>
      </c>
      <c r="AR35" s="35">
        <v>6.313200189565478E-4</v>
      </c>
      <c r="AS35" s="35">
        <v>-5.4845128947213424E-4</v>
      </c>
      <c r="AT35" s="35">
        <v>5.4641919260622349E-5</v>
      </c>
      <c r="AU35" s="35">
        <v>6.7840116119116201E-4</v>
      </c>
      <c r="AV35" s="35">
        <v>-1.2314167190282405E-4</v>
      </c>
      <c r="AW35" s="35">
        <v>2.3159975415927057E-4</v>
      </c>
    </row>
    <row r="36" spans="2:49" x14ac:dyDescent="0.2">
      <c r="B36" s="8">
        <f>+'Simulation and  VaR'!B49/'Simulation and  VaR'!B48-1</f>
        <v>-3.3481515255718963E-2</v>
      </c>
      <c r="C36" s="8">
        <f>+'Simulation and  VaR'!C49/'Simulation and  VaR'!C48-1</f>
        <v>-4.84076433121019E-2</v>
      </c>
      <c r="D36" s="8">
        <f>+'Simulation and  VaR'!D49/'Simulation and  VaR'!D48-1</f>
        <v>-4.7114252061249973E-3</v>
      </c>
      <c r="E36" s="8">
        <f>+'Simulation and  VaR'!E49/'Simulation and  VaR'!E48-1</f>
        <v>6.9848661233993248E-3</v>
      </c>
      <c r="F36" s="8">
        <f>+'Simulation and  VaR'!F49/'Simulation and  VaR'!F48-1</f>
        <v>1.8244013683010207E-2</v>
      </c>
      <c r="G36" s="8">
        <f>+'Simulation and  VaR'!G49/'Simulation and  VaR'!G48-1</f>
        <v>1.6198704103671746E-2</v>
      </c>
      <c r="H36" s="8">
        <f>+'Simulation and  VaR'!H49/'Simulation and  VaR'!H48-1</f>
        <v>7.3284751821806715E-2</v>
      </c>
      <c r="I36" s="8">
        <f>+'Simulation and  VaR'!I49/'Simulation and  VaR'!I48-1</f>
        <v>-2.8240609997176591E-3</v>
      </c>
      <c r="J36" s="8">
        <f>+'Simulation and  VaR'!J49/'Simulation and  VaR'!J48-1</f>
        <v>-1.1904761904761862E-2</v>
      </c>
      <c r="K36" s="8">
        <f>+'Simulation and  VaR'!K49/'Simulation and  VaR'!K48-1</f>
        <v>-2.9609241419575882E-3</v>
      </c>
      <c r="L36" s="8">
        <f>+'Simulation and  VaR'!L49/'Simulation and  VaR'!L48-1</f>
        <v>1.3655912205554621E-3</v>
      </c>
      <c r="N36" s="26">
        <f t="shared" si="0"/>
        <v>-3.8002439748144018E-2</v>
      </c>
      <c r="O36" s="26">
        <f t="shared" si="1"/>
        <v>-5.0924413330678493E-2</v>
      </c>
      <c r="P36" s="26">
        <f t="shared" si="2"/>
        <v>-7.0036335295759408E-3</v>
      </c>
      <c r="Q36" s="26">
        <f t="shared" si="3"/>
        <v>4.7721068508900059E-3</v>
      </c>
      <c r="R36" s="26">
        <f t="shared" si="4"/>
        <v>1.6062904271565433E-2</v>
      </c>
      <c r="S36" s="26">
        <f t="shared" si="5"/>
        <v>1.4020702132750137E-2</v>
      </c>
      <c r="T36" s="26">
        <f t="shared" si="6"/>
        <v>6.7941371776746307E-2</v>
      </c>
      <c r="U36" s="26">
        <f t="shared" si="7"/>
        <v>-1.5225827128755039E-2</v>
      </c>
      <c r="V36" s="26">
        <f t="shared" si="8"/>
        <v>-2.2133967876404148E-2</v>
      </c>
      <c r="W36" s="26">
        <f t="shared" si="9"/>
        <v>-1.3940088600861737E-3</v>
      </c>
      <c r="X36" s="26">
        <f t="shared" si="10"/>
        <v>4.8898263343111689E-3</v>
      </c>
      <c r="Z36" s="27"/>
      <c r="AA36" s="20" t="s">
        <v>6</v>
      </c>
      <c r="AB36" s="20" t="s">
        <v>7</v>
      </c>
      <c r="AC36" s="20" t="s">
        <v>8</v>
      </c>
      <c r="AD36" s="20" t="s">
        <v>9</v>
      </c>
      <c r="AE36" s="20" t="s">
        <v>10</v>
      </c>
      <c r="AF36" s="20" t="s">
        <v>11</v>
      </c>
      <c r="AG36" s="20" t="s">
        <v>12</v>
      </c>
      <c r="AH36" s="20" t="s">
        <v>13</v>
      </c>
      <c r="AI36" s="20" t="s">
        <v>14</v>
      </c>
      <c r="AJ36" s="20" t="s">
        <v>15</v>
      </c>
      <c r="AK36" s="20" t="s">
        <v>16</v>
      </c>
      <c r="AM36" s="35">
        <v>1.1654514408595451E-3</v>
      </c>
      <c r="AN36" s="35">
        <v>8.9397421643448531E-4</v>
      </c>
      <c r="AO36" s="35">
        <v>7.3997753774068874E-4</v>
      </c>
      <c r="AP36" s="35">
        <v>6.3547098850223803E-4</v>
      </c>
      <c r="AQ36" s="35">
        <v>5.8103634004759842E-4</v>
      </c>
      <c r="AR36" s="35">
        <v>5.2692407471280898E-4</v>
      </c>
      <c r="AS36" s="35">
        <v>-3.9208931959899894E-4</v>
      </c>
      <c r="AT36" s="35">
        <v>-4.1249695282420692E-5</v>
      </c>
      <c r="AU36" s="35">
        <v>4.4078302674367903E-4</v>
      </c>
      <c r="AV36" s="35">
        <v>-1.045022977904907E-4</v>
      </c>
      <c r="AW36" s="35">
        <v>1.8818633910628587E-4</v>
      </c>
    </row>
    <row r="37" spans="2:49" x14ac:dyDescent="0.2">
      <c r="B37" s="8">
        <f>+'Simulation and  VaR'!B50/'Simulation and  VaR'!B49-1</f>
        <v>-6.2942215367065568E-3</v>
      </c>
      <c r="C37" s="8">
        <f>+'Simulation and  VaR'!C50/'Simulation and  VaR'!C49-1</f>
        <v>9.3708165997323789E-3</v>
      </c>
      <c r="D37" s="8">
        <f>+'Simulation and  VaR'!D50/'Simulation and  VaR'!D49-1</f>
        <v>-3.6686390532544189E-2</v>
      </c>
      <c r="E37" s="8">
        <f>+'Simulation and  VaR'!E50/'Simulation and  VaR'!E49-1</f>
        <v>-1.7341040462427793E-2</v>
      </c>
      <c r="F37" s="8">
        <f>+'Simulation and  VaR'!F50/'Simulation and  VaR'!F49-1</f>
        <v>-7.838745800671898E-3</v>
      </c>
      <c r="G37" s="8">
        <f>+'Simulation and  VaR'!G50/'Simulation and  VaR'!G49-1</f>
        <v>4.2507970244420878E-3</v>
      </c>
      <c r="H37" s="8">
        <f>+'Simulation and  VaR'!H50/'Simulation and  VaR'!H49-1</f>
        <v>4.4452984883422975E-2</v>
      </c>
      <c r="I37" s="8">
        <f>+'Simulation and  VaR'!I50/'Simulation and  VaR'!I49-1</f>
        <v>-1.4160294534125706E-3</v>
      </c>
      <c r="J37" s="8">
        <f>+'Simulation and  VaR'!J50/'Simulation and  VaR'!J49-1</f>
        <v>0</v>
      </c>
      <c r="K37" s="8">
        <f>+'Simulation and  VaR'!K50/'Simulation and  VaR'!K49-1</f>
        <v>-1.0875020913501121E-3</v>
      </c>
      <c r="L37" s="8">
        <f>+'Simulation and  VaR'!L50/'Simulation and  VaR'!L49-1</f>
        <v>-3.1881613326438796E-3</v>
      </c>
      <c r="N37" s="26">
        <f t="shared" si="0"/>
        <v>-1.081514602913161E-2</v>
      </c>
      <c r="O37" s="26">
        <f t="shared" si="1"/>
        <v>6.8540465811557849E-3</v>
      </c>
      <c r="P37" s="26">
        <f t="shared" si="2"/>
        <v>-3.8978598855995132E-2</v>
      </c>
      <c r="Q37" s="26">
        <f t="shared" si="3"/>
        <v>-1.9553799734937111E-2</v>
      </c>
      <c r="R37" s="26">
        <f t="shared" si="4"/>
        <v>-1.0019855212116671E-2</v>
      </c>
      <c r="S37" s="26">
        <f t="shared" si="5"/>
        <v>2.0727950535204785E-3</v>
      </c>
      <c r="T37" s="26">
        <f t="shared" si="6"/>
        <v>3.9109604838362566E-2</v>
      </c>
      <c r="U37" s="26">
        <f t="shared" si="7"/>
        <v>-1.381779558244995E-2</v>
      </c>
      <c r="V37" s="26">
        <f t="shared" si="8"/>
        <v>-1.0229205971642284E-2</v>
      </c>
      <c r="W37" s="26">
        <f t="shared" si="9"/>
        <v>4.7941319052130244E-4</v>
      </c>
      <c r="X37" s="26">
        <f t="shared" si="10"/>
        <v>3.360737811118268E-4</v>
      </c>
      <c r="Z37" s="20" t="s">
        <v>6</v>
      </c>
      <c r="AA37" s="30">
        <f t="array" ref="AA37:AK47">AA5:AK15/AA23:AK33</f>
        <v>1</v>
      </c>
      <c r="AB37" s="29">
        <v>0.62555511870894454</v>
      </c>
      <c r="AC37" s="29">
        <v>0.58211368476674008</v>
      </c>
      <c r="AD37" s="29">
        <v>0.55722934218969888</v>
      </c>
      <c r="AE37" s="29">
        <v>0.52853504425671238</v>
      </c>
      <c r="AF37" s="29">
        <v>0.51409376748741953</v>
      </c>
      <c r="AG37" s="29">
        <v>-0.24988008492434124</v>
      </c>
      <c r="AH37" s="29">
        <v>-0.10939361494065993</v>
      </c>
      <c r="AI37" s="29">
        <v>5.1243439326543357E-2</v>
      </c>
      <c r="AJ37" s="29">
        <v>-0.18309206688045374</v>
      </c>
      <c r="AK37" s="29">
        <v>0.16437564484492606</v>
      </c>
      <c r="AM37" s="35">
        <v>1.0021186318545441E-3</v>
      </c>
      <c r="AN37" s="35">
        <v>7.5987654833305392E-4</v>
      </c>
      <c r="AO37" s="35">
        <v>6.3547098850223803E-4</v>
      </c>
      <c r="AP37" s="35">
        <v>5.9705743121998573E-4</v>
      </c>
      <c r="AQ37" s="35">
        <v>5.4855392731214961E-4</v>
      </c>
      <c r="AR37" s="35">
        <v>4.9696129709080202E-4</v>
      </c>
      <c r="AS37" s="35">
        <v>-3.6646634720936399E-4</v>
      </c>
      <c r="AT37" s="35">
        <v>-9.8341161167433863E-5</v>
      </c>
      <c r="AU37" s="35">
        <v>3.5043998645729402E-4</v>
      </c>
      <c r="AV37" s="35">
        <v>-8.7300328508201972E-5</v>
      </c>
      <c r="AW37" s="35">
        <v>1.6584699997639369E-4</v>
      </c>
    </row>
    <row r="38" spans="2:49" x14ac:dyDescent="0.2">
      <c r="B38" s="8">
        <f>+'Simulation and  VaR'!B51/'Simulation and  VaR'!B50-1</f>
        <v>-4.5883241684948617E-2</v>
      </c>
      <c r="C38" s="8">
        <f>+'Simulation and  VaR'!C51/'Simulation and  VaR'!C50-1</f>
        <v>-1.8567639257294544E-2</v>
      </c>
      <c r="D38" s="8">
        <f>+'Simulation and  VaR'!D51/'Simulation and  VaR'!D50-1</f>
        <v>-4.9140049140050657E-3</v>
      </c>
      <c r="E38" s="8">
        <f>+'Simulation and  VaR'!E51/'Simulation and  VaR'!E50-1</f>
        <v>-2.3529411764705577E-3</v>
      </c>
      <c r="F38" s="8">
        <f>+'Simulation and  VaR'!F51/'Simulation and  VaR'!F50-1</f>
        <v>-7.900677200902928E-3</v>
      </c>
      <c r="G38" s="8">
        <f>+'Simulation and  VaR'!G51/'Simulation and  VaR'!G50-1</f>
        <v>-5.2910052910051242E-3</v>
      </c>
      <c r="H38" s="8">
        <f>+'Simulation and  VaR'!H51/'Simulation and  VaR'!H50-1</f>
        <v>3.2993989942352586E-2</v>
      </c>
      <c r="I38" s="8">
        <f>+'Simulation and  VaR'!I51/'Simulation and  VaR'!I50-1</f>
        <v>2.7793533749290944E-2</v>
      </c>
      <c r="J38" s="8">
        <f>+'Simulation and  VaR'!J51/'Simulation and  VaR'!J50-1</f>
        <v>0</v>
      </c>
      <c r="K38" s="8">
        <f>+'Simulation and  VaR'!K51/'Simulation and  VaR'!K50-1</f>
        <v>-1.1724311196716908E-3</v>
      </c>
      <c r="L38" s="8">
        <f>+'Simulation and  VaR'!L51/'Simulation and  VaR'!L50-1</f>
        <v>-7.1592775255113761E-4</v>
      </c>
      <c r="N38" s="26">
        <f t="shared" si="0"/>
        <v>-5.0404166177373672E-2</v>
      </c>
      <c r="O38" s="26">
        <f t="shared" si="1"/>
        <v>-2.1084409275871137E-2</v>
      </c>
      <c r="P38" s="26">
        <f t="shared" si="2"/>
        <v>-7.2062132374560092E-3</v>
      </c>
      <c r="Q38" s="26">
        <f t="shared" si="3"/>
        <v>-4.5657004489798765E-3</v>
      </c>
      <c r="R38" s="26">
        <f t="shared" si="4"/>
        <v>-1.0081786612347701E-2</v>
      </c>
      <c r="S38" s="26">
        <f t="shared" si="5"/>
        <v>-7.4690072619267335E-3</v>
      </c>
      <c r="T38" s="26">
        <f t="shared" si="6"/>
        <v>2.7650609897292181E-2</v>
      </c>
      <c r="U38" s="26">
        <f t="shared" si="7"/>
        <v>1.5391767620253564E-2</v>
      </c>
      <c r="V38" s="26">
        <f t="shared" si="8"/>
        <v>-1.0229205971642284E-2</v>
      </c>
      <c r="W38" s="26">
        <f t="shared" si="9"/>
        <v>3.9448416219972377E-4</v>
      </c>
      <c r="X38" s="26">
        <f t="shared" si="10"/>
        <v>2.8083073612045688E-3</v>
      </c>
      <c r="Z38" s="20" t="s">
        <v>7</v>
      </c>
      <c r="AA38" s="29">
        <v>0.62555511870894454</v>
      </c>
      <c r="AB38" s="30">
        <v>1</v>
      </c>
      <c r="AC38" s="29">
        <v>0.85596559938181027</v>
      </c>
      <c r="AD38" s="29">
        <v>0.80998238349429763</v>
      </c>
      <c r="AE38" s="29">
        <v>0.74607061945014796</v>
      </c>
      <c r="AF38" s="29">
        <v>0.74720089408174539</v>
      </c>
      <c r="AG38" s="29">
        <v>-0.30718007711461731</v>
      </c>
      <c r="AH38" s="29">
        <v>1.8999378520131394E-2</v>
      </c>
      <c r="AI38" s="29">
        <v>0.16885921296820913</v>
      </c>
      <c r="AJ38" s="29">
        <v>-0.11009103496365055</v>
      </c>
      <c r="AK38" s="29">
        <v>0.20290751392026235</v>
      </c>
      <c r="AM38" s="35">
        <v>9.2681128256216316E-4</v>
      </c>
      <c r="AN38" s="35">
        <v>6.8246403509707241E-4</v>
      </c>
      <c r="AO38" s="35">
        <v>5.8103634004759831E-4</v>
      </c>
      <c r="AP38" s="35">
        <v>5.485539273121495E-4</v>
      </c>
      <c r="AQ38" s="35">
        <v>5.6765025373692346E-4</v>
      </c>
      <c r="AR38" s="35">
        <v>4.9081743636100565E-4</v>
      </c>
      <c r="AS38" s="35">
        <v>-2.9885566713685119E-4</v>
      </c>
      <c r="AT38" s="35">
        <v>-8.7529881839116006E-5</v>
      </c>
      <c r="AU38" s="35">
        <v>2.7140792101360765E-4</v>
      </c>
      <c r="AV38" s="35">
        <v>-1.0297890423167553E-4</v>
      </c>
      <c r="AW38" s="35">
        <v>1.7382607909260242E-4</v>
      </c>
    </row>
    <row r="39" spans="2:49" x14ac:dyDescent="0.2">
      <c r="B39" s="8">
        <f>+'Simulation and  VaR'!B52/'Simulation and  VaR'!B51-1</f>
        <v>-3.6434140263821635E-2</v>
      </c>
      <c r="C39" s="8">
        <f>+'Simulation and  VaR'!C52/'Simulation and  VaR'!C51-1</f>
        <v>-8.1081081081080253E-3</v>
      </c>
      <c r="D39" s="8">
        <f>+'Simulation and  VaR'!D52/'Simulation and  VaR'!D51-1</f>
        <v>-7.4074074074074181E-3</v>
      </c>
      <c r="E39" s="8">
        <f>+'Simulation and  VaR'!E52/'Simulation and  VaR'!E51-1</f>
        <v>-3.5377358490567001E-3</v>
      </c>
      <c r="F39" s="8">
        <f>+'Simulation and  VaR'!F52/'Simulation and  VaR'!F51-1</f>
        <v>-7.9635949943115403E-3</v>
      </c>
      <c r="G39" s="8">
        <f>+'Simulation and  VaR'!G52/'Simulation and  VaR'!G51-1</f>
        <v>-6.38297872340432E-3</v>
      </c>
      <c r="H39" s="8">
        <f>+'Simulation and  VaR'!H52/'Simulation and  VaR'!H51-1</f>
        <v>-1.1398717644264922E-2</v>
      </c>
      <c r="I39" s="8">
        <f>+'Simulation and  VaR'!I52/'Simulation and  VaR'!I51-1</f>
        <v>4.8841059602649173E-2</v>
      </c>
      <c r="J39" s="8">
        <f>+'Simulation and  VaR'!J52/'Simulation and  VaR'!J51-1</f>
        <v>0</v>
      </c>
      <c r="K39" s="8">
        <f>+'Simulation and  VaR'!K52/'Simulation and  VaR'!K51-1</f>
        <v>8.8035549593357132E-4</v>
      </c>
      <c r="L39" s="8">
        <f>+'Simulation and  VaR'!L52/'Simulation and  VaR'!L51-1</f>
        <v>-4.6513656320201768E-4</v>
      </c>
      <c r="N39" s="26">
        <f t="shared" si="0"/>
        <v>-4.095506475624669E-2</v>
      </c>
      <c r="O39" s="26">
        <f t="shared" si="1"/>
        <v>-1.0624878126684618E-2</v>
      </c>
      <c r="P39" s="26">
        <f t="shared" si="2"/>
        <v>-9.6996157308583617E-3</v>
      </c>
      <c r="Q39" s="26">
        <f t="shared" si="3"/>
        <v>-5.750495121566019E-3</v>
      </c>
      <c r="R39" s="26">
        <f t="shared" si="4"/>
        <v>-1.0144704405756313E-2</v>
      </c>
      <c r="S39" s="26">
        <f t="shared" si="5"/>
        <v>-8.5609806943259294E-3</v>
      </c>
      <c r="T39" s="26">
        <f t="shared" si="6"/>
        <v>-1.6742097689325327E-2</v>
      </c>
      <c r="U39" s="26">
        <f t="shared" si="7"/>
        <v>3.6439293473611793E-2</v>
      </c>
      <c r="V39" s="26">
        <f t="shared" si="8"/>
        <v>-1.0229205971642284E-2</v>
      </c>
      <c r="W39" s="26">
        <f t="shared" si="9"/>
        <v>2.4472707778049859E-3</v>
      </c>
      <c r="X39" s="26">
        <f t="shared" si="10"/>
        <v>3.0590985505536887E-3</v>
      </c>
      <c r="Z39" s="20" t="s">
        <v>8</v>
      </c>
      <c r="AA39" s="29">
        <v>0.58211368476674008</v>
      </c>
      <c r="AB39" s="29">
        <v>0.85596559938181027</v>
      </c>
      <c r="AC39" s="30">
        <v>0.999999999999999</v>
      </c>
      <c r="AD39" s="29">
        <v>0.9560451569402848</v>
      </c>
      <c r="AE39" s="29">
        <v>0.89650684327446539</v>
      </c>
      <c r="AF39" s="29">
        <v>0.88020941385171059</v>
      </c>
      <c r="AG39" s="29">
        <v>-0.30994892971518345</v>
      </c>
      <c r="AH39" s="29">
        <v>-2.0243441178482285E-2</v>
      </c>
      <c r="AI39" s="29">
        <v>0.15485070478935031</v>
      </c>
      <c r="AJ39" s="29">
        <v>-0.13186298233829041</v>
      </c>
      <c r="AK39" s="29">
        <v>0.23270101355040532</v>
      </c>
      <c r="AM39" s="35">
        <v>8.3266864007046782E-4</v>
      </c>
      <c r="AN39" s="35">
        <v>6.313200189565478E-4</v>
      </c>
      <c r="AO39" s="35">
        <v>5.2692407471280898E-4</v>
      </c>
      <c r="AP39" s="35">
        <v>4.9696129709080191E-4</v>
      </c>
      <c r="AQ39" s="35">
        <v>4.9081743636100565E-4</v>
      </c>
      <c r="AR39" s="35">
        <v>4.8429002988884521E-4</v>
      </c>
      <c r="AS39" s="35">
        <v>-2.9146849002147985E-4</v>
      </c>
      <c r="AT39" s="35">
        <v>-9.0539418893860132E-5</v>
      </c>
      <c r="AU39" s="35">
        <v>2.2708681846793596E-4</v>
      </c>
      <c r="AV39" s="35">
        <v>-6.8518759281932043E-5</v>
      </c>
      <c r="AW39" s="35">
        <v>1.4439348117202742E-4</v>
      </c>
    </row>
    <row r="40" spans="2:49" x14ac:dyDescent="0.2">
      <c r="B40" s="8">
        <f>+'Simulation and  VaR'!B53/'Simulation and  VaR'!B52-1</f>
        <v>-0.10633114667987198</v>
      </c>
      <c r="C40" s="8">
        <f>+'Simulation and  VaR'!C53/'Simulation and  VaR'!C52-1</f>
        <v>-6.6757493188010941E-2</v>
      </c>
      <c r="D40" s="8">
        <f>+'Simulation and  VaR'!D53/'Simulation and  VaR'!D52-1</f>
        <v>2.4875621890549926E-3</v>
      </c>
      <c r="E40" s="8">
        <f>+'Simulation and  VaR'!E53/'Simulation and  VaR'!E52-1</f>
        <v>-2.3668639053253671E-3</v>
      </c>
      <c r="F40" s="8">
        <f>+'Simulation and  VaR'!F53/'Simulation and  VaR'!F52-1</f>
        <v>3.4403669724769603E-3</v>
      </c>
      <c r="G40" s="8">
        <f>+'Simulation and  VaR'!G53/'Simulation and  VaR'!G52-1</f>
        <v>5.3533190578158862E-3</v>
      </c>
      <c r="H40" s="8">
        <f>+'Simulation and  VaR'!H53/'Simulation and  VaR'!H52-1</f>
        <v>4.7441748738890288E-2</v>
      </c>
      <c r="I40" s="8">
        <f>+'Simulation and  VaR'!I53/'Simulation and  VaR'!I52-1</f>
        <v>-1.1838989739542338E-2</v>
      </c>
      <c r="J40" s="8">
        <f>+'Simulation and  VaR'!J53/'Simulation and  VaR'!J52-1</f>
        <v>0</v>
      </c>
      <c r="K40" s="8">
        <f>+'Simulation and  VaR'!K53/'Simulation and  VaR'!K52-1</f>
        <v>1.2565445026178068E-3</v>
      </c>
      <c r="L40" s="8">
        <f>+'Simulation and  VaR'!L53/'Simulation and  VaR'!L52-1</f>
        <v>-2.8615598191084057E-4</v>
      </c>
      <c r="N40" s="26">
        <f t="shared" si="0"/>
        <v>-0.11085207117229703</v>
      </c>
      <c r="O40" s="26">
        <f t="shared" si="1"/>
        <v>-6.9274263206587541E-2</v>
      </c>
      <c r="P40" s="26">
        <f t="shared" si="2"/>
        <v>1.9535386560404861E-4</v>
      </c>
      <c r="Q40" s="26">
        <f t="shared" si="3"/>
        <v>-4.5796231778346859E-3</v>
      </c>
      <c r="R40" s="26">
        <f t="shared" si="4"/>
        <v>1.259257561032187E-3</v>
      </c>
      <c r="S40" s="26">
        <f t="shared" si="5"/>
        <v>3.1753170868942769E-3</v>
      </c>
      <c r="T40" s="26">
        <f t="shared" si="6"/>
        <v>4.209836869382988E-2</v>
      </c>
      <c r="U40" s="26">
        <f t="shared" si="7"/>
        <v>-2.4240755868579718E-2</v>
      </c>
      <c r="V40" s="26">
        <f t="shared" si="8"/>
        <v>-1.0229205971642284E-2</v>
      </c>
      <c r="W40" s="26">
        <f t="shared" si="9"/>
        <v>2.8234597844892214E-3</v>
      </c>
      <c r="X40" s="26">
        <f t="shared" si="10"/>
        <v>3.2380791318448658E-3</v>
      </c>
      <c r="Z40" s="20" t="s">
        <v>9</v>
      </c>
      <c r="AA40" s="29">
        <v>0.55722934218969888</v>
      </c>
      <c r="AB40" s="29">
        <v>0.80998238349429763</v>
      </c>
      <c r="AC40" s="29">
        <v>0.9560451569402848</v>
      </c>
      <c r="AD40" s="30">
        <v>1</v>
      </c>
      <c r="AE40" s="29">
        <v>0.94226021967013796</v>
      </c>
      <c r="AF40" s="29">
        <v>0.92419103069899045</v>
      </c>
      <c r="AG40" s="29">
        <v>-0.32250796304389828</v>
      </c>
      <c r="AH40" s="29">
        <v>-5.3727934079401227E-2</v>
      </c>
      <c r="AI40" s="29">
        <v>0.13705762212713382</v>
      </c>
      <c r="AJ40" s="29">
        <v>-0.12263491838502835</v>
      </c>
      <c r="AK40" s="29">
        <v>0.22830688856417783</v>
      </c>
      <c r="AM40" s="35">
        <v>-8.5525250221631121E-4</v>
      </c>
      <c r="AN40" s="35">
        <v>-5.4845128947213424E-4</v>
      </c>
      <c r="AO40" s="35">
        <v>-3.9208931959899894E-4</v>
      </c>
      <c r="AP40" s="35">
        <v>-3.6646634720936399E-4</v>
      </c>
      <c r="AQ40" s="35">
        <v>-2.9885566713685119E-4</v>
      </c>
      <c r="AR40" s="35">
        <v>-2.9146849002147985E-4</v>
      </c>
      <c r="AS40" s="35">
        <v>2.162575138737449E-3</v>
      </c>
      <c r="AT40" s="35">
        <v>1.1137919489526091E-4</v>
      </c>
      <c r="AU40" s="35">
        <v>-2.7201402861015911E-4</v>
      </c>
      <c r="AV40" s="35">
        <v>-2.3682559368814145E-6</v>
      </c>
      <c r="AW40" s="35">
        <v>-1.2826715940470896E-5</v>
      </c>
    </row>
    <row r="41" spans="2:49" x14ac:dyDescent="0.2">
      <c r="B41" s="8">
        <f>+'Simulation and  VaR'!B54/'Simulation and  VaR'!B53-1</f>
        <v>-7.8474707209443051E-2</v>
      </c>
      <c r="C41" s="8">
        <f>+'Simulation and  VaR'!C54/'Simulation and  VaR'!C53-1</f>
        <v>-6.5693430656934337E-2</v>
      </c>
      <c r="D41" s="8">
        <f>+'Simulation and  VaR'!D54/'Simulation and  VaR'!D53-1</f>
        <v>-5.0868486352357412E-2</v>
      </c>
      <c r="E41" s="8">
        <f>+'Simulation and  VaR'!E54/'Simulation and  VaR'!E53-1</f>
        <v>-3.4400948991696212E-2</v>
      </c>
      <c r="F41" s="8">
        <f>+'Simulation and  VaR'!F54/'Simulation and  VaR'!F53-1</f>
        <v>-2.9714285714285693E-2</v>
      </c>
      <c r="G41" s="8">
        <f>+'Simulation and  VaR'!G54/'Simulation and  VaR'!G53-1</f>
        <v>-2.7689030883919274E-2</v>
      </c>
      <c r="H41" s="8">
        <f>+'Simulation and  VaR'!H54/'Simulation and  VaR'!H53-1</f>
        <v>5.5039559683522477E-2</v>
      </c>
      <c r="I41" s="8">
        <f>+'Simulation and  VaR'!I54/'Simulation and  VaR'!I53-1</f>
        <v>-3.9936102236420856E-3</v>
      </c>
      <c r="J41" s="8">
        <f>+'Simulation and  VaR'!J54/'Simulation and  VaR'!J53-1</f>
        <v>7.5301204819277157E-2</v>
      </c>
      <c r="K41" s="8">
        <f>+'Simulation and  VaR'!K54/'Simulation and  VaR'!K53-1</f>
        <v>1.2549675800044291E-4</v>
      </c>
      <c r="L41" s="8">
        <f>+'Simulation and  VaR'!L54/'Simulation and  VaR'!L53-1</f>
        <v>-1.072969731809037E-4</v>
      </c>
      <c r="N41" s="26">
        <f t="shared" si="0"/>
        <v>-8.2995631701868106E-2</v>
      </c>
      <c r="O41" s="26">
        <f t="shared" si="1"/>
        <v>-6.8210200675510937E-2</v>
      </c>
      <c r="P41" s="26">
        <f t="shared" si="2"/>
        <v>-5.3160694675808355E-2</v>
      </c>
      <c r="Q41" s="26">
        <f t="shared" si="3"/>
        <v>-3.6613708264205527E-2</v>
      </c>
      <c r="R41" s="26">
        <f t="shared" si="4"/>
        <v>-3.1895395125730468E-2</v>
      </c>
      <c r="S41" s="26">
        <f t="shared" si="5"/>
        <v>-2.9867032854840884E-2</v>
      </c>
      <c r="T41" s="26">
        <f t="shared" si="6"/>
        <v>4.9696179638462068E-2</v>
      </c>
      <c r="U41" s="26">
        <f t="shared" si="7"/>
        <v>-1.6395376352679465E-2</v>
      </c>
      <c r="V41" s="26">
        <f t="shared" si="8"/>
        <v>6.5071998847634871E-2</v>
      </c>
      <c r="W41" s="26">
        <f t="shared" si="9"/>
        <v>1.6924120398718575E-3</v>
      </c>
      <c r="X41" s="26">
        <f t="shared" si="10"/>
        <v>3.4169381405748027E-3</v>
      </c>
      <c r="Z41" s="20" t="s">
        <v>10</v>
      </c>
      <c r="AA41" s="29">
        <v>0.52853504425671238</v>
      </c>
      <c r="AB41" s="29">
        <v>0.74607061945014796</v>
      </c>
      <c r="AC41" s="29">
        <v>0.89650684327446539</v>
      </c>
      <c r="AD41" s="29">
        <v>0.94226021967013796</v>
      </c>
      <c r="AE41" s="30">
        <v>1.0000000000000007</v>
      </c>
      <c r="AF41" s="29">
        <v>0.93610981847050723</v>
      </c>
      <c r="AG41" s="29">
        <v>-0.26973386446032738</v>
      </c>
      <c r="AH41" s="29">
        <v>-4.9044327946372882E-2</v>
      </c>
      <c r="AI41" s="29">
        <v>0.10886284807641652</v>
      </c>
      <c r="AJ41" s="29">
        <v>-0.14835909339055223</v>
      </c>
      <c r="AK41" s="29">
        <v>0.24541096631280426</v>
      </c>
      <c r="AM41" s="35">
        <v>-6.0310956447142826E-4</v>
      </c>
      <c r="AN41" s="35">
        <v>5.4641919260622566E-5</v>
      </c>
      <c r="AO41" s="35">
        <v>-4.1249695282420584E-5</v>
      </c>
      <c r="AP41" s="35">
        <v>-9.8341161167433768E-5</v>
      </c>
      <c r="AQ41" s="35">
        <v>-8.7529881839116006E-5</v>
      </c>
      <c r="AR41" s="35">
        <v>-9.0539418893860132E-5</v>
      </c>
      <c r="AS41" s="35">
        <v>1.1137919489526074E-4</v>
      </c>
      <c r="AT41" s="35">
        <v>5.6111809296603126E-3</v>
      </c>
      <c r="AU41" s="35">
        <v>1.5863621893787696E-3</v>
      </c>
      <c r="AV41" s="35">
        <v>6.283133340373153E-4</v>
      </c>
      <c r="AW41" s="35">
        <v>-4.5965559518812188E-4</v>
      </c>
    </row>
    <row r="42" spans="2:49" x14ac:dyDescent="0.2">
      <c r="B42" s="8">
        <f>+'Simulation and  VaR'!B55/'Simulation and  VaR'!B54-1</f>
        <v>-8.9119639564739672E-2</v>
      </c>
      <c r="C42" s="8">
        <f>+'Simulation and  VaR'!C55/'Simulation and  VaR'!C54-1</f>
        <v>-2.3437499999999889E-2</v>
      </c>
      <c r="D42" s="8">
        <f>+'Simulation and  VaR'!D55/'Simulation and  VaR'!D54-1</f>
        <v>-3.6601307189542354E-2</v>
      </c>
      <c r="E42" s="8">
        <f>+'Simulation and  VaR'!E55/'Simulation and  VaR'!E54-1</f>
        <v>-2.825552825552835E-2</v>
      </c>
      <c r="F42" s="8">
        <f>+'Simulation and  VaR'!F55/'Simulation and  VaR'!F54-1</f>
        <v>-3.8869257950530089E-2</v>
      </c>
      <c r="G42" s="8">
        <f>+'Simulation and  VaR'!G55/'Simulation and  VaR'!G54-1</f>
        <v>-4.1621029572836643E-2</v>
      </c>
      <c r="H42" s="8">
        <f>+'Simulation and  VaR'!H55/'Simulation and  VaR'!H54-1</f>
        <v>4.173459406586244E-2</v>
      </c>
      <c r="I42" s="8">
        <f>+'Simulation and  VaR'!I55/'Simulation and  VaR'!I54-1</f>
        <v>1.7375033413525864E-2</v>
      </c>
      <c r="J42" s="8">
        <f>+'Simulation and  VaR'!J55/'Simulation and  VaR'!J54-1</f>
        <v>0</v>
      </c>
      <c r="K42" s="8">
        <f>+'Simulation and  VaR'!K55/'Simulation and  VaR'!K54-1</f>
        <v>6.1067425129663899E-3</v>
      </c>
      <c r="L42" s="8">
        <f>+'Simulation and  VaR'!L55/'Simulation and  VaR'!L54-1</f>
        <v>9.6660622816346908E-4</v>
      </c>
      <c r="N42" s="26">
        <f t="shared" si="0"/>
        <v>-9.3640564057164727E-2</v>
      </c>
      <c r="O42" s="26">
        <f t="shared" si="1"/>
        <v>-2.5954270018576482E-2</v>
      </c>
      <c r="P42" s="26">
        <f t="shared" si="2"/>
        <v>-3.8893515512993297E-2</v>
      </c>
      <c r="Q42" s="26">
        <f t="shared" si="3"/>
        <v>-3.0468287528037669E-2</v>
      </c>
      <c r="R42" s="26">
        <f t="shared" si="4"/>
        <v>-4.1050367361974864E-2</v>
      </c>
      <c r="S42" s="26">
        <f t="shared" si="5"/>
        <v>-4.3799031543758249E-2</v>
      </c>
      <c r="T42" s="26">
        <f t="shared" si="6"/>
        <v>3.6391214020802032E-2</v>
      </c>
      <c r="U42" s="26">
        <f t="shared" si="7"/>
        <v>4.9732672844884848E-3</v>
      </c>
      <c r="V42" s="26">
        <f t="shared" si="8"/>
        <v>-1.0229205971642284E-2</v>
      </c>
      <c r="W42" s="26">
        <f t="shared" si="9"/>
        <v>7.6736577948378045E-3</v>
      </c>
      <c r="X42" s="26">
        <f t="shared" si="10"/>
        <v>4.4908413419191759E-3</v>
      </c>
      <c r="Z42" s="20" t="s">
        <v>11</v>
      </c>
      <c r="AA42" s="29">
        <v>0.51409376748741953</v>
      </c>
      <c r="AB42" s="29">
        <v>0.74720089408174539</v>
      </c>
      <c r="AC42" s="29">
        <v>0.88020941385171059</v>
      </c>
      <c r="AD42" s="29">
        <v>0.92419103069899045</v>
      </c>
      <c r="AE42" s="29">
        <v>0.93610981847050723</v>
      </c>
      <c r="AF42" s="30">
        <v>0.99999999999999978</v>
      </c>
      <c r="AG42" s="29">
        <v>-0.28480869504833883</v>
      </c>
      <c r="AH42" s="29">
        <v>-5.4923449093434093E-2</v>
      </c>
      <c r="AI42" s="29">
        <v>9.8613586401196218E-2</v>
      </c>
      <c r="AJ42" s="29">
        <v>-0.10687178143798294</v>
      </c>
      <c r="AK42" s="29">
        <v>0.22070606731596784</v>
      </c>
      <c r="AM42" s="35">
        <v>3.9465515905954461E-4</v>
      </c>
      <c r="AN42" s="35">
        <v>6.7840116119116201E-4</v>
      </c>
      <c r="AO42" s="35">
        <v>4.4078302674367903E-4</v>
      </c>
      <c r="AP42" s="35">
        <v>3.5043998645729402E-4</v>
      </c>
      <c r="AQ42" s="35">
        <v>2.7140792101360776E-4</v>
      </c>
      <c r="AR42" s="35">
        <v>2.2708681846793596E-4</v>
      </c>
      <c r="AS42" s="35">
        <v>-2.7201402861015911E-4</v>
      </c>
      <c r="AT42" s="35">
        <v>1.5863621893787701E-3</v>
      </c>
      <c r="AU42" s="35">
        <v>1.0949765440290412E-2</v>
      </c>
      <c r="AV42" s="35">
        <v>-1.2834525763471134E-4</v>
      </c>
      <c r="AW42" s="35">
        <v>6.4581455485472822E-4</v>
      </c>
    </row>
    <row r="43" spans="2:49" x14ac:dyDescent="0.2">
      <c r="B43" s="8">
        <f>+'Simulation and  VaR'!B56/'Simulation and  VaR'!B55-1</f>
        <v>-0.17013564733210651</v>
      </c>
      <c r="C43" s="8">
        <f>+'Simulation and  VaR'!C56/'Simulation and  VaR'!C55-1</f>
        <v>-2.079999999999993E-2</v>
      </c>
      <c r="D43" s="8">
        <f>+'Simulation and  VaR'!D56/'Simulation and  VaR'!D55-1</f>
        <v>-3.7991858887381325E-2</v>
      </c>
      <c r="E43" s="8">
        <f>+'Simulation and  VaR'!E56/'Simulation and  VaR'!E55-1</f>
        <v>-2.9077117572692823E-2</v>
      </c>
      <c r="F43" s="8">
        <f>+'Simulation and  VaR'!F56/'Simulation and  VaR'!F55-1</f>
        <v>-3.6764705882353033E-2</v>
      </c>
      <c r="G43" s="8">
        <f>+'Simulation and  VaR'!G56/'Simulation and  VaR'!G55-1</f>
        <v>-3.9999999999999925E-2</v>
      </c>
      <c r="H43" s="8">
        <f>+'Simulation and  VaR'!H56/'Simulation and  VaR'!H55-1</f>
        <v>9.4940010432966737E-3</v>
      </c>
      <c r="I43" s="8">
        <f>+'Simulation and  VaR'!I56/'Simulation and  VaR'!I55-1</f>
        <v>1.8392012611665898E-2</v>
      </c>
      <c r="J43" s="8">
        <f>+'Simulation and  VaR'!J56/'Simulation and  VaR'!J55-1</f>
        <v>0</v>
      </c>
      <c r="K43" s="8">
        <f>+'Simulation and  VaR'!K56/'Simulation and  VaR'!K55-1</f>
        <v>5.3213602727197884E-3</v>
      </c>
      <c r="L43" s="8">
        <f>+'Simulation and  VaR'!L56/'Simulation and  VaR'!L55-1</f>
        <v>-1.3228562531766297E-3</v>
      </c>
      <c r="N43" s="26">
        <f t="shared" si="0"/>
        <v>-0.17465657182453156</v>
      </c>
      <c r="O43" s="26">
        <f t="shared" si="1"/>
        <v>-2.3316770018576523E-2</v>
      </c>
      <c r="P43" s="26">
        <f t="shared" si="2"/>
        <v>-4.0284067210832268E-2</v>
      </c>
      <c r="Q43" s="26">
        <f t="shared" si="3"/>
        <v>-3.1289876845202139E-2</v>
      </c>
      <c r="R43" s="26">
        <f t="shared" si="4"/>
        <v>-3.8945815293797807E-2</v>
      </c>
      <c r="S43" s="26">
        <f t="shared" si="5"/>
        <v>-4.217800197092153E-2</v>
      </c>
      <c r="T43" s="26">
        <f t="shared" si="6"/>
        <v>4.1506209982362686E-3</v>
      </c>
      <c r="U43" s="26">
        <f t="shared" si="7"/>
        <v>5.9902464826285182E-3</v>
      </c>
      <c r="V43" s="26">
        <f t="shared" si="8"/>
        <v>-1.0229205971642284E-2</v>
      </c>
      <c r="W43" s="26">
        <f t="shared" si="9"/>
        <v>6.8882755545912029E-3</v>
      </c>
      <c r="X43" s="26">
        <f t="shared" si="10"/>
        <v>2.2013788605790767E-3</v>
      </c>
      <c r="Z43" s="20" t="s">
        <v>12</v>
      </c>
      <c r="AA43" s="29">
        <v>-0.24988008492434124</v>
      </c>
      <c r="AB43" s="29">
        <v>-0.30718007711461731</v>
      </c>
      <c r="AC43" s="29">
        <v>-0.30994892971518345</v>
      </c>
      <c r="AD43" s="29">
        <v>-0.32250796304389828</v>
      </c>
      <c r="AE43" s="29">
        <v>-0.26973386446032738</v>
      </c>
      <c r="AF43" s="29">
        <v>-0.28480869504833883</v>
      </c>
      <c r="AG43" s="30">
        <v>1.0000000000000004</v>
      </c>
      <c r="AH43" s="29">
        <v>3.1973585092940363E-2</v>
      </c>
      <c r="AI43" s="29">
        <v>-5.5898903829697033E-2</v>
      </c>
      <c r="AJ43" s="29">
        <v>-1.748031901647324E-3</v>
      </c>
      <c r="AK43" s="29">
        <v>-9.2778922302450811E-3</v>
      </c>
      <c r="AM43" s="35">
        <v>-3.9259097383717069E-4</v>
      </c>
      <c r="AN43" s="35">
        <v>-1.2314167190282402E-4</v>
      </c>
      <c r="AO43" s="35">
        <v>-1.0450229779049072E-4</v>
      </c>
      <c r="AP43" s="35">
        <v>-8.7300328508201959E-5</v>
      </c>
      <c r="AQ43" s="35">
        <v>-1.0297890423167557E-4</v>
      </c>
      <c r="AR43" s="35">
        <v>-6.8518759281932043E-5</v>
      </c>
      <c r="AS43" s="35">
        <v>-2.3682559368814145E-6</v>
      </c>
      <c r="AT43" s="35">
        <v>6.283133340373153E-4</v>
      </c>
      <c r="AU43" s="35">
        <v>-1.2834525763471134E-4</v>
      </c>
      <c r="AV43" s="35">
        <v>8.4876478960405901E-4</v>
      </c>
      <c r="AW43" s="35">
        <v>-4.2541335751500244E-4</v>
      </c>
    </row>
    <row r="44" spans="2:49" x14ac:dyDescent="0.2">
      <c r="B44" s="8">
        <f>+'Simulation and  VaR'!B57/'Simulation and  VaR'!B56-1</f>
        <v>-8.4511022051649731E-2</v>
      </c>
      <c r="C44" s="8">
        <f>+'Simulation and  VaR'!C57/'Simulation and  VaR'!C56-1</f>
        <v>-6.6993464052287566E-2</v>
      </c>
      <c r="D44" s="8">
        <f>+'Simulation and  VaR'!D57/'Simulation and  VaR'!D56-1</f>
        <v>1.833568406205921E-2</v>
      </c>
      <c r="E44" s="8">
        <f>+'Simulation and  VaR'!E57/'Simulation and  VaR'!E56-1</f>
        <v>7.8125E-3</v>
      </c>
      <c r="F44" s="8">
        <f>+'Simulation and  VaR'!F57/'Simulation and  VaR'!F56-1</f>
        <v>1.3994910941475869E-2</v>
      </c>
      <c r="G44" s="8">
        <f>+'Simulation and  VaR'!G57/'Simulation and  VaR'!G56-1</f>
        <v>8.3333333333333037E-3</v>
      </c>
      <c r="H44" s="8">
        <f>+'Simulation and  VaR'!H57/'Simulation and  VaR'!H56-1</f>
        <v>3.6792062835882655E-2</v>
      </c>
      <c r="I44" s="8">
        <f>+'Simulation and  VaR'!I57/'Simulation and  VaR'!I56-1</f>
        <v>1.8059855521155299E-3</v>
      </c>
      <c r="J44" s="8">
        <f>+'Simulation and  VaR'!J57/'Simulation and  VaR'!J56-1</f>
        <v>0</v>
      </c>
      <c r="K44" s="8">
        <f>+'Simulation and  VaR'!K57/'Simulation and  VaR'!K56-1</f>
        <v>2.894715077330634E-4</v>
      </c>
      <c r="L44" s="8">
        <f>+'Simulation and  VaR'!L57/'Simulation and  VaR'!L56-1</f>
        <v>-7.1500631229071132E-5</v>
      </c>
      <c r="N44" s="26">
        <f t="shared" si="0"/>
        <v>-8.9031946544074786E-2</v>
      </c>
      <c r="O44" s="26">
        <f t="shared" si="1"/>
        <v>-6.9510234070864166E-2</v>
      </c>
      <c r="P44" s="26">
        <f t="shared" si="2"/>
        <v>1.6043475738608266E-2</v>
      </c>
      <c r="Q44" s="26">
        <f t="shared" si="3"/>
        <v>5.5997407274906812E-3</v>
      </c>
      <c r="R44" s="26">
        <f t="shared" si="4"/>
        <v>1.1813801530031096E-2</v>
      </c>
      <c r="S44" s="26">
        <f t="shared" si="5"/>
        <v>6.1553313624116944E-3</v>
      </c>
      <c r="T44" s="26">
        <f t="shared" si="6"/>
        <v>3.1448682790822247E-2</v>
      </c>
      <c r="U44" s="26">
        <f t="shared" si="7"/>
        <v>-1.059578057692185E-2</v>
      </c>
      <c r="V44" s="26">
        <f t="shared" si="8"/>
        <v>-1.0229205971642284E-2</v>
      </c>
      <c r="W44" s="26">
        <f t="shared" si="9"/>
        <v>1.856386789604478E-3</v>
      </c>
      <c r="X44" s="26">
        <f t="shared" si="10"/>
        <v>3.4527344825266352E-3</v>
      </c>
      <c r="Z44" s="20" t="s">
        <v>13</v>
      </c>
      <c r="AA44" s="29">
        <v>-0.10939361494065993</v>
      </c>
      <c r="AB44" s="29">
        <v>1.8999378520131394E-2</v>
      </c>
      <c r="AC44" s="29">
        <v>-2.0243441178482285E-2</v>
      </c>
      <c r="AD44" s="29">
        <v>-5.3727934079401227E-2</v>
      </c>
      <c r="AE44" s="29">
        <v>-4.9044327946372882E-2</v>
      </c>
      <c r="AF44" s="29">
        <v>-5.4923449093434093E-2</v>
      </c>
      <c r="AG44" s="29">
        <v>3.1973585092940363E-2</v>
      </c>
      <c r="AH44" s="30">
        <v>1.0000000000000004</v>
      </c>
      <c r="AI44" s="29">
        <v>0.20238242978370866</v>
      </c>
      <c r="AJ44" s="29">
        <v>0.28790914691092823</v>
      </c>
      <c r="AK44" s="29">
        <v>-0.20640721033331003</v>
      </c>
      <c r="AM44" s="35">
        <v>3.5966247261090344E-4</v>
      </c>
      <c r="AN44" s="35">
        <v>2.3159975415927057E-4</v>
      </c>
      <c r="AO44" s="35">
        <v>1.8818633910628593E-4</v>
      </c>
      <c r="AP44" s="35">
        <v>1.6584699997639369E-4</v>
      </c>
      <c r="AQ44" s="35">
        <v>1.7382607909260242E-4</v>
      </c>
      <c r="AR44" s="35">
        <v>1.4439348117202745E-4</v>
      </c>
      <c r="AS44" s="35">
        <v>-1.2826715940470883E-5</v>
      </c>
      <c r="AT44" s="35">
        <v>-4.5965559518812188E-4</v>
      </c>
      <c r="AU44" s="35">
        <v>6.4581455485472822E-4</v>
      </c>
      <c r="AV44" s="35">
        <v>-4.2541335751500244E-4</v>
      </c>
      <c r="AW44" s="35">
        <v>8.8381445629522797E-4</v>
      </c>
    </row>
    <row r="45" spans="2:49" x14ac:dyDescent="0.2">
      <c r="B45" s="8">
        <f>+'Simulation and  VaR'!B58/'Simulation and  VaR'!B57-1</f>
        <v>0.14001473284204491</v>
      </c>
      <c r="C45" s="8">
        <f>+'Simulation and  VaR'!C58/'Simulation and  VaR'!C57-1</f>
        <v>2.2767075306479923E-2</v>
      </c>
      <c r="D45" s="8">
        <f>+'Simulation and  VaR'!D58/'Simulation and  VaR'!D57-1</f>
        <v>5.5401662049860967E-3</v>
      </c>
      <c r="E45" s="8">
        <f>+'Simulation and  VaR'!E58/'Simulation and  VaR'!E57-1</f>
        <v>1.2919896640826156E-3</v>
      </c>
      <c r="F45" s="8">
        <f>+'Simulation and  VaR'!F58/'Simulation and  VaR'!F57-1</f>
        <v>3.7641154328733606E-3</v>
      </c>
      <c r="G45" s="8">
        <f>+'Simulation and  VaR'!G58/'Simulation and  VaR'!G57-1</f>
        <v>-1.1806375442741102E-3</v>
      </c>
      <c r="H45" s="8">
        <f>+'Simulation and  VaR'!H58/'Simulation and  VaR'!H57-1</f>
        <v>3.5386762360446467E-2</v>
      </c>
      <c r="I45" s="8">
        <f>+'Simulation and  VaR'!I58/'Simulation and  VaR'!I57-1</f>
        <v>9.7862477465877618E-3</v>
      </c>
      <c r="J45" s="8">
        <f>+'Simulation and  VaR'!J58/'Simulation and  VaR'!J57-1</f>
        <v>0</v>
      </c>
      <c r="K45" s="8">
        <f>+'Simulation and  VaR'!K58/'Simulation and  VaR'!K57-1</f>
        <v>-2.8938773822806407E-4</v>
      </c>
      <c r="L45" s="8">
        <f>+'Simulation and  VaR'!L58/'Simulation and  VaR'!L57-1</f>
        <v>-3.5749037250454307E-5</v>
      </c>
      <c r="N45" s="26">
        <f t="shared" si="0"/>
        <v>0.13549380834961985</v>
      </c>
      <c r="O45" s="26">
        <f t="shared" si="1"/>
        <v>2.0250305287903329E-2</v>
      </c>
      <c r="P45" s="26">
        <f t="shared" si="2"/>
        <v>3.2479578815351527E-3</v>
      </c>
      <c r="Q45" s="26">
        <f t="shared" si="3"/>
        <v>-9.2076960842670278E-4</v>
      </c>
      <c r="R45" s="26">
        <f t="shared" si="4"/>
        <v>1.5830060214285873E-3</v>
      </c>
      <c r="S45" s="26">
        <f t="shared" si="5"/>
        <v>-3.3586395151957195E-3</v>
      </c>
      <c r="T45" s="26">
        <f t="shared" si="6"/>
        <v>3.0043382315386061E-2</v>
      </c>
      <c r="U45" s="26">
        <f t="shared" si="7"/>
        <v>-2.6155183824496178E-3</v>
      </c>
      <c r="V45" s="26">
        <f t="shared" si="8"/>
        <v>-1.0229205971642284E-2</v>
      </c>
      <c r="W45" s="26">
        <f t="shared" si="9"/>
        <v>1.2775275436433505E-3</v>
      </c>
      <c r="X45" s="26">
        <f t="shared" si="10"/>
        <v>3.4884860765052521E-3</v>
      </c>
      <c r="Z45" s="20" t="s">
        <v>14</v>
      </c>
      <c r="AA45" s="29">
        <v>5.1243439326543357E-2</v>
      </c>
      <c r="AB45" s="29">
        <v>0.16885921296820913</v>
      </c>
      <c r="AC45" s="29">
        <v>0.15485070478935031</v>
      </c>
      <c r="AD45" s="29">
        <v>0.13705762212713382</v>
      </c>
      <c r="AE45" s="29">
        <v>0.10886284807641652</v>
      </c>
      <c r="AF45" s="29">
        <v>9.8613586401196218E-2</v>
      </c>
      <c r="AG45" s="29">
        <v>-5.5898903829697033E-2</v>
      </c>
      <c r="AH45" s="29">
        <v>0.20238242978370866</v>
      </c>
      <c r="AI45" s="30">
        <v>1.0000000000000009</v>
      </c>
      <c r="AJ45" s="29">
        <v>-4.2100159444385735E-2</v>
      </c>
      <c r="AK45" s="29">
        <v>0.20759881495692001</v>
      </c>
      <c r="AM45" s="36" t="s">
        <v>50</v>
      </c>
      <c r="AN45" s="36"/>
      <c r="AO45" s="36"/>
    </row>
    <row r="46" spans="2:49" x14ac:dyDescent="0.2">
      <c r="B46" s="8">
        <f>+'Simulation and  VaR'!B59/'Simulation and  VaR'!B58-1</f>
        <v>7.3308559491667147E-2</v>
      </c>
      <c r="C46" s="8">
        <f>+'Simulation and  VaR'!C59/'Simulation and  VaR'!C58-1</f>
        <v>9.5890410958904049E-2</v>
      </c>
      <c r="D46" s="8">
        <f>+'Simulation and  VaR'!D59/'Simulation and  VaR'!D58-1</f>
        <v>3.8567493112947604E-2</v>
      </c>
      <c r="E46" s="8">
        <f>+'Simulation and  VaR'!E59/'Simulation and  VaR'!E58-1</f>
        <v>1.2903225806451646E-2</v>
      </c>
      <c r="F46" s="8">
        <f>+'Simulation and  VaR'!F59/'Simulation and  VaR'!F58-1</f>
        <v>1.8750000000000044E-2</v>
      </c>
      <c r="G46" s="8">
        <f>+'Simulation and  VaR'!G59/'Simulation and  VaR'!G58-1</f>
        <v>2.0094562647754222E-2</v>
      </c>
      <c r="H46" s="8">
        <f>+'Simulation and  VaR'!H59/'Simulation and  VaR'!H58-1</f>
        <v>-4.0723981900452566E-2</v>
      </c>
      <c r="I46" s="8">
        <f>+'Simulation and  VaR'!I59/'Simulation and  VaR'!I58-1</f>
        <v>4.3866360622290212E-2</v>
      </c>
      <c r="J46" s="8">
        <f>+'Simulation and  VaR'!J59/'Simulation and  VaR'!J58-1</f>
        <v>0</v>
      </c>
      <c r="K46" s="8">
        <f>+'Simulation and  VaR'!K59/'Simulation and  VaR'!K58-1</f>
        <v>2.894715077330634E-4</v>
      </c>
      <c r="L46" s="8">
        <f>+'Simulation and  VaR'!L59/'Simulation and  VaR'!L58-1</f>
        <v>-2.5018063987225503E-4</v>
      </c>
      <c r="N46" s="26">
        <f t="shared" si="0"/>
        <v>6.8787634999242092E-2</v>
      </c>
      <c r="O46" s="26">
        <f t="shared" si="1"/>
        <v>9.3373640940327449E-2</v>
      </c>
      <c r="P46" s="26">
        <f t="shared" si="2"/>
        <v>3.627528478949666E-2</v>
      </c>
      <c r="Q46" s="26">
        <f t="shared" si="3"/>
        <v>1.0690466533942327E-2</v>
      </c>
      <c r="R46" s="26">
        <f t="shared" si="4"/>
        <v>1.656889058855527E-2</v>
      </c>
      <c r="S46" s="26">
        <f t="shared" si="5"/>
        <v>1.7916560676832612E-2</v>
      </c>
      <c r="T46" s="26">
        <f t="shared" si="6"/>
        <v>-4.6067361945512975E-2</v>
      </c>
      <c r="U46" s="26">
        <f t="shared" si="7"/>
        <v>3.1464594493252833E-2</v>
      </c>
      <c r="V46" s="26">
        <f t="shared" si="8"/>
        <v>-1.0229205971642284E-2</v>
      </c>
      <c r="W46" s="26">
        <f t="shared" si="9"/>
        <v>1.856386789604478E-3</v>
      </c>
      <c r="X46" s="26">
        <f t="shared" si="10"/>
        <v>3.2740544738834513E-3</v>
      </c>
      <c r="Z46" s="20" t="s">
        <v>15</v>
      </c>
      <c r="AA46" s="29">
        <v>-0.18309206688045374</v>
      </c>
      <c r="AB46" s="29">
        <v>-0.11009103496365055</v>
      </c>
      <c r="AC46" s="29">
        <v>-0.13186298233829041</v>
      </c>
      <c r="AD46" s="29">
        <v>-0.12263491838502835</v>
      </c>
      <c r="AE46" s="29">
        <v>-0.14835909339055223</v>
      </c>
      <c r="AF46" s="29">
        <v>-0.10687178143798294</v>
      </c>
      <c r="AG46" s="29">
        <v>-1.748031901647324E-3</v>
      </c>
      <c r="AH46" s="29">
        <v>0.28790914691092823</v>
      </c>
      <c r="AI46" s="29">
        <v>-4.2100159444385735E-2</v>
      </c>
      <c r="AJ46" s="30">
        <v>0.99999999999999944</v>
      </c>
      <c r="AK46" s="29">
        <v>-0.49117572432107587</v>
      </c>
    </row>
    <row r="47" spans="2:49" x14ac:dyDescent="0.2">
      <c r="B47" s="8">
        <f>+'Simulation and  VaR'!B60/'Simulation and  VaR'!B59-1</f>
        <v>0.14913846297997768</v>
      </c>
      <c r="C47" s="8">
        <f>+'Simulation and  VaR'!C60/'Simulation and  VaR'!C59-1</f>
        <v>2.0312499999999956E-2</v>
      </c>
      <c r="D47" s="8">
        <f>+'Simulation and  VaR'!D60/'Simulation and  VaR'!D59-1</f>
        <v>1.458885941644561E-2</v>
      </c>
      <c r="E47" s="8">
        <f>+'Simulation and  VaR'!E60/'Simulation and  VaR'!E59-1</f>
        <v>1.5286624203821653E-2</v>
      </c>
      <c r="F47" s="8">
        <f>+'Simulation and  VaR'!F60/'Simulation and  VaR'!F59-1</f>
        <v>7.3619631901837845E-3</v>
      </c>
      <c r="G47" s="8">
        <f>+'Simulation and  VaR'!G60/'Simulation and  VaR'!G59-1</f>
        <v>1.5063731170336103E-2</v>
      </c>
      <c r="H47" s="8">
        <f>+'Simulation and  VaR'!H60/'Simulation and  VaR'!H59-1</f>
        <v>7.0252910477730524E-4</v>
      </c>
      <c r="I47" s="8">
        <f>+'Simulation and  VaR'!I60/'Simulation and  VaR'!I59-1</f>
        <v>-1.88126068898119E-2</v>
      </c>
      <c r="J47" s="8">
        <f>+'Simulation and  VaR'!J60/'Simulation and  VaR'!J59-1</f>
        <v>0</v>
      </c>
      <c r="K47" s="8">
        <f>+'Simulation and  VaR'!K60/'Simulation and  VaR'!K59-1</f>
        <v>8.2682210922335742E-5</v>
      </c>
      <c r="L47" s="8">
        <f>+'Simulation and  VaR'!L60/'Simulation and  VaR'!L59-1</f>
        <v>0</v>
      </c>
      <c r="N47" s="26">
        <f t="shared" si="0"/>
        <v>0.14461753848755263</v>
      </c>
      <c r="O47" s="26">
        <f t="shared" si="1"/>
        <v>1.7795729981423362E-2</v>
      </c>
      <c r="P47" s="26">
        <f t="shared" si="2"/>
        <v>1.2296651092994666E-2</v>
      </c>
      <c r="Q47" s="26">
        <f t="shared" si="3"/>
        <v>1.3073864931312334E-2</v>
      </c>
      <c r="R47" s="26">
        <f t="shared" si="4"/>
        <v>5.1808537787390117E-3</v>
      </c>
      <c r="S47" s="26">
        <f t="shared" si="5"/>
        <v>1.2885729199414494E-2</v>
      </c>
      <c r="T47" s="26">
        <f t="shared" si="6"/>
        <v>-4.6408509402830998E-3</v>
      </c>
      <c r="U47" s="26">
        <f t="shared" si="7"/>
        <v>-3.121437301884928E-2</v>
      </c>
      <c r="V47" s="26">
        <f t="shared" si="8"/>
        <v>-1.0229205971642284E-2</v>
      </c>
      <c r="W47" s="26">
        <f t="shared" si="9"/>
        <v>1.6495974927937503E-3</v>
      </c>
      <c r="X47" s="26">
        <f t="shared" si="10"/>
        <v>3.5242351137557064E-3</v>
      </c>
      <c r="Z47" s="20" t="s">
        <v>16</v>
      </c>
      <c r="AA47" s="29">
        <v>0.16437564484492606</v>
      </c>
      <c r="AB47" s="29">
        <v>0.20290751392026235</v>
      </c>
      <c r="AC47" s="29">
        <v>0.23270101355040532</v>
      </c>
      <c r="AD47" s="29">
        <v>0.22830688856417783</v>
      </c>
      <c r="AE47" s="29">
        <v>0.24541096631280426</v>
      </c>
      <c r="AF47" s="29">
        <v>0.22070606731596784</v>
      </c>
      <c r="AG47" s="29">
        <v>-9.2778922302450811E-3</v>
      </c>
      <c r="AH47" s="29">
        <v>-0.20640721033331003</v>
      </c>
      <c r="AI47" s="29">
        <v>0.20759881495692001</v>
      </c>
      <c r="AJ47" s="29">
        <v>-0.49117572432107587</v>
      </c>
      <c r="AK47" s="30">
        <v>0.99999999999999978</v>
      </c>
      <c r="AM47" s="36" t="s">
        <v>49</v>
      </c>
      <c r="AN47" s="34"/>
      <c r="AO47" s="34"/>
      <c r="AP47" s="34"/>
      <c r="AQ47" s="34"/>
    </row>
    <row r="48" spans="2:49" x14ac:dyDescent="0.2">
      <c r="B48" s="8">
        <f>+'Simulation and  VaR'!B61/'Simulation and  VaR'!B60-1</f>
        <v>0.13873974709051007</v>
      </c>
      <c r="C48" s="8">
        <f>+'Simulation and  VaR'!C61/'Simulation and  VaR'!C60-1</f>
        <v>3.2159264931087339E-2</v>
      </c>
      <c r="D48" s="8">
        <f>+'Simulation and  VaR'!D61/'Simulation and  VaR'!D60-1</f>
        <v>0</v>
      </c>
      <c r="E48" s="8">
        <f>+'Simulation and  VaR'!E61/'Simulation and  VaR'!E60-1</f>
        <v>0</v>
      </c>
      <c r="F48" s="8">
        <f>+'Simulation and  VaR'!F61/'Simulation and  VaR'!F60-1</f>
        <v>1.2180267965897773E-3</v>
      </c>
      <c r="G48" s="8">
        <f>+'Simulation and  VaR'!G61/'Simulation and  VaR'!G60-1</f>
        <v>1.1415525114155667E-3</v>
      </c>
      <c r="H48" s="8">
        <f>+'Simulation and  VaR'!H61/'Simulation and  VaR'!H60-1</f>
        <v>-4.1119245812857419E-2</v>
      </c>
      <c r="I48" s="8">
        <f>+'Simulation and  VaR'!I61/'Simulation and  VaR'!I60-1</f>
        <v>6.8476095617529875E-2</v>
      </c>
      <c r="J48" s="8">
        <f>+'Simulation and  VaR'!J61/'Simulation and  VaR'!J60-1</f>
        <v>0</v>
      </c>
      <c r="K48" s="8">
        <f>+'Simulation and  VaR'!K61/'Simulation and  VaR'!K60-1</f>
        <v>-1.6535075027901414E-4</v>
      </c>
      <c r="L48" s="8">
        <f>+'Simulation and  VaR'!L61/'Simulation and  VaR'!L60-1</f>
        <v>-3.5738815083674602E-5</v>
      </c>
      <c r="N48" s="26">
        <f t="shared" si="0"/>
        <v>0.13421882259808501</v>
      </c>
      <c r="O48" s="26">
        <f t="shared" si="1"/>
        <v>2.9642494912510746E-2</v>
      </c>
      <c r="P48" s="26">
        <f t="shared" si="2"/>
        <v>-2.292208323450944E-3</v>
      </c>
      <c r="Q48" s="26">
        <f t="shared" si="3"/>
        <v>-2.2127592725093184E-3</v>
      </c>
      <c r="R48" s="26">
        <f t="shared" si="4"/>
        <v>-9.63082614854996E-4</v>
      </c>
      <c r="S48" s="26">
        <f t="shared" si="5"/>
        <v>-1.0364494595060426E-3</v>
      </c>
      <c r="T48" s="26">
        <f t="shared" si="6"/>
        <v>-4.6462625857917828E-2</v>
      </c>
      <c r="U48" s="26">
        <f t="shared" si="7"/>
        <v>5.6074329488492496E-2</v>
      </c>
      <c r="V48" s="26">
        <f t="shared" si="8"/>
        <v>-1.0229205971642284E-2</v>
      </c>
      <c r="W48" s="26">
        <f t="shared" si="9"/>
        <v>1.4015645315924004E-3</v>
      </c>
      <c r="X48" s="26">
        <f t="shared" si="10"/>
        <v>3.4884962986720318E-3</v>
      </c>
    </row>
    <row r="49" spans="2:49" x14ac:dyDescent="0.2">
      <c r="B49" s="8">
        <f>+'Simulation and  VaR'!B62/'Simulation and  VaR'!B61-1</f>
        <v>-8.6264489501695518E-2</v>
      </c>
      <c r="C49" s="8">
        <f>+'Simulation and  VaR'!C62/'Simulation and  VaR'!C61-1</f>
        <v>-2.2255192878338326E-2</v>
      </c>
      <c r="D49" s="8">
        <f>+'Simulation and  VaR'!D62/'Simulation and  VaR'!D61-1</f>
        <v>-6.5359477124182774E-3</v>
      </c>
      <c r="E49" s="8">
        <f>+'Simulation and  VaR'!E62/'Simulation and  VaR'!E61-1</f>
        <v>-3.7641154328733606E-3</v>
      </c>
      <c r="F49" s="8">
        <f>+'Simulation and  VaR'!F62/'Simulation and  VaR'!F61-1</f>
        <v>-1.2165450121656152E-3</v>
      </c>
      <c r="G49" s="8">
        <f>+'Simulation and  VaR'!G62/'Simulation and  VaR'!G61-1</f>
        <v>0</v>
      </c>
      <c r="H49" s="8">
        <f>+'Simulation and  VaR'!H62/'Simulation and  VaR'!H61-1</f>
        <v>3.58749084823764E-2</v>
      </c>
      <c r="I49" s="8">
        <f>+'Simulation and  VaR'!I62/'Simulation and  VaR'!I61-1</f>
        <v>-1.1652295502213583E-3</v>
      </c>
      <c r="J49" s="8">
        <f>+'Simulation and  VaR'!J62/'Simulation and  VaR'!J61-1</f>
        <v>0</v>
      </c>
      <c r="K49" s="8">
        <f>+'Simulation and  VaR'!K62/'Simulation and  VaR'!K61-1</f>
        <v>1.2403357175339025E-4</v>
      </c>
      <c r="L49" s="8">
        <f>+'Simulation and  VaR'!L62/'Simulation and  VaR'!L61-1</f>
        <v>-4.7307750370952917E-3</v>
      </c>
      <c r="N49" s="26">
        <f t="shared" si="0"/>
        <v>-9.0785413994120573E-2</v>
      </c>
      <c r="O49" s="26">
        <f t="shared" si="1"/>
        <v>-2.4771962896914919E-2</v>
      </c>
      <c r="P49" s="26">
        <f t="shared" si="2"/>
        <v>-8.828156035869221E-3</v>
      </c>
      <c r="Q49" s="26">
        <f t="shared" si="3"/>
        <v>-5.9768747053826794E-3</v>
      </c>
      <c r="R49" s="26">
        <f t="shared" si="4"/>
        <v>-3.3976544236103885E-3</v>
      </c>
      <c r="S49" s="26">
        <f t="shared" si="5"/>
        <v>-2.1780019709216093E-3</v>
      </c>
      <c r="T49" s="26">
        <f t="shared" si="6"/>
        <v>3.0531528437315995E-2</v>
      </c>
      <c r="U49" s="26">
        <f t="shared" si="7"/>
        <v>-1.3566995679258738E-2</v>
      </c>
      <c r="V49" s="26">
        <f t="shared" si="8"/>
        <v>-1.0229205971642284E-2</v>
      </c>
      <c r="W49" s="26">
        <f t="shared" si="9"/>
        <v>1.6909488536248048E-3</v>
      </c>
      <c r="X49" s="26">
        <f t="shared" si="10"/>
        <v>-1.2065399233395853E-3</v>
      </c>
      <c r="AM49" s="33">
        <f t="array" ref="AM49:AM59">MMULT(AA5:AK15,AN5:AN15)</f>
        <v>1.3216699700032343E-3</v>
      </c>
      <c r="AO49" s="33">
        <f t="array" ref="AO49:AO59">AM5*AN5:AN15</f>
        <v>1.3216699700032363E-3</v>
      </c>
    </row>
    <row r="50" spans="2:49" x14ac:dyDescent="0.2">
      <c r="B50" s="8">
        <f>+'Simulation and  VaR'!B63/'Simulation and  VaR'!B62-1</f>
        <v>-4.9168457814041777E-2</v>
      </c>
      <c r="C50" s="8">
        <f>+'Simulation and  VaR'!C63/'Simulation and  VaR'!C62-1</f>
        <v>-6.6767830045523557E-2</v>
      </c>
      <c r="D50" s="8">
        <f>+'Simulation and  VaR'!D63/'Simulation and  VaR'!D62-1</f>
        <v>-1.9736842105263053E-2</v>
      </c>
      <c r="E50" s="8">
        <f>+'Simulation and  VaR'!E63/'Simulation and  VaR'!E62-1</f>
        <v>-1.5113350125944613E-2</v>
      </c>
      <c r="F50" s="8">
        <f>+'Simulation and  VaR'!F63/'Simulation and  VaR'!F62-1</f>
        <v>-1.948842874543244E-2</v>
      </c>
      <c r="G50" s="8">
        <f>+'Simulation and  VaR'!G63/'Simulation and  VaR'!G62-1</f>
        <v>-1.9384264538198415E-2</v>
      </c>
      <c r="H50" s="8">
        <f>+'Simulation and  VaR'!H63/'Simulation and  VaR'!H62-1</f>
        <v>-6.9668820678513432E-3</v>
      </c>
      <c r="I50" s="8">
        <f>+'Simulation and  VaR'!I63/'Simulation and  VaR'!I62-1</f>
        <v>-4.6663555762950226E-3</v>
      </c>
      <c r="J50" s="8">
        <f>+'Simulation and  VaR'!J63/'Simulation and  VaR'!J62-1</f>
        <v>0</v>
      </c>
      <c r="K50" s="8">
        <f>+'Simulation and  VaR'!K63/'Simulation and  VaR'!K62-1</f>
        <v>2.1000413393964523E-2</v>
      </c>
      <c r="L50" s="8">
        <f>+'Simulation and  VaR'!L63/'Simulation and  VaR'!L62-1</f>
        <v>-4.9689303825569797E-2</v>
      </c>
      <c r="N50" s="26">
        <f t="shared" si="0"/>
        <v>-5.3689382306466832E-2</v>
      </c>
      <c r="O50" s="26">
        <f t="shared" si="1"/>
        <v>-6.9284600064100157E-2</v>
      </c>
      <c r="P50" s="26">
        <f t="shared" si="2"/>
        <v>-2.2029050428713996E-2</v>
      </c>
      <c r="Q50" s="26">
        <f t="shared" si="3"/>
        <v>-1.7326109398453932E-2</v>
      </c>
      <c r="R50" s="26">
        <f t="shared" si="4"/>
        <v>-2.1669538156877215E-2</v>
      </c>
      <c r="S50" s="26">
        <f t="shared" si="5"/>
        <v>-2.1562266509120024E-2</v>
      </c>
      <c r="T50" s="26">
        <f t="shared" si="6"/>
        <v>-1.2310262112911748E-2</v>
      </c>
      <c r="U50" s="26">
        <f t="shared" si="7"/>
        <v>-1.7068121705332402E-2</v>
      </c>
      <c r="V50" s="26">
        <f t="shared" si="8"/>
        <v>-1.0229205971642284E-2</v>
      </c>
      <c r="W50" s="26">
        <f t="shared" si="9"/>
        <v>2.2567328675835937E-2</v>
      </c>
      <c r="X50" s="26">
        <f t="shared" si="10"/>
        <v>-4.616506871181409E-2</v>
      </c>
      <c r="AM50" s="33">
        <v>1.2203036959791897E-3</v>
      </c>
      <c r="AO50" s="33">
        <v>1.2203036959791615E-3</v>
      </c>
    </row>
    <row r="51" spans="2:49" x14ac:dyDescent="0.2">
      <c r="B51" s="8">
        <f>+'Simulation and  VaR'!B64/'Simulation and  VaR'!B63-1</f>
        <v>-4.9496835935569194E-2</v>
      </c>
      <c r="C51" s="8">
        <f>+'Simulation and  VaR'!C64/'Simulation and  VaR'!C63-1</f>
        <v>-3.4146341463414664E-2</v>
      </c>
      <c r="D51" s="8">
        <f>+'Simulation and  VaR'!D64/'Simulation and  VaR'!D63-1</f>
        <v>-6.7114093959732557E-3</v>
      </c>
      <c r="E51" s="8">
        <f>+'Simulation and  VaR'!E64/'Simulation and  VaR'!E63-1</f>
        <v>-1.5345268542199419E-2</v>
      </c>
      <c r="F51" s="8">
        <f>+'Simulation and  VaR'!F64/'Simulation and  VaR'!F63-1</f>
        <v>-8.6956521739129933E-3</v>
      </c>
      <c r="G51" s="8">
        <f>+'Simulation and  VaR'!G64/'Simulation and  VaR'!G63-1</f>
        <v>-1.2790697674418539E-2</v>
      </c>
      <c r="H51" s="8">
        <f>+'Simulation and  VaR'!H64/'Simulation and  VaR'!H63-1</f>
        <v>-4.3213014743263889E-2</v>
      </c>
      <c r="I51" s="8">
        <f>+'Simulation and  VaR'!I64/'Simulation and  VaR'!I63-1</f>
        <v>-3.5161744022502717E-3</v>
      </c>
      <c r="J51" s="8">
        <f>+'Simulation and  VaR'!J64/'Simulation and  VaR'!J63-1</f>
        <v>0</v>
      </c>
      <c r="K51" s="8">
        <f>+'Simulation and  VaR'!K64/'Simulation and  VaR'!K63-1</f>
        <v>8.5027127702648198E-3</v>
      </c>
      <c r="L51" s="8">
        <f>+'Simulation and  VaR'!L64/'Simulation and  VaR'!L63-1</f>
        <v>-2.0494725139036163E-2</v>
      </c>
      <c r="N51" s="26">
        <f t="shared" si="0"/>
        <v>-5.4017760427994249E-2</v>
      </c>
      <c r="O51" s="26">
        <f t="shared" si="1"/>
        <v>-3.6663111481991258E-2</v>
      </c>
      <c r="P51" s="26">
        <f t="shared" si="2"/>
        <v>-9.0036177194241993E-3</v>
      </c>
      <c r="Q51" s="26">
        <f t="shared" si="3"/>
        <v>-1.7558027814708738E-2</v>
      </c>
      <c r="R51" s="26">
        <f t="shared" si="4"/>
        <v>-1.0876761585357766E-2</v>
      </c>
      <c r="S51" s="26">
        <f t="shared" si="5"/>
        <v>-1.4968699645340148E-2</v>
      </c>
      <c r="T51" s="26">
        <f t="shared" si="6"/>
        <v>-4.8556394788324297E-2</v>
      </c>
      <c r="U51" s="26">
        <f t="shared" si="7"/>
        <v>-1.5917940531287651E-2</v>
      </c>
      <c r="V51" s="26">
        <f t="shared" si="8"/>
        <v>-1.0229205971642284E-2</v>
      </c>
      <c r="W51" s="26">
        <f t="shared" si="9"/>
        <v>1.0069628052136233E-2</v>
      </c>
      <c r="X51" s="26">
        <f t="shared" si="10"/>
        <v>-1.6970490025280456E-2</v>
      </c>
      <c r="AM51" s="33">
        <v>8.0498174538685648E-4</v>
      </c>
      <c r="AO51" s="33">
        <v>8.0498174538688521E-4</v>
      </c>
    </row>
    <row r="52" spans="2:49" x14ac:dyDescent="0.2">
      <c r="B52" s="8">
        <f>+'Simulation and  VaR'!B65/'Simulation and  VaR'!B64-1</f>
        <v>-5.4273200641998365E-2</v>
      </c>
      <c r="C52" s="8">
        <f>+'Simulation and  VaR'!C65/'Simulation and  VaR'!C64-1</f>
        <v>-2.0202020202020221E-2</v>
      </c>
      <c r="D52" s="8">
        <f>+'Simulation and  VaR'!D65/'Simulation and  VaR'!D64-1</f>
        <v>-1.7567567567567499E-2</v>
      </c>
      <c r="E52" s="8">
        <f>+'Simulation and  VaR'!E65/'Simulation and  VaR'!E64-1</f>
        <v>-1.6883116883116944E-2</v>
      </c>
      <c r="F52" s="8">
        <f>+'Simulation and  VaR'!F65/'Simulation and  VaR'!F64-1</f>
        <v>-1.1278195488721776E-2</v>
      </c>
      <c r="G52" s="8">
        <f>+'Simulation and  VaR'!G65/'Simulation and  VaR'!G64-1</f>
        <v>-1.1778563015312105E-2</v>
      </c>
      <c r="H52" s="8">
        <f>+'Simulation and  VaR'!H65/'Simulation and  VaR'!H64-1</f>
        <v>-1.0626992561105775E-3</v>
      </c>
      <c r="I52" s="8">
        <f>+'Simulation and  VaR'!I65/'Simulation and  VaR'!I64-1</f>
        <v>2.1171489061397208E-2</v>
      </c>
      <c r="J52" s="8">
        <f>+'Simulation and  VaR'!J65/'Simulation and  VaR'!J64-1</f>
        <v>0</v>
      </c>
      <c r="K52" s="8">
        <f>+'Simulation and  VaR'!K65/'Simulation and  VaR'!K64-1</f>
        <v>1.1241368235104243E-3</v>
      </c>
      <c r="L52" s="8">
        <f>+'Simulation and  VaR'!L65/'Simulation and  VaR'!L64-1</f>
        <v>-7.1008441238018527E-3</v>
      </c>
      <c r="N52" s="26">
        <f t="shared" si="0"/>
        <v>-5.8794125134423419E-2</v>
      </c>
      <c r="O52" s="26">
        <f t="shared" si="1"/>
        <v>-2.2718790220596814E-2</v>
      </c>
      <c r="P52" s="26">
        <f t="shared" si="2"/>
        <v>-1.9859775891018443E-2</v>
      </c>
      <c r="Q52" s="26">
        <f t="shared" si="3"/>
        <v>-1.9095876155626263E-2</v>
      </c>
      <c r="R52" s="26">
        <f t="shared" si="4"/>
        <v>-1.3459304900166549E-2</v>
      </c>
      <c r="S52" s="26">
        <f t="shared" si="5"/>
        <v>-1.3956564986233714E-2</v>
      </c>
      <c r="T52" s="26">
        <f t="shared" si="6"/>
        <v>-6.4060793011709825E-3</v>
      </c>
      <c r="U52" s="26">
        <f t="shared" si="7"/>
        <v>8.7697229323598289E-3</v>
      </c>
      <c r="V52" s="26">
        <f t="shared" si="8"/>
        <v>-1.0229205971642284E-2</v>
      </c>
      <c r="W52" s="26">
        <f t="shared" si="9"/>
        <v>2.6910521053818389E-3</v>
      </c>
      <c r="X52" s="26">
        <f t="shared" si="10"/>
        <v>-3.5766090100461463E-3</v>
      </c>
      <c r="AM52" s="33">
        <v>6.5812877740167918E-4</v>
      </c>
      <c r="AO52" s="33">
        <v>6.5812877740169435E-4</v>
      </c>
    </row>
    <row r="53" spans="2:49" x14ac:dyDescent="0.2">
      <c r="B53" s="8">
        <f>+'Simulation and  VaR'!B66/'Simulation and  VaR'!B65-1</f>
        <v>-5.0156639989847207E-2</v>
      </c>
      <c r="C53" s="8">
        <f>+'Simulation and  VaR'!C66/'Simulation and  VaR'!C65-1</f>
        <v>2.0618556701030855E-2</v>
      </c>
      <c r="D53" s="8">
        <f>+'Simulation and  VaR'!D66/'Simulation and  VaR'!D65-1</f>
        <v>-1.3755158184318717E-3</v>
      </c>
      <c r="E53" s="8">
        <f>+'Simulation and  VaR'!E66/'Simulation and  VaR'!E65-1</f>
        <v>1.3210039630120463E-3</v>
      </c>
      <c r="F53" s="8">
        <f>+'Simulation and  VaR'!F66/'Simulation and  VaR'!F65-1</f>
        <v>-8.8719898605830183E-3</v>
      </c>
      <c r="G53" s="8">
        <f>+'Simulation and  VaR'!G66/'Simulation and  VaR'!G65-1</f>
        <v>0</v>
      </c>
      <c r="H53" s="8">
        <f>+'Simulation and  VaR'!H66/'Simulation and  VaR'!H65-1</f>
        <v>8.4680851063829943E-2</v>
      </c>
      <c r="I53" s="8">
        <f>+'Simulation and  VaR'!I66/'Simulation and  VaR'!I65-1</f>
        <v>3.4554250172771361E-3</v>
      </c>
      <c r="J53" s="8">
        <f>+'Simulation and  VaR'!J66/'Simulation and  VaR'!J65-1</f>
        <v>0</v>
      </c>
      <c r="K53" s="8">
        <f>+'Simulation and  VaR'!K66/'Simulation and  VaR'!K65-1</f>
        <v>6.817452678858027E-3</v>
      </c>
      <c r="L53" s="8">
        <f>+'Simulation and  VaR'!L66/'Simulation and  VaR'!L65-1</f>
        <v>-2.6592042096881929E-2</v>
      </c>
      <c r="N53" s="26">
        <f t="shared" si="0"/>
        <v>-5.4677564482272262E-2</v>
      </c>
      <c r="O53" s="26">
        <f t="shared" si="1"/>
        <v>1.8101786682454261E-2</v>
      </c>
      <c r="P53" s="26">
        <f t="shared" si="2"/>
        <v>-3.6677241418828156E-3</v>
      </c>
      <c r="Q53" s="26">
        <f t="shared" si="3"/>
        <v>-8.9175530949727215E-4</v>
      </c>
      <c r="R53" s="26">
        <f t="shared" si="4"/>
        <v>-1.1053099272027791E-2</v>
      </c>
      <c r="S53" s="26">
        <f t="shared" si="5"/>
        <v>-2.1780019709216093E-3</v>
      </c>
      <c r="T53" s="26">
        <f t="shared" si="6"/>
        <v>7.9337471018769534E-2</v>
      </c>
      <c r="U53" s="26">
        <f t="shared" si="7"/>
        <v>-8.9463411117602434E-3</v>
      </c>
      <c r="V53" s="26">
        <f t="shared" si="8"/>
        <v>-1.0229205971642284E-2</v>
      </c>
      <c r="W53" s="26">
        <f t="shared" si="9"/>
        <v>8.3843679607294407E-3</v>
      </c>
      <c r="X53" s="26">
        <f t="shared" si="10"/>
        <v>-2.3067806983126223E-2</v>
      </c>
      <c r="AM53" s="33">
        <v>5.6015198524260261E-4</v>
      </c>
      <c r="AO53" s="33">
        <v>5.6015198524260121E-4</v>
      </c>
    </row>
    <row r="54" spans="2:49" x14ac:dyDescent="0.2">
      <c r="B54" s="8">
        <f>+'Simulation and  VaR'!B67/'Simulation and  VaR'!B66-1</f>
        <v>-0.15807624205935378</v>
      </c>
      <c r="C54" s="8">
        <f>+'Simulation and  VaR'!C67/'Simulation and  VaR'!C66-1</f>
        <v>3.3670033670034627E-3</v>
      </c>
      <c r="D54" s="8">
        <f>+'Simulation and  VaR'!D67/'Simulation and  VaR'!D66-1</f>
        <v>-8.2644628099173278E-3</v>
      </c>
      <c r="E54" s="8">
        <f>+'Simulation and  VaR'!E67/'Simulation and  VaR'!E66-1</f>
        <v>-6.5963060686017316E-3</v>
      </c>
      <c r="F54" s="8">
        <f>+'Simulation and  VaR'!F67/'Simulation and  VaR'!F66-1</f>
        <v>-1.4066496163682829E-2</v>
      </c>
      <c r="G54" s="8">
        <f>+'Simulation and  VaR'!G67/'Simulation and  VaR'!G66-1</f>
        <v>-1.7878426698450522E-2</v>
      </c>
      <c r="H54" s="8">
        <f>+'Simulation and  VaR'!H67/'Simulation and  VaR'!H66-1</f>
        <v>1.9517457826598639E-2</v>
      </c>
      <c r="I54" s="8">
        <f>+'Simulation and  VaR'!I67/'Simulation and  VaR'!I66-1</f>
        <v>6.0835629017447435E-2</v>
      </c>
      <c r="J54" s="8">
        <f>+'Simulation and  VaR'!J67/'Simulation and  VaR'!J66-1</f>
        <v>0</v>
      </c>
      <c r="K54" s="8">
        <f>+'Simulation and  VaR'!K67/'Simulation and  VaR'!K66-1</f>
        <v>3.313948856846971E-2</v>
      </c>
      <c r="L54" s="8">
        <f>+'Simulation and  VaR'!L67/'Simulation and  VaR'!L66-1</f>
        <v>-2.953013321380582E-2</v>
      </c>
      <c r="N54" s="26">
        <f t="shared" si="0"/>
        <v>-0.16259716655177883</v>
      </c>
      <c r="O54" s="26">
        <f t="shared" si="1"/>
        <v>8.5023334842686867E-4</v>
      </c>
      <c r="P54" s="26">
        <f t="shared" si="2"/>
        <v>-1.0556671133368271E-2</v>
      </c>
      <c r="Q54" s="26">
        <f t="shared" si="3"/>
        <v>-8.8090653411110505E-3</v>
      </c>
      <c r="R54" s="26">
        <f t="shared" si="4"/>
        <v>-1.6247605575127604E-2</v>
      </c>
      <c r="S54" s="26">
        <f t="shared" si="5"/>
        <v>-2.0056428669372132E-2</v>
      </c>
      <c r="T54" s="26">
        <f t="shared" si="6"/>
        <v>1.4174077781538234E-2</v>
      </c>
      <c r="U54" s="26">
        <f t="shared" si="7"/>
        <v>4.8433862888410055E-2</v>
      </c>
      <c r="V54" s="26">
        <f t="shared" si="8"/>
        <v>-1.0229205971642284E-2</v>
      </c>
      <c r="W54" s="26">
        <f t="shared" si="9"/>
        <v>3.4706403850341128E-2</v>
      </c>
      <c r="X54" s="26">
        <f t="shared" si="10"/>
        <v>-2.6005898100050114E-2</v>
      </c>
      <c r="AM54" s="33">
        <v>4.8822488317612191E-4</v>
      </c>
      <c r="AO54" s="33">
        <v>4.8822488317611156E-4</v>
      </c>
    </row>
    <row r="55" spans="2:49" x14ac:dyDescent="0.2">
      <c r="B55" s="8">
        <f>+'Simulation and  VaR'!B68/'Simulation and  VaR'!B67-1</f>
        <v>-5.3533840142821476E-2</v>
      </c>
      <c r="C55" s="8">
        <f>+'Simulation and  VaR'!C68/'Simulation and  VaR'!C67-1</f>
        <v>2.1812080536912637E-2</v>
      </c>
      <c r="D55" s="8">
        <f>+'Simulation and  VaR'!D68/'Simulation and  VaR'!D67-1</f>
        <v>1.1111111111111072E-2</v>
      </c>
      <c r="E55" s="8">
        <f>+'Simulation and  VaR'!E68/'Simulation and  VaR'!E67-1</f>
        <v>0</v>
      </c>
      <c r="F55" s="8">
        <f>+'Simulation and  VaR'!F68/'Simulation and  VaR'!F67-1</f>
        <v>0</v>
      </c>
      <c r="G55" s="8">
        <f>+'Simulation and  VaR'!G68/'Simulation and  VaR'!G67-1</f>
        <v>0</v>
      </c>
      <c r="H55" s="8">
        <f>+'Simulation and  VaR'!H68/'Simulation and  VaR'!H67-1</f>
        <v>2.5300625300625157E-2</v>
      </c>
      <c r="I55" s="8">
        <f>+'Simulation and  VaR'!I68/'Simulation and  VaR'!I67-1</f>
        <v>5.2802423717809965E-2</v>
      </c>
      <c r="J55" s="8">
        <f>+'Simulation and  VaR'!J68/'Simulation and  VaR'!J67-1</f>
        <v>0</v>
      </c>
      <c r="K55" s="8">
        <f>+'Simulation and  VaR'!K68/'Simulation and  VaR'!K67-1</f>
        <v>4.703523787493058E-3</v>
      </c>
      <c r="L55" s="8">
        <f>+'Simulation and  VaR'!L68/'Simulation and  VaR'!L67-1</f>
        <v>-2.3054383874810958E-2</v>
      </c>
      <c r="N55" s="26">
        <f t="shared" si="0"/>
        <v>-5.8054764635246531E-2</v>
      </c>
      <c r="O55" s="26">
        <f t="shared" si="1"/>
        <v>1.9295310518336044E-2</v>
      </c>
      <c r="P55" s="26">
        <f t="shared" si="2"/>
        <v>8.8189027876601281E-3</v>
      </c>
      <c r="Q55" s="26">
        <f t="shared" si="3"/>
        <v>-2.2127592725093184E-3</v>
      </c>
      <c r="R55" s="26">
        <f t="shared" si="4"/>
        <v>-2.1811094114447733E-3</v>
      </c>
      <c r="S55" s="26">
        <f t="shared" si="5"/>
        <v>-2.1780019709216093E-3</v>
      </c>
      <c r="T55" s="26">
        <f t="shared" si="6"/>
        <v>1.9957245255564752E-2</v>
      </c>
      <c r="U55" s="26">
        <f t="shared" si="7"/>
        <v>4.0400657588772586E-2</v>
      </c>
      <c r="V55" s="26">
        <f t="shared" si="8"/>
        <v>-1.0229205971642284E-2</v>
      </c>
      <c r="W55" s="26">
        <f t="shared" si="9"/>
        <v>6.2704390693644725E-3</v>
      </c>
      <c r="X55" s="26">
        <f t="shared" si="10"/>
        <v>-1.9530148761055251E-2</v>
      </c>
      <c r="AM55" s="33">
        <v>-5.6967698176218649E-4</v>
      </c>
      <c r="AO55" s="33">
        <v>-5.6967698176218584E-4</v>
      </c>
    </row>
    <row r="56" spans="2:49" x14ac:dyDescent="0.2">
      <c r="B56" s="8">
        <f>+'Simulation and  VaR'!B69/'Simulation and  VaR'!B68-1</f>
        <v>0.1666918573171654</v>
      </c>
      <c r="C56" s="8">
        <f>+'Simulation and  VaR'!C69/'Simulation and  VaR'!C68-1</f>
        <v>-1.6420361247947435E-3</v>
      </c>
      <c r="D56" s="8">
        <f>+'Simulation and  VaR'!D69/'Simulation and  VaR'!D68-1</f>
        <v>-4.1208791208789952E-3</v>
      </c>
      <c r="E56" s="8">
        <f>+'Simulation and  VaR'!E69/'Simulation and  VaR'!E68-1</f>
        <v>1.3280212483399723E-3</v>
      </c>
      <c r="F56" s="8">
        <f>+'Simulation and  VaR'!F69/'Simulation and  VaR'!F68-1</f>
        <v>-5.188067444876765E-3</v>
      </c>
      <c r="G56" s="8">
        <f>+'Simulation and  VaR'!G69/'Simulation and  VaR'!G68-1</f>
        <v>1.2135922330096527E-3</v>
      </c>
      <c r="H56" s="8">
        <f>+'Simulation and  VaR'!H69/'Simulation and  VaR'!H68-1</f>
        <v>5.9110527303434246E-3</v>
      </c>
      <c r="I56" s="8">
        <f>+'Simulation and  VaR'!I69/'Simulation and  VaR'!I68-1</f>
        <v>-4.9331963001028045E-3</v>
      </c>
      <c r="J56" s="8">
        <f>+'Simulation and  VaR'!J69/'Simulation and  VaR'!J68-1</f>
        <v>0</v>
      </c>
      <c r="K56" s="8">
        <f>+'Simulation and  VaR'!K69/'Simulation and  VaR'!K68-1</f>
        <v>3.9907904834997066E-3</v>
      </c>
      <c r="L56" s="8">
        <f>+'Simulation and  VaR'!L69/'Simulation and  VaR'!L68-1</f>
        <v>3.032200652582473E-3</v>
      </c>
      <c r="N56" s="26">
        <f t="shared" si="0"/>
        <v>0.16217093282474035</v>
      </c>
      <c r="O56" s="26">
        <f t="shared" si="1"/>
        <v>-4.1588061433713375E-3</v>
      </c>
      <c r="P56" s="26">
        <f t="shared" si="2"/>
        <v>-6.4130874443299388E-3</v>
      </c>
      <c r="Q56" s="26">
        <f t="shared" si="3"/>
        <v>-8.8473802416934614E-4</v>
      </c>
      <c r="R56" s="26">
        <f t="shared" si="4"/>
        <v>-7.3691768563215378E-3</v>
      </c>
      <c r="S56" s="26">
        <f t="shared" si="5"/>
        <v>-9.6440973791195664E-4</v>
      </c>
      <c r="T56" s="26">
        <f t="shared" si="6"/>
        <v>5.6767268528301953E-4</v>
      </c>
      <c r="U56" s="26">
        <f t="shared" si="7"/>
        <v>-1.7334962429140184E-2</v>
      </c>
      <c r="V56" s="26">
        <f t="shared" si="8"/>
        <v>-1.0229205971642284E-2</v>
      </c>
      <c r="W56" s="26">
        <f t="shared" si="9"/>
        <v>5.5577057653711211E-3</v>
      </c>
      <c r="X56" s="26">
        <f t="shared" si="10"/>
        <v>6.5564357663381798E-3</v>
      </c>
      <c r="AM56" s="33">
        <v>2.6986337065750404E-3</v>
      </c>
      <c r="AO56" s="33">
        <v>2.6986337065750404E-3</v>
      </c>
    </row>
    <row r="57" spans="2:49" x14ac:dyDescent="0.2">
      <c r="B57" s="8">
        <f>+'Simulation and  VaR'!B70/'Simulation and  VaR'!B69-1</f>
        <v>-5.3985503434353932E-3</v>
      </c>
      <c r="C57" s="8">
        <f>+'Simulation and  VaR'!C70/'Simulation and  VaR'!C69-1</f>
        <v>1.9736842105263275E-2</v>
      </c>
      <c r="D57" s="8">
        <f>+'Simulation and  VaR'!D70/'Simulation and  VaR'!D69-1</f>
        <v>8.2758620689653561E-3</v>
      </c>
      <c r="E57" s="8">
        <f>+'Simulation and  VaR'!E70/'Simulation and  VaR'!E69-1</f>
        <v>5.3050397877985045E-3</v>
      </c>
      <c r="F57" s="8">
        <f>+'Simulation and  VaR'!F70/'Simulation and  VaR'!F69-1</f>
        <v>1.0430247718383301E-2</v>
      </c>
      <c r="G57" s="8">
        <f>+'Simulation and  VaR'!G70/'Simulation and  VaR'!G69-1</f>
        <v>0</v>
      </c>
      <c r="H57" s="8">
        <f>+'Simulation and  VaR'!H70/'Simulation and  VaR'!H69-1</f>
        <v>4.3839194105026458E-3</v>
      </c>
      <c r="I57" s="8">
        <f>+'Simulation and  VaR'!I70/'Simulation and  VaR'!I69-1</f>
        <v>1.8591200165255062E-2</v>
      </c>
      <c r="J57" s="8">
        <f>+'Simulation and  VaR'!J70/'Simulation and  VaR'!J69-1</f>
        <v>0</v>
      </c>
      <c r="K57" s="8">
        <f>+'Simulation and  VaR'!K70/'Simulation and  VaR'!K69-1</f>
        <v>-2.0256841461548936E-3</v>
      </c>
      <c r="L57" s="8">
        <f>+'Simulation and  VaR'!L70/'Simulation and  VaR'!L69-1</f>
        <v>1.84010777774124E-3</v>
      </c>
      <c r="N57" s="26">
        <f t="shared" si="0"/>
        <v>-9.9194748358604461E-3</v>
      </c>
      <c r="O57" s="26">
        <f t="shared" si="1"/>
        <v>1.7220072086686682E-2</v>
      </c>
      <c r="P57" s="26">
        <f t="shared" si="2"/>
        <v>5.9836537455144126E-3</v>
      </c>
      <c r="Q57" s="26">
        <f t="shared" si="3"/>
        <v>3.0922805152891861E-3</v>
      </c>
      <c r="R57" s="26">
        <f t="shared" si="4"/>
        <v>8.249138306938528E-3</v>
      </c>
      <c r="S57" s="26">
        <f t="shared" si="5"/>
        <v>-2.1780019709216093E-3</v>
      </c>
      <c r="T57" s="26">
        <f t="shared" si="6"/>
        <v>-9.5946063455775929E-4</v>
      </c>
      <c r="U57" s="26">
        <f t="shared" si="7"/>
        <v>6.1894340362176822E-3</v>
      </c>
      <c r="V57" s="26">
        <f t="shared" si="8"/>
        <v>-1.0229205971642284E-2</v>
      </c>
      <c r="W57" s="26">
        <f t="shared" si="9"/>
        <v>-4.5876886428347901E-4</v>
      </c>
      <c r="X57" s="26">
        <f t="shared" si="10"/>
        <v>5.3643428914969468E-3</v>
      </c>
      <c r="AM57" s="33">
        <v>1.1020052528044616E-2</v>
      </c>
      <c r="AO57" s="33">
        <v>1.1020052528044614E-2</v>
      </c>
    </row>
    <row r="58" spans="2:49" x14ac:dyDescent="0.2">
      <c r="B58" s="8">
        <f>+'Simulation and  VaR'!B71/'Simulation and  VaR'!B70-1</f>
        <v>-5.4272988969504832E-3</v>
      </c>
      <c r="C58" s="8">
        <f>+'Simulation and  VaR'!C71/'Simulation and  VaR'!C70-1</f>
        <v>-9.6774193548387899E-3</v>
      </c>
      <c r="D58" s="8">
        <f>+'Simulation and  VaR'!D71/'Simulation and  VaR'!D70-1</f>
        <v>0</v>
      </c>
      <c r="E58" s="8">
        <f>+'Simulation and  VaR'!E71/'Simulation and  VaR'!E70-1</f>
        <v>-1.3192612137203907E-3</v>
      </c>
      <c r="F58" s="8">
        <f>+'Simulation and  VaR'!F71/'Simulation and  VaR'!F70-1</f>
        <v>1.290322580645098E-3</v>
      </c>
      <c r="G58" s="8">
        <f>+'Simulation and  VaR'!G71/'Simulation and  VaR'!G70-1</f>
        <v>-1.2121212121212199E-3</v>
      </c>
      <c r="H58" s="8">
        <f>+'Simulation and  VaR'!H71/'Simulation and  VaR'!H70-1</f>
        <v>1.5601783060921193E-2</v>
      </c>
      <c r="I58" s="8">
        <f>+'Simulation and  VaR'!I71/'Simulation and  VaR'!I70-1</f>
        <v>0.2048266071790712</v>
      </c>
      <c r="J58" s="8">
        <f>+'Simulation and  VaR'!J71/'Simulation and  VaR'!J70-1</f>
        <v>0</v>
      </c>
      <c r="K58" s="8">
        <f>+'Simulation and  VaR'!K71/'Simulation and  VaR'!K70-1</f>
        <v>7.6596070621581802E-4</v>
      </c>
      <c r="L58" s="8">
        <f>+'Simulation and  VaR'!L71/'Simulation and  VaR'!L70-1</f>
        <v>-6.2317557151758685E-4</v>
      </c>
      <c r="N58" s="26">
        <f t="shared" si="0"/>
        <v>-9.9482233893755361E-3</v>
      </c>
      <c r="O58" s="26">
        <f t="shared" si="1"/>
        <v>-1.2194189373415383E-2</v>
      </c>
      <c r="P58" s="26">
        <f t="shared" si="2"/>
        <v>-2.292208323450944E-3</v>
      </c>
      <c r="Q58" s="26">
        <f t="shared" si="3"/>
        <v>-3.5320204862297091E-3</v>
      </c>
      <c r="R58" s="26">
        <f t="shared" si="4"/>
        <v>-8.9078683079967533E-4</v>
      </c>
      <c r="S58" s="26">
        <f t="shared" si="5"/>
        <v>-3.3901231830428293E-3</v>
      </c>
      <c r="T58" s="26">
        <f t="shared" si="6"/>
        <v>1.0258403015860788E-2</v>
      </c>
      <c r="U58" s="26">
        <f t="shared" si="7"/>
        <v>0.19242484105003382</v>
      </c>
      <c r="V58" s="26">
        <f t="shared" si="8"/>
        <v>-1.0229205971642284E-2</v>
      </c>
      <c r="W58" s="26">
        <f t="shared" si="9"/>
        <v>2.3328759880872326E-3</v>
      </c>
      <c r="X58" s="26">
        <f t="shared" si="10"/>
        <v>2.9010595422381195E-3</v>
      </c>
      <c r="AM58" s="33">
        <v>-8.3926505671805002E-5</v>
      </c>
      <c r="AO58" s="33">
        <v>-8.3926505671804786E-5</v>
      </c>
    </row>
    <row r="59" spans="2:49" x14ac:dyDescent="0.2">
      <c r="B59" s="8">
        <f>+'Simulation and  VaR'!B72/'Simulation and  VaR'!B71-1</f>
        <v>6.0056716714089298E-2</v>
      </c>
      <c r="C59" s="8">
        <f>+'Simulation and  VaR'!C72/'Simulation and  VaR'!C71-1</f>
        <v>-3.2573289902279035E-3</v>
      </c>
      <c r="D59" s="8">
        <f>+'Simulation and  VaR'!D72/'Simulation and  VaR'!D71-1</f>
        <v>-9.5759233926128173E-3</v>
      </c>
      <c r="E59" s="8">
        <f>+'Simulation and  VaR'!E72/'Simulation and  VaR'!E71-1</f>
        <v>-6.6050198150594541E-3</v>
      </c>
      <c r="F59" s="8">
        <f>+'Simulation and  VaR'!F72/'Simulation and  VaR'!F71-1</f>
        <v>-7.7319587628865705E-3</v>
      </c>
      <c r="G59" s="8">
        <f>+'Simulation and  VaR'!G72/'Simulation and  VaR'!G71-1</f>
        <v>-3.6407766990292911E-3</v>
      </c>
      <c r="H59" s="8">
        <f>+'Simulation and  VaR'!H72/'Simulation and  VaR'!H71-1</f>
        <v>-2.0208485735186521E-2</v>
      </c>
      <c r="I59" s="8">
        <f>+'Simulation and  VaR'!I72/'Simulation and  VaR'!I71-1</f>
        <v>7.7428042417101661E-2</v>
      </c>
      <c r="J59" s="8">
        <f>+'Simulation and  VaR'!J72/'Simulation and  VaR'!J71-1</f>
        <v>0</v>
      </c>
      <c r="K59" s="8">
        <f>+'Simulation and  VaR'!K72/'Simulation and  VaR'!K71-1</f>
        <v>-6.5822203513068889E-2</v>
      </c>
      <c r="L59" s="8">
        <f>+'Simulation and  VaR'!L72/'Simulation and  VaR'!L71-1</f>
        <v>-1.2340006563833272E-2</v>
      </c>
      <c r="N59" s="26">
        <f t="shared" si="0"/>
        <v>5.5535792221664243E-2</v>
      </c>
      <c r="O59" s="26">
        <f t="shared" si="1"/>
        <v>-5.7740990088044975E-3</v>
      </c>
      <c r="P59" s="26">
        <f t="shared" si="2"/>
        <v>-1.1868131716063761E-2</v>
      </c>
      <c r="Q59" s="26">
        <f t="shared" si="3"/>
        <v>-8.817779087568773E-3</v>
      </c>
      <c r="R59" s="26">
        <f t="shared" si="4"/>
        <v>-9.9130681743313433E-3</v>
      </c>
      <c r="S59" s="26">
        <f t="shared" si="5"/>
        <v>-5.8187786699509005E-3</v>
      </c>
      <c r="T59" s="26">
        <f t="shared" si="6"/>
        <v>-2.5551865780246926E-2</v>
      </c>
      <c r="U59" s="26">
        <f t="shared" si="7"/>
        <v>6.5026276288064289E-2</v>
      </c>
      <c r="V59" s="26">
        <f t="shared" si="8"/>
        <v>-1.0229205971642284E-2</v>
      </c>
      <c r="W59" s="26">
        <f t="shared" si="9"/>
        <v>-6.4255288231197472E-2</v>
      </c>
      <c r="X59" s="26">
        <f t="shared" si="10"/>
        <v>-8.8157714500775655E-3</v>
      </c>
      <c r="AM59" s="33">
        <v>6.6362475124647987E-4</v>
      </c>
      <c r="AO59" s="33">
        <v>6.6362475124647868E-4</v>
      </c>
    </row>
    <row r="60" spans="2:49" x14ac:dyDescent="0.2">
      <c r="B60" s="8">
        <f>+'Simulation and  VaR'!B73/'Simulation and  VaR'!B72-1</f>
        <v>1.8039700425640737E-2</v>
      </c>
      <c r="C60" s="8">
        <f>+'Simulation and  VaR'!C73/'Simulation and  VaR'!C72-1</f>
        <v>0</v>
      </c>
      <c r="D60" s="8">
        <f>+'Simulation and  VaR'!D73/'Simulation and  VaR'!D72-1</f>
        <v>-2.7624309392265678E-3</v>
      </c>
      <c r="E60" s="8">
        <f>+'Simulation and  VaR'!E73/'Simulation and  VaR'!E72-1</f>
        <v>-1.3297872340425343E-3</v>
      </c>
      <c r="F60" s="8">
        <f>+'Simulation and  VaR'!F73/'Simulation and  VaR'!F72-1</f>
        <v>2.5974025974024872E-3</v>
      </c>
      <c r="G60" s="8">
        <f>+'Simulation and  VaR'!G73/'Simulation and  VaR'!G72-1</f>
        <v>3.6540803897686658E-3</v>
      </c>
      <c r="H60" s="8">
        <f>+'Simulation and  VaR'!H73/'Simulation and  VaR'!H72-1</f>
        <v>2.3331777881474558E-3</v>
      </c>
      <c r="I60" s="8">
        <f>+'Simulation and  VaR'!I73/'Simulation and  VaR'!I72-1</f>
        <v>3.9056397437900348E-2</v>
      </c>
      <c r="J60" s="8">
        <f>+'Simulation and  VaR'!J73/'Simulation and  VaR'!J72-1</f>
        <v>0</v>
      </c>
      <c r="K60" s="8">
        <f>+'Simulation and  VaR'!K73/'Simulation and  VaR'!K72-1</f>
        <v>3.6049322026954211E-3</v>
      </c>
      <c r="L60" s="8">
        <f>+'Simulation and  VaR'!L73/'Simulation and  VaR'!L72-1</f>
        <v>1.5285438957930442E-3</v>
      </c>
      <c r="N60" s="26">
        <f t="shared" si="0"/>
        <v>1.3518775933215684E-2</v>
      </c>
      <c r="O60" s="26">
        <f t="shared" si="1"/>
        <v>-2.516770018576594E-3</v>
      </c>
      <c r="P60" s="26">
        <f t="shared" si="2"/>
        <v>-5.0546392626775113E-3</v>
      </c>
      <c r="Q60" s="26">
        <f t="shared" si="3"/>
        <v>-3.5425465065518527E-3</v>
      </c>
      <c r="R60" s="26">
        <f t="shared" si="4"/>
        <v>4.1629318595771394E-4</v>
      </c>
      <c r="S60" s="26">
        <f t="shared" si="5"/>
        <v>1.4760784188470565E-3</v>
      </c>
      <c r="T60" s="26">
        <f t="shared" si="6"/>
        <v>-3.0102022569129493E-3</v>
      </c>
      <c r="U60" s="26">
        <f t="shared" si="7"/>
        <v>2.6654631308862968E-2</v>
      </c>
      <c r="V60" s="26">
        <f t="shared" si="8"/>
        <v>-1.0229205971642284E-2</v>
      </c>
      <c r="W60" s="26">
        <f t="shared" si="9"/>
        <v>5.1718474845668357E-3</v>
      </c>
      <c r="X60" s="26">
        <f t="shared" si="10"/>
        <v>5.052779009548751E-3</v>
      </c>
    </row>
    <row r="61" spans="2:49" ht="20" x14ac:dyDescent="0.2">
      <c r="B61" s="8">
        <f>+'Simulation and  VaR'!B74/'Simulation and  VaR'!B73-1</f>
        <v>1.0128579437861163E-2</v>
      </c>
      <c r="C61" s="8">
        <f>+'Simulation and  VaR'!C74/'Simulation and  VaR'!C73-1</f>
        <v>1.6339869281045694E-2</v>
      </c>
      <c r="D61" s="8">
        <f>+'Simulation and  VaR'!D74/'Simulation and  VaR'!D73-1</f>
        <v>-2.7700831024930483E-3</v>
      </c>
      <c r="E61" s="8">
        <f>+'Simulation and  VaR'!E74/'Simulation and  VaR'!E73-1</f>
        <v>-9.320905459387574E-3</v>
      </c>
      <c r="F61" s="8">
        <f>+'Simulation and  VaR'!F74/'Simulation and  VaR'!F73-1</f>
        <v>-9.0673575129534001E-3</v>
      </c>
      <c r="G61" s="8">
        <f>+'Simulation and  VaR'!G74/'Simulation and  VaR'!G73-1</f>
        <v>-4.8543689320389438E-3</v>
      </c>
      <c r="H61" s="8">
        <f>+'Simulation and  VaR'!H74/'Simulation and  VaR'!H73-1</f>
        <v>3.4450651769087459E-2</v>
      </c>
      <c r="I61" s="8">
        <f>+'Simulation and  VaR'!I74/'Simulation and  VaR'!I73-1</f>
        <v>5.2623665614193182E-3</v>
      </c>
      <c r="J61" s="8">
        <f>+'Simulation and  VaR'!J74/'Simulation and  VaR'!J73-1</f>
        <v>0</v>
      </c>
      <c r="K61" s="8">
        <f>+'Simulation and  VaR'!K74/'Simulation and  VaR'!K73-1</f>
        <v>-6.1226988856677433E-4</v>
      </c>
      <c r="L61" s="8">
        <f>+'Simulation and  VaR'!L74/'Simulation and  VaR'!L73-1</f>
        <v>-9.2899800928991638E-4</v>
      </c>
      <c r="N61" s="26">
        <f t="shared" si="0"/>
        <v>5.6076549454361097E-3</v>
      </c>
      <c r="O61" s="26">
        <f t="shared" si="1"/>
        <v>1.38230992624691E-2</v>
      </c>
      <c r="P61" s="26">
        <f t="shared" si="2"/>
        <v>-5.0622914259439919E-3</v>
      </c>
      <c r="Q61" s="26">
        <f t="shared" si="3"/>
        <v>-1.1533664731896893E-2</v>
      </c>
      <c r="R61" s="26">
        <f t="shared" si="4"/>
        <v>-1.1248466924398173E-2</v>
      </c>
      <c r="S61" s="26">
        <f t="shared" si="5"/>
        <v>-7.0323709029605531E-3</v>
      </c>
      <c r="T61" s="26">
        <f t="shared" si="6"/>
        <v>2.9107271724027054E-2</v>
      </c>
      <c r="U61" s="26">
        <f t="shared" si="7"/>
        <v>-7.1393995676180613E-3</v>
      </c>
      <c r="V61" s="26">
        <f t="shared" si="8"/>
        <v>-1.0229205971642284E-2</v>
      </c>
      <c r="W61" s="26">
        <f t="shared" si="9"/>
        <v>9.5464539330464022E-4</v>
      </c>
      <c r="X61" s="26">
        <f t="shared" si="10"/>
        <v>2.59523710446579E-3</v>
      </c>
      <c r="AM61" s="49" t="s">
        <v>53</v>
      </c>
    </row>
    <row r="62" spans="2:49" x14ac:dyDescent="0.2">
      <c r="B62" s="8">
        <f>+'Simulation and  VaR'!B75/'Simulation and  VaR'!B74-1</f>
        <v>0.16071137192702789</v>
      </c>
      <c r="C62" s="8">
        <f>+'Simulation and  VaR'!C75/'Simulation and  VaR'!C74-1</f>
        <v>5.4662379421221763E-2</v>
      </c>
      <c r="D62" s="8">
        <f>+'Simulation and  VaR'!D75/'Simulation and  VaR'!D74-1</f>
        <v>4.1666666666666519E-3</v>
      </c>
      <c r="E62" s="8">
        <f>+'Simulation and  VaR'!E75/'Simulation and  VaR'!E74-1</f>
        <v>-2.6881720430107503E-3</v>
      </c>
      <c r="F62" s="8">
        <f>+'Simulation and  VaR'!F75/'Simulation and  VaR'!F74-1</f>
        <v>0</v>
      </c>
      <c r="G62" s="8">
        <f>+'Simulation and  VaR'!G75/'Simulation and  VaR'!G74-1</f>
        <v>-1.2195121951219523E-2</v>
      </c>
      <c r="H62" s="8">
        <f>+'Simulation and  VaR'!H75/'Simulation and  VaR'!H74-1</f>
        <v>-4.8604860486048951E-3</v>
      </c>
      <c r="I62" s="8">
        <f>+'Simulation and  VaR'!I75/'Simulation and  VaR'!I74-1</f>
        <v>2.8417588991923592E-2</v>
      </c>
      <c r="J62" s="8">
        <f>+'Simulation and  VaR'!J75/'Simulation and  VaR'!J74-1</f>
        <v>0</v>
      </c>
      <c r="K62" s="8">
        <f>+'Simulation and  VaR'!K75/'Simulation and  VaR'!K74-1</f>
        <v>-1.1762783858846659E-2</v>
      </c>
      <c r="L62" s="8">
        <f>+'Simulation and  VaR'!L75/'Simulation and  VaR'!L74-1</f>
        <v>0</v>
      </c>
      <c r="N62" s="26">
        <f t="shared" si="0"/>
        <v>0.15619044743460284</v>
      </c>
      <c r="O62" s="26">
        <f t="shared" si="1"/>
        <v>5.214560940264517E-2</v>
      </c>
      <c r="P62" s="26">
        <f t="shared" si="2"/>
        <v>1.8744583432157079E-3</v>
      </c>
      <c r="Q62" s="26">
        <f t="shared" si="3"/>
        <v>-4.9009313155200691E-3</v>
      </c>
      <c r="R62" s="26">
        <f t="shared" si="4"/>
        <v>-2.1811094114447733E-3</v>
      </c>
      <c r="S62" s="26">
        <f t="shared" si="5"/>
        <v>-1.4373123922141132E-2</v>
      </c>
      <c r="T62" s="26">
        <f t="shared" si="6"/>
        <v>-1.02038660936653E-2</v>
      </c>
      <c r="U62" s="26">
        <f t="shared" si="7"/>
        <v>1.6015822862886213E-2</v>
      </c>
      <c r="V62" s="26">
        <f t="shared" si="8"/>
        <v>-1.0229205971642284E-2</v>
      </c>
      <c r="W62" s="26">
        <f t="shared" si="9"/>
        <v>-1.0195868576975246E-2</v>
      </c>
      <c r="X62" s="26">
        <f t="shared" si="10"/>
        <v>3.5242351137557064E-3</v>
      </c>
      <c r="AM62" s="47" t="s">
        <v>54</v>
      </c>
      <c r="AN62" s="48"/>
      <c r="AO62" s="48"/>
      <c r="AQ62" s="41" t="s">
        <v>55</v>
      </c>
      <c r="AT62" s="42" t="s">
        <v>56</v>
      </c>
    </row>
    <row r="63" spans="2:49" x14ac:dyDescent="0.2">
      <c r="B63" s="8">
        <f>+'Simulation and  VaR'!B76/'Simulation and  VaR'!B75-1</f>
        <v>1.7339303464224409E-2</v>
      </c>
      <c r="C63" s="8">
        <f>+'Simulation and  VaR'!C76/'Simulation and  VaR'!C75-1</f>
        <v>-1.0670731707317027E-2</v>
      </c>
      <c r="D63" s="8">
        <f>+'Simulation and  VaR'!D76/'Simulation and  VaR'!D75-1</f>
        <v>-1.3831258644536604E-3</v>
      </c>
      <c r="E63" s="8">
        <f>+'Simulation and  VaR'!E76/'Simulation and  VaR'!E75-1</f>
        <v>5.3908355795149188E-3</v>
      </c>
      <c r="F63" s="8">
        <f>+'Simulation and  VaR'!F76/'Simulation and  VaR'!F75-1</f>
        <v>0</v>
      </c>
      <c r="G63" s="8">
        <f>+'Simulation and  VaR'!G76/'Simulation and  VaR'!G75-1</f>
        <v>-3.7037037037036535E-3</v>
      </c>
      <c r="H63" s="8">
        <f>+'Simulation and  VaR'!H76/'Simulation and  VaR'!H75-1</f>
        <v>9.3162083936324525E-3</v>
      </c>
      <c r="I63" s="8">
        <f>+'Simulation and  VaR'!I76/'Simulation and  VaR'!I75-1</f>
        <v>-5.8173356602675974E-2</v>
      </c>
      <c r="J63" s="8">
        <f>+'Simulation and  VaR'!J76/'Simulation and  VaR'!J75-1</f>
        <v>0</v>
      </c>
      <c r="K63" s="8">
        <f>+'Simulation and  VaR'!K76/'Simulation and  VaR'!K75-1</f>
        <v>-3.2650024797487132E-2</v>
      </c>
      <c r="L63" s="8">
        <f>+'Simulation and  VaR'!L76/'Simulation and  VaR'!L75-1</f>
        <v>0</v>
      </c>
      <c r="N63" s="26">
        <f t="shared" si="0"/>
        <v>1.2818378971799356E-2</v>
      </c>
      <c r="O63" s="26">
        <f t="shared" si="1"/>
        <v>-1.318750172589362E-2</v>
      </c>
      <c r="P63" s="26">
        <f t="shared" si="2"/>
        <v>-3.6753341879046044E-3</v>
      </c>
      <c r="Q63" s="26">
        <f t="shared" si="3"/>
        <v>3.1780763070056004E-3</v>
      </c>
      <c r="R63" s="26">
        <f t="shared" si="4"/>
        <v>-2.1811094114447733E-3</v>
      </c>
      <c r="S63" s="26">
        <f t="shared" si="5"/>
        <v>-5.8817056746252629E-3</v>
      </c>
      <c r="T63" s="26">
        <f t="shared" si="6"/>
        <v>3.9728283485720474E-3</v>
      </c>
      <c r="U63" s="26">
        <f t="shared" si="7"/>
        <v>-7.0575122731713347E-2</v>
      </c>
      <c r="V63" s="26">
        <f t="shared" si="8"/>
        <v>-1.0229205971642284E-2</v>
      </c>
      <c r="W63" s="26">
        <f t="shared" si="9"/>
        <v>-3.1083109515615718E-2</v>
      </c>
      <c r="X63" s="26">
        <f t="shared" si="10"/>
        <v>3.5242351137557064E-3</v>
      </c>
      <c r="AM63" t="s">
        <v>58</v>
      </c>
    </row>
    <row r="64" spans="2:49" x14ac:dyDescent="0.2">
      <c r="B64" s="8">
        <f>+'Simulation and  VaR'!B77/'Simulation and  VaR'!B76-1</f>
        <v>8.5245047161646159E-3</v>
      </c>
      <c r="C64" s="8">
        <f>+'Simulation and  VaR'!C77/'Simulation and  VaR'!C76-1</f>
        <v>-3.0816640986132571E-2</v>
      </c>
      <c r="D64" s="8">
        <f>+'Simulation and  VaR'!D77/'Simulation and  VaR'!D76-1</f>
        <v>-1.2465373961218829E-2</v>
      </c>
      <c r="E64" s="8">
        <f>+'Simulation and  VaR'!E77/'Simulation and  VaR'!E76-1</f>
        <v>-8.0428954423593657E-3</v>
      </c>
      <c r="F64" s="8">
        <f>+'Simulation and  VaR'!F77/'Simulation and  VaR'!F76-1</f>
        <v>-7.8431372549019329E-3</v>
      </c>
      <c r="G64" s="8">
        <f>+'Simulation and  VaR'!G77/'Simulation and  VaR'!G76-1</f>
        <v>-8.6741016109046498E-3</v>
      </c>
      <c r="H64" s="8">
        <f>+'Simulation and  VaR'!H77/'Simulation and  VaR'!H76-1</f>
        <v>4.5613406219195296E-2</v>
      </c>
      <c r="I64" s="8">
        <f>+'Simulation and  VaR'!I77/'Simulation and  VaR'!I76-1</f>
        <v>-1.8529956763434385E-2</v>
      </c>
      <c r="J64" s="8">
        <f>+'Simulation and  VaR'!J77/'Simulation and  VaR'!J76-1</f>
        <v>0</v>
      </c>
      <c r="K64" s="8">
        <f>+'Simulation and  VaR'!K77/'Simulation and  VaR'!K76-1</f>
        <v>4.9987182773647554E-3</v>
      </c>
      <c r="L64" s="8">
        <f>+'Simulation and  VaR'!L77/'Simulation and  VaR'!L76-1</f>
        <v>0</v>
      </c>
      <c r="N64" s="26">
        <f t="shared" si="0"/>
        <v>4.003580223739563E-3</v>
      </c>
      <c r="O64" s="26">
        <f t="shared" si="1"/>
        <v>-3.3333411004709164E-2</v>
      </c>
      <c r="P64" s="26">
        <f t="shared" si="2"/>
        <v>-1.4757582284669772E-2</v>
      </c>
      <c r="Q64" s="26">
        <f t="shared" si="3"/>
        <v>-1.0255654714868685E-2</v>
      </c>
      <c r="R64" s="26">
        <f t="shared" si="4"/>
        <v>-1.0024246666346706E-2</v>
      </c>
      <c r="S64" s="26">
        <f t="shared" si="5"/>
        <v>-1.0852103581826259E-2</v>
      </c>
      <c r="T64" s="26">
        <f t="shared" si="6"/>
        <v>4.0270026174134887E-2</v>
      </c>
      <c r="U64" s="26">
        <f t="shared" si="7"/>
        <v>-3.0931722892471765E-2</v>
      </c>
      <c r="V64" s="26">
        <f t="shared" si="8"/>
        <v>-1.0229205971642284E-2</v>
      </c>
      <c r="W64" s="26">
        <f t="shared" si="9"/>
        <v>6.5656335592361699E-3</v>
      </c>
      <c r="X64" s="26">
        <f t="shared" si="10"/>
        <v>3.5242351137557064E-3</v>
      </c>
      <c r="AM64" s="27">
        <f t="array" ref="AM64:AW74">Cholesky(AA5:AK15)</f>
        <v>7.3599879892851619E-2</v>
      </c>
      <c r="AN64" s="27">
        <v>0</v>
      </c>
      <c r="AO64" s="27">
        <v>0</v>
      </c>
      <c r="AP64" s="27">
        <v>0</v>
      </c>
      <c r="AQ64" s="27">
        <v>0</v>
      </c>
      <c r="AR64" s="27">
        <v>0</v>
      </c>
      <c r="AS64" s="27">
        <v>0</v>
      </c>
      <c r="AT64" s="27">
        <v>0</v>
      </c>
      <c r="AU64" s="27">
        <v>0</v>
      </c>
      <c r="AV64" s="27">
        <v>0</v>
      </c>
      <c r="AW64" s="27">
        <v>0</v>
      </c>
    </row>
    <row r="65" spans="2:49" x14ac:dyDescent="0.2">
      <c r="B65" s="8">
        <f>+'Simulation and  VaR'!B78/'Simulation and  VaR'!B77-1</f>
        <v>6.1332056784350053E-2</v>
      </c>
      <c r="C65" s="8">
        <f>+'Simulation and  VaR'!C78/'Simulation and  VaR'!C77-1</f>
        <v>1.2718600953895098E-2</v>
      </c>
      <c r="D65" s="8">
        <f>+'Simulation and  VaR'!D78/'Simulation and  VaR'!D77-1</f>
        <v>-5.6100981767180924E-3</v>
      </c>
      <c r="E65" s="8">
        <f>+'Simulation and  VaR'!E78/'Simulation and  VaR'!E77-1</f>
        <v>-4.0540540540540126E-3</v>
      </c>
      <c r="F65" s="8">
        <f>+'Simulation and  VaR'!F78/'Simulation and  VaR'!F77-1</f>
        <v>-1.0540184453227908E-2</v>
      </c>
      <c r="G65" s="8">
        <f>+'Simulation and  VaR'!G78/'Simulation and  VaR'!G77-1</f>
        <v>-7.5000000000000622E-3</v>
      </c>
      <c r="H65" s="8">
        <f>+'Simulation and  VaR'!H78/'Simulation and  VaR'!H77-1</f>
        <v>1.1827219746314732E-2</v>
      </c>
      <c r="I65" s="8">
        <f>+'Simulation and  VaR'!I78/'Simulation and  VaR'!I77-1</f>
        <v>2.2813089993706903E-2</v>
      </c>
      <c r="J65" s="8">
        <f>+'Simulation and  VaR'!J78/'Simulation and  VaR'!J77-1</f>
        <v>0</v>
      </c>
      <c r="K65" s="8">
        <f>+'Simulation and  VaR'!K78/'Simulation and  VaR'!K77-1</f>
        <v>-1.7854865450834811E-3</v>
      </c>
      <c r="L65" s="8">
        <f>+'Simulation and  VaR'!L78/'Simulation and  VaR'!L77-1</f>
        <v>1.8265143464399891E-3</v>
      </c>
      <c r="N65" s="26">
        <f t="shared" si="0"/>
        <v>5.6811132291924998E-2</v>
      </c>
      <c r="O65" s="26">
        <f t="shared" si="1"/>
        <v>1.0201830935318505E-2</v>
      </c>
      <c r="P65" s="26">
        <f t="shared" si="2"/>
        <v>-7.902306500169036E-3</v>
      </c>
      <c r="Q65" s="26">
        <f t="shared" si="3"/>
        <v>-6.2668133265633315E-3</v>
      </c>
      <c r="R65" s="26">
        <f t="shared" si="4"/>
        <v>-1.2721293864672681E-2</v>
      </c>
      <c r="S65" s="26">
        <f t="shared" si="5"/>
        <v>-9.6780019709216715E-3</v>
      </c>
      <c r="T65" s="26">
        <f t="shared" si="6"/>
        <v>6.4838397012543271E-3</v>
      </c>
      <c r="U65" s="26">
        <f t="shared" si="7"/>
        <v>1.0411323864669524E-2</v>
      </c>
      <c r="V65" s="26">
        <f t="shared" si="8"/>
        <v>-1.0229205971642284E-2</v>
      </c>
      <c r="W65" s="26">
        <f t="shared" si="9"/>
        <v>-2.185712632120666E-4</v>
      </c>
      <c r="X65" s="26">
        <f t="shared" si="10"/>
        <v>5.3507494601956959E-3</v>
      </c>
      <c r="AM65" s="27">
        <v>2.4017344965113051E-2</v>
      </c>
      <c r="AN65" s="27">
        <v>2.9953957748978164E-2</v>
      </c>
      <c r="AO65" s="27">
        <v>0</v>
      </c>
      <c r="AP65" s="27">
        <v>0</v>
      </c>
      <c r="AQ65" s="27">
        <v>0</v>
      </c>
      <c r="AR65" s="27">
        <v>0</v>
      </c>
      <c r="AS65" s="27">
        <v>0</v>
      </c>
      <c r="AT65" s="27">
        <v>0</v>
      </c>
      <c r="AU65" s="27">
        <v>0</v>
      </c>
      <c r="AV65" s="27">
        <v>0</v>
      </c>
      <c r="AW65" s="27">
        <v>0</v>
      </c>
    </row>
    <row r="66" spans="2:49" x14ac:dyDescent="0.2">
      <c r="B66" s="8">
        <f>+'Simulation and  VaR'!B79/'Simulation and  VaR'!B78-1</f>
        <v>6.7270163963505381E-2</v>
      </c>
      <c r="C66" s="8">
        <f>+'Simulation and  VaR'!C79/'Simulation and  VaR'!C78-1</f>
        <v>1.6412159262166215E-2</v>
      </c>
      <c r="D66" s="8">
        <f>+'Simulation and  VaR'!D79/'Simulation and  VaR'!D78-1</f>
        <v>9.873060648801113E-3</v>
      </c>
      <c r="E66" s="8">
        <f>+'Simulation and  VaR'!E79/'Simulation and  VaR'!E78-1</f>
        <v>1.3568521031206426E-3</v>
      </c>
      <c r="F66" s="8">
        <f>+'Simulation and  VaR'!F79/'Simulation and  VaR'!F78-1</f>
        <v>3.9946737683089761E-3</v>
      </c>
      <c r="G66" s="8">
        <f>+'Simulation and  VaR'!G79/'Simulation and  VaR'!G78-1</f>
        <v>-3.7783375314860423E-3</v>
      </c>
      <c r="H66" s="8">
        <f>+'Simulation and  VaR'!H79/'Simulation and  VaR'!H78-1</f>
        <v>-1.710994409622224E-2</v>
      </c>
      <c r="I66" s="8">
        <f>+'Simulation and  VaR'!I79/'Simulation and  VaR'!I78-1</f>
        <v>5.8452545762190278E-2</v>
      </c>
      <c r="J66" s="8">
        <f>+'Simulation and  VaR'!J79/'Simulation and  VaR'!J78-1</f>
        <v>0</v>
      </c>
      <c r="K66" s="8">
        <f>+'Simulation and  VaR'!K79/'Simulation and  VaR'!K78-1</f>
        <v>1.4352029300285229E-2</v>
      </c>
      <c r="L66" s="8">
        <f>+'Simulation and  VaR'!L79/'Simulation and  VaR'!L78-1</f>
        <v>-8.9501773461075906E-4</v>
      </c>
      <c r="N66" s="26">
        <f t="shared" si="0"/>
        <v>6.2749239471080326E-2</v>
      </c>
      <c r="O66" s="26">
        <f t="shared" si="1"/>
        <v>1.3895389243589622E-2</v>
      </c>
      <c r="P66" s="26">
        <f t="shared" si="2"/>
        <v>7.5808523253501695E-3</v>
      </c>
      <c r="Q66" s="26">
        <f t="shared" si="3"/>
        <v>-8.5590716938867576E-4</v>
      </c>
      <c r="R66" s="26">
        <f t="shared" si="4"/>
        <v>1.8135643568642028E-3</v>
      </c>
      <c r="S66" s="26">
        <f t="shared" si="5"/>
        <v>-5.9563395024076517E-3</v>
      </c>
      <c r="T66" s="26">
        <f t="shared" si="6"/>
        <v>-2.2453324141282646E-2</v>
      </c>
      <c r="U66" s="26">
        <f t="shared" si="7"/>
        <v>4.6050779633152898E-2</v>
      </c>
      <c r="V66" s="26">
        <f t="shared" si="8"/>
        <v>-1.0229205971642284E-2</v>
      </c>
      <c r="W66" s="26">
        <f t="shared" si="9"/>
        <v>1.5918944582156643E-2</v>
      </c>
      <c r="X66" s="26">
        <f t="shared" si="10"/>
        <v>2.6292173791449473E-3</v>
      </c>
      <c r="AM66" s="27">
        <v>1.5834963896121615E-2</v>
      </c>
      <c r="AN66" s="27">
        <v>1.7148332462311448E-2</v>
      </c>
      <c r="AO66" s="27">
        <v>1.3970187897774445E-2</v>
      </c>
      <c r="AP66" s="27">
        <v>0</v>
      </c>
      <c r="AQ66" s="27">
        <v>0</v>
      </c>
      <c r="AR66" s="27">
        <v>0</v>
      </c>
      <c r="AS66" s="27">
        <v>0</v>
      </c>
      <c r="AT66" s="27">
        <v>0</v>
      </c>
      <c r="AU66" s="27">
        <v>0</v>
      </c>
      <c r="AV66" s="27">
        <v>0</v>
      </c>
      <c r="AW66" s="27">
        <v>0</v>
      </c>
    </row>
    <row r="67" spans="2:49" x14ac:dyDescent="0.2">
      <c r="B67" s="8">
        <f>+'Simulation and  VaR'!B80/'Simulation and  VaR'!B79-1</f>
        <v>3.5877257860624567E-2</v>
      </c>
      <c r="C67" s="8">
        <f>+'Simulation and  VaR'!C80/'Simulation and  VaR'!C79-1</f>
        <v>2.6412680566037849E-2</v>
      </c>
      <c r="D67" s="8">
        <f>+'Simulation and  VaR'!D80/'Simulation and  VaR'!D79-1</f>
        <v>9.7765363128490268E-3</v>
      </c>
      <c r="E67" s="8">
        <f>+'Simulation and  VaR'!E80/'Simulation and  VaR'!E79-1</f>
        <v>1.3550135501354976E-2</v>
      </c>
      <c r="F67" s="8">
        <f>+'Simulation and  VaR'!F80/'Simulation and  VaR'!F79-1</f>
        <v>9.2838196286471053E-3</v>
      </c>
      <c r="G67" s="8">
        <f>+'Simulation and  VaR'!G80/'Simulation and  VaR'!G79-1</f>
        <v>8.8495575221239076E-3</v>
      </c>
      <c r="H67" s="8">
        <f>+'Simulation and  VaR'!H80/'Simulation and  VaR'!H79-1</f>
        <v>-3.748707342295754E-2</v>
      </c>
      <c r="I67" s="8">
        <f>+'Simulation and  VaR'!I80/'Simulation and  VaR'!I79-1</f>
        <v>0.19183258247347768</v>
      </c>
      <c r="J67" s="8">
        <f>+'Simulation and  VaR'!J80/'Simulation and  VaR'!J79-1</f>
        <v>0</v>
      </c>
      <c r="K67" s="8">
        <f>+'Simulation and  VaR'!K80/'Simulation and  VaR'!K79-1</f>
        <v>4.5469812746662175E-2</v>
      </c>
      <c r="L67" s="8">
        <f>+'Simulation and  VaR'!L80/'Simulation and  VaR'!L79-1</f>
        <v>-0.11851360318513593</v>
      </c>
      <c r="N67" s="26">
        <f t="shared" si="0"/>
        <v>3.1356333368199513E-2</v>
      </c>
      <c r="O67" s="26">
        <f t="shared" si="1"/>
        <v>2.3895910547461256E-2</v>
      </c>
      <c r="P67" s="26">
        <f t="shared" si="2"/>
        <v>7.4843279893980832E-3</v>
      </c>
      <c r="Q67" s="26">
        <f t="shared" si="3"/>
        <v>1.1337376228845657E-2</v>
      </c>
      <c r="R67" s="26">
        <f t="shared" si="4"/>
        <v>7.1027102172023324E-3</v>
      </c>
      <c r="S67" s="26">
        <f t="shared" si="5"/>
        <v>6.6715555512022982E-3</v>
      </c>
      <c r="T67" s="26">
        <f t="shared" si="6"/>
        <v>-4.2830453468017948E-2</v>
      </c>
      <c r="U67" s="26">
        <f t="shared" si="7"/>
        <v>0.1794308163444403</v>
      </c>
      <c r="V67" s="26">
        <f t="shared" si="8"/>
        <v>-1.0229205971642284E-2</v>
      </c>
      <c r="W67" s="26">
        <f t="shared" si="9"/>
        <v>4.7036728028533592E-2</v>
      </c>
      <c r="X67" s="26">
        <f t="shared" si="10"/>
        <v>-0.11498936807138023</v>
      </c>
      <c r="AM67" s="27">
        <v>1.3615764500087845E-2</v>
      </c>
      <c r="AN67" s="27">
        <v>1.4450912930217767E-2</v>
      </c>
      <c r="AO67" s="27">
        <v>1.2315996834730626E-2</v>
      </c>
      <c r="AP67" s="27">
        <v>7.1523231033979329E-3</v>
      </c>
      <c r="AQ67" s="27">
        <v>0</v>
      </c>
      <c r="AR67" s="27">
        <v>0</v>
      </c>
      <c r="AS67" s="27">
        <v>0</v>
      </c>
      <c r="AT67" s="27">
        <v>0</v>
      </c>
      <c r="AU67" s="27">
        <v>0</v>
      </c>
      <c r="AV67" s="27">
        <v>0</v>
      </c>
      <c r="AW67" s="27">
        <v>0</v>
      </c>
    </row>
    <row r="68" spans="2:49" x14ac:dyDescent="0.2">
      <c r="B68" s="8">
        <f>+'Simulation and  VaR'!B81/'Simulation and  VaR'!B80-1</f>
        <v>8.9477093426174381E-2</v>
      </c>
      <c r="C68" s="8">
        <f>+'Simulation and  VaR'!C81/'Simulation and  VaR'!C80-1</f>
        <v>1.1065343294022645E-2</v>
      </c>
      <c r="D68" s="8">
        <f>+'Simulation and  VaR'!D81/'Simulation and  VaR'!D80-1</f>
        <v>9.6818810511756226E-3</v>
      </c>
      <c r="E68" s="8">
        <f>+'Simulation and  VaR'!E81/'Simulation and  VaR'!E80-1</f>
        <v>2.673796791443861E-3</v>
      </c>
      <c r="F68" s="8">
        <f>+'Simulation and  VaR'!F81/'Simulation and  VaR'!F80-1</f>
        <v>7.8843626806834877E-3</v>
      </c>
      <c r="G68" s="8">
        <f>+'Simulation and  VaR'!G81/'Simulation and  VaR'!G80-1</f>
        <v>7.5187969924812581E-3</v>
      </c>
      <c r="H68" s="8">
        <f>+'Simulation and  VaR'!H81/'Simulation and  VaR'!H80-1</f>
        <v>-1.4325364849137046E-3</v>
      </c>
      <c r="I68" s="8">
        <f>+'Simulation and  VaR'!I81/'Simulation and  VaR'!I80-1</f>
        <v>0.10669430557249115</v>
      </c>
      <c r="J68" s="8">
        <f>+'Simulation and  VaR'!J81/'Simulation and  VaR'!J80-1</f>
        <v>0</v>
      </c>
      <c r="K68" s="8">
        <f>+'Simulation and  VaR'!K81/'Simulation and  VaR'!K80-1</f>
        <v>-5.8230593148869136E-3</v>
      </c>
      <c r="L68" s="8">
        <f>+'Simulation and  VaR'!L81/'Simulation and  VaR'!L80-1</f>
        <v>1.0915386931644733E-3</v>
      </c>
      <c r="N68" s="26">
        <f t="shared" si="0"/>
        <v>8.4956168933749326E-2</v>
      </c>
      <c r="O68" s="26">
        <f t="shared" si="1"/>
        <v>8.5485732754460517E-3</v>
      </c>
      <c r="P68" s="26">
        <f t="shared" si="2"/>
        <v>7.389672727724679E-3</v>
      </c>
      <c r="Q68" s="26">
        <f t="shared" si="3"/>
        <v>4.6103751893454255E-4</v>
      </c>
      <c r="R68" s="26">
        <f t="shared" si="4"/>
        <v>5.7032532692387148E-3</v>
      </c>
      <c r="S68" s="26">
        <f t="shared" si="5"/>
        <v>5.3407950215596488E-3</v>
      </c>
      <c r="T68" s="26">
        <f t="shared" si="6"/>
        <v>-6.7759165299741096E-3</v>
      </c>
      <c r="U68" s="26">
        <f t="shared" si="7"/>
        <v>9.4292539443453782E-2</v>
      </c>
      <c r="V68" s="26">
        <f t="shared" si="8"/>
        <v>-1.0229205971642284E-2</v>
      </c>
      <c r="W68" s="26">
        <f t="shared" si="9"/>
        <v>-4.2561440330154991E-3</v>
      </c>
      <c r="X68" s="26">
        <f t="shared" si="10"/>
        <v>4.6157738069201801E-3</v>
      </c>
      <c r="AM68" s="27">
        <v>1.2592565149698106E-2</v>
      </c>
      <c r="AN68" s="27">
        <v>1.2686939639601677E-2</v>
      </c>
      <c r="AO68" s="27">
        <v>1.1744556899678947E-2</v>
      </c>
      <c r="AP68" s="27">
        <v>6.8666836468130087E-3</v>
      </c>
      <c r="AQ68" s="27">
        <v>7.939342426582242E-3</v>
      </c>
      <c r="AR68" s="27">
        <v>0</v>
      </c>
      <c r="AS68" s="27">
        <v>0</v>
      </c>
      <c r="AT68" s="27">
        <v>0</v>
      </c>
      <c r="AU68" s="27">
        <v>0</v>
      </c>
      <c r="AV68" s="27">
        <v>0</v>
      </c>
      <c r="AW68" s="27">
        <v>0</v>
      </c>
    </row>
    <row r="69" spans="2:49" x14ac:dyDescent="0.2">
      <c r="B69" s="8">
        <f>+'Simulation and  VaR'!B82/'Simulation and  VaR'!B81-1</f>
        <v>2.8177092930937508E-2</v>
      </c>
      <c r="C69" s="8">
        <f>+'Simulation and  VaR'!C82/'Simulation and  VaR'!C81-1</f>
        <v>-6.0411310919502581E-3</v>
      </c>
      <c r="D69" s="8">
        <f>+'Simulation and  VaR'!D82/'Simulation and  VaR'!D81-1</f>
        <v>-4.109589041095929E-3</v>
      </c>
      <c r="E69" s="8">
        <f>+'Simulation and  VaR'!E82/'Simulation and  VaR'!E81-1</f>
        <v>0</v>
      </c>
      <c r="F69" s="8">
        <f>+'Simulation and  VaR'!F82/'Simulation and  VaR'!F81-1</f>
        <v>-2.6075619295958807E-3</v>
      </c>
      <c r="G69" s="8">
        <f>+'Simulation and  VaR'!G82/'Simulation and  VaR'!G81-1</f>
        <v>7.4626865671643117E-3</v>
      </c>
      <c r="H69" s="8">
        <f>+'Simulation and  VaR'!H82/'Simulation and  VaR'!H81-1</f>
        <v>-4.0796198332287203E-2</v>
      </c>
      <c r="I69" s="8">
        <f>+'Simulation and  VaR'!I82/'Simulation and  VaR'!I81-1</f>
        <v>-5.5090348170994119E-4</v>
      </c>
      <c r="J69" s="8">
        <f>+'Simulation and  VaR'!J82/'Simulation and  VaR'!J81-1</f>
        <v>0</v>
      </c>
      <c r="K69" s="8">
        <f>+'Simulation and  VaR'!K82/'Simulation and  VaR'!K81-1</f>
        <v>5.4532234609792063E-3</v>
      </c>
      <c r="L69" s="8">
        <f>+'Simulation and  VaR'!L82/'Simulation and  VaR'!L81-1</f>
        <v>-1.6167236906418081E-3</v>
      </c>
      <c r="N69" s="26">
        <f t="shared" si="0"/>
        <v>2.3656168438512454E-2</v>
      </c>
      <c r="O69" s="26">
        <f t="shared" si="1"/>
        <v>-8.5579011105268513E-3</v>
      </c>
      <c r="P69" s="26">
        <f t="shared" si="2"/>
        <v>-6.4017973645468726E-3</v>
      </c>
      <c r="Q69" s="26">
        <f t="shared" si="3"/>
        <v>-2.2127592725093184E-3</v>
      </c>
      <c r="R69" s="26">
        <f t="shared" si="4"/>
        <v>-4.7886713410406536E-3</v>
      </c>
      <c r="S69" s="26">
        <f t="shared" si="5"/>
        <v>5.2846845962427023E-3</v>
      </c>
      <c r="T69" s="26">
        <f t="shared" si="6"/>
        <v>-4.6139578377347612E-2</v>
      </c>
      <c r="U69" s="26">
        <f t="shared" si="7"/>
        <v>-1.2952669610747321E-2</v>
      </c>
      <c r="V69" s="26">
        <f t="shared" si="8"/>
        <v>-1.0229205971642284E-2</v>
      </c>
      <c r="W69" s="26">
        <f t="shared" si="9"/>
        <v>7.0201387428506208E-3</v>
      </c>
      <c r="X69" s="26">
        <f t="shared" si="10"/>
        <v>1.9075114231138983E-3</v>
      </c>
      <c r="AM69" s="27">
        <v>1.1313451071932634E-2</v>
      </c>
      <c r="AN69" s="27">
        <v>1.2005123490117602E-2</v>
      </c>
      <c r="AO69" s="27">
        <v>1.0157926123316821E-2</v>
      </c>
      <c r="AP69" s="27">
        <v>6.1979906002700294E-3</v>
      </c>
      <c r="AQ69" s="27">
        <v>4.3056220165365684E-3</v>
      </c>
      <c r="AR69" s="27">
        <v>7.2135936383749761E-3</v>
      </c>
      <c r="AS69" s="27">
        <v>0</v>
      </c>
      <c r="AT69" s="27">
        <v>0</v>
      </c>
      <c r="AU69" s="27">
        <v>0</v>
      </c>
      <c r="AV69" s="27">
        <v>0</v>
      </c>
      <c r="AW69" s="27">
        <v>0</v>
      </c>
    </row>
    <row r="70" spans="2:49" x14ac:dyDescent="0.2">
      <c r="B70" s="8">
        <f>+'Simulation and  VaR'!B83/'Simulation and  VaR'!B82-1</f>
        <v>1.5444931333995049E-2</v>
      </c>
      <c r="C70" s="8">
        <f>+'Simulation and  VaR'!C83/'Simulation and  VaR'!C82-1</f>
        <v>2.6768395178558002E-2</v>
      </c>
      <c r="D70" s="8">
        <f>+'Simulation and  VaR'!D83/'Simulation and  VaR'!D82-1</f>
        <v>4.126547455295837E-3</v>
      </c>
      <c r="E70" s="8">
        <f>+'Simulation and  VaR'!E83/'Simulation and  VaR'!E82-1</f>
        <v>0</v>
      </c>
      <c r="F70" s="8">
        <f>+'Simulation and  VaR'!F83/'Simulation and  VaR'!F82-1</f>
        <v>0</v>
      </c>
      <c r="G70" s="8">
        <f>+'Simulation and  VaR'!G83/'Simulation and  VaR'!G82-1</f>
        <v>-3.7037037037036535E-3</v>
      </c>
      <c r="H70" s="8">
        <f>+'Simulation and  VaR'!H83/'Simulation and  VaR'!H82-1</f>
        <v>-1.8882034025051397E-2</v>
      </c>
      <c r="I70" s="8">
        <f>+'Simulation and  VaR'!I83/'Simulation and  VaR'!I82-1</f>
        <v>0.38915224341307453</v>
      </c>
      <c r="J70" s="8">
        <f>+'Simulation and  VaR'!J83/'Simulation and  VaR'!J82-1</f>
        <v>0</v>
      </c>
      <c r="K70" s="8">
        <f>+'Simulation and  VaR'!K83/'Simulation and  VaR'!K82-1</f>
        <v>3.0975051223333772E-2</v>
      </c>
      <c r="L70" s="8">
        <f>+'Simulation and  VaR'!L83/'Simulation and  VaR'!L82-1</f>
        <v>-3.1633652180461658E-3</v>
      </c>
      <c r="N70" s="26">
        <f t="shared" ref="N70:N133" si="11">B70-$B$256</f>
        <v>1.0924006841569996E-2</v>
      </c>
      <c r="O70" s="26">
        <f t="shared" ref="O70:O133" si="12">C70-$C$256</f>
        <v>2.4251625159981409E-2</v>
      </c>
      <c r="P70" s="26">
        <f t="shared" ref="P70:P133" si="13">D70-$D$256</f>
        <v>1.834339131844893E-3</v>
      </c>
      <c r="Q70" s="26">
        <f t="shared" ref="Q70:Q133" si="14">E70-$E$256</f>
        <v>-2.2127592725093184E-3</v>
      </c>
      <c r="R70" s="26">
        <f t="shared" ref="R70:R133" si="15">F70-$F$256</f>
        <v>-2.1811094114447733E-3</v>
      </c>
      <c r="S70" s="26">
        <f t="shared" ref="S70:S133" si="16">G70-$G$256</f>
        <v>-5.8817056746252629E-3</v>
      </c>
      <c r="T70" s="26">
        <f t="shared" ref="T70:T133" si="17">H70-$H$256</f>
        <v>-2.4225414070111802E-2</v>
      </c>
      <c r="U70" s="26">
        <f t="shared" ref="U70:U133" si="18">I70-$I$256</f>
        <v>0.37675047728403716</v>
      </c>
      <c r="V70" s="26">
        <f t="shared" ref="V70:V133" si="19">J70-$J$256</f>
        <v>-1.0229205971642284E-2</v>
      </c>
      <c r="W70" s="26">
        <f t="shared" ref="W70:W133" si="20">K70-$K$256</f>
        <v>3.2541966505205189E-2</v>
      </c>
      <c r="X70" s="26">
        <f t="shared" ref="X70:X133" si="21">L70-$L$256</f>
        <v>3.608698957095406E-4</v>
      </c>
      <c r="AM70" s="27">
        <v>-1.1620297525769825E-2</v>
      </c>
      <c r="AN70" s="27">
        <v>-8.9925544217266968E-3</v>
      </c>
      <c r="AO70" s="27">
        <v>-3.8564273651116626E-3</v>
      </c>
      <c r="AP70" s="27">
        <v>-4.3063972419046716E-3</v>
      </c>
      <c r="AQ70" s="27">
        <v>4.5878333310428489E-3</v>
      </c>
      <c r="AR70" s="27">
        <v>-8.2278802967043221E-4</v>
      </c>
      <c r="AS70" s="27">
        <v>4.3491786639312906E-2</v>
      </c>
      <c r="AT70" s="27">
        <v>0</v>
      </c>
      <c r="AU70" s="27">
        <v>0</v>
      </c>
      <c r="AV70" s="27">
        <v>0</v>
      </c>
      <c r="AW70" s="27">
        <v>0</v>
      </c>
    </row>
    <row r="71" spans="2:49" x14ac:dyDescent="0.2">
      <c r="B71" s="8">
        <f>+'Simulation and  VaR'!B84/'Simulation and  VaR'!B83-1</f>
        <v>0.13222481853043067</v>
      </c>
      <c r="C71" s="8">
        <f>+'Simulation and  VaR'!C84/'Simulation and  VaR'!C83-1</f>
        <v>7.6892483203785389E-3</v>
      </c>
      <c r="D71" s="8">
        <f>+'Simulation and  VaR'!D84/'Simulation and  VaR'!D83-1</f>
        <v>1.0958904109588996E-2</v>
      </c>
      <c r="E71" s="8">
        <f>+'Simulation and  VaR'!E84/'Simulation and  VaR'!E83-1</f>
        <v>8.0000000000000071E-3</v>
      </c>
      <c r="F71" s="8">
        <f>+'Simulation and  VaR'!F84/'Simulation and  VaR'!F83-1</f>
        <v>9.1503267973855884E-3</v>
      </c>
      <c r="G71" s="8">
        <f>+'Simulation and  VaR'!G84/'Simulation and  VaR'!G83-1</f>
        <v>8.6741016109046498E-3</v>
      </c>
      <c r="H71" s="8">
        <f>+'Simulation and  VaR'!H84/'Simulation and  VaR'!H83-1</f>
        <v>-6.5739329268292845E-3</v>
      </c>
      <c r="I71" s="8">
        <f>+'Simulation and  VaR'!I84/'Simulation and  VaR'!I83-1</f>
        <v>-3.1743512419649234E-2</v>
      </c>
      <c r="J71" s="8">
        <f>+'Simulation and  VaR'!J84/'Simulation and  VaR'!J83-1</f>
        <v>0</v>
      </c>
      <c r="K71" s="8">
        <f>+'Simulation and  VaR'!K84/'Simulation and  VaR'!K83-1</f>
        <v>5.8062504871014831E-3</v>
      </c>
      <c r="L71" s="8">
        <f>+'Simulation and  VaR'!L84/'Simulation and  VaR'!L83-1</f>
        <v>-5.7801284472986936E-3</v>
      </c>
      <c r="N71" s="26">
        <f t="shared" si="11"/>
        <v>0.12770389403800561</v>
      </c>
      <c r="O71" s="26">
        <f t="shared" si="12"/>
        <v>5.1724783018019449E-3</v>
      </c>
      <c r="P71" s="26">
        <f t="shared" si="13"/>
        <v>8.6666957861380525E-3</v>
      </c>
      <c r="Q71" s="26">
        <f t="shared" si="14"/>
        <v>5.7872407274906883E-3</v>
      </c>
      <c r="R71" s="26">
        <f t="shared" si="15"/>
        <v>6.9692173859408155E-3</v>
      </c>
      <c r="S71" s="26">
        <f t="shared" si="16"/>
        <v>6.4960996399830405E-3</v>
      </c>
      <c r="T71" s="26">
        <f t="shared" si="17"/>
        <v>-1.191731297188969E-2</v>
      </c>
      <c r="U71" s="26">
        <f t="shared" si="18"/>
        <v>-4.4145278548686613E-2</v>
      </c>
      <c r="V71" s="26">
        <f t="shared" si="19"/>
        <v>-1.0229205971642284E-2</v>
      </c>
      <c r="W71" s="26">
        <f t="shared" si="20"/>
        <v>7.3731657689728976E-3</v>
      </c>
      <c r="X71" s="26">
        <f t="shared" si="21"/>
        <v>-2.2558933335429872E-3</v>
      </c>
      <c r="AM71" s="27">
        <v>-8.1944368027480306E-3</v>
      </c>
      <c r="AN71" s="27">
        <v>8.3945679852525205E-3</v>
      </c>
      <c r="AO71" s="27">
        <v>-3.9687316633633569E-3</v>
      </c>
      <c r="AP71" s="27">
        <v>-8.2767407224513742E-3</v>
      </c>
      <c r="AQ71" s="27">
        <v>1.5873449544157785E-3</v>
      </c>
      <c r="AR71" s="27">
        <v>-1.9173727009666006E-3</v>
      </c>
      <c r="AS71" s="27">
        <v>7.3204365464795101E-4</v>
      </c>
      <c r="AT71" s="27">
        <v>7.3366042727499622E-2</v>
      </c>
      <c r="AU71" s="27">
        <v>0</v>
      </c>
      <c r="AV71" s="27">
        <v>0</v>
      </c>
      <c r="AW71" s="27">
        <v>0</v>
      </c>
    </row>
    <row r="72" spans="2:49" x14ac:dyDescent="0.2">
      <c r="B72" s="8">
        <f>+'Simulation and  VaR'!B85/'Simulation and  VaR'!B84-1</f>
        <v>0.11691229232314271</v>
      </c>
      <c r="C72" s="8">
        <f>+'Simulation and  VaR'!C85/'Simulation and  VaR'!C84-1</f>
        <v>3.3422920520983945E-2</v>
      </c>
      <c r="D72" s="8">
        <f>+'Simulation and  VaR'!D85/'Simulation and  VaR'!D84-1</f>
        <v>1.084010840108407E-2</v>
      </c>
      <c r="E72" s="8">
        <f>+'Simulation and  VaR'!E85/'Simulation and  VaR'!E84-1</f>
        <v>1.1904761904761862E-2</v>
      </c>
      <c r="F72" s="8">
        <f>+'Simulation and  VaR'!F85/'Simulation and  VaR'!F84-1</f>
        <v>1.9430051813471572E-2</v>
      </c>
      <c r="G72" s="8">
        <f>+'Simulation and  VaR'!G85/'Simulation and  VaR'!G84-1</f>
        <v>1.3513513513513375E-2</v>
      </c>
      <c r="H72" s="8">
        <f>+'Simulation and  VaR'!H85/'Simulation and  VaR'!H84-1</f>
        <v>3.8266040088232423E-2</v>
      </c>
      <c r="I72" s="8">
        <f>+'Simulation and  VaR'!I85/'Simulation and  VaR'!I84-1</f>
        <v>-5.2454716826489722E-2</v>
      </c>
      <c r="J72" s="8">
        <f>+'Simulation and  VaR'!J85/'Simulation and  VaR'!J84-1</f>
        <v>0</v>
      </c>
      <c r="K72" s="8">
        <f>+'Simulation and  VaR'!K85/'Simulation and  VaR'!K84-1</f>
        <v>-3.1769400643136714E-2</v>
      </c>
      <c r="L72" s="8">
        <f>+'Simulation and  VaR'!L85/'Simulation and  VaR'!L84-1</f>
        <v>1.0639510582513001E-3</v>
      </c>
      <c r="N72" s="26">
        <f t="shared" si="11"/>
        <v>0.11239136783071765</v>
      </c>
      <c r="O72" s="26">
        <f t="shared" si="12"/>
        <v>3.0906150502407352E-2</v>
      </c>
      <c r="P72" s="26">
        <f t="shared" si="13"/>
        <v>8.5479000776331263E-3</v>
      </c>
      <c r="Q72" s="26">
        <f t="shared" si="14"/>
        <v>9.6920026322525436E-3</v>
      </c>
      <c r="R72" s="26">
        <f t="shared" si="15"/>
        <v>1.7248942402026797E-2</v>
      </c>
      <c r="S72" s="26">
        <f t="shared" si="16"/>
        <v>1.1335511542591766E-2</v>
      </c>
      <c r="T72" s="26">
        <f t="shared" si="17"/>
        <v>3.2922660043172014E-2</v>
      </c>
      <c r="U72" s="26">
        <f t="shared" si="18"/>
        <v>-6.4856482955527095E-2</v>
      </c>
      <c r="V72" s="26">
        <f t="shared" si="19"/>
        <v>-1.0229205971642284E-2</v>
      </c>
      <c r="W72" s="26">
        <f t="shared" si="20"/>
        <v>-3.02024853612653E-2</v>
      </c>
      <c r="X72" s="26">
        <f t="shared" si="21"/>
        <v>4.5881861720070069E-3</v>
      </c>
      <c r="AM72" s="27">
        <v>5.362171237701256E-3</v>
      </c>
      <c r="AN72" s="27">
        <v>1.8348695334876246E-2</v>
      </c>
      <c r="AO72" s="27">
        <v>2.9508343942402345E-3</v>
      </c>
      <c r="AP72" s="27">
        <v>-3.3650521237166106E-3</v>
      </c>
      <c r="AQ72" s="27">
        <v>-5.0953658002977839E-3</v>
      </c>
      <c r="AR72" s="27">
        <v>-5.6886035006613427E-3</v>
      </c>
      <c r="AS72" s="27">
        <v>-6.6950021641460906E-4</v>
      </c>
      <c r="AT72" s="27">
        <v>1.9870272098028451E-2</v>
      </c>
      <c r="AU72" s="27">
        <v>0.10055201655751256</v>
      </c>
      <c r="AV72" s="27">
        <v>0</v>
      </c>
      <c r="AW72" s="27">
        <v>0</v>
      </c>
    </row>
    <row r="73" spans="2:49" x14ac:dyDescent="0.2">
      <c r="B73" s="8">
        <f>+'Simulation and  VaR'!B86/'Simulation and  VaR'!B85-1</f>
        <v>8.4633337846557355E-2</v>
      </c>
      <c r="C73" s="8">
        <f>+'Simulation and  VaR'!C86/'Simulation and  VaR'!C85-1</f>
        <v>3.8346457614848672E-2</v>
      </c>
      <c r="D73" s="8">
        <f>+'Simulation and  VaR'!D86/'Simulation and  VaR'!D85-1</f>
        <v>3.0831099195710365E-2</v>
      </c>
      <c r="E73" s="8">
        <f>+'Simulation and  VaR'!E86/'Simulation and  VaR'!E85-1</f>
        <v>2.6143790849673332E-2</v>
      </c>
      <c r="F73" s="8">
        <f>+'Simulation and  VaR'!F86/'Simulation and  VaR'!F85-1</f>
        <v>3.1766200762388674E-2</v>
      </c>
      <c r="G73" s="8">
        <f>+'Simulation and  VaR'!G86/'Simulation and  VaR'!G85-1</f>
        <v>3.5151515151515156E-2</v>
      </c>
      <c r="H73" s="8">
        <f>+'Simulation and  VaR'!H86/'Simulation and  VaR'!H85-1</f>
        <v>-3.6948087936449325E-2</v>
      </c>
      <c r="I73" s="8">
        <f>+'Simulation and  VaR'!I86/'Simulation and  VaR'!I85-1</f>
        <v>-9.0822593201280166E-2</v>
      </c>
      <c r="J73" s="8">
        <f>+'Simulation and  VaR'!J86/'Simulation and  VaR'!J85-1</f>
        <v>0.2100840336134453</v>
      </c>
      <c r="K73" s="8">
        <f>+'Simulation and  VaR'!K86/'Simulation and  VaR'!K85-1</f>
        <v>-1.6405906126205405E-2</v>
      </c>
      <c r="L73" s="8">
        <f>+'Simulation and  VaR'!L86/'Simulation and  VaR'!L85-1</f>
        <v>7.4017840197380114E-3</v>
      </c>
      <c r="N73" s="26">
        <f t="shared" si="11"/>
        <v>8.01124133541323E-2</v>
      </c>
      <c r="O73" s="26">
        <f t="shared" si="12"/>
        <v>3.5829687596272079E-2</v>
      </c>
      <c r="P73" s="26">
        <f t="shared" si="13"/>
        <v>2.8538890872259422E-2</v>
      </c>
      <c r="Q73" s="26">
        <f t="shared" si="14"/>
        <v>2.3931031577164013E-2</v>
      </c>
      <c r="R73" s="26">
        <f t="shared" si="15"/>
        <v>2.95850913509439E-2</v>
      </c>
      <c r="S73" s="26">
        <f t="shared" si="16"/>
        <v>3.297351318059355E-2</v>
      </c>
      <c r="T73" s="26">
        <f t="shared" si="17"/>
        <v>-4.2291467981509734E-2</v>
      </c>
      <c r="U73" s="26">
        <f t="shared" si="18"/>
        <v>-0.10322435933031754</v>
      </c>
      <c r="V73" s="26">
        <f t="shared" si="19"/>
        <v>0.19985482764180301</v>
      </c>
      <c r="W73" s="26">
        <f t="shared" si="20"/>
        <v>-1.4838990844333991E-2</v>
      </c>
      <c r="X73" s="26">
        <f t="shared" si="21"/>
        <v>1.0926019133493718E-2</v>
      </c>
      <c r="AM73" s="27">
        <v>-5.3341251970400331E-3</v>
      </c>
      <c r="AN73" s="27">
        <v>1.659164063011873E-4</v>
      </c>
      <c r="AO73" s="27">
        <v>-1.6379026347328875E-3</v>
      </c>
      <c r="AP73" s="27">
        <v>4.3379250041415457E-4</v>
      </c>
      <c r="AQ73" s="27">
        <v>-2.7276606321161201E-3</v>
      </c>
      <c r="AR73" s="27">
        <v>2.1528917171722054E-3</v>
      </c>
      <c r="AS73" s="27">
        <v>-1.2191568424062776E-3</v>
      </c>
      <c r="AT73" s="27">
        <v>8.0371036234648651E-3</v>
      </c>
      <c r="AU73" s="27">
        <v>-2.5724132897138778E-3</v>
      </c>
      <c r="AV73" s="27">
        <v>2.7067318029203983E-2</v>
      </c>
      <c r="AW73" s="27">
        <v>0</v>
      </c>
    </row>
    <row r="74" spans="2:49" x14ac:dyDescent="0.2">
      <c r="B74" s="8">
        <f>+'Simulation and  VaR'!B87/'Simulation and  VaR'!B86-1</f>
        <v>-4.549717397767572E-2</v>
      </c>
      <c r="C74" s="8">
        <f>+'Simulation and  VaR'!C87/'Simulation and  VaR'!C86-1</f>
        <v>-4.2382401398459169E-2</v>
      </c>
      <c r="D74" s="8">
        <f>+'Simulation and  VaR'!D87/'Simulation and  VaR'!D86-1</f>
        <v>-6.5019505851755532E-3</v>
      </c>
      <c r="E74" s="8">
        <f>+'Simulation and  VaR'!E87/'Simulation and  VaR'!E86-1</f>
        <v>2.5477707006369421E-3</v>
      </c>
      <c r="F74" s="8">
        <f>+'Simulation and  VaR'!F87/'Simulation and  VaR'!F86-1</f>
        <v>0</v>
      </c>
      <c r="G74" s="8">
        <f>+'Simulation and  VaR'!G87/'Simulation and  VaR'!G86-1</f>
        <v>1.1709601873536535E-2</v>
      </c>
      <c r="H74" s="8">
        <f>+'Simulation and  VaR'!H87/'Simulation and  VaR'!H86-1</f>
        <v>4.0092077498561363E-2</v>
      </c>
      <c r="I74" s="8">
        <f>+'Simulation and  VaR'!I87/'Simulation and  VaR'!I86-1</f>
        <v>-6.9926743411663939E-2</v>
      </c>
      <c r="J74" s="8">
        <f>+'Simulation and  VaR'!J87/'Simulation and  VaR'!J86-1</f>
        <v>0</v>
      </c>
      <c r="K74" s="8">
        <f>+'Simulation and  VaR'!K87/'Simulation and  VaR'!K86-1</f>
        <v>-1.8103413205321273E-2</v>
      </c>
      <c r="L74" s="8">
        <f>+'Simulation and  VaR'!L87/'Simulation and  VaR'!L86-1</f>
        <v>7.9125847776961855E-4</v>
      </c>
      <c r="N74" s="26">
        <f t="shared" si="11"/>
        <v>-5.0018098470100775E-2</v>
      </c>
      <c r="O74" s="26">
        <f t="shared" si="12"/>
        <v>-4.4899171417035762E-2</v>
      </c>
      <c r="P74" s="26">
        <f t="shared" si="13"/>
        <v>-8.7941589086264968E-3</v>
      </c>
      <c r="Q74" s="26">
        <f t="shared" si="14"/>
        <v>3.3501142812762371E-4</v>
      </c>
      <c r="R74" s="26">
        <f t="shared" si="15"/>
        <v>-2.1811094114447733E-3</v>
      </c>
      <c r="S74" s="26">
        <f t="shared" si="16"/>
        <v>9.5315999026149255E-3</v>
      </c>
      <c r="T74" s="26">
        <f t="shared" si="17"/>
        <v>3.4748697453500954E-2</v>
      </c>
      <c r="U74" s="26">
        <f t="shared" si="18"/>
        <v>-8.2328509540701311E-2</v>
      </c>
      <c r="V74" s="26">
        <f t="shared" si="19"/>
        <v>-1.0229205971642284E-2</v>
      </c>
      <c r="W74" s="26">
        <f t="shared" si="20"/>
        <v>-1.6536497923449859E-2</v>
      </c>
      <c r="X74" s="26">
        <f t="shared" si="21"/>
        <v>4.3154935915253254E-3</v>
      </c>
      <c r="AM74" s="27">
        <v>4.886726352450757E-3</v>
      </c>
      <c r="AN74" s="27">
        <v>3.8136383370894335E-3</v>
      </c>
      <c r="AO74" s="27">
        <v>3.2503260494231509E-3</v>
      </c>
      <c r="AP74" s="27">
        <v>5.8287689560559801E-4</v>
      </c>
      <c r="AQ74" s="27">
        <v>2.7370263289263281E-3</v>
      </c>
      <c r="AR74" s="27">
        <v>-7.0551461377218289E-4</v>
      </c>
      <c r="AS74" s="27">
        <v>1.8431085698341397E-3</v>
      </c>
      <c r="AT74" s="27">
        <v>-6.0102472111141451E-3</v>
      </c>
      <c r="AU74" s="27">
        <v>6.6890553780648773E-3</v>
      </c>
      <c r="AV74" s="27">
        <v>-1.1754589562625701E-2</v>
      </c>
      <c r="AW74" s="27">
        <v>2.4577695929706322E-2</v>
      </c>
    </row>
    <row r="75" spans="2:49" x14ac:dyDescent="0.2">
      <c r="B75" s="8">
        <f>+'Simulation and  VaR'!B88/'Simulation and  VaR'!B87-1</f>
        <v>-0.13122181296088886</v>
      </c>
      <c r="C75" s="8">
        <f>+'Simulation and  VaR'!C88/'Simulation and  VaR'!C87-1</f>
        <v>-4.1720935663714043E-2</v>
      </c>
      <c r="D75" s="8">
        <f>+'Simulation and  VaR'!D88/'Simulation and  VaR'!D87-1</f>
        <v>-3.9267015706806463E-3</v>
      </c>
      <c r="E75" s="8">
        <f>+'Simulation and  VaR'!E88/'Simulation and  VaR'!E87-1</f>
        <v>-2.5412960609911828E-3</v>
      </c>
      <c r="F75" s="8">
        <f>+'Simulation and  VaR'!F88/'Simulation and  VaR'!F87-1</f>
        <v>-1.6009852216748666E-2</v>
      </c>
      <c r="G75" s="8">
        <f>+'Simulation and  VaR'!G88/'Simulation and  VaR'!G87-1</f>
        <v>-2.5462962962963021E-2</v>
      </c>
      <c r="H75" s="8">
        <f>+'Simulation and  VaR'!H88/'Simulation and  VaR'!H87-1</f>
        <v>-1.2910365178900873E-3</v>
      </c>
      <c r="I75" s="8">
        <f>+'Simulation and  VaR'!I88/'Simulation and  VaR'!I87-1</f>
        <v>2.5572831423894549E-3</v>
      </c>
      <c r="J75" s="8">
        <f>+'Simulation and  VaR'!J88/'Simulation and  VaR'!J87-1</f>
        <v>0</v>
      </c>
      <c r="K75" s="8">
        <f>+'Simulation and  VaR'!K88/'Simulation and  VaR'!K87-1</f>
        <v>1.0357971494862506E-2</v>
      </c>
      <c r="L75" s="8">
        <f>+'Simulation and  VaR'!L88/'Simulation and  VaR'!L87-1</f>
        <v>5.0826399608447925E-3</v>
      </c>
      <c r="N75" s="26">
        <f t="shared" si="11"/>
        <v>-0.13574273745331392</v>
      </c>
      <c r="O75" s="26">
        <f t="shared" si="12"/>
        <v>-4.4237705682290636E-2</v>
      </c>
      <c r="P75" s="26">
        <f t="shared" si="13"/>
        <v>-6.2189098941315898E-3</v>
      </c>
      <c r="Q75" s="26">
        <f t="shared" si="14"/>
        <v>-4.7540553335005016E-3</v>
      </c>
      <c r="R75" s="26">
        <f t="shared" si="15"/>
        <v>-1.819096162819344E-2</v>
      </c>
      <c r="S75" s="26">
        <f t="shared" si="16"/>
        <v>-2.764096493388463E-2</v>
      </c>
      <c r="T75" s="26">
        <f t="shared" si="17"/>
        <v>-6.6344165629504924E-3</v>
      </c>
      <c r="U75" s="26">
        <f t="shared" si="18"/>
        <v>-9.8444829866479247E-3</v>
      </c>
      <c r="V75" s="26">
        <f t="shared" si="19"/>
        <v>-1.0229205971642284E-2</v>
      </c>
      <c r="W75" s="26">
        <f t="shared" si="20"/>
        <v>1.1924886776733919E-2</v>
      </c>
      <c r="X75" s="26">
        <f t="shared" si="21"/>
        <v>8.6068750746004993E-3</v>
      </c>
    </row>
    <row r="76" spans="2:49" ht="20" x14ac:dyDescent="0.2">
      <c r="B76" s="8">
        <f>+'Simulation and  VaR'!B89/'Simulation and  VaR'!B88-1</f>
        <v>8.6812965803544362E-2</v>
      </c>
      <c r="C76" s="8">
        <f>+'Simulation and  VaR'!C89/'Simulation and  VaR'!C88-1</f>
        <v>-9.6682762839764846E-3</v>
      </c>
      <c r="D76" s="8">
        <f>+'Simulation and  VaR'!D89/'Simulation and  VaR'!D88-1</f>
        <v>9.1984231274639949E-3</v>
      </c>
      <c r="E76" s="8">
        <f>+'Simulation and  VaR'!E89/'Simulation and  VaR'!E88-1</f>
        <v>7.6433121019108263E-3</v>
      </c>
      <c r="F76" s="8">
        <f>+'Simulation and  VaR'!F89/'Simulation and  VaR'!F88-1</f>
        <v>1.126408010012514E-2</v>
      </c>
      <c r="G76" s="8">
        <f>+'Simulation and  VaR'!G89/'Simulation and  VaR'!G88-1</f>
        <v>1.1876484560569001E-3</v>
      </c>
      <c r="H76" s="8">
        <f>+'Simulation and  VaR'!H89/'Simulation and  VaR'!H88-1</f>
        <v>-0.11385041551246544</v>
      </c>
      <c r="I76" s="8">
        <f>+'Simulation and  VaR'!I89/'Simulation and  VaR'!I88-1</f>
        <v>7.6522803795531003E-2</v>
      </c>
      <c r="J76" s="8">
        <f>+'Simulation and  VaR'!J89/'Simulation and  VaR'!J88-1</f>
        <v>0</v>
      </c>
      <c r="K76" s="8">
        <f>+'Simulation and  VaR'!K89/'Simulation and  VaR'!K88-1</f>
        <v>-3.9161814155663E-2</v>
      </c>
      <c r="L76" s="8">
        <f>+'Simulation and  VaR'!L89/'Simulation and  VaR'!L88-1</f>
        <v>4.929577464788748E-2</v>
      </c>
      <c r="N76" s="26">
        <f t="shared" si="11"/>
        <v>8.2292041311119307E-2</v>
      </c>
      <c r="O76" s="26">
        <f t="shared" si="12"/>
        <v>-1.2185046302553078E-2</v>
      </c>
      <c r="P76" s="26">
        <f t="shared" si="13"/>
        <v>6.9062148040130514E-3</v>
      </c>
      <c r="Q76" s="26">
        <f t="shared" si="14"/>
        <v>5.4305528294015075E-3</v>
      </c>
      <c r="R76" s="26">
        <f t="shared" si="15"/>
        <v>9.0829706886803672E-3</v>
      </c>
      <c r="S76" s="26">
        <f t="shared" si="16"/>
        <v>-9.9035351486470927E-4</v>
      </c>
      <c r="T76" s="26">
        <f t="shared" si="17"/>
        <v>-0.11919379555752585</v>
      </c>
      <c r="U76" s="26">
        <f t="shared" si="18"/>
        <v>6.412103766649363E-2</v>
      </c>
      <c r="V76" s="26">
        <f t="shared" si="19"/>
        <v>-1.0229205971642284E-2</v>
      </c>
      <c r="W76" s="26">
        <f t="shared" si="20"/>
        <v>-3.7594898873791582E-2</v>
      </c>
      <c r="X76" s="26">
        <f t="shared" si="21"/>
        <v>5.2820009761643187E-2</v>
      </c>
      <c r="AM76" s="39" t="s">
        <v>48</v>
      </c>
    </row>
    <row r="77" spans="2:49" x14ac:dyDescent="0.2">
      <c r="B77" s="8">
        <f>+'Simulation and  VaR'!B90/'Simulation and  VaR'!B89-1</f>
        <v>-4.9325455556356923E-2</v>
      </c>
      <c r="C77" s="8">
        <f>+'Simulation and  VaR'!C90/'Simulation and  VaR'!C89-1</f>
        <v>2.2533517251612789E-3</v>
      </c>
      <c r="D77" s="8">
        <f>+'Simulation and  VaR'!D90/'Simulation and  VaR'!D89-1</f>
        <v>1.3020833333332593E-3</v>
      </c>
      <c r="E77" s="8">
        <f>+'Simulation and  VaR'!E90/'Simulation and  VaR'!E89-1</f>
        <v>2.5284450063209896E-3</v>
      </c>
      <c r="F77" s="8">
        <f>+'Simulation and  VaR'!F90/'Simulation and  VaR'!F89-1</f>
        <v>4.9504950495049549E-3</v>
      </c>
      <c r="G77" s="8">
        <f>+'Simulation and  VaR'!G90/'Simulation and  VaR'!G89-1</f>
        <v>7.1174377224199059E-3</v>
      </c>
      <c r="H77" s="8">
        <f>+'Simulation and  VaR'!H90/'Simulation and  VaR'!H89-1</f>
        <v>1.6567677399187186E-2</v>
      </c>
      <c r="I77" s="8">
        <f>+'Simulation and  VaR'!I90/'Simulation and  VaR'!I89-1</f>
        <v>5.9236091365747257E-2</v>
      </c>
      <c r="J77" s="8">
        <f>+'Simulation and  VaR'!J90/'Simulation and  VaR'!J89-1</f>
        <v>0</v>
      </c>
      <c r="K77" s="8">
        <f>+'Simulation and  VaR'!K90/'Simulation and  VaR'!K89-1</f>
        <v>-8.7490930818147072E-3</v>
      </c>
      <c r="L77" s="8">
        <f>+'Simulation and  VaR'!L90/'Simulation and  VaR'!L89-1</f>
        <v>5.7118377838061285E-4</v>
      </c>
      <c r="N77" s="26">
        <f t="shared" si="11"/>
        <v>-5.3846380048781978E-2</v>
      </c>
      <c r="O77" s="26">
        <f t="shared" si="12"/>
        <v>-2.6341829341531512E-4</v>
      </c>
      <c r="P77" s="26">
        <f t="shared" si="13"/>
        <v>-9.9012499011768467E-4</v>
      </c>
      <c r="Q77" s="26">
        <f t="shared" si="14"/>
        <v>3.1568573381167116E-4</v>
      </c>
      <c r="R77" s="26">
        <f t="shared" si="15"/>
        <v>2.7693856380601816E-3</v>
      </c>
      <c r="S77" s="26">
        <f t="shared" si="16"/>
        <v>4.9394357514982966E-3</v>
      </c>
      <c r="T77" s="26">
        <f t="shared" si="17"/>
        <v>1.1224297354126781E-2</v>
      </c>
      <c r="U77" s="26">
        <f t="shared" si="18"/>
        <v>4.6834325236709877E-2</v>
      </c>
      <c r="V77" s="26">
        <f t="shared" si="19"/>
        <v>-1.0229205971642284E-2</v>
      </c>
      <c r="W77" s="26">
        <f t="shared" si="20"/>
        <v>-7.1821777999432927E-3</v>
      </c>
      <c r="X77" s="26">
        <f t="shared" si="21"/>
        <v>4.0954188921363197E-3</v>
      </c>
      <c r="AM77" s="36" t="s">
        <v>59</v>
      </c>
      <c r="AN77" s="36"/>
      <c r="AO77" s="36"/>
      <c r="AP77" s="36"/>
      <c r="AQ77" s="36"/>
    </row>
    <row r="78" spans="2:49" x14ac:dyDescent="0.2">
      <c r="B78" s="8">
        <f>+'Simulation and  VaR'!B91/'Simulation and  VaR'!B90-1</f>
        <v>4.330221121061717E-2</v>
      </c>
      <c r="C78" s="8">
        <f>+'Simulation and  VaR'!C91/'Simulation and  VaR'!C90-1</f>
        <v>3.6269411681337571E-2</v>
      </c>
      <c r="D78" s="8">
        <f>+'Simulation and  VaR'!D91/'Simulation and  VaR'!D90-1</f>
        <v>1.950585175552666E-2</v>
      </c>
      <c r="E78" s="8">
        <f>+'Simulation and  VaR'!E91/'Simulation and  VaR'!E90-1</f>
        <v>1.0088272383354413E-2</v>
      </c>
      <c r="F78" s="8">
        <f>+'Simulation and  VaR'!F91/'Simulation and  VaR'!F90-1</f>
        <v>7.3891625615765122E-3</v>
      </c>
      <c r="G78" s="8">
        <f>+'Simulation and  VaR'!G91/'Simulation and  VaR'!G90-1</f>
        <v>0</v>
      </c>
      <c r="H78" s="8">
        <f>+'Simulation and  VaR'!H91/'Simulation and  VaR'!H90-1</f>
        <v>-1.0147601476014678E-2</v>
      </c>
      <c r="I78" s="8">
        <f>+'Simulation and  VaR'!I91/'Simulation and  VaR'!I90-1</f>
        <v>0.23040443808160327</v>
      </c>
      <c r="J78" s="8">
        <f>+'Simulation and  VaR'!J91/'Simulation and  VaR'!J90-1</f>
        <v>1.3425925925925926</v>
      </c>
      <c r="K78" s="8">
        <f>+'Simulation and  VaR'!K91/'Simulation and  VaR'!K90-1</f>
        <v>-1.5715146818220949E-2</v>
      </c>
      <c r="L78" s="8">
        <f>+'Simulation and  VaR'!L91/'Simulation and  VaR'!L90-1</f>
        <v>6.6005423148280284E-2</v>
      </c>
      <c r="N78" s="26">
        <f t="shared" si="11"/>
        <v>3.8781286718192115E-2</v>
      </c>
      <c r="O78" s="26">
        <f t="shared" si="12"/>
        <v>3.3752641662760978E-2</v>
      </c>
      <c r="P78" s="26">
        <f t="shared" si="13"/>
        <v>1.7213643432075716E-2</v>
      </c>
      <c r="Q78" s="26">
        <f t="shared" si="14"/>
        <v>7.8755131108450942E-3</v>
      </c>
      <c r="R78" s="26">
        <f t="shared" si="15"/>
        <v>5.2080531501317393E-3</v>
      </c>
      <c r="S78" s="26">
        <f t="shared" si="16"/>
        <v>-2.1780019709216093E-3</v>
      </c>
      <c r="T78" s="26">
        <f t="shared" si="17"/>
        <v>-1.5490981521075083E-2</v>
      </c>
      <c r="U78" s="26">
        <f t="shared" si="18"/>
        <v>0.2180026719525659</v>
      </c>
      <c r="V78" s="26">
        <f t="shared" si="19"/>
        <v>1.3323633866209503</v>
      </c>
      <c r="W78" s="26">
        <f t="shared" si="20"/>
        <v>-1.4148231536349535E-2</v>
      </c>
      <c r="X78" s="26">
        <f t="shared" si="21"/>
        <v>6.9529658262035984E-2</v>
      </c>
      <c r="AM78" s="35">
        <f t="array" ref="AM78:AW88">MMULT(AM64:AW74,TRANSPOSE(AM64:AW74))</f>
        <v>5.4169423202421844E-3</v>
      </c>
      <c r="AN78" s="35">
        <v>1.7676737047775052E-3</v>
      </c>
      <c r="AO78" s="35">
        <v>1.1654514408621925E-3</v>
      </c>
      <c r="AP78" s="35">
        <v>1.0021186318558183E-3</v>
      </c>
      <c r="AQ78" s="35">
        <v>9.2681128256068973E-4</v>
      </c>
      <c r="AR78" s="35">
        <v>8.3266864006789523E-4</v>
      </c>
      <c r="AS78" s="35">
        <v>-8.5525250221585997E-4</v>
      </c>
      <c r="AT78" s="35">
        <v>-6.0310956447181814E-4</v>
      </c>
      <c r="AU78" s="35">
        <v>3.9465515905971597E-4</v>
      </c>
      <c r="AV78" s="35">
        <v>-3.9259097383557989E-4</v>
      </c>
      <c r="AW78" s="35">
        <v>3.5966247260960863E-4</v>
      </c>
    </row>
    <row r="79" spans="2:49" x14ac:dyDescent="0.2">
      <c r="B79" s="8">
        <f>+'Simulation and  VaR'!B92/'Simulation and  VaR'!B91-1</f>
        <v>-8.463435830237076E-2</v>
      </c>
      <c r="C79" s="8">
        <f>+'Simulation and  VaR'!C92/'Simulation and  VaR'!C91-1</f>
        <v>-4.4886089043553179E-3</v>
      </c>
      <c r="D79" s="8">
        <f>+'Simulation and  VaR'!D92/'Simulation and  VaR'!D91-1</f>
        <v>2.5510204081631294E-3</v>
      </c>
      <c r="E79" s="8">
        <f>+'Simulation and  VaR'!E92/'Simulation and  VaR'!E91-1</f>
        <v>6.2421972534332237E-3</v>
      </c>
      <c r="F79" s="8">
        <f>+'Simulation and  VaR'!F92/'Simulation and  VaR'!F91-1</f>
        <v>9.7799511002445438E-3</v>
      </c>
      <c r="G79" s="8">
        <f>+'Simulation and  VaR'!G92/'Simulation and  VaR'!G91-1</f>
        <v>5.8892815076558858E-3</v>
      </c>
      <c r="H79" s="8">
        <f>+'Simulation and  VaR'!H92/'Simulation and  VaR'!H91-1</f>
        <v>-3.5207621414518053E-3</v>
      </c>
      <c r="I79" s="8">
        <f>+'Simulation and  VaR'!I92/'Simulation and  VaR'!I91-1</f>
        <v>0.27270743945894838</v>
      </c>
      <c r="J79" s="8">
        <f>+'Simulation and  VaR'!J92/'Simulation and  VaR'!J91-1</f>
        <v>0</v>
      </c>
      <c r="K79" s="8">
        <f>+'Simulation and  VaR'!K92/'Simulation and  VaR'!K91-1</f>
        <v>6.7801058571366202E-3</v>
      </c>
      <c r="L79" s="8">
        <f>+'Simulation and  VaR'!L92/'Simulation and  VaR'!L91-1</f>
        <v>-3.4607403440658602E-2</v>
      </c>
      <c r="N79" s="26">
        <f t="shared" si="11"/>
        <v>-8.9155282794795815E-2</v>
      </c>
      <c r="O79" s="26">
        <f t="shared" si="12"/>
        <v>-7.0053789229319119E-3</v>
      </c>
      <c r="P79" s="26">
        <f t="shared" si="13"/>
        <v>2.5881208471218537E-4</v>
      </c>
      <c r="Q79" s="26">
        <f t="shared" si="14"/>
        <v>4.0294379809239049E-3</v>
      </c>
      <c r="R79" s="26">
        <f t="shared" si="15"/>
        <v>7.598841688799771E-3</v>
      </c>
      <c r="S79" s="26">
        <f t="shared" si="16"/>
        <v>3.7112795367342764E-3</v>
      </c>
      <c r="T79" s="26">
        <f t="shared" si="17"/>
        <v>-8.8641421865122104E-3</v>
      </c>
      <c r="U79" s="26">
        <f t="shared" si="18"/>
        <v>0.260305673329911</v>
      </c>
      <c r="V79" s="26">
        <f t="shared" si="19"/>
        <v>-1.0229205971642284E-2</v>
      </c>
      <c r="W79" s="26">
        <f t="shared" si="20"/>
        <v>8.3470211390080339E-3</v>
      </c>
      <c r="X79" s="26">
        <f t="shared" si="21"/>
        <v>-3.1083168326902895E-2</v>
      </c>
      <c r="AM79" s="35">
        <v>1.7676737047775052E-3</v>
      </c>
      <c r="AN79" s="35">
        <v>1.4740724440008102E-3</v>
      </c>
      <c r="AO79" s="35">
        <v>8.9397421644477125E-4</v>
      </c>
      <c r="AP79" s="35">
        <v>7.5987654830825507E-4</v>
      </c>
      <c r="AQ79" s="35">
        <v>6.8246403512442478E-4</v>
      </c>
      <c r="AR79" s="35">
        <v>6.3132001893478201E-4</v>
      </c>
      <c r="AS79" s="35">
        <v>-5.4845128947745181E-4</v>
      </c>
      <c r="AT79" s="35">
        <v>5.464191926476123E-5</v>
      </c>
      <c r="AU79" s="35">
        <v>6.7840116118763412E-4</v>
      </c>
      <c r="AV79" s="35">
        <v>-1.2314167192020405E-4</v>
      </c>
      <c r="AW79" s="35">
        <v>2.315997541759787E-4</v>
      </c>
    </row>
    <row r="80" spans="2:49" x14ac:dyDescent="0.2">
      <c r="B80" s="8">
        <f>+'Simulation and  VaR'!B93/'Simulation and  VaR'!B92-1</f>
        <v>0.11990053643063003</v>
      </c>
      <c r="C80" s="8">
        <f>+'Simulation and  VaR'!C93/'Simulation and  VaR'!C92-1</f>
        <v>3.6144303823295587E-2</v>
      </c>
      <c r="D80" s="8">
        <f>+'Simulation and  VaR'!D93/'Simulation and  VaR'!D92-1</f>
        <v>2.0356234096692072E-2</v>
      </c>
      <c r="E80" s="8">
        <f>+'Simulation and  VaR'!E93/'Simulation and  VaR'!E92-1</f>
        <v>1.6129032258064502E-2</v>
      </c>
      <c r="F80" s="8">
        <f>+'Simulation and  VaR'!F93/'Simulation and  VaR'!F92-1</f>
        <v>8.4745762711864181E-3</v>
      </c>
      <c r="G80" s="8">
        <f>+'Simulation and  VaR'!G93/'Simulation and  VaR'!G92-1</f>
        <v>1.053864168618257E-2</v>
      </c>
      <c r="H80" s="8">
        <f>+'Simulation and  VaR'!H93/'Simulation and  VaR'!H92-1</f>
        <v>-2.3277564169177922E-2</v>
      </c>
      <c r="I80" s="8">
        <f>+'Simulation and  VaR'!I93/'Simulation and  VaR'!I92-1</f>
        <v>-1.5713387806411072E-2</v>
      </c>
      <c r="J80" s="8">
        <f>+'Simulation and  VaR'!J93/'Simulation and  VaR'!J92-1</f>
        <v>0</v>
      </c>
      <c r="K80" s="8">
        <f>+'Simulation and  VaR'!K93/'Simulation and  VaR'!K92-1</f>
        <v>3.975495307612098E-2</v>
      </c>
      <c r="L80" s="8">
        <f>+'Simulation and  VaR'!L93/'Simulation and  VaR'!L92-1</f>
        <v>-4.2781861045624869E-2</v>
      </c>
      <c r="N80" s="26">
        <f t="shared" si="11"/>
        <v>0.11537961193820498</v>
      </c>
      <c r="O80" s="26">
        <f t="shared" si="12"/>
        <v>3.3627533804718994E-2</v>
      </c>
      <c r="P80" s="26">
        <f t="shared" si="13"/>
        <v>1.8064025773241128E-2</v>
      </c>
      <c r="Q80" s="26">
        <f t="shared" si="14"/>
        <v>1.3916272985555183E-2</v>
      </c>
      <c r="R80" s="26">
        <f t="shared" si="15"/>
        <v>6.2934668597416452E-3</v>
      </c>
      <c r="S80" s="26">
        <f t="shared" si="16"/>
        <v>8.3606397152609611E-3</v>
      </c>
      <c r="T80" s="26">
        <f t="shared" si="17"/>
        <v>-2.8620944214238327E-2</v>
      </c>
      <c r="U80" s="26">
        <f t="shared" si="18"/>
        <v>-2.8115153935448452E-2</v>
      </c>
      <c r="V80" s="26">
        <f t="shared" si="19"/>
        <v>-1.0229205971642284E-2</v>
      </c>
      <c r="W80" s="26">
        <f t="shared" si="20"/>
        <v>4.1321868357992397E-2</v>
      </c>
      <c r="X80" s="26">
        <f t="shared" si="21"/>
        <v>-3.9257625931869163E-2</v>
      </c>
      <c r="AM80" s="35">
        <v>1.1654514408621925E-3</v>
      </c>
      <c r="AN80" s="35">
        <v>8.9397421644477125E-4</v>
      </c>
      <c r="AO80" s="35">
        <v>7.3997753772856324E-4</v>
      </c>
      <c r="AP80" s="35">
        <v>6.3547098851785716E-4</v>
      </c>
      <c r="AQ80" s="35">
        <v>5.8103634003881432E-4</v>
      </c>
      <c r="AR80" s="35">
        <v>5.2692407471868058E-4</v>
      </c>
      <c r="AS80" s="35">
        <v>-3.9208931959668395E-4</v>
      </c>
      <c r="AT80" s="35">
        <v>-4.1249695285012105E-5</v>
      </c>
      <c r="AU80" s="35">
        <v>4.4078302674869363E-4</v>
      </c>
      <c r="AV80" s="35">
        <v>-1.0450229778179507E-4</v>
      </c>
      <c r="AW80" s="35">
        <v>1.881863390961823E-4</v>
      </c>
    </row>
    <row r="81" spans="2:49" x14ac:dyDescent="0.2">
      <c r="B81" s="8">
        <f>+'Simulation and  VaR'!B94/'Simulation and  VaR'!B93-1</f>
        <v>4.7839589793705617E-2</v>
      </c>
      <c r="C81" s="8">
        <f>+'Simulation and  VaR'!C94/'Simulation and  VaR'!C93-1</f>
        <v>4.2018469680938475E-2</v>
      </c>
      <c r="D81" s="8">
        <f>+'Simulation and  VaR'!D94/'Simulation and  VaR'!D93-1</f>
        <v>2.9925187032419087E-2</v>
      </c>
      <c r="E81" s="8">
        <f>+'Simulation and  VaR'!E94/'Simulation and  VaR'!E93-1</f>
        <v>3.0525030525030417E-2</v>
      </c>
      <c r="F81" s="8">
        <f>+'Simulation and  VaR'!F94/'Simulation and  VaR'!F93-1</f>
        <v>3.4813925570227999E-2</v>
      </c>
      <c r="G81" s="8">
        <f>+'Simulation and  VaR'!G94/'Simulation and  VaR'!G93-1</f>
        <v>2.8968713789107703E-2</v>
      </c>
      <c r="H81" s="8">
        <f>+'Simulation and  VaR'!H94/'Simulation and  VaR'!H93-1</f>
        <v>-3.90467070964996E-2</v>
      </c>
      <c r="I81" s="8">
        <f>+'Simulation and  VaR'!I94/'Simulation and  VaR'!I93-1</f>
        <v>1.4222686636479631E-2</v>
      </c>
      <c r="J81" s="8">
        <f>+'Simulation and  VaR'!J94/'Simulation and  VaR'!J93-1</f>
        <v>0</v>
      </c>
      <c r="K81" s="8">
        <f>+'Simulation and  VaR'!K94/'Simulation and  VaR'!K93-1</f>
        <v>1.2953909155488663E-2</v>
      </c>
      <c r="L81" s="8">
        <f>+'Simulation and  VaR'!L94/'Simulation and  VaR'!L93-1</f>
        <v>1.2857660268018822E-2</v>
      </c>
      <c r="N81" s="26">
        <f t="shared" si="11"/>
        <v>4.3318665301280562E-2</v>
      </c>
      <c r="O81" s="26">
        <f t="shared" si="12"/>
        <v>3.9501699662361882E-2</v>
      </c>
      <c r="P81" s="26">
        <f t="shared" si="13"/>
        <v>2.7632978708968144E-2</v>
      </c>
      <c r="Q81" s="26">
        <f t="shared" si="14"/>
        <v>2.8312271252521098E-2</v>
      </c>
      <c r="R81" s="26">
        <f t="shared" si="15"/>
        <v>3.2632816158783225E-2</v>
      </c>
      <c r="S81" s="26">
        <f t="shared" si="16"/>
        <v>2.6790711818186094E-2</v>
      </c>
      <c r="T81" s="26">
        <f t="shared" si="17"/>
        <v>-4.4390087141560008E-2</v>
      </c>
      <c r="U81" s="26">
        <f t="shared" si="18"/>
        <v>1.8209205074422516E-3</v>
      </c>
      <c r="V81" s="26">
        <f t="shared" si="19"/>
        <v>-1.0229205971642284E-2</v>
      </c>
      <c r="W81" s="26">
        <f t="shared" si="20"/>
        <v>1.4520824437360077E-2</v>
      </c>
      <c r="X81" s="26">
        <f t="shared" si="21"/>
        <v>1.6381895381774529E-2</v>
      </c>
      <c r="AM81" s="35">
        <v>1.0021186318558183E-3</v>
      </c>
      <c r="AN81" s="35">
        <v>7.5987654830825507E-4</v>
      </c>
      <c r="AO81" s="35">
        <v>6.3547098851785716E-4</v>
      </c>
      <c r="AP81" s="35">
        <v>5.9705743124708211E-4</v>
      </c>
      <c r="AQ81" s="35">
        <v>5.4855392730570013E-4</v>
      </c>
      <c r="AR81" s="35">
        <v>4.9696129709805468E-4</v>
      </c>
      <c r="AS81" s="35">
        <v>-3.6646634720822042E-4</v>
      </c>
      <c r="AT81" s="35">
        <v>-9.8341161169294001E-5</v>
      </c>
      <c r="AU81" s="35">
        <v>3.5043998645975483E-4</v>
      </c>
      <c r="AV81" s="35">
        <v>-8.7300328497902959E-5</v>
      </c>
      <c r="AW81" s="35">
        <v>1.6584699997137747E-4</v>
      </c>
    </row>
    <row r="82" spans="2:49" x14ac:dyDescent="0.2">
      <c r="B82" s="8">
        <f>+'Simulation and  VaR'!B95/'Simulation and  VaR'!B94-1</f>
        <v>-1.3303582646809198E-2</v>
      </c>
      <c r="C82" s="8">
        <f>+'Simulation and  VaR'!C95/'Simulation and  VaR'!C94-1</f>
        <v>8.4452168803990091E-3</v>
      </c>
      <c r="D82" s="8">
        <f>+'Simulation and  VaR'!D95/'Simulation and  VaR'!D94-1</f>
        <v>1.4527845036319542E-2</v>
      </c>
      <c r="E82" s="8">
        <f>+'Simulation and  VaR'!E95/'Simulation and  VaR'!E94-1</f>
        <v>1.7772511848341166E-2</v>
      </c>
      <c r="F82" s="8">
        <f>+'Simulation and  VaR'!F95/'Simulation and  VaR'!F94-1</f>
        <v>2.5522041763341052E-2</v>
      </c>
      <c r="G82" s="8">
        <f>+'Simulation and  VaR'!G95/'Simulation and  VaR'!G94-1</f>
        <v>2.0270270270270396E-2</v>
      </c>
      <c r="H82" s="8">
        <f>+'Simulation and  VaR'!H95/'Simulation and  VaR'!H94-1</f>
        <v>-3.3547387068201928E-2</v>
      </c>
      <c r="I82" s="8">
        <f>+'Simulation and  VaR'!I95/'Simulation and  VaR'!I94-1</f>
        <v>-0.11848205597847861</v>
      </c>
      <c r="J82" s="8">
        <f>+'Simulation and  VaR'!J95/'Simulation and  VaR'!J94-1</f>
        <v>0</v>
      </c>
      <c r="K82" s="8">
        <f>+'Simulation and  VaR'!K95/'Simulation and  VaR'!K94-1</f>
        <v>-1.1550678602367914E-2</v>
      </c>
      <c r="L82" s="8">
        <f>+'Simulation and  VaR'!L95/'Simulation and  VaR'!L94-1</f>
        <v>8.1888074378688724E-3</v>
      </c>
      <c r="N82" s="26">
        <f t="shared" si="11"/>
        <v>-1.7824507139234252E-2</v>
      </c>
      <c r="O82" s="26">
        <f t="shared" si="12"/>
        <v>5.9284468618224151E-3</v>
      </c>
      <c r="P82" s="26">
        <f t="shared" si="13"/>
        <v>1.2235636712868599E-2</v>
      </c>
      <c r="Q82" s="26">
        <f t="shared" si="14"/>
        <v>1.5559752575831847E-2</v>
      </c>
      <c r="R82" s="26">
        <f t="shared" si="15"/>
        <v>2.3340932351896278E-2</v>
      </c>
      <c r="S82" s="26">
        <f t="shared" si="16"/>
        <v>1.8092268299348787E-2</v>
      </c>
      <c r="T82" s="26">
        <f t="shared" si="17"/>
        <v>-3.8890767113262337E-2</v>
      </c>
      <c r="U82" s="26">
        <f t="shared" si="18"/>
        <v>-0.13088382210751598</v>
      </c>
      <c r="V82" s="26">
        <f t="shared" si="19"/>
        <v>-1.0229205971642284E-2</v>
      </c>
      <c r="W82" s="26">
        <f t="shared" si="20"/>
        <v>-9.9837633204965005E-3</v>
      </c>
      <c r="X82" s="26">
        <f t="shared" si="21"/>
        <v>1.1713042551624579E-2</v>
      </c>
      <c r="AM82" s="35">
        <v>9.2681128256068973E-4</v>
      </c>
      <c r="AN82" s="35">
        <v>6.8246403512442478E-4</v>
      </c>
      <c r="AO82" s="35">
        <v>5.8103634003881432E-4</v>
      </c>
      <c r="AP82" s="35">
        <v>5.4855392730570013E-4</v>
      </c>
      <c r="AQ82" s="35">
        <v>5.6765025371002201E-4</v>
      </c>
      <c r="AR82" s="35">
        <v>4.908174363610397E-4</v>
      </c>
      <c r="AS82" s="35">
        <v>-2.9885566713187573E-4</v>
      </c>
      <c r="AT82" s="35">
        <v>-8.7529881839739138E-5</v>
      </c>
      <c r="AU82" s="35">
        <v>2.7140792101243172E-4</v>
      </c>
      <c r="AV82" s="35">
        <v>-1.029789042313382E-4</v>
      </c>
      <c r="AW82" s="35">
        <v>1.7382607908494373E-4</v>
      </c>
    </row>
    <row r="83" spans="2:49" x14ac:dyDescent="0.2">
      <c r="B83" s="8">
        <f>+'Simulation and  VaR'!B96/'Simulation and  VaR'!B95-1</f>
        <v>-4.0131478919151142E-2</v>
      </c>
      <c r="C83" s="8">
        <f>+'Simulation and  VaR'!C96/'Simulation and  VaR'!C95-1</f>
        <v>-5.3268620168335223E-3</v>
      </c>
      <c r="D83" s="8">
        <f>+'Simulation and  VaR'!D96/'Simulation and  VaR'!D95-1</f>
        <v>1.1933174224343812E-2</v>
      </c>
      <c r="E83" s="8">
        <f>+'Simulation and  VaR'!E96/'Simulation and  VaR'!E95-1</f>
        <v>1.9790454016298087E-2</v>
      </c>
      <c r="F83" s="8">
        <f>+'Simulation and  VaR'!F96/'Simulation and  VaR'!F95-1</f>
        <v>2.7149321266968451E-2</v>
      </c>
      <c r="G83" s="8">
        <f>+'Simulation and  VaR'!G96/'Simulation and  VaR'!G95-1</f>
        <v>2.4282560706401668E-2</v>
      </c>
      <c r="H83" s="8">
        <f>+'Simulation and  VaR'!H96/'Simulation and  VaR'!H95-1</f>
        <v>-1.4663764463283324E-2</v>
      </c>
      <c r="I83" s="8">
        <f>+'Simulation and  VaR'!I96/'Simulation and  VaR'!I95-1</f>
        <v>-2.7595610674631565E-2</v>
      </c>
      <c r="J83" s="8">
        <f>+'Simulation and  VaR'!J96/'Simulation and  VaR'!J95-1</f>
        <v>0</v>
      </c>
      <c r="K83" s="8">
        <f>+'Simulation and  VaR'!K96/'Simulation and  VaR'!K95-1</f>
        <v>-2.2953966862817587E-3</v>
      </c>
      <c r="L83" s="8">
        <f>+'Simulation and  VaR'!L96/'Simulation and  VaR'!L95-1</f>
        <v>8.2287011420869582E-3</v>
      </c>
      <c r="N83" s="26">
        <f t="shared" si="11"/>
        <v>-4.4652403411576197E-2</v>
      </c>
      <c r="O83" s="26">
        <f t="shared" si="12"/>
        <v>-7.8436320354101155E-3</v>
      </c>
      <c r="P83" s="26">
        <f t="shared" si="13"/>
        <v>9.6409659008928686E-3</v>
      </c>
      <c r="Q83" s="26">
        <f t="shared" si="14"/>
        <v>1.7577694743788768E-2</v>
      </c>
      <c r="R83" s="26">
        <f t="shared" si="15"/>
        <v>2.4968211855523677E-2</v>
      </c>
      <c r="S83" s="26">
        <f t="shared" si="16"/>
        <v>2.2104558735480059E-2</v>
      </c>
      <c r="T83" s="26">
        <f t="shared" si="17"/>
        <v>-2.0007144508343729E-2</v>
      </c>
      <c r="U83" s="26">
        <f t="shared" si="18"/>
        <v>-3.9997376803668945E-2</v>
      </c>
      <c r="V83" s="26">
        <f t="shared" si="19"/>
        <v>-1.0229205971642284E-2</v>
      </c>
      <c r="W83" s="26">
        <f t="shared" si="20"/>
        <v>-7.284814044103442E-4</v>
      </c>
      <c r="X83" s="26">
        <f t="shared" si="21"/>
        <v>1.1752936255842665E-2</v>
      </c>
      <c r="AM83" s="35">
        <v>8.3266864006789523E-4</v>
      </c>
      <c r="AN83" s="35">
        <v>6.3132001893478201E-4</v>
      </c>
      <c r="AO83" s="35">
        <v>5.2692407471868058E-4</v>
      </c>
      <c r="AP83" s="35">
        <v>4.9696129709805468E-4</v>
      </c>
      <c r="AQ83" s="35">
        <v>4.908174363610397E-4</v>
      </c>
      <c r="AR83" s="35">
        <v>4.842900299066734E-4</v>
      </c>
      <c r="AS83" s="35">
        <v>-2.9146849002284773E-4</v>
      </c>
      <c r="AT83" s="35">
        <v>-9.0539418893644457E-5</v>
      </c>
      <c r="AU83" s="35">
        <v>2.2708681846573422E-4</v>
      </c>
      <c r="AV83" s="35">
        <v>-6.8518759278536878E-5</v>
      </c>
      <c r="AW83" s="35">
        <v>1.4439348117256938E-4</v>
      </c>
    </row>
    <row r="84" spans="2:49" x14ac:dyDescent="0.2">
      <c r="B84" s="8">
        <f>+'Simulation and  VaR'!B97/'Simulation and  VaR'!B96-1</f>
        <v>-4.5781145908668663E-2</v>
      </c>
      <c r="C84" s="8">
        <f>+'Simulation and  VaR'!C97/'Simulation and  VaR'!C96-1</f>
        <v>3.5716652309323527E-2</v>
      </c>
      <c r="D84" s="8">
        <f>+'Simulation and  VaR'!D97/'Simulation and  VaR'!D96-1</f>
        <v>2.9481132075471761E-2</v>
      </c>
      <c r="E84" s="8">
        <f>+'Simulation and  VaR'!E97/'Simulation and  VaR'!E96-1</f>
        <v>2.9680365296803624E-2</v>
      </c>
      <c r="F84" s="8">
        <f>+'Simulation and  VaR'!F97/'Simulation and  VaR'!F96-1</f>
        <v>3.6343612334801767E-2</v>
      </c>
      <c r="G84" s="8">
        <f>+'Simulation and  VaR'!G97/'Simulation and  VaR'!G96-1</f>
        <v>2.2629310344827624E-2</v>
      </c>
      <c r="H84" s="8">
        <f>+'Simulation and  VaR'!H97/'Simulation and  VaR'!H96-1</f>
        <v>-7.7781653296128295E-2</v>
      </c>
      <c r="I84" s="8">
        <f>+'Simulation and  VaR'!I97/'Simulation and  VaR'!I96-1</f>
        <v>6.1765491452991483E-2</v>
      </c>
      <c r="J84" s="8">
        <f>+'Simulation and  VaR'!J97/'Simulation and  VaR'!J96-1</f>
        <v>0</v>
      </c>
      <c r="K84" s="8">
        <f>+'Simulation and  VaR'!K97/'Simulation and  VaR'!K96-1</f>
        <v>-1.4640675980925888E-3</v>
      </c>
      <c r="L84" s="8">
        <f>+'Simulation and  VaR'!L97/'Simulation and  VaR'!L96-1</f>
        <v>4.9215506930275099E-2</v>
      </c>
      <c r="N84" s="26">
        <f t="shared" si="11"/>
        <v>-5.0302070401093718E-2</v>
      </c>
      <c r="O84" s="26">
        <f t="shared" si="12"/>
        <v>3.3199882290746933E-2</v>
      </c>
      <c r="P84" s="26">
        <f t="shared" si="13"/>
        <v>2.7188923752020817E-2</v>
      </c>
      <c r="Q84" s="26">
        <f t="shared" si="14"/>
        <v>2.7467606024294305E-2</v>
      </c>
      <c r="R84" s="26">
        <f t="shared" si="15"/>
        <v>3.4162502923356992E-2</v>
      </c>
      <c r="S84" s="26">
        <f t="shared" si="16"/>
        <v>2.0451308373906015E-2</v>
      </c>
      <c r="T84" s="26">
        <f t="shared" si="17"/>
        <v>-8.3125033341188703E-2</v>
      </c>
      <c r="U84" s="26">
        <f t="shared" si="18"/>
        <v>4.9363725323954104E-2</v>
      </c>
      <c r="V84" s="26">
        <f t="shared" si="19"/>
        <v>-1.0229205971642284E-2</v>
      </c>
      <c r="W84" s="26">
        <f t="shared" si="20"/>
        <v>1.0284768377882576E-4</v>
      </c>
      <c r="X84" s="26">
        <f t="shared" si="21"/>
        <v>5.2739742044030806E-2</v>
      </c>
      <c r="AM84" s="35">
        <v>-8.5525250221585997E-4</v>
      </c>
      <c r="AN84" s="35">
        <v>-5.4845128947745181E-4</v>
      </c>
      <c r="AO84" s="35">
        <v>-3.9208931959668395E-4</v>
      </c>
      <c r="AP84" s="35">
        <v>-3.6646634720822042E-4</v>
      </c>
      <c r="AQ84" s="35">
        <v>-2.9885566713187573E-4</v>
      </c>
      <c r="AR84" s="35">
        <v>-2.9146849002284773E-4</v>
      </c>
      <c r="AS84" s="35">
        <v>2.162575138737308E-3</v>
      </c>
      <c r="AT84" s="35">
        <v>1.1137919489540159E-4</v>
      </c>
      <c r="AU84" s="35">
        <v>-2.7201402861004803E-4</v>
      </c>
      <c r="AV84" s="35">
        <v>-2.3682559368339159E-6</v>
      </c>
      <c r="AW84" s="35">
        <v>-1.2826715940619481E-5</v>
      </c>
    </row>
    <row r="85" spans="2:49" x14ac:dyDescent="0.2">
      <c r="B85" s="8">
        <f>+'Simulation and  VaR'!B98/'Simulation and  VaR'!B97-1</f>
        <v>0.1911118536992491</v>
      </c>
      <c r="C85" s="8">
        <f>+'Simulation and  VaR'!C98/'Simulation and  VaR'!C97-1</f>
        <v>3.0593846321177232E-2</v>
      </c>
      <c r="D85" s="8">
        <f>+'Simulation and  VaR'!D98/'Simulation and  VaR'!D97-1</f>
        <v>3.2073310423825774E-2</v>
      </c>
      <c r="E85" s="8">
        <f>+'Simulation and  VaR'!E98/'Simulation and  VaR'!E97-1</f>
        <v>2.9933481152993213E-2</v>
      </c>
      <c r="F85" s="8">
        <f>+'Simulation and  VaR'!F98/'Simulation and  VaR'!F97-1</f>
        <v>2.8692879914983926E-2</v>
      </c>
      <c r="G85" s="8">
        <f>+'Simulation and  VaR'!G98/'Simulation and  VaR'!G97-1</f>
        <v>3.0558482613276983E-2</v>
      </c>
      <c r="H85" s="8">
        <f>+'Simulation and  VaR'!H98/'Simulation and  VaR'!H97-1</f>
        <v>-9.0141200201714677E-2</v>
      </c>
      <c r="I85" s="8">
        <f>+'Simulation and  VaR'!I98/'Simulation and  VaR'!I97-1</f>
        <v>-4.0877932205521716E-2</v>
      </c>
      <c r="J85" s="8">
        <f>+'Simulation and  VaR'!J98/'Simulation and  VaR'!J97-1</f>
        <v>0</v>
      </c>
      <c r="K85" s="8">
        <f>+'Simulation and  VaR'!K98/'Simulation and  VaR'!K97-1</f>
        <v>-2.9659419379162943E-2</v>
      </c>
      <c r="L85" s="8">
        <f>+'Simulation and  VaR'!L98/'Simulation and  VaR'!L97-1</f>
        <v>1.5758591785414833E-2</v>
      </c>
      <c r="N85" s="26">
        <f t="shared" si="11"/>
        <v>0.18659092920682405</v>
      </c>
      <c r="O85" s="26">
        <f t="shared" si="12"/>
        <v>2.8077076302600638E-2</v>
      </c>
      <c r="P85" s="26">
        <f t="shared" si="13"/>
        <v>2.978110210037483E-2</v>
      </c>
      <c r="Q85" s="26">
        <f t="shared" si="14"/>
        <v>2.7720721880483894E-2</v>
      </c>
      <c r="R85" s="26">
        <f t="shared" si="15"/>
        <v>2.6511770503539152E-2</v>
      </c>
      <c r="S85" s="26">
        <f t="shared" si="16"/>
        <v>2.8380480642355373E-2</v>
      </c>
      <c r="T85" s="26">
        <f t="shared" si="17"/>
        <v>-9.5484580246775086E-2</v>
      </c>
      <c r="U85" s="26">
        <f t="shared" si="18"/>
        <v>-5.3279698334559096E-2</v>
      </c>
      <c r="V85" s="26">
        <f t="shared" si="19"/>
        <v>-1.0229205971642284E-2</v>
      </c>
      <c r="W85" s="26">
        <f t="shared" si="20"/>
        <v>-2.809250409729153E-2</v>
      </c>
      <c r="X85" s="26">
        <f t="shared" si="21"/>
        <v>1.928282689917054E-2</v>
      </c>
      <c r="AM85" s="35">
        <v>-6.0310956447181814E-4</v>
      </c>
      <c r="AN85" s="35">
        <v>5.464191926476123E-5</v>
      </c>
      <c r="AO85" s="35">
        <v>-4.1249695285012105E-5</v>
      </c>
      <c r="AP85" s="35">
        <v>-9.8341161169294001E-5</v>
      </c>
      <c r="AQ85" s="35">
        <v>-8.7529881839739138E-5</v>
      </c>
      <c r="AR85" s="35">
        <v>-9.0539418893644457E-5</v>
      </c>
      <c r="AS85" s="35">
        <v>1.1137919489540159E-4</v>
      </c>
      <c r="AT85" s="35">
        <v>5.6111809296600576E-3</v>
      </c>
      <c r="AU85" s="35">
        <v>1.5863621893787952E-3</v>
      </c>
      <c r="AV85" s="35">
        <v>6.2831333403792333E-4</v>
      </c>
      <c r="AW85" s="35">
        <v>-4.5965559518841115E-4</v>
      </c>
    </row>
    <row r="86" spans="2:49" x14ac:dyDescent="0.2">
      <c r="B86" s="8">
        <f>+'Simulation and  VaR'!B99/'Simulation and  VaR'!B98-1</f>
        <v>-0.10166679633458031</v>
      </c>
      <c r="C86" s="8">
        <f>+'Simulation and  VaR'!C99/'Simulation and  VaR'!C98-1</f>
        <v>-8.1833059428659816E-4</v>
      </c>
      <c r="D86" s="8">
        <f>+'Simulation and  VaR'!D99/'Simulation and  VaR'!D98-1</f>
        <v>2.6637069922308632E-2</v>
      </c>
      <c r="E86" s="8">
        <f>+'Simulation and  VaR'!E99/'Simulation and  VaR'!E98-1</f>
        <v>4.0904198062432728E-2</v>
      </c>
      <c r="F86" s="8">
        <f>+'Simulation and  VaR'!F99/'Simulation and  VaR'!F98-1</f>
        <v>3.8223140495867725E-2</v>
      </c>
      <c r="G86" s="8">
        <f>+'Simulation and  VaR'!G99/'Simulation and  VaR'!G98-1</f>
        <v>4.1922290388548111E-2</v>
      </c>
      <c r="H86" s="8">
        <f>+'Simulation and  VaR'!H99/'Simulation and  VaR'!H98-1</f>
        <v>-0.11930164888457817</v>
      </c>
      <c r="I86" s="8">
        <f>+'Simulation and  VaR'!I99/'Simulation and  VaR'!I98-1</f>
        <v>-3.2784735427185074E-2</v>
      </c>
      <c r="J86" s="8">
        <f>+'Simulation and  VaR'!J99/'Simulation and  VaR'!J98-1</f>
        <v>0</v>
      </c>
      <c r="K86" s="8">
        <f>+'Simulation and  VaR'!K99/'Simulation and  VaR'!K98-1</f>
        <v>7.037085006259991E-3</v>
      </c>
      <c r="L86" s="8">
        <f>+'Simulation and  VaR'!L99/'Simulation and  VaR'!L98-1</f>
        <v>-1.5217032513616169E-2</v>
      </c>
      <c r="N86" s="26">
        <f t="shared" si="11"/>
        <v>-0.10618772082700537</v>
      </c>
      <c r="O86" s="26">
        <f t="shared" si="12"/>
        <v>-3.3351006128631922E-3</v>
      </c>
      <c r="P86" s="26">
        <f t="shared" si="13"/>
        <v>2.4344861598857688E-2</v>
      </c>
      <c r="Q86" s="26">
        <f t="shared" si="14"/>
        <v>3.8691438789923413E-2</v>
      </c>
      <c r="R86" s="26">
        <f t="shared" si="15"/>
        <v>3.604203108442295E-2</v>
      </c>
      <c r="S86" s="26">
        <f t="shared" si="16"/>
        <v>3.9744288417626505E-2</v>
      </c>
      <c r="T86" s="26">
        <f t="shared" si="17"/>
        <v>-0.12464502892963858</v>
      </c>
      <c r="U86" s="26">
        <f t="shared" si="18"/>
        <v>-4.5186501556222454E-2</v>
      </c>
      <c r="V86" s="26">
        <f t="shared" si="19"/>
        <v>-1.0229205971642284E-2</v>
      </c>
      <c r="W86" s="26">
        <f t="shared" si="20"/>
        <v>8.6040002881314047E-3</v>
      </c>
      <c r="X86" s="26">
        <f t="shared" si="21"/>
        <v>-1.1692797399860462E-2</v>
      </c>
      <c r="AM86" s="35">
        <v>3.9465515905971597E-4</v>
      </c>
      <c r="AN86" s="35">
        <v>6.7840116118763412E-4</v>
      </c>
      <c r="AO86" s="35">
        <v>4.4078302674869363E-4</v>
      </c>
      <c r="AP86" s="35">
        <v>3.5043998645975483E-4</v>
      </c>
      <c r="AQ86" s="35">
        <v>2.7140792101243172E-4</v>
      </c>
      <c r="AR86" s="35">
        <v>2.2708681846573422E-4</v>
      </c>
      <c r="AS86" s="35">
        <v>-2.7201402861004803E-4</v>
      </c>
      <c r="AT86" s="35">
        <v>1.5863621893787952E-3</v>
      </c>
      <c r="AU86" s="35">
        <v>1.0949765440290429E-2</v>
      </c>
      <c r="AV86" s="35">
        <v>-1.2834525763443617E-4</v>
      </c>
      <c r="AW86" s="35">
        <v>6.4581455485440622E-4</v>
      </c>
    </row>
    <row r="87" spans="2:49" x14ac:dyDescent="0.2">
      <c r="B87" s="8">
        <f>+'Simulation and  VaR'!B100/'Simulation and  VaR'!B99-1</f>
        <v>-7.6197968221231593E-2</v>
      </c>
      <c r="C87" s="8">
        <f>+'Simulation and  VaR'!C100/'Simulation and  VaR'!C99-1</f>
        <v>-1.7481431276794024E-2</v>
      </c>
      <c r="D87" s="8">
        <f>+'Simulation and  VaR'!D100/'Simulation and  VaR'!D99-1</f>
        <v>3.2432432432432101E-3</v>
      </c>
      <c r="E87" s="8">
        <f>+'Simulation and  VaR'!E100/'Simulation and  VaR'!E99-1</f>
        <v>-2.0682523267838704E-3</v>
      </c>
      <c r="F87" s="8">
        <f>+'Simulation and  VaR'!F100/'Simulation and  VaR'!F99-1</f>
        <v>2.4875621890547261E-2</v>
      </c>
      <c r="G87" s="8">
        <f>+'Simulation and  VaR'!G100/'Simulation and  VaR'!G99-1</f>
        <v>2.9440628066732089E-2</v>
      </c>
      <c r="H87" s="8">
        <f>+'Simulation and  VaR'!H100/'Simulation and  VaR'!H99-1</f>
        <v>0.16299559471365654</v>
      </c>
      <c r="I87" s="8">
        <f>+'Simulation and  VaR'!I100/'Simulation and  VaR'!I99-1</f>
        <v>0.14066842925903322</v>
      </c>
      <c r="J87" s="8">
        <f>+'Simulation and  VaR'!J100/'Simulation and  VaR'!J99-1</f>
        <v>0.10375494071146263</v>
      </c>
      <c r="K87" s="8">
        <f>+'Simulation and  VaR'!K100/'Simulation and  VaR'!K99-1</f>
        <v>1.286118494383981E-3</v>
      </c>
      <c r="L87" s="8">
        <f>+'Simulation and  VaR'!L100/'Simulation and  VaR'!L99-1</f>
        <v>5.3965274519005568E-3</v>
      </c>
      <c r="N87" s="26">
        <f t="shared" si="11"/>
        <v>-8.0718892713656648E-2</v>
      </c>
      <c r="O87" s="26">
        <f t="shared" si="12"/>
        <v>-1.9998201295370617E-2</v>
      </c>
      <c r="P87" s="26">
        <f t="shared" si="13"/>
        <v>9.5103491979226613E-4</v>
      </c>
      <c r="Q87" s="26">
        <f t="shared" si="14"/>
        <v>-4.2810115992931892E-3</v>
      </c>
      <c r="R87" s="26">
        <f t="shared" si="15"/>
        <v>2.2694512479102487E-2</v>
      </c>
      <c r="S87" s="26">
        <f t="shared" si="16"/>
        <v>2.7262626095810479E-2</v>
      </c>
      <c r="T87" s="26">
        <f t="shared" si="17"/>
        <v>0.15765221466859614</v>
      </c>
      <c r="U87" s="26">
        <f t="shared" si="18"/>
        <v>0.12826666312999585</v>
      </c>
      <c r="V87" s="26">
        <f t="shared" si="19"/>
        <v>9.3525734739820343E-2</v>
      </c>
      <c r="W87" s="26">
        <f t="shared" si="20"/>
        <v>2.8530337762553955E-3</v>
      </c>
      <c r="X87" s="26">
        <f t="shared" si="21"/>
        <v>8.9207625656562636E-3</v>
      </c>
      <c r="AM87" s="35">
        <v>-3.9259097383557989E-4</v>
      </c>
      <c r="AN87" s="35">
        <v>-1.2314167192020405E-4</v>
      </c>
      <c r="AO87" s="35">
        <v>-1.0450229778179507E-4</v>
      </c>
      <c r="AP87" s="35">
        <v>-8.7300328497902959E-5</v>
      </c>
      <c r="AQ87" s="35">
        <v>-1.029789042313382E-4</v>
      </c>
      <c r="AR87" s="35">
        <v>-6.8518759278536878E-5</v>
      </c>
      <c r="AS87" s="35">
        <v>-2.3682559368339159E-6</v>
      </c>
      <c r="AT87" s="35">
        <v>6.2831333403792333E-4</v>
      </c>
      <c r="AU87" s="35">
        <v>-1.2834525763443617E-4</v>
      </c>
      <c r="AV87" s="35">
        <v>8.4876478960358825E-4</v>
      </c>
      <c r="AW87" s="35">
        <v>-4.2541335751584302E-4</v>
      </c>
    </row>
    <row r="88" spans="2:49" x14ac:dyDescent="0.2">
      <c r="B88" s="8">
        <f>+'Simulation and  VaR'!B101/'Simulation and  VaR'!B100-1</f>
        <v>1.7763164462560876E-3</v>
      </c>
      <c r="C88" s="8">
        <f>+'Simulation and  VaR'!C101/'Simulation and  VaR'!C100-1</f>
        <v>-2.7281147199832767E-2</v>
      </c>
      <c r="D88" s="8">
        <f>+'Simulation and  VaR'!D101/'Simulation and  VaR'!D100-1</f>
        <v>-4.0948275862068839E-2</v>
      </c>
      <c r="E88" s="8">
        <f>+'Simulation and  VaR'!E101/'Simulation and  VaR'!E100-1</f>
        <v>-3.1088082901554515E-2</v>
      </c>
      <c r="F88" s="8">
        <f>+'Simulation and  VaR'!F101/'Simulation and  VaR'!F100-1</f>
        <v>-3.2038834951456097E-2</v>
      </c>
      <c r="G88" s="8">
        <f>+'Simulation and  VaR'!G101/'Simulation and  VaR'!G100-1</f>
        <v>1.1439466158245981E-2</v>
      </c>
      <c r="H88" s="8">
        <f>+'Simulation and  VaR'!H101/'Simulation and  VaR'!H100-1</f>
        <v>-5.3300865800865793E-2</v>
      </c>
      <c r="I88" s="8">
        <f>+'Simulation and  VaR'!I101/'Simulation and  VaR'!I100-1</f>
        <v>0.10549150124806839</v>
      </c>
      <c r="J88" s="8">
        <f>+'Simulation and  VaR'!J101/'Simulation and  VaR'!J100-1</f>
        <v>0</v>
      </c>
      <c r="K88" s="8">
        <f>+'Simulation and  VaR'!K101/'Simulation and  VaR'!K100-1</f>
        <v>-4.2815550607980812E-3</v>
      </c>
      <c r="L88" s="8">
        <f>+'Simulation and  VaR'!L101/'Simulation and  VaR'!L100-1</f>
        <v>1.2002000333388718E-3</v>
      </c>
      <c r="N88" s="26">
        <f t="shared" si="11"/>
        <v>-2.7446080461689653E-3</v>
      </c>
      <c r="O88" s="26">
        <f t="shared" si="12"/>
        <v>-2.979791721840936E-2</v>
      </c>
      <c r="P88" s="26">
        <f t="shared" si="13"/>
        <v>-4.3240484185519783E-2</v>
      </c>
      <c r="Q88" s="26">
        <f t="shared" si="14"/>
        <v>-3.330084217406383E-2</v>
      </c>
      <c r="R88" s="26">
        <f t="shared" si="15"/>
        <v>-3.4219944362900871E-2</v>
      </c>
      <c r="S88" s="26">
        <f t="shared" si="16"/>
        <v>9.2614641873243718E-3</v>
      </c>
      <c r="T88" s="26">
        <f t="shared" si="17"/>
        <v>-5.8644245845926202E-2</v>
      </c>
      <c r="U88" s="26">
        <f t="shared" si="18"/>
        <v>9.3089735119031014E-2</v>
      </c>
      <c r="V88" s="26">
        <f t="shared" si="19"/>
        <v>-1.0229205971642284E-2</v>
      </c>
      <c r="W88" s="26">
        <f t="shared" si="20"/>
        <v>-2.7146397789266667E-3</v>
      </c>
      <c r="X88" s="26">
        <f t="shared" si="21"/>
        <v>4.7244351470945786E-3</v>
      </c>
      <c r="AM88" s="35">
        <v>3.5966247260960863E-4</v>
      </c>
      <c r="AN88" s="35">
        <v>2.315997541759787E-4</v>
      </c>
      <c r="AO88" s="35">
        <v>1.881863390961823E-4</v>
      </c>
      <c r="AP88" s="35">
        <v>1.6584699997137747E-4</v>
      </c>
      <c r="AQ88" s="35">
        <v>1.7382607908494373E-4</v>
      </c>
      <c r="AR88" s="35">
        <v>1.4439348117256938E-4</v>
      </c>
      <c r="AS88" s="35">
        <v>-1.2826715940619481E-5</v>
      </c>
      <c r="AT88" s="35">
        <v>-4.5965559518841115E-4</v>
      </c>
      <c r="AU88" s="35">
        <v>6.4581455485440622E-4</v>
      </c>
      <c r="AV88" s="35">
        <v>-4.2541335751584302E-4</v>
      </c>
      <c r="AW88" s="35">
        <v>8.838144562969383E-4</v>
      </c>
    </row>
    <row r="89" spans="2:49" x14ac:dyDescent="0.2">
      <c r="B89" s="8">
        <f>+'Simulation and  VaR'!B102/'Simulation and  VaR'!B101-1</f>
        <v>-4.3939106338639844E-2</v>
      </c>
      <c r="C89" s="8">
        <f>+'Simulation and  VaR'!C102/'Simulation and  VaR'!C101-1</f>
        <v>-3.2154208127755157E-2</v>
      </c>
      <c r="D89" s="8">
        <f>+'Simulation and  VaR'!D102/'Simulation and  VaR'!D101-1</f>
        <v>0</v>
      </c>
      <c r="E89" s="8">
        <f>+'Simulation and  VaR'!E102/'Simulation and  VaR'!E101-1</f>
        <v>-1.4973262032085599E-2</v>
      </c>
      <c r="F89" s="8">
        <f>+'Simulation and  VaR'!F102/'Simulation and  VaR'!F101-1</f>
        <v>-1.6048144433299938E-2</v>
      </c>
      <c r="G89" s="8">
        <f>+'Simulation and  VaR'!G102/'Simulation and  VaR'!G101-1</f>
        <v>2.827521206409056E-3</v>
      </c>
      <c r="H89" s="8">
        <f>+'Simulation and  VaR'!H102/'Simulation and  VaR'!H101-1</f>
        <v>-2.0148613889682698E-2</v>
      </c>
      <c r="I89" s="8">
        <f>+'Simulation and  VaR'!I102/'Simulation and  VaR'!I101-1</f>
        <v>3.7632385355625964E-2</v>
      </c>
      <c r="J89" s="8">
        <f>+'Simulation and  VaR'!J102/'Simulation and  VaR'!J101-1</f>
        <v>0</v>
      </c>
      <c r="K89" s="8">
        <f>+'Simulation and  VaR'!K102/'Simulation and  VaR'!K101-1</f>
        <v>9.2449260405915723E-3</v>
      </c>
      <c r="L89" s="8">
        <f>+'Simulation and  VaR'!L102/'Simulation and  VaR'!L101-1</f>
        <v>2.3975225600212369E-3</v>
      </c>
      <c r="N89" s="26">
        <f t="shared" si="11"/>
        <v>-4.8460030831064899E-2</v>
      </c>
      <c r="O89" s="26">
        <f t="shared" si="12"/>
        <v>-3.467097814633175E-2</v>
      </c>
      <c r="P89" s="26">
        <f t="shared" si="13"/>
        <v>-2.292208323450944E-3</v>
      </c>
      <c r="Q89" s="26">
        <f t="shared" si="14"/>
        <v>-1.7186021304594918E-2</v>
      </c>
      <c r="R89" s="26">
        <f t="shared" si="15"/>
        <v>-1.8229253844744712E-2</v>
      </c>
      <c r="S89" s="26">
        <f t="shared" si="16"/>
        <v>6.4951923548744669E-4</v>
      </c>
      <c r="T89" s="26">
        <f t="shared" si="17"/>
        <v>-2.5491993934743103E-2</v>
      </c>
      <c r="U89" s="26">
        <f t="shared" si="18"/>
        <v>2.5230619226588584E-2</v>
      </c>
      <c r="V89" s="26">
        <f t="shared" si="19"/>
        <v>-1.0229205971642284E-2</v>
      </c>
      <c r="W89" s="26">
        <f t="shared" si="20"/>
        <v>1.0811841322462986E-2</v>
      </c>
      <c r="X89" s="26">
        <f t="shared" si="21"/>
        <v>5.9217576737769437E-3</v>
      </c>
      <c r="AM89" s="36" t="s">
        <v>50</v>
      </c>
      <c r="AN89" s="36"/>
      <c r="AO89" s="36"/>
    </row>
    <row r="90" spans="2:49" x14ac:dyDescent="0.2">
      <c r="B90" s="8">
        <f>+'Simulation and  VaR'!B103/'Simulation and  VaR'!B102-1</f>
        <v>-0.12691722851585985</v>
      </c>
      <c r="C90" s="8">
        <f>+'Simulation and  VaR'!C103/'Simulation and  VaR'!C102-1</f>
        <v>9.0752070408193219E-3</v>
      </c>
      <c r="D90" s="8">
        <f>+'Simulation and  VaR'!D103/'Simulation and  VaR'!D102-1</f>
        <v>-6.741573033707926E-3</v>
      </c>
      <c r="E90" s="8">
        <f>+'Simulation and  VaR'!E103/'Simulation and  VaR'!E102-1</f>
        <v>-7.6004343105319228E-3</v>
      </c>
      <c r="F90" s="8">
        <f>+'Simulation and  VaR'!F103/'Simulation and  VaR'!F102-1</f>
        <v>1.0193679918450993E-3</v>
      </c>
      <c r="G90" s="8">
        <f>+'Simulation and  VaR'!G103/'Simulation and  VaR'!G102-1</f>
        <v>1.6917293233082775E-2</v>
      </c>
      <c r="H90" s="8">
        <f>+'Simulation and  VaR'!H103/'Simulation and  VaR'!H102-1</f>
        <v>0.12279422487968494</v>
      </c>
      <c r="I90" s="8">
        <f>+'Simulation and  VaR'!I103/'Simulation and  VaR'!I102-1</f>
        <v>-8.5487798559660155E-2</v>
      </c>
      <c r="J90" s="8">
        <f>+'Simulation and  VaR'!J103/'Simulation and  VaR'!J102-1</f>
        <v>0</v>
      </c>
      <c r="K90" s="8">
        <f>+'Simulation and  VaR'!K103/'Simulation and  VaR'!K102-1</f>
        <v>1.5125047931489943E-2</v>
      </c>
      <c r="L90" s="8">
        <f>+'Simulation and  VaR'!L103/'Simulation and  VaR'!L102-1</f>
        <v>-1.0131880543467253E-2</v>
      </c>
      <c r="N90" s="26">
        <f t="shared" si="11"/>
        <v>-0.1314381530082849</v>
      </c>
      <c r="O90" s="26">
        <f t="shared" si="12"/>
        <v>6.5584370222427279E-3</v>
      </c>
      <c r="P90" s="26">
        <f t="shared" si="13"/>
        <v>-9.0337813571588696E-3</v>
      </c>
      <c r="Q90" s="26">
        <f t="shared" si="14"/>
        <v>-9.8131935830412416E-3</v>
      </c>
      <c r="R90" s="26">
        <f t="shared" si="15"/>
        <v>-1.161741419599674E-3</v>
      </c>
      <c r="S90" s="26">
        <f t="shared" si="16"/>
        <v>1.4739291262161166E-2</v>
      </c>
      <c r="T90" s="26">
        <f t="shared" si="17"/>
        <v>0.11745084483462453</v>
      </c>
      <c r="U90" s="26">
        <f t="shared" si="18"/>
        <v>-9.7889564688697528E-2</v>
      </c>
      <c r="V90" s="26">
        <f t="shared" si="19"/>
        <v>-1.0229205971642284E-2</v>
      </c>
      <c r="W90" s="26">
        <f t="shared" si="20"/>
        <v>1.6691963213361357E-2</v>
      </c>
      <c r="X90" s="26">
        <f t="shared" si="21"/>
        <v>-6.6076454297115464E-3</v>
      </c>
    </row>
    <row r="91" spans="2:49" x14ac:dyDescent="0.2">
      <c r="B91" s="8">
        <f>+'Simulation and  VaR'!B104/'Simulation and  VaR'!B103-1</f>
        <v>-0.12245114965828141</v>
      </c>
      <c r="C91" s="8">
        <f>+'Simulation and  VaR'!C104/'Simulation and  VaR'!C103-1</f>
        <v>-1.4530173132952129E-2</v>
      </c>
      <c r="D91" s="8">
        <f>+'Simulation and  VaR'!D104/'Simulation and  VaR'!D103-1</f>
        <v>-2.3755656108597423E-2</v>
      </c>
      <c r="E91" s="8">
        <f>+'Simulation and  VaR'!E104/'Simulation and  VaR'!E103-1</f>
        <v>-2.4070021881838155E-2</v>
      </c>
      <c r="F91" s="8">
        <f>+'Simulation and  VaR'!F104/'Simulation and  VaR'!F103-1</f>
        <v>-3.0549898167006151E-2</v>
      </c>
      <c r="G91" s="8">
        <f>+'Simulation and  VaR'!G104/'Simulation and  VaR'!G103-1</f>
        <v>-1.4787430683918634E-2</v>
      </c>
      <c r="H91" s="8">
        <f>+'Simulation and  VaR'!H104/'Simulation and  VaR'!H103-1</f>
        <v>5.9877906221587285E-2</v>
      </c>
      <c r="I91" s="8">
        <f>+'Simulation and  VaR'!I104/'Simulation and  VaR'!I103-1</f>
        <v>4.8155911846354371E-2</v>
      </c>
      <c r="J91" s="8">
        <f>+'Simulation and  VaR'!J104/'Simulation and  VaR'!J103-1</f>
        <v>0</v>
      </c>
      <c r="K91" s="8">
        <f>+'Simulation and  VaR'!K104/'Simulation and  VaR'!K103-1</f>
        <v>1.9936204146730363E-2</v>
      </c>
      <c r="L91" s="8">
        <f>+'Simulation and  VaR'!L104/'Simulation and  VaR'!L103-1</f>
        <v>-3.8660312772669458E-2</v>
      </c>
      <c r="N91" s="26">
        <f t="shared" si="11"/>
        <v>-0.12697207415070647</v>
      </c>
      <c r="O91" s="26">
        <f t="shared" si="12"/>
        <v>-1.7046943151528722E-2</v>
      </c>
      <c r="P91" s="26">
        <f t="shared" si="13"/>
        <v>-2.6047864432048366E-2</v>
      </c>
      <c r="Q91" s="26">
        <f t="shared" si="14"/>
        <v>-2.6282781154347474E-2</v>
      </c>
      <c r="R91" s="26">
        <f t="shared" si="15"/>
        <v>-3.2731007578450926E-2</v>
      </c>
      <c r="S91" s="26">
        <f t="shared" si="16"/>
        <v>-1.6965432654840244E-2</v>
      </c>
      <c r="T91" s="26">
        <f t="shared" si="17"/>
        <v>5.4534526176526876E-2</v>
      </c>
      <c r="U91" s="26">
        <f t="shared" si="18"/>
        <v>3.5754145717316992E-2</v>
      </c>
      <c r="V91" s="26">
        <f t="shared" si="19"/>
        <v>-1.0229205971642284E-2</v>
      </c>
      <c r="W91" s="26">
        <f t="shared" si="20"/>
        <v>2.1503119428601777E-2</v>
      </c>
      <c r="X91" s="26">
        <f t="shared" si="21"/>
        <v>-3.5136077658913752E-2</v>
      </c>
    </row>
    <row r="92" spans="2:49" x14ac:dyDescent="0.2">
      <c r="B92" s="8">
        <f>+'Simulation and  VaR'!B105/'Simulation and  VaR'!B104-1</f>
        <v>-1.3004609477454965E-3</v>
      </c>
      <c r="C92" s="8">
        <f>+'Simulation and  VaR'!C105/'Simulation and  VaR'!C104-1</f>
        <v>4.5361753230397373E-2</v>
      </c>
      <c r="D92" s="8">
        <f>+'Simulation and  VaR'!D105/'Simulation and  VaR'!D104-1</f>
        <v>5.7937427578216294E-3</v>
      </c>
      <c r="E92" s="8">
        <f>+'Simulation and  VaR'!E105/'Simulation and  VaR'!E104-1</f>
        <v>1.1210762331839152E-3</v>
      </c>
      <c r="F92" s="8">
        <f>+'Simulation and  VaR'!F105/'Simulation and  VaR'!F104-1</f>
        <v>-1.4705882352941235E-2</v>
      </c>
      <c r="G92" s="8">
        <f>+'Simulation and  VaR'!G105/'Simulation and  VaR'!G104-1</f>
        <v>-1.5947467166979368E-2</v>
      </c>
      <c r="H92" s="8">
        <f>+'Simulation and  VaR'!H105/'Simulation and  VaR'!H104-1</f>
        <v>2.1691176470588269E-2</v>
      </c>
      <c r="I92" s="8">
        <f>+'Simulation and  VaR'!I105/'Simulation and  VaR'!I104-1</f>
        <v>-4.45921842062591E-2</v>
      </c>
      <c r="J92" s="8">
        <f>+'Simulation and  VaR'!J105/'Simulation and  VaR'!J104-1</f>
        <v>0</v>
      </c>
      <c r="K92" s="8">
        <f>+'Simulation and  VaR'!K105/'Simulation and  VaR'!K104-1</f>
        <v>-9.8761367844945047E-3</v>
      </c>
      <c r="L92" s="8">
        <f>+'Simulation and  VaR'!L105/'Simulation and  VaR'!L104-1</f>
        <v>2.6460936954548542E-2</v>
      </c>
      <c r="N92" s="26">
        <f t="shared" si="11"/>
        <v>-5.8213854401705494E-3</v>
      </c>
      <c r="O92" s="26">
        <f t="shared" si="12"/>
        <v>4.2844983211820779E-2</v>
      </c>
      <c r="P92" s="26">
        <f t="shared" si="13"/>
        <v>3.5015344343706854E-3</v>
      </c>
      <c r="Q92" s="26">
        <f t="shared" si="14"/>
        <v>-1.0916830393254032E-3</v>
      </c>
      <c r="R92" s="26">
        <f t="shared" si="15"/>
        <v>-1.688699176438601E-2</v>
      </c>
      <c r="S92" s="26">
        <f t="shared" si="16"/>
        <v>-1.8125469137900977E-2</v>
      </c>
      <c r="T92" s="26">
        <f t="shared" si="17"/>
        <v>1.6347796425527864E-2</v>
      </c>
      <c r="U92" s="26">
        <f t="shared" si="18"/>
        <v>-5.699395033529648E-2</v>
      </c>
      <c r="V92" s="26">
        <f t="shared" si="19"/>
        <v>-1.0229205971642284E-2</v>
      </c>
      <c r="W92" s="26">
        <f t="shared" si="20"/>
        <v>-8.309221502623091E-3</v>
      </c>
      <c r="X92" s="26">
        <f t="shared" si="21"/>
        <v>2.9985172068304249E-2</v>
      </c>
    </row>
    <row r="93" spans="2:49" x14ac:dyDescent="0.2">
      <c r="B93" s="8">
        <f>+'Simulation and  VaR'!B106/'Simulation and  VaR'!B105-1</f>
        <v>2.1737743482594052E-2</v>
      </c>
      <c r="C93" s="8">
        <f>+'Simulation and  VaR'!C106/'Simulation and  VaR'!C105-1</f>
        <v>6.4463450749547846E-2</v>
      </c>
      <c r="D93" s="8">
        <f>+'Simulation and  VaR'!D106/'Simulation and  VaR'!D105-1</f>
        <v>3.2258064516129004E-2</v>
      </c>
      <c r="E93" s="8">
        <f>+'Simulation and  VaR'!E106/'Simulation and  VaR'!E105-1</f>
        <v>3.0235162374020019E-2</v>
      </c>
      <c r="F93" s="8">
        <f>+'Simulation and  VaR'!F106/'Simulation and  VaR'!F105-1</f>
        <v>2.6652452025586415E-2</v>
      </c>
      <c r="G93" s="8">
        <f>+'Simulation and  VaR'!G106/'Simulation and  VaR'!G105-1</f>
        <v>9.5328884652048362E-3</v>
      </c>
      <c r="H93" s="8">
        <f>+'Simulation and  VaR'!H106/'Simulation and  VaR'!H105-1</f>
        <v>4.7259205949382155E-2</v>
      </c>
      <c r="I93" s="8">
        <f>+'Simulation and  VaR'!I106/'Simulation and  VaR'!I105-1</f>
        <v>-5.4876668929622063E-2</v>
      </c>
      <c r="J93" s="8">
        <f>+'Simulation and  VaR'!J106/'Simulation and  VaR'!J105-1</f>
        <v>0</v>
      </c>
      <c r="K93" s="8">
        <f>+'Simulation and  VaR'!K106/'Simulation and  VaR'!K105-1</f>
        <v>-2.285856780682427E-2</v>
      </c>
      <c r="L93" s="8">
        <f>+'Simulation and  VaR'!L106/'Simulation and  VaR'!L105-1</f>
        <v>-6.1216161066519614E-3</v>
      </c>
      <c r="N93" s="26">
        <f t="shared" si="11"/>
        <v>1.7216818990168997E-2</v>
      </c>
      <c r="O93" s="26">
        <f t="shared" si="12"/>
        <v>6.1946680730971253E-2</v>
      </c>
      <c r="P93" s="26">
        <f t="shared" si="13"/>
        <v>2.996585619267806E-2</v>
      </c>
      <c r="Q93" s="26">
        <f t="shared" si="14"/>
        <v>2.80224031015107E-2</v>
      </c>
      <c r="R93" s="26">
        <f t="shared" si="15"/>
        <v>2.447134261414164E-2</v>
      </c>
      <c r="S93" s="26">
        <f t="shared" si="16"/>
        <v>7.3548864942832269E-3</v>
      </c>
      <c r="T93" s="26">
        <f t="shared" si="17"/>
        <v>4.1915825904321746E-2</v>
      </c>
      <c r="U93" s="26">
        <f t="shared" si="18"/>
        <v>-6.7278435058659436E-2</v>
      </c>
      <c r="V93" s="26">
        <f t="shared" si="19"/>
        <v>-1.0229205971642284E-2</v>
      </c>
      <c r="W93" s="26">
        <f t="shared" si="20"/>
        <v>-2.1291652524952857E-2</v>
      </c>
      <c r="X93" s="26">
        <f t="shared" si="21"/>
        <v>-2.5973809928962551E-3</v>
      </c>
    </row>
    <row r="94" spans="2:49" x14ac:dyDescent="0.2">
      <c r="B94" s="8">
        <f>+'Simulation and  VaR'!B107/'Simulation and  VaR'!B106-1</f>
        <v>-6.9179330380045312E-2</v>
      </c>
      <c r="C94" s="8">
        <f>+'Simulation and  VaR'!C107/'Simulation and  VaR'!C106-1</f>
        <v>-2.0310557864154588E-2</v>
      </c>
      <c r="D94" s="8">
        <f>+'Simulation and  VaR'!D107/'Simulation and  VaR'!D106-1</f>
        <v>-5.5803571428569843E-3</v>
      </c>
      <c r="E94" s="8">
        <f>+'Simulation and  VaR'!E107/'Simulation and  VaR'!E106-1</f>
        <v>5.4347826086957873E-3</v>
      </c>
      <c r="F94" s="8">
        <f>+'Simulation and  VaR'!F107/'Simulation and  VaR'!F106-1</f>
        <v>1.7653167185877505E-2</v>
      </c>
      <c r="G94" s="8">
        <f>+'Simulation and  VaR'!G107/'Simulation and  VaR'!G106-1</f>
        <v>1.0387157695939564E-2</v>
      </c>
      <c r="H94" s="8">
        <f>+'Simulation and  VaR'!H107/'Simulation and  VaR'!H106-1</f>
        <v>4.4210285190699805E-2</v>
      </c>
      <c r="I94" s="8">
        <f>+'Simulation and  VaR'!I107/'Simulation and  VaR'!I106-1</f>
        <v>2.9630073027654635E-2</v>
      </c>
      <c r="J94" s="8">
        <f>+'Simulation and  VaR'!J107/'Simulation and  VaR'!J106-1</f>
        <v>0</v>
      </c>
      <c r="K94" s="8">
        <f>+'Simulation and  VaR'!K107/'Simulation and  VaR'!K106-1</f>
        <v>-1.4886648802688085E-2</v>
      </c>
      <c r="L94" s="8">
        <f>+'Simulation and  VaR'!L107/'Simulation and  VaR'!L106-1</f>
        <v>-2.3268546400219137E-3</v>
      </c>
      <c r="N94" s="26">
        <f t="shared" si="11"/>
        <v>-7.3700254872470367E-2</v>
      </c>
      <c r="O94" s="26">
        <f t="shared" si="12"/>
        <v>-2.2827327882731181E-2</v>
      </c>
      <c r="P94" s="26">
        <f t="shared" si="13"/>
        <v>-7.8725654663079278E-3</v>
      </c>
      <c r="Q94" s="26">
        <f t="shared" si="14"/>
        <v>3.2220233361864689E-3</v>
      </c>
      <c r="R94" s="26">
        <f t="shared" si="15"/>
        <v>1.5472057774432732E-2</v>
      </c>
      <c r="S94" s="26">
        <f t="shared" si="16"/>
        <v>8.2091557250179546E-3</v>
      </c>
      <c r="T94" s="26">
        <f t="shared" si="17"/>
        <v>3.8866905145639397E-2</v>
      </c>
      <c r="U94" s="26">
        <f t="shared" si="18"/>
        <v>1.7228306898617256E-2</v>
      </c>
      <c r="V94" s="26">
        <f t="shared" si="19"/>
        <v>-1.0229205971642284E-2</v>
      </c>
      <c r="W94" s="26">
        <f t="shared" si="20"/>
        <v>-1.3319733520816671E-2</v>
      </c>
      <c r="X94" s="26">
        <f t="shared" si="21"/>
        <v>1.1973804737337927E-3</v>
      </c>
    </row>
    <row r="95" spans="2:49" x14ac:dyDescent="0.2">
      <c r="B95" s="8">
        <f>+'Simulation and  VaR'!B108/'Simulation and  VaR'!B107-1</f>
        <v>2.2350410250239872E-2</v>
      </c>
      <c r="C95" s="8">
        <f>+'Simulation and  VaR'!C108/'Simulation and  VaR'!C107-1</f>
        <v>-2.4607577012632054E-2</v>
      </c>
      <c r="D95" s="8">
        <f>+'Simulation and  VaR'!D108/'Simulation and  VaR'!D107-1</f>
        <v>-1.4590347923681302E-2</v>
      </c>
      <c r="E95" s="8">
        <f>+'Simulation and  VaR'!E108/'Simulation and  VaR'!E107-1</f>
        <v>-1.1891891891891881E-2</v>
      </c>
      <c r="F95" s="8">
        <f>+'Simulation and  VaR'!F108/'Simulation and  VaR'!F107-1</f>
        <v>-1.2244897959183598E-2</v>
      </c>
      <c r="G95" s="8">
        <f>+'Simulation and  VaR'!G108/'Simulation and  VaR'!G107-1</f>
        <v>-6.5420560747664336E-3</v>
      </c>
      <c r="H95" s="8">
        <f>+'Simulation and  VaR'!H108/'Simulation and  VaR'!H107-1</f>
        <v>4.4203136996819214E-2</v>
      </c>
      <c r="I95" s="8">
        <f>+'Simulation and  VaR'!I108/'Simulation and  VaR'!I107-1</f>
        <v>-5.5810708679727927E-2</v>
      </c>
      <c r="J95" s="8">
        <f>+'Simulation and  VaR'!J108/'Simulation and  VaR'!J107-1</f>
        <v>0</v>
      </c>
      <c r="K95" s="8">
        <f>+'Simulation and  VaR'!K108/'Simulation and  VaR'!K107-1</f>
        <v>-5.2890635119381746E-2</v>
      </c>
      <c r="L95" s="8">
        <f>+'Simulation and  VaR'!L108/'Simulation and  VaR'!L107-1</f>
        <v>1.4165180408835187E-2</v>
      </c>
      <c r="N95" s="26">
        <f t="shared" si="11"/>
        <v>1.7829485757814817E-2</v>
      </c>
      <c r="O95" s="26">
        <f t="shared" si="12"/>
        <v>-2.7124347031208647E-2</v>
      </c>
      <c r="P95" s="26">
        <f t="shared" si="13"/>
        <v>-1.6882556247132245E-2</v>
      </c>
      <c r="Q95" s="26">
        <f t="shared" si="14"/>
        <v>-1.41046511644012E-2</v>
      </c>
      <c r="R95" s="26">
        <f t="shared" si="15"/>
        <v>-1.4426007370628371E-2</v>
      </c>
      <c r="S95" s="26">
        <f t="shared" si="16"/>
        <v>-8.7200580456880429E-3</v>
      </c>
      <c r="T95" s="26">
        <f t="shared" si="17"/>
        <v>3.8859756951758806E-2</v>
      </c>
      <c r="U95" s="26">
        <f t="shared" si="18"/>
        <v>-6.82124748087653E-2</v>
      </c>
      <c r="V95" s="26">
        <f t="shared" si="19"/>
        <v>-1.0229205971642284E-2</v>
      </c>
      <c r="W95" s="26">
        <f t="shared" si="20"/>
        <v>-5.1323719837510329E-2</v>
      </c>
      <c r="X95" s="26">
        <f t="shared" si="21"/>
        <v>1.7689415522590894E-2</v>
      </c>
    </row>
    <row r="96" spans="2:49" x14ac:dyDescent="0.2">
      <c r="B96" s="8">
        <f>+'Simulation and  VaR'!B109/'Simulation and  VaR'!B108-1</f>
        <v>0.15008207664884665</v>
      </c>
      <c r="C96" s="8">
        <f>+'Simulation and  VaR'!C109/'Simulation and  VaR'!C108-1</f>
        <v>2.5462135418806486E-2</v>
      </c>
      <c r="D96" s="8">
        <f>+'Simulation and  VaR'!D109/'Simulation and  VaR'!D108-1</f>
        <v>7.9726651480638289E-3</v>
      </c>
      <c r="E96" s="8">
        <f>+'Simulation and  VaR'!E109/'Simulation and  VaR'!E108-1</f>
        <v>0</v>
      </c>
      <c r="F96" s="8">
        <f>+'Simulation and  VaR'!F109/'Simulation and  VaR'!F108-1</f>
        <v>-6.1983471074380514E-3</v>
      </c>
      <c r="G96" s="8">
        <f>+'Simulation and  VaR'!G109/'Simulation and  VaR'!G108-1</f>
        <v>-6.5851364063967965E-3</v>
      </c>
      <c r="H96" s="8">
        <f>+'Simulation and  VaR'!H109/'Simulation and  VaR'!H108-1</f>
        <v>-6.7647058823529393E-2</v>
      </c>
      <c r="I96" s="8">
        <f>+'Simulation and  VaR'!I109/'Simulation and  VaR'!I108-1</f>
        <v>3.6943537959485351E-2</v>
      </c>
      <c r="J96" s="8">
        <f>+'Simulation and  VaR'!J109/'Simulation and  VaR'!J108-1</f>
        <v>0</v>
      </c>
      <c r="K96" s="8">
        <f>+'Simulation and  VaR'!K109/'Simulation and  VaR'!K108-1</f>
        <v>-1.8006929248723491E-2</v>
      </c>
      <c r="L96" s="8">
        <f>+'Simulation and  VaR'!L109/'Simulation and  VaR'!L108-1</f>
        <v>6.8652981162702353E-3</v>
      </c>
      <c r="N96" s="26">
        <f t="shared" si="11"/>
        <v>0.1455611521564216</v>
      </c>
      <c r="O96" s="26">
        <f t="shared" si="12"/>
        <v>2.2945365400229893E-2</v>
      </c>
      <c r="P96" s="26">
        <f t="shared" si="13"/>
        <v>5.6804568246128853E-3</v>
      </c>
      <c r="Q96" s="26">
        <f t="shared" si="14"/>
        <v>-2.2127592725093184E-3</v>
      </c>
      <c r="R96" s="26">
        <f t="shared" si="15"/>
        <v>-8.3794565188828243E-3</v>
      </c>
      <c r="S96" s="26">
        <f t="shared" si="16"/>
        <v>-8.7631383773184059E-3</v>
      </c>
      <c r="T96" s="26">
        <f t="shared" si="17"/>
        <v>-7.2990438868589802E-2</v>
      </c>
      <c r="U96" s="26">
        <f t="shared" si="18"/>
        <v>2.4541771830447971E-2</v>
      </c>
      <c r="V96" s="26">
        <f t="shared" si="19"/>
        <v>-1.0229205971642284E-2</v>
      </c>
      <c r="W96" s="26">
        <f t="shared" si="20"/>
        <v>-1.6440013966852077E-2</v>
      </c>
      <c r="X96" s="26">
        <f t="shared" si="21"/>
        <v>1.0389533230025942E-2</v>
      </c>
    </row>
    <row r="97" spans="2:24" x14ac:dyDescent="0.2">
      <c r="B97" s="8">
        <f>+'Simulation and  VaR'!B110/'Simulation and  VaR'!B109-1</f>
        <v>5.0995903215261817E-2</v>
      </c>
      <c r="C97" s="8">
        <f>+'Simulation and  VaR'!C110/'Simulation and  VaR'!C109-1</f>
        <v>4.1660297608642649E-2</v>
      </c>
      <c r="D97" s="8">
        <f>+'Simulation and  VaR'!D110/'Simulation and  VaR'!D109-1</f>
        <v>1.2429378531073398E-2</v>
      </c>
      <c r="E97" s="8">
        <f>+'Simulation and  VaR'!E110/'Simulation and  VaR'!E109-1</f>
        <v>1.0940919037199182E-2</v>
      </c>
      <c r="F97" s="8">
        <f>+'Simulation and  VaR'!F110/'Simulation and  VaR'!F109-1</f>
        <v>7.2765072765073047E-3</v>
      </c>
      <c r="G97" s="8">
        <f>+'Simulation and  VaR'!G110/'Simulation and  VaR'!G109-1</f>
        <v>3.7878787878786735E-3</v>
      </c>
      <c r="H97" s="8">
        <f>+'Simulation and  VaR'!H110/'Simulation and  VaR'!H109-1</f>
        <v>-2.1068048670572326E-2</v>
      </c>
      <c r="I97" s="8">
        <f>+'Simulation and  VaR'!I110/'Simulation and  VaR'!I109-1</f>
        <v>-3.8893177364764608E-2</v>
      </c>
      <c r="J97" s="8">
        <f>+'Simulation and  VaR'!J110/'Simulation and  VaR'!J109-1</f>
        <v>0</v>
      </c>
      <c r="K97" s="8">
        <f>+'Simulation and  VaR'!K110/'Simulation and  VaR'!K109-1</f>
        <v>-2.0426164059235918E-2</v>
      </c>
      <c r="L97" s="8">
        <f>+'Simulation and  VaR'!L110/'Simulation and  VaR'!L109-1</f>
        <v>8.7330377535965731E-4</v>
      </c>
      <c r="N97" s="26">
        <f t="shared" si="11"/>
        <v>4.6474978722836763E-2</v>
      </c>
      <c r="O97" s="26">
        <f t="shared" si="12"/>
        <v>3.9143527590066056E-2</v>
      </c>
      <c r="P97" s="26">
        <f t="shared" si="13"/>
        <v>1.0137170207622455E-2</v>
      </c>
      <c r="Q97" s="26">
        <f t="shared" si="14"/>
        <v>8.7281597646898627E-3</v>
      </c>
      <c r="R97" s="26">
        <f t="shared" si="15"/>
        <v>5.0953978650625318E-3</v>
      </c>
      <c r="S97" s="26">
        <f t="shared" si="16"/>
        <v>1.6098768169570642E-3</v>
      </c>
      <c r="T97" s="26">
        <f t="shared" si="17"/>
        <v>-2.6411428715632731E-2</v>
      </c>
      <c r="U97" s="26">
        <f t="shared" si="18"/>
        <v>-5.1294943493801988E-2</v>
      </c>
      <c r="V97" s="26">
        <f t="shared" si="19"/>
        <v>-1.0229205971642284E-2</v>
      </c>
      <c r="W97" s="26">
        <f t="shared" si="20"/>
        <v>-1.8859248777364505E-2</v>
      </c>
      <c r="X97" s="26">
        <f t="shared" si="21"/>
        <v>4.3975388891153641E-3</v>
      </c>
    </row>
    <row r="98" spans="2:24" x14ac:dyDescent="0.2">
      <c r="B98" s="8">
        <f>+'Simulation and  VaR'!B111/'Simulation and  VaR'!B110-1</f>
        <v>-3.6004142798548022E-3</v>
      </c>
      <c r="C98" s="8">
        <f>+'Simulation and  VaR'!C111/'Simulation and  VaR'!C110-1</f>
        <v>3.4549161820423002E-3</v>
      </c>
      <c r="D98" s="8">
        <f>+'Simulation and  VaR'!D111/'Simulation and  VaR'!D110-1</f>
        <v>0</v>
      </c>
      <c r="E98" s="8">
        <f>+'Simulation and  VaR'!E111/'Simulation and  VaR'!E110-1</f>
        <v>1.298701298701288E-2</v>
      </c>
      <c r="F98" s="8">
        <f>+'Simulation and  VaR'!F111/'Simulation and  VaR'!F110-1</f>
        <v>6.1919504643963563E-3</v>
      </c>
      <c r="G98" s="8">
        <f>+'Simulation and  VaR'!G111/'Simulation and  VaR'!G110-1</f>
        <v>1.8867924528300772E-3</v>
      </c>
      <c r="H98" s="8">
        <f>+'Simulation and  VaR'!H111/'Simulation and  VaR'!H110-1</f>
        <v>-3.4526412705719878E-2</v>
      </c>
      <c r="I98" s="8">
        <f>+'Simulation and  VaR'!I111/'Simulation and  VaR'!I110-1</f>
        <v>-0.20449771407389095</v>
      </c>
      <c r="J98" s="8">
        <f>+'Simulation and  VaR'!J111/'Simulation and  VaR'!J110-1</f>
        <v>0</v>
      </c>
      <c r="K98" s="8">
        <f>+'Simulation and  VaR'!K111/'Simulation and  VaR'!K110-1</f>
        <v>-3.1752049665892512E-2</v>
      </c>
      <c r="L98" s="8">
        <f>+'Simulation and  VaR'!L111/'Simulation and  VaR'!L110-1</f>
        <v>1.6376938049533551E-2</v>
      </c>
      <c r="N98" s="26">
        <f t="shared" si="11"/>
        <v>-8.1213387722798552E-3</v>
      </c>
      <c r="O98" s="26">
        <f t="shared" si="12"/>
        <v>9.3814616346570619E-4</v>
      </c>
      <c r="P98" s="26">
        <f t="shared" si="13"/>
        <v>-2.292208323450944E-3</v>
      </c>
      <c r="Q98" s="26">
        <f t="shared" si="14"/>
        <v>1.0774253714503561E-2</v>
      </c>
      <c r="R98" s="26">
        <f t="shared" si="15"/>
        <v>4.0108410529515835E-3</v>
      </c>
      <c r="S98" s="26">
        <f t="shared" si="16"/>
        <v>-2.9120951809153209E-4</v>
      </c>
      <c r="T98" s="26">
        <f t="shared" si="17"/>
        <v>-3.9869792750780286E-2</v>
      </c>
      <c r="U98" s="26">
        <f t="shared" si="18"/>
        <v>-0.21689948020292832</v>
      </c>
      <c r="V98" s="26">
        <f t="shared" si="19"/>
        <v>-1.0229205971642284E-2</v>
      </c>
      <c r="W98" s="26">
        <f t="shared" si="20"/>
        <v>-3.0185134384021099E-2</v>
      </c>
      <c r="X98" s="26">
        <f t="shared" si="21"/>
        <v>1.9901173163289258E-2</v>
      </c>
    </row>
    <row r="99" spans="2:24" x14ac:dyDescent="0.2">
      <c r="B99" s="8">
        <f>+'Simulation and  VaR'!B112/'Simulation and  VaR'!B111-1</f>
        <v>-7.2948398543554616E-2</v>
      </c>
      <c r="C99" s="8">
        <f>+'Simulation and  VaR'!C112/'Simulation and  VaR'!C111-1</f>
        <v>-3.4248051430129434E-2</v>
      </c>
      <c r="D99" s="8">
        <f>+'Simulation and  VaR'!D112/'Simulation and  VaR'!D111-1</f>
        <v>-1.0044642857142794E-2</v>
      </c>
      <c r="E99" s="8">
        <f>+'Simulation and  VaR'!E112/'Simulation and  VaR'!E111-1</f>
        <v>-3.2051282051280827E-3</v>
      </c>
      <c r="F99" s="8">
        <f>+'Simulation and  VaR'!F112/'Simulation and  VaR'!F111-1</f>
        <v>-2.0512820512820218E-3</v>
      </c>
      <c r="G99" s="8">
        <f>+'Simulation and  VaR'!G112/'Simulation and  VaR'!G111-1</f>
        <v>9.416195856872811E-4</v>
      </c>
      <c r="H99" s="8">
        <f>+'Simulation and  VaR'!H112/'Simulation and  VaR'!H111-1</f>
        <v>6.1628322803671587E-2</v>
      </c>
      <c r="I99" s="8">
        <f>+'Simulation and  VaR'!I112/'Simulation and  VaR'!I111-1</f>
        <v>0.10834109972040995</v>
      </c>
      <c r="J99" s="8">
        <f>+'Simulation and  VaR'!J112/'Simulation and  VaR'!J111-1</f>
        <v>0</v>
      </c>
      <c r="K99" s="8">
        <f>+'Simulation and  VaR'!K112/'Simulation and  VaR'!K111-1</f>
        <v>1.7130830600557978E-2</v>
      </c>
      <c r="L99" s="8">
        <f>+'Simulation and  VaR'!L112/'Simulation and  VaR'!L111-1</f>
        <v>-3.6320412071585428E-3</v>
      </c>
      <c r="N99" s="26">
        <f t="shared" si="11"/>
        <v>-7.746932303597967E-2</v>
      </c>
      <c r="O99" s="26">
        <f t="shared" si="12"/>
        <v>-3.6764821448706027E-2</v>
      </c>
      <c r="P99" s="26">
        <f t="shared" si="13"/>
        <v>-1.2336851180593737E-2</v>
      </c>
      <c r="Q99" s="26">
        <f t="shared" si="14"/>
        <v>-5.4178874776374016E-3</v>
      </c>
      <c r="R99" s="26">
        <f t="shared" si="15"/>
        <v>-4.2323914627267947E-3</v>
      </c>
      <c r="S99" s="26">
        <f t="shared" si="16"/>
        <v>-1.2363823852343282E-3</v>
      </c>
      <c r="T99" s="26">
        <f t="shared" si="17"/>
        <v>5.6284942758611178E-2</v>
      </c>
      <c r="U99" s="26">
        <f t="shared" si="18"/>
        <v>9.5939333591372578E-2</v>
      </c>
      <c r="V99" s="26">
        <f t="shared" si="19"/>
        <v>-1.0229205971642284E-2</v>
      </c>
      <c r="W99" s="26">
        <f t="shared" si="20"/>
        <v>1.8697745882429392E-2</v>
      </c>
      <c r="X99" s="26">
        <f t="shared" si="21"/>
        <v>-1.0780609340283647E-4</v>
      </c>
    </row>
    <row r="100" spans="2:24" x14ac:dyDescent="0.2">
      <c r="B100" s="8">
        <f>+'Simulation and  VaR'!B113/'Simulation and  VaR'!B112-1</f>
        <v>-8.1761382851457953E-2</v>
      </c>
      <c r="C100" s="8">
        <f>+'Simulation and  VaR'!C113/'Simulation and  VaR'!C112-1</f>
        <v>-1.0406103869363248E-2</v>
      </c>
      <c r="D100" s="8">
        <f>+'Simulation and  VaR'!D113/'Simulation and  VaR'!D112-1</f>
        <v>-9.0191657271702086E-3</v>
      </c>
      <c r="E100" s="8">
        <f>+'Simulation and  VaR'!E113/'Simulation and  VaR'!E112-1</f>
        <v>-9.6463022508038732E-3</v>
      </c>
      <c r="F100" s="8">
        <f>+'Simulation and  VaR'!F113/'Simulation and  VaR'!F112-1</f>
        <v>-8.2219938335046372E-3</v>
      </c>
      <c r="G100" s="8">
        <f>+'Simulation and  VaR'!G113/'Simulation and  VaR'!G112-1</f>
        <v>-5.6444026340544129E-3</v>
      </c>
      <c r="H100" s="8">
        <f>+'Simulation and  VaR'!H113/'Simulation and  VaR'!H112-1</f>
        <v>2.4477880080844505E-2</v>
      </c>
      <c r="I100" s="8">
        <f>+'Simulation and  VaR'!I113/'Simulation and  VaR'!I112-1</f>
        <v>-9.1093826641439613E-3</v>
      </c>
      <c r="J100" s="8">
        <f>+'Simulation and  VaR'!J113/'Simulation and  VaR'!J112-1</f>
        <v>0</v>
      </c>
      <c r="K100" s="8">
        <f>+'Simulation and  VaR'!K113/'Simulation and  VaR'!K112-1</f>
        <v>-2.7910110196814442E-2</v>
      </c>
      <c r="L100" s="8">
        <f>+'Simulation and  VaR'!L113/'Simulation and  VaR'!L112-1</f>
        <v>4.5400318133617112E-3</v>
      </c>
      <c r="N100" s="26">
        <f t="shared" si="11"/>
        <v>-8.6282307343883008E-2</v>
      </c>
      <c r="O100" s="26">
        <f t="shared" si="12"/>
        <v>-1.2922873887939841E-2</v>
      </c>
      <c r="P100" s="26">
        <f t="shared" si="13"/>
        <v>-1.1311374050621152E-2</v>
      </c>
      <c r="Q100" s="26">
        <f t="shared" si="14"/>
        <v>-1.1859061523313192E-2</v>
      </c>
      <c r="R100" s="26">
        <f t="shared" si="15"/>
        <v>-1.040310324494941E-2</v>
      </c>
      <c r="S100" s="26">
        <f t="shared" si="16"/>
        <v>-7.8224046049760222E-3</v>
      </c>
      <c r="T100" s="26">
        <f t="shared" si="17"/>
        <v>1.91345000357841E-2</v>
      </c>
      <c r="U100" s="26">
        <f t="shared" si="18"/>
        <v>-2.1511148793181341E-2</v>
      </c>
      <c r="V100" s="26">
        <f t="shared" si="19"/>
        <v>-1.0229205971642284E-2</v>
      </c>
      <c r="W100" s="26">
        <f t="shared" si="20"/>
        <v>-2.6343194914943028E-2</v>
      </c>
      <c r="X100" s="26">
        <f t="shared" si="21"/>
        <v>8.064266927117418E-3</v>
      </c>
    </row>
    <row r="101" spans="2:24" x14ac:dyDescent="0.2">
      <c r="B101" s="8">
        <f>+'Simulation and  VaR'!B114/'Simulation and  VaR'!B113-1</f>
        <v>-6.0339365866957095E-3</v>
      </c>
      <c r="C101" s="8">
        <f>+'Simulation and  VaR'!C114/'Simulation and  VaR'!C113-1</f>
        <v>-6.9606106966988435E-3</v>
      </c>
      <c r="D101" s="8">
        <f>+'Simulation and  VaR'!D114/'Simulation and  VaR'!D113-1</f>
        <v>1.1376564277587597E-3</v>
      </c>
      <c r="E101" s="8">
        <f>+'Simulation and  VaR'!E114/'Simulation and  VaR'!E113-1</f>
        <v>2.1645021645020357E-3</v>
      </c>
      <c r="F101" s="8">
        <f>+'Simulation and  VaR'!F114/'Simulation and  VaR'!F113-1</f>
        <v>3.1088082901553626E-3</v>
      </c>
      <c r="G101" s="8">
        <f>+'Simulation and  VaR'!G114/'Simulation and  VaR'!G113-1</f>
        <v>0</v>
      </c>
      <c r="H101" s="8">
        <f>+'Simulation and  VaR'!H114/'Simulation and  VaR'!H113-1</f>
        <v>-1.1398509425690539E-2</v>
      </c>
      <c r="I101" s="8">
        <f>+'Simulation and  VaR'!I114/'Simulation and  VaR'!I113-1</f>
        <v>-4.5965631850647393E-3</v>
      </c>
      <c r="J101" s="8">
        <f>+'Simulation and  VaR'!J114/'Simulation and  VaR'!J113-1</f>
        <v>0</v>
      </c>
      <c r="K101" s="8">
        <f>+'Simulation and  VaR'!K114/'Simulation and  VaR'!K113-1</f>
        <v>1.7325874956684029E-3</v>
      </c>
      <c r="L101" s="8">
        <f>+'Simulation and  VaR'!L114/'Simulation and  VaR'!L113-1</f>
        <v>6.7297859004389338E-3</v>
      </c>
      <c r="N101" s="26">
        <f t="shared" si="11"/>
        <v>-1.0554861079120762E-2</v>
      </c>
      <c r="O101" s="26">
        <f t="shared" si="12"/>
        <v>-9.4773807152754366E-3</v>
      </c>
      <c r="P101" s="26">
        <f t="shared" si="13"/>
        <v>-1.1545518956921842E-3</v>
      </c>
      <c r="Q101" s="26">
        <f t="shared" si="14"/>
        <v>-4.8257108007282706E-5</v>
      </c>
      <c r="R101" s="26">
        <f t="shared" si="15"/>
        <v>9.2769887871058934E-4</v>
      </c>
      <c r="S101" s="26">
        <f t="shared" si="16"/>
        <v>-2.1780019709216093E-3</v>
      </c>
      <c r="T101" s="26">
        <f t="shared" si="17"/>
        <v>-1.6741889470750945E-2</v>
      </c>
      <c r="U101" s="26">
        <f t="shared" si="18"/>
        <v>-1.6998329314102119E-2</v>
      </c>
      <c r="V101" s="26">
        <f t="shared" si="19"/>
        <v>-1.0229205971642284E-2</v>
      </c>
      <c r="W101" s="26">
        <f t="shared" si="20"/>
        <v>3.2995027775398174E-3</v>
      </c>
      <c r="X101" s="26">
        <f t="shared" si="21"/>
        <v>1.0254021014194641E-2</v>
      </c>
    </row>
    <row r="102" spans="2:24" x14ac:dyDescent="0.2">
      <c r="B102" s="8">
        <f>+'Simulation and  VaR'!B115/'Simulation and  VaR'!B114-1</f>
        <v>-0.1066741617095226</v>
      </c>
      <c r="C102" s="8">
        <f>+'Simulation and  VaR'!C115/'Simulation and  VaR'!C114-1</f>
        <v>-3.1777570530472921E-2</v>
      </c>
      <c r="D102" s="8">
        <f>+'Simulation and  VaR'!D115/'Simulation and  VaR'!D114-1</f>
        <v>-2.1590909090908994E-2</v>
      </c>
      <c r="E102" s="8">
        <f>+'Simulation and  VaR'!E115/'Simulation and  VaR'!E114-1</f>
        <v>-1.295896328293733E-2</v>
      </c>
      <c r="F102" s="8">
        <f>+'Simulation and  VaR'!F115/'Simulation and  VaR'!F114-1</f>
        <v>-1.3429752066115741E-2</v>
      </c>
      <c r="G102" s="8">
        <f>+'Simulation and  VaR'!G115/'Simulation and  VaR'!G114-1</f>
        <v>-1.4191106906338735E-2</v>
      </c>
      <c r="H102" s="8">
        <f>+'Simulation and  VaR'!H115/'Simulation and  VaR'!H114-1</f>
        <v>0.11829268292682937</v>
      </c>
      <c r="I102" s="8">
        <f>+'Simulation and  VaR'!I115/'Simulation and  VaR'!I114-1</f>
        <v>-0.10301221938050575</v>
      </c>
      <c r="J102" s="8">
        <f>+'Simulation and  VaR'!J115/'Simulation and  VaR'!J114-1</f>
        <v>0</v>
      </c>
      <c r="K102" s="8">
        <f>+'Simulation and  VaR'!K115/'Simulation and  VaR'!K114-1</f>
        <v>2.9650128483889038E-3</v>
      </c>
      <c r="L102" s="8">
        <f>+'Simulation and  VaR'!L115/'Simulation and  VaR'!L114-1</f>
        <v>-4.8825244945440716E-3</v>
      </c>
      <c r="N102" s="26">
        <f t="shared" si="11"/>
        <v>-0.11119508620194765</v>
      </c>
      <c r="O102" s="26">
        <f t="shared" si="12"/>
        <v>-3.4294340549049514E-2</v>
      </c>
      <c r="P102" s="26">
        <f t="shared" si="13"/>
        <v>-2.3883117414359938E-2</v>
      </c>
      <c r="Q102" s="26">
        <f t="shared" si="14"/>
        <v>-1.5171722555446649E-2</v>
      </c>
      <c r="R102" s="26">
        <f t="shared" si="15"/>
        <v>-1.5610861477560514E-2</v>
      </c>
      <c r="S102" s="26">
        <f t="shared" si="16"/>
        <v>-1.6369108877260344E-2</v>
      </c>
      <c r="T102" s="26">
        <f t="shared" si="17"/>
        <v>0.11294930288176896</v>
      </c>
      <c r="U102" s="26">
        <f t="shared" si="18"/>
        <v>-0.11541398550954313</v>
      </c>
      <c r="V102" s="26">
        <f t="shared" si="19"/>
        <v>-1.0229205971642284E-2</v>
      </c>
      <c r="W102" s="26">
        <f t="shared" si="20"/>
        <v>4.5319281302603183E-3</v>
      </c>
      <c r="X102" s="26">
        <f t="shared" si="21"/>
        <v>-1.3582893807883652E-3</v>
      </c>
    </row>
    <row r="103" spans="2:24" x14ac:dyDescent="0.2">
      <c r="B103" s="8">
        <f>+'Simulation and  VaR'!B116/'Simulation and  VaR'!B115-1</f>
        <v>2.5896843915920176E-3</v>
      </c>
      <c r="C103" s="8">
        <f>+'Simulation and  VaR'!C116/'Simulation and  VaR'!C115-1</f>
        <v>6.5008190012125766E-3</v>
      </c>
      <c r="D103" s="8">
        <f>+'Simulation and  VaR'!D116/'Simulation and  VaR'!D115-1</f>
        <v>-5.8072009291519899E-3</v>
      </c>
      <c r="E103" s="8">
        <f>+'Simulation and  VaR'!E116/'Simulation and  VaR'!E115-1</f>
        <v>-1.2035010940919189E-2</v>
      </c>
      <c r="F103" s="8">
        <f>+'Simulation and  VaR'!F116/'Simulation and  VaR'!F115-1</f>
        <v>-1.1518324607329822E-2</v>
      </c>
      <c r="G103" s="8">
        <f>+'Simulation and  VaR'!G116/'Simulation and  VaR'!G115-1</f>
        <v>-1.6314779270633406E-2</v>
      </c>
      <c r="H103" s="8">
        <f>+'Simulation and  VaR'!H116/'Simulation and  VaR'!H115-1</f>
        <v>-1.1499950431248074E-2</v>
      </c>
      <c r="I103" s="8">
        <f>+'Simulation and  VaR'!I116/'Simulation and  VaR'!I115-1</f>
        <v>4.9105021384444614E-2</v>
      </c>
      <c r="J103" s="8">
        <f>+'Simulation and  VaR'!J116/'Simulation and  VaR'!J115-1</f>
        <v>7.7887197851387535E-2</v>
      </c>
      <c r="K103" s="8">
        <f>+'Simulation and  VaR'!K116/'Simulation and  VaR'!K115-1</f>
        <v>-2.1186440677964935E-3</v>
      </c>
      <c r="L103" s="8">
        <f>+'Simulation and  VaR'!L116/'Simulation and  VaR'!L115-1</f>
        <v>-5.136986301369828E-3</v>
      </c>
      <c r="N103" s="26">
        <f t="shared" si="11"/>
        <v>-1.9312401008330354E-3</v>
      </c>
      <c r="O103" s="26">
        <f t="shared" si="12"/>
        <v>3.9840489826359826E-3</v>
      </c>
      <c r="P103" s="26">
        <f t="shared" si="13"/>
        <v>-8.0994092526029335E-3</v>
      </c>
      <c r="Q103" s="26">
        <f t="shared" si="14"/>
        <v>-1.4247770213428507E-2</v>
      </c>
      <c r="R103" s="26">
        <f t="shared" si="15"/>
        <v>-1.3699434018774595E-2</v>
      </c>
      <c r="S103" s="26">
        <f t="shared" si="16"/>
        <v>-1.8492781241555015E-2</v>
      </c>
      <c r="T103" s="26">
        <f t="shared" si="17"/>
        <v>-1.6843330476308479E-2</v>
      </c>
      <c r="U103" s="26">
        <f t="shared" si="18"/>
        <v>3.6703255255407234E-2</v>
      </c>
      <c r="V103" s="26">
        <f t="shared" si="19"/>
        <v>6.765799187974525E-2</v>
      </c>
      <c r="W103" s="26">
        <f t="shared" si="20"/>
        <v>-5.5172878592507895E-4</v>
      </c>
      <c r="X103" s="26">
        <f t="shared" si="21"/>
        <v>-1.6127511876141217E-3</v>
      </c>
    </row>
    <row r="104" spans="2:24" x14ac:dyDescent="0.2">
      <c r="B104" s="8">
        <f>+'Simulation and  VaR'!B117/'Simulation and  VaR'!B116-1</f>
        <v>2.4802399608591097E-2</v>
      </c>
      <c r="C104" s="8">
        <f>+'Simulation and  VaR'!C117/'Simulation and  VaR'!C116-1</f>
        <v>-7.4883526692559599E-3</v>
      </c>
      <c r="D104" s="8">
        <f>+'Simulation and  VaR'!D117/'Simulation and  VaR'!D116-1</f>
        <v>-3.5046728971963592E-3</v>
      </c>
      <c r="E104" s="8">
        <f>+'Simulation and  VaR'!E117/'Simulation and  VaR'!E116-1</f>
        <v>-1.1074197120708451E-3</v>
      </c>
      <c r="F104" s="8">
        <f>+'Simulation and  VaR'!F117/'Simulation and  VaR'!F116-1</f>
        <v>-3.1779661016948513E-3</v>
      </c>
      <c r="G104" s="8">
        <f>+'Simulation and  VaR'!G117/'Simulation and  VaR'!G116-1</f>
        <v>-1.1707317073170853E-2</v>
      </c>
      <c r="H104" s="8">
        <f>+'Simulation and  VaR'!H117/'Simulation and  VaR'!H116-1</f>
        <v>3.078928893791999E-2</v>
      </c>
      <c r="I104" s="8">
        <f>+'Simulation and  VaR'!I117/'Simulation and  VaR'!I116-1</f>
        <v>-2.8310433338366359E-2</v>
      </c>
      <c r="J104" s="8">
        <f>+'Simulation and  VaR'!J117/'Simulation and  VaR'!J116-1</f>
        <v>5.8139534883721034E-3</v>
      </c>
      <c r="K104" s="8">
        <f>+'Simulation and  VaR'!K117/'Simulation and  VaR'!K116-1</f>
        <v>-5.3967313484422075E-2</v>
      </c>
      <c r="L104" s="8">
        <f>+'Simulation and  VaR'!L117/'Simulation and  VaR'!L116-1</f>
        <v>-8.3741559645175156E-3</v>
      </c>
      <c r="N104" s="26">
        <f t="shared" si="11"/>
        <v>2.0281475116166042E-2</v>
      </c>
      <c r="O104" s="26">
        <f t="shared" si="12"/>
        <v>-1.0005122687832553E-2</v>
      </c>
      <c r="P104" s="26">
        <f t="shared" si="13"/>
        <v>-5.7968812206473028E-3</v>
      </c>
      <c r="Q104" s="26">
        <f t="shared" si="14"/>
        <v>-3.3201789845801635E-3</v>
      </c>
      <c r="R104" s="26">
        <f t="shared" si="15"/>
        <v>-5.3590755131396241E-3</v>
      </c>
      <c r="S104" s="26">
        <f t="shared" si="16"/>
        <v>-1.3885319044092462E-2</v>
      </c>
      <c r="T104" s="26">
        <f t="shared" si="17"/>
        <v>2.5445908892859585E-2</v>
      </c>
      <c r="U104" s="26">
        <f t="shared" si="18"/>
        <v>-4.0712199467403738E-2</v>
      </c>
      <c r="V104" s="26">
        <f t="shared" si="19"/>
        <v>-4.4152524832701805E-3</v>
      </c>
      <c r="W104" s="26">
        <f t="shared" si="20"/>
        <v>-5.2400398202550658E-2</v>
      </c>
      <c r="X104" s="26">
        <f t="shared" si="21"/>
        <v>-4.8499208507618088E-3</v>
      </c>
    </row>
    <row r="105" spans="2:24" x14ac:dyDescent="0.2">
      <c r="B105" s="8">
        <f>+'Simulation and  VaR'!B118/'Simulation and  VaR'!B117-1</f>
        <v>-2.9137153298564256E-2</v>
      </c>
      <c r="C105" s="8">
        <f>+'Simulation and  VaR'!C118/'Simulation and  VaR'!C117-1</f>
        <v>-2.1959513663507235E-2</v>
      </c>
      <c r="D105" s="8">
        <f>+'Simulation and  VaR'!D118/'Simulation and  VaR'!D117-1</f>
        <v>-1.4067995310668158E-2</v>
      </c>
      <c r="E105" s="8">
        <f>+'Simulation and  VaR'!E118/'Simulation and  VaR'!E117-1</f>
        <v>-1.3303769401330268E-2</v>
      </c>
      <c r="F105" s="8">
        <f>+'Simulation and  VaR'!F118/'Simulation and  VaR'!F117-1</f>
        <v>-1.4877789585547307E-2</v>
      </c>
      <c r="G105" s="8">
        <f>+'Simulation and  VaR'!G118/'Simulation and  VaR'!G117-1</f>
        <v>-1.7769002961500413E-2</v>
      </c>
      <c r="H105" s="8">
        <f>+'Simulation and  VaR'!H118/'Simulation and  VaR'!H117-1</f>
        <v>-1.0994356878770151E-2</v>
      </c>
      <c r="I105" s="8">
        <f>+'Simulation and  VaR'!I118/'Simulation and  VaR'!I117-1</f>
        <v>0</v>
      </c>
      <c r="J105" s="8">
        <f>+'Simulation and  VaR'!J118/'Simulation and  VaR'!J117-1</f>
        <v>5.7803468208093012E-3</v>
      </c>
      <c r="K105" s="8">
        <f>+'Simulation and  VaR'!K118/'Simulation and  VaR'!K117-1</f>
        <v>-3.961377870563676E-2</v>
      </c>
      <c r="L105" s="8">
        <f>+'Simulation and  VaR'!L118/'Simulation and  VaR'!L117-1</f>
        <v>-1.8024633666009482E-3</v>
      </c>
      <c r="N105" s="26">
        <f t="shared" si="11"/>
        <v>-3.365807779098931E-2</v>
      </c>
      <c r="O105" s="26">
        <f t="shared" si="12"/>
        <v>-2.4476283682083828E-2</v>
      </c>
      <c r="P105" s="26">
        <f t="shared" si="13"/>
        <v>-1.6360203634119101E-2</v>
      </c>
      <c r="Q105" s="26">
        <f t="shared" si="14"/>
        <v>-1.5516528673839586E-2</v>
      </c>
      <c r="R105" s="26">
        <f t="shared" si="15"/>
        <v>-1.7058898996992082E-2</v>
      </c>
      <c r="S105" s="26">
        <f t="shared" si="16"/>
        <v>-1.9947004932422022E-2</v>
      </c>
      <c r="T105" s="26">
        <f t="shared" si="17"/>
        <v>-1.6337736923830556E-2</v>
      </c>
      <c r="U105" s="26">
        <f t="shared" si="18"/>
        <v>-1.240176612903738E-2</v>
      </c>
      <c r="V105" s="26">
        <f t="shared" si="19"/>
        <v>-4.4488591508329827E-3</v>
      </c>
      <c r="W105" s="26">
        <f t="shared" si="20"/>
        <v>-3.8046863423765342E-2</v>
      </c>
      <c r="X105" s="26">
        <f t="shared" si="21"/>
        <v>1.7217717471547582E-3</v>
      </c>
    </row>
    <row r="106" spans="2:24" x14ac:dyDescent="0.2">
      <c r="B106" s="8">
        <f>+'Simulation and  VaR'!B119/'Simulation and  VaR'!B118-1</f>
        <v>7.2128212149358273E-2</v>
      </c>
      <c r="C106" s="8">
        <f>+'Simulation and  VaR'!C119/'Simulation and  VaR'!C118-1</f>
        <v>4.3662768792092743E-2</v>
      </c>
      <c r="D106" s="8">
        <f>+'Simulation and  VaR'!D119/'Simulation and  VaR'!D118-1</f>
        <v>2.1403091557669507E-2</v>
      </c>
      <c r="E106" s="8">
        <f>+'Simulation and  VaR'!E119/'Simulation and  VaR'!E118-1</f>
        <v>3.370786516853963E-3</v>
      </c>
      <c r="F106" s="8">
        <f>+'Simulation and  VaR'!F119/'Simulation and  VaR'!F118-1</f>
        <v>2.1574973031284195E-3</v>
      </c>
      <c r="G106" s="8">
        <f>+'Simulation and  VaR'!G119/'Simulation and  VaR'!G118-1</f>
        <v>-8.040201005025116E-3</v>
      </c>
      <c r="H106" s="8">
        <f>+'Simulation and  VaR'!H119/'Simulation and  VaR'!H118-1</f>
        <v>-1.4264633546483108E-2</v>
      </c>
      <c r="I106" s="8">
        <f>+'Simulation and  VaR'!I119/'Simulation and  VaR'!I118-1</f>
        <v>-3.2631497164167356E-2</v>
      </c>
      <c r="J106" s="8">
        <f>+'Simulation and  VaR'!J119/'Simulation and  VaR'!J118-1</f>
        <v>0</v>
      </c>
      <c r="K106" s="8">
        <f>+'Simulation and  VaR'!K119/'Simulation and  VaR'!K118-1</f>
        <v>-4.3747622411825504E-2</v>
      </c>
      <c r="L106" s="8">
        <f>+'Simulation and  VaR'!L119/'Simulation and  VaR'!L118-1</f>
        <v>3.3104831967896153E-3</v>
      </c>
      <c r="N106" s="26">
        <f t="shared" si="11"/>
        <v>6.7607287656933218E-2</v>
      </c>
      <c r="O106" s="26">
        <f t="shared" si="12"/>
        <v>4.114599877351615E-2</v>
      </c>
      <c r="P106" s="26">
        <f t="shared" si="13"/>
        <v>1.9110883234218563E-2</v>
      </c>
      <c r="Q106" s="26">
        <f t="shared" si="14"/>
        <v>1.1580272443446446E-3</v>
      </c>
      <c r="R106" s="26">
        <f t="shared" si="15"/>
        <v>-2.3612108316353828E-5</v>
      </c>
      <c r="S106" s="26">
        <f t="shared" si="16"/>
        <v>-1.0218202975946725E-2</v>
      </c>
      <c r="T106" s="26">
        <f t="shared" si="17"/>
        <v>-1.9608013591543513E-2</v>
      </c>
      <c r="U106" s="26">
        <f t="shared" si="18"/>
        <v>-4.5033263293204735E-2</v>
      </c>
      <c r="V106" s="26">
        <f t="shared" si="19"/>
        <v>-1.0229205971642284E-2</v>
      </c>
      <c r="W106" s="26">
        <f t="shared" si="20"/>
        <v>-4.2180707129954087E-2</v>
      </c>
      <c r="X106" s="26">
        <f t="shared" si="21"/>
        <v>6.8347183105453221E-3</v>
      </c>
    </row>
    <row r="107" spans="2:24" x14ac:dyDescent="0.2">
      <c r="B107" s="8">
        <f>+'Simulation and  VaR'!B120/'Simulation and  VaR'!B119-1</f>
        <v>3.9790192139186553E-2</v>
      </c>
      <c r="C107" s="8">
        <f>+'Simulation and  VaR'!C120/'Simulation and  VaR'!C119-1</f>
        <v>-4.2550744592029233E-3</v>
      </c>
      <c r="D107" s="8">
        <f>+'Simulation and  VaR'!D120/'Simulation and  VaR'!D119-1</f>
        <v>4.6565774155993278E-3</v>
      </c>
      <c r="E107" s="8">
        <f>+'Simulation and  VaR'!E120/'Simulation and  VaR'!E119-1</f>
        <v>-3.3594624860021627E-3</v>
      </c>
      <c r="F107" s="8">
        <f>+'Simulation and  VaR'!F120/'Simulation and  VaR'!F119-1</f>
        <v>-4.3057050592033574E-3</v>
      </c>
      <c r="G107" s="8">
        <f>+'Simulation and  VaR'!G120/'Simulation and  VaR'!G119-1</f>
        <v>3.0395136778116338E-3</v>
      </c>
      <c r="H107" s="8">
        <f>+'Simulation and  VaR'!H120/'Simulation and  VaR'!H119-1</f>
        <v>4.0818363273453118E-2</v>
      </c>
      <c r="I107" s="8">
        <f>+'Simulation and  VaR'!I120/'Simulation and  VaR'!I119-1</f>
        <v>-6.4251867319893297E-3</v>
      </c>
      <c r="J107" s="8">
        <f>+'Simulation and  VaR'!J120/'Simulation and  VaR'!J119-1</f>
        <v>0</v>
      </c>
      <c r="K107" s="8">
        <f>+'Simulation and  VaR'!K120/'Simulation and  VaR'!K119-1</f>
        <v>1.4491929984087326E-2</v>
      </c>
      <c r="L107" s="8">
        <f>+'Simulation and  VaR'!L120/'Simulation and  VaR'!L119-1</f>
        <v>-6.8657512331686821E-3</v>
      </c>
      <c r="N107" s="26">
        <f t="shared" si="11"/>
        <v>3.5269267646761499E-2</v>
      </c>
      <c r="O107" s="26">
        <f t="shared" si="12"/>
        <v>-6.7718444777795173E-3</v>
      </c>
      <c r="P107" s="26">
        <f t="shared" si="13"/>
        <v>2.3643690921483838E-3</v>
      </c>
      <c r="Q107" s="26">
        <f t="shared" si="14"/>
        <v>-5.5722217585114815E-3</v>
      </c>
      <c r="R107" s="26">
        <f t="shared" si="15"/>
        <v>-6.4868144706481303E-3</v>
      </c>
      <c r="S107" s="26">
        <f t="shared" si="16"/>
        <v>8.6151170689002451E-4</v>
      </c>
      <c r="T107" s="26">
        <f t="shared" si="17"/>
        <v>3.5474983228392709E-2</v>
      </c>
      <c r="U107" s="26">
        <f t="shared" si="18"/>
        <v>-1.8826952861026709E-2</v>
      </c>
      <c r="V107" s="26">
        <f t="shared" si="19"/>
        <v>-1.0229205971642284E-2</v>
      </c>
      <c r="W107" s="26">
        <f t="shared" si="20"/>
        <v>1.605884526595874E-2</v>
      </c>
      <c r="X107" s="26">
        <f t="shared" si="21"/>
        <v>-3.3415161194129757E-3</v>
      </c>
    </row>
    <row r="108" spans="2:24" x14ac:dyDescent="0.2">
      <c r="B108" s="8">
        <f>+'Simulation and  VaR'!B121/'Simulation and  VaR'!B120-1</f>
        <v>-3.3239884110550011E-2</v>
      </c>
      <c r="C108" s="8">
        <f>+'Simulation and  VaR'!C121/'Simulation and  VaR'!C120-1</f>
        <v>-3.7425376161980273E-3</v>
      </c>
      <c r="D108" s="8">
        <f>+'Simulation and  VaR'!D121/'Simulation and  VaR'!D120-1</f>
        <v>-6.9524913093856888E-3</v>
      </c>
      <c r="E108" s="8">
        <f>+'Simulation and  VaR'!E121/'Simulation and  VaR'!E120-1</f>
        <v>-8.9887640449438644E-3</v>
      </c>
      <c r="F108" s="8">
        <f>+'Simulation and  VaR'!F121/'Simulation and  VaR'!F120-1</f>
        <v>-1.0810810810810811E-2</v>
      </c>
      <c r="G108" s="8">
        <f>+'Simulation and  VaR'!G121/'Simulation and  VaR'!G120-1</f>
        <v>-7.0707070707071162E-3</v>
      </c>
      <c r="H108" s="8">
        <f>+'Simulation and  VaR'!H121/'Simulation and  VaR'!H120-1</f>
        <v>-8.0544635151980071E-3</v>
      </c>
      <c r="I108" s="8">
        <f>+'Simulation and  VaR'!I121/'Simulation and  VaR'!I120-1</f>
        <v>-7.7196669630587689E-2</v>
      </c>
      <c r="J108" s="8">
        <f>+'Simulation and  VaR'!J121/'Simulation and  VaR'!J120-1</f>
        <v>0</v>
      </c>
      <c r="K108" s="8">
        <f>+'Simulation and  VaR'!K121/'Simulation and  VaR'!K120-1</f>
        <v>0</v>
      </c>
      <c r="L108" s="8">
        <f>+'Simulation and  VaR'!L121/'Simulation and  VaR'!L120-1</f>
        <v>-1.580642996174253E-2</v>
      </c>
      <c r="N108" s="26">
        <f t="shared" si="11"/>
        <v>-3.7760808602975066E-2</v>
      </c>
      <c r="O108" s="26">
        <f t="shared" si="12"/>
        <v>-6.2593076347746213E-3</v>
      </c>
      <c r="P108" s="26">
        <f t="shared" si="13"/>
        <v>-9.2446996328366324E-3</v>
      </c>
      <c r="Q108" s="26">
        <f t="shared" si="14"/>
        <v>-1.1201523317453183E-2</v>
      </c>
      <c r="R108" s="26">
        <f t="shared" si="15"/>
        <v>-1.2991920222255584E-2</v>
      </c>
      <c r="S108" s="26">
        <f t="shared" si="16"/>
        <v>-9.2487090416287256E-3</v>
      </c>
      <c r="T108" s="26">
        <f t="shared" si="17"/>
        <v>-1.3397843560258412E-2</v>
      </c>
      <c r="U108" s="26">
        <f t="shared" si="18"/>
        <v>-8.9598435759625061E-2</v>
      </c>
      <c r="V108" s="26">
        <f t="shared" si="19"/>
        <v>-1.0229205971642284E-2</v>
      </c>
      <c r="W108" s="26">
        <f t="shared" si="20"/>
        <v>1.5669152818714146E-3</v>
      </c>
      <c r="X108" s="26">
        <f t="shared" si="21"/>
        <v>-1.2282194847986823E-2</v>
      </c>
    </row>
    <row r="109" spans="2:24" x14ac:dyDescent="0.2">
      <c r="B109" s="8">
        <f>+'Simulation and  VaR'!B122/'Simulation and  VaR'!B121-1</f>
        <v>-1.6875711777540547E-2</v>
      </c>
      <c r="C109" s="8">
        <f>+'Simulation and  VaR'!C122/'Simulation and  VaR'!C121-1</f>
        <v>-8.0679886100364362E-3</v>
      </c>
      <c r="D109" s="8">
        <f>+'Simulation and  VaR'!D122/'Simulation and  VaR'!D121-1</f>
        <v>-1.2835472578763274E-2</v>
      </c>
      <c r="E109" s="8">
        <f>+'Simulation and  VaR'!E122/'Simulation and  VaR'!E121-1</f>
        <v>-1.7006802721088454E-2</v>
      </c>
      <c r="F109" s="8">
        <f>+'Simulation and  VaR'!F122/'Simulation and  VaR'!F121-1</f>
        <v>-1.7486338797814249E-2</v>
      </c>
      <c r="G109" s="8">
        <f>+'Simulation and  VaR'!G122/'Simulation and  VaR'!G121-1</f>
        <v>-1.8311291963377441E-2</v>
      </c>
      <c r="H109" s="8">
        <f>+'Simulation and  VaR'!H122/'Simulation and  VaR'!H121-1</f>
        <v>-5.1232479458676039E-3</v>
      </c>
      <c r="I109" s="8">
        <f>+'Simulation and  VaR'!I122/'Simulation and  VaR'!I121-1</f>
        <v>-8.5581639803784193E-2</v>
      </c>
      <c r="J109" s="8">
        <f>+'Simulation and  VaR'!J122/'Simulation and  VaR'!J121-1</f>
        <v>0</v>
      </c>
      <c r="K109" s="8">
        <f>+'Simulation and  VaR'!K122/'Simulation and  VaR'!K121-1</f>
        <v>-4.2014452971822491E-3</v>
      </c>
      <c r="L109" s="8">
        <f>+'Simulation and  VaR'!L122/'Simulation and  VaR'!L121-1</f>
        <v>-1.3332424046100799E-2</v>
      </c>
      <c r="N109" s="26">
        <f t="shared" si="11"/>
        <v>-2.1396636269965602E-2</v>
      </c>
      <c r="O109" s="26">
        <f t="shared" si="12"/>
        <v>-1.0584758628613029E-2</v>
      </c>
      <c r="P109" s="26">
        <f t="shared" si="13"/>
        <v>-1.5127680902214218E-2</v>
      </c>
      <c r="Q109" s="26">
        <f t="shared" si="14"/>
        <v>-1.9219561993597773E-2</v>
      </c>
      <c r="R109" s="26">
        <f t="shared" si="15"/>
        <v>-1.9667448209259024E-2</v>
      </c>
      <c r="S109" s="26">
        <f t="shared" si="16"/>
        <v>-2.048929393429905E-2</v>
      </c>
      <c r="T109" s="26">
        <f t="shared" si="17"/>
        <v>-1.0466627990928009E-2</v>
      </c>
      <c r="U109" s="26">
        <f t="shared" si="18"/>
        <v>-9.7983405932821566E-2</v>
      </c>
      <c r="V109" s="26">
        <f t="shared" si="19"/>
        <v>-1.0229205971642284E-2</v>
      </c>
      <c r="W109" s="26">
        <f t="shared" si="20"/>
        <v>-2.6345300153108346E-3</v>
      </c>
      <c r="X109" s="26">
        <f t="shared" si="21"/>
        <v>-9.8081889323450924E-3</v>
      </c>
    </row>
    <row r="110" spans="2:24" x14ac:dyDescent="0.2">
      <c r="B110" s="8">
        <f>+'Simulation and  VaR'!B123/'Simulation and  VaR'!B122-1</f>
        <v>-1.1675868286717073E-2</v>
      </c>
      <c r="C110" s="8">
        <f>+'Simulation and  VaR'!C123/'Simulation and  VaR'!C122-1</f>
        <v>-2.241403778892026E-2</v>
      </c>
      <c r="D110" s="8">
        <f>+'Simulation and  VaR'!D123/'Simulation and  VaR'!D122-1</f>
        <v>-8.274231678486843E-3</v>
      </c>
      <c r="E110" s="8">
        <f>+'Simulation and  VaR'!E123/'Simulation and  VaR'!E122-1</f>
        <v>-1.3840830449827091E-2</v>
      </c>
      <c r="F110" s="8">
        <f>+'Simulation and  VaR'!F123/'Simulation and  VaR'!F122-1</f>
        <v>-1.8909899888765236E-2</v>
      </c>
      <c r="G110" s="8">
        <f>+'Simulation and  VaR'!G123/'Simulation and  VaR'!G122-1</f>
        <v>-2.4870466321243567E-2</v>
      </c>
      <c r="H110" s="8">
        <f>+'Simulation and  VaR'!H123/'Simulation and  VaR'!H122-1</f>
        <v>2.2541780023319191E-2</v>
      </c>
      <c r="I110" s="8">
        <f>+'Simulation and  VaR'!I123/'Simulation and  VaR'!I122-1</f>
        <v>0.1137082095986206</v>
      </c>
      <c r="J110" s="8">
        <f>+'Simulation and  VaR'!J123/'Simulation and  VaR'!J122-1</f>
        <v>0.14203612479474548</v>
      </c>
      <c r="K110" s="8">
        <f>+'Simulation and  VaR'!K123/'Simulation and  VaR'!K122-1</f>
        <v>-6.6100360036003614E-2</v>
      </c>
      <c r="L110" s="8">
        <f>+'Simulation and  VaR'!L123/'Simulation and  VaR'!L122-1</f>
        <v>-8.6051976776334582E-3</v>
      </c>
      <c r="N110" s="26">
        <f t="shared" si="11"/>
        <v>-1.6196792779142127E-2</v>
      </c>
      <c r="O110" s="26">
        <f t="shared" si="12"/>
        <v>-2.4930807807496853E-2</v>
      </c>
      <c r="P110" s="26">
        <f t="shared" si="13"/>
        <v>-1.0566440001937787E-2</v>
      </c>
      <c r="Q110" s="26">
        <f t="shared" si="14"/>
        <v>-1.6053589722336409E-2</v>
      </c>
      <c r="R110" s="26">
        <f t="shared" si="15"/>
        <v>-2.109100930021001E-2</v>
      </c>
      <c r="S110" s="26">
        <f t="shared" si="16"/>
        <v>-2.7048468292165177E-2</v>
      </c>
      <c r="T110" s="26">
        <f t="shared" si="17"/>
        <v>1.7198399978258786E-2</v>
      </c>
      <c r="U110" s="26">
        <f t="shared" si="18"/>
        <v>0.10130644346958323</v>
      </c>
      <c r="V110" s="26">
        <f t="shared" si="19"/>
        <v>0.13180691882310319</v>
      </c>
      <c r="W110" s="26">
        <f t="shared" si="20"/>
        <v>-6.4533444754132196E-2</v>
      </c>
      <c r="X110" s="26">
        <f t="shared" si="21"/>
        <v>-5.0809625638777514E-3</v>
      </c>
    </row>
    <row r="111" spans="2:24" x14ac:dyDescent="0.2">
      <c r="B111" s="8">
        <f>+'Simulation and  VaR'!B124/'Simulation and  VaR'!B123-1</f>
        <v>-3.2763253984398721E-2</v>
      </c>
      <c r="C111" s="8">
        <f>+'Simulation and  VaR'!C124/'Simulation and  VaR'!C123-1</f>
        <v>-2.4102949453587486E-2</v>
      </c>
      <c r="D111" s="8">
        <f>+'Simulation and  VaR'!D124/'Simulation and  VaR'!D123-1</f>
        <v>-7.15137067938032E-3</v>
      </c>
      <c r="E111" s="8">
        <f>+'Simulation and  VaR'!E124/'Simulation and  VaR'!E123-1</f>
        <v>-7.0175438596489226E-3</v>
      </c>
      <c r="F111" s="8">
        <f>+'Simulation and  VaR'!F124/'Simulation and  VaR'!F123-1</f>
        <v>-9.0702947845805459E-3</v>
      </c>
      <c r="G111" s="8">
        <f>+'Simulation and  VaR'!G124/'Simulation and  VaR'!G123-1</f>
        <v>-1.1689691817215908E-2</v>
      </c>
      <c r="H111" s="8">
        <f>+'Simulation and  VaR'!H124/'Simulation and  VaR'!H123-1</f>
        <v>-2.204484986697075E-2</v>
      </c>
      <c r="I111" s="8">
        <f>+'Simulation and  VaR'!I124/'Simulation and  VaR'!I123-1</f>
        <v>6.6660932392912375E-2</v>
      </c>
      <c r="J111" s="8">
        <f>+'Simulation and  VaR'!J124/'Simulation and  VaR'!J123-1</f>
        <v>0</v>
      </c>
      <c r="K111" s="8">
        <f>+'Simulation and  VaR'!K124/'Simulation and  VaR'!K123-1</f>
        <v>-7.1080055418348831E-3</v>
      </c>
      <c r="L111" s="8">
        <f>+'Simulation and  VaR'!L124/'Simulation and  VaR'!L123-1</f>
        <v>2.6213964513542631E-2</v>
      </c>
      <c r="N111" s="26">
        <f t="shared" si="11"/>
        <v>-3.7284178476823776E-2</v>
      </c>
      <c r="O111" s="26">
        <f t="shared" si="12"/>
        <v>-2.6619719472164079E-2</v>
      </c>
      <c r="P111" s="26">
        <f t="shared" si="13"/>
        <v>-9.4435790028312636E-3</v>
      </c>
      <c r="Q111" s="26">
        <f t="shared" si="14"/>
        <v>-9.2303031321582414E-3</v>
      </c>
      <c r="R111" s="26">
        <f t="shared" si="15"/>
        <v>-1.1251404196025319E-2</v>
      </c>
      <c r="S111" s="26">
        <f t="shared" si="16"/>
        <v>-1.3867693788137517E-2</v>
      </c>
      <c r="T111" s="26">
        <f t="shared" si="17"/>
        <v>-2.7388229912031156E-2</v>
      </c>
      <c r="U111" s="26">
        <f t="shared" si="18"/>
        <v>5.4259166263874996E-2</v>
      </c>
      <c r="V111" s="26">
        <f t="shared" si="19"/>
        <v>-1.0229205971642284E-2</v>
      </c>
      <c r="W111" s="26">
        <f t="shared" si="20"/>
        <v>-5.5410902599634685E-3</v>
      </c>
      <c r="X111" s="26">
        <f t="shared" si="21"/>
        <v>2.9738199627298338E-2</v>
      </c>
    </row>
    <row r="112" spans="2:24" x14ac:dyDescent="0.2">
      <c r="B112" s="8">
        <f>+'Simulation and  VaR'!B125/'Simulation and  VaR'!B124-1</f>
        <v>-3.4053124216592123E-2</v>
      </c>
      <c r="C112" s="8">
        <f>+'Simulation and  VaR'!C125/'Simulation and  VaR'!C124-1</f>
        <v>-1.6163235197412695E-2</v>
      </c>
      <c r="D112" s="8">
        <f>+'Simulation and  VaR'!D125/'Simulation and  VaR'!D124-1</f>
        <v>-8.4033613445378963E-3</v>
      </c>
      <c r="E112" s="8">
        <f>+'Simulation and  VaR'!E125/'Simulation and  VaR'!E124-1</f>
        <v>-2.3557126030623321E-3</v>
      </c>
      <c r="F112" s="8">
        <f>+'Simulation and  VaR'!F125/'Simulation and  VaR'!F124-1</f>
        <v>-4.5766590389016981E-3</v>
      </c>
      <c r="G112" s="8">
        <f>+'Simulation and  VaR'!G125/'Simulation and  VaR'!G124-1</f>
        <v>-6.4516129032257119E-3</v>
      </c>
      <c r="H112" s="8">
        <f>+'Simulation and  VaR'!H125/'Simulation and  VaR'!H124-1</f>
        <v>-7.9673532841041395E-3</v>
      </c>
      <c r="I112" s="8">
        <f>+'Simulation and  VaR'!I125/'Simulation and  VaR'!I124-1</f>
        <v>5.2415127812273088E-2</v>
      </c>
      <c r="J112" s="8">
        <f>+'Simulation and  VaR'!J125/'Simulation and  VaR'!J124-1</f>
        <v>0</v>
      </c>
      <c r="K112" s="8">
        <f>+'Simulation and  VaR'!K125/'Simulation and  VaR'!K124-1</f>
        <v>1.6987198932232328E-3</v>
      </c>
      <c r="L112" s="8">
        <f>+'Simulation and  VaR'!L125/'Simulation and  VaR'!L124-1</f>
        <v>9.2054757294743883E-3</v>
      </c>
      <c r="N112" s="26">
        <f t="shared" si="11"/>
        <v>-3.8574048709017178E-2</v>
      </c>
      <c r="O112" s="26">
        <f t="shared" si="12"/>
        <v>-1.8680005215989288E-2</v>
      </c>
      <c r="P112" s="26">
        <f t="shared" si="13"/>
        <v>-1.069556966798884E-2</v>
      </c>
      <c r="Q112" s="26">
        <f t="shared" si="14"/>
        <v>-4.5684718755716509E-3</v>
      </c>
      <c r="R112" s="26">
        <f t="shared" si="15"/>
        <v>-6.757768450346471E-3</v>
      </c>
      <c r="S112" s="26">
        <f t="shared" si="16"/>
        <v>-8.6296148741473212E-3</v>
      </c>
      <c r="T112" s="26">
        <f t="shared" si="17"/>
        <v>-1.3310733329164545E-2</v>
      </c>
      <c r="U112" s="26">
        <f t="shared" si="18"/>
        <v>4.0013361683235708E-2</v>
      </c>
      <c r="V112" s="26">
        <f t="shared" si="19"/>
        <v>-1.0229205971642284E-2</v>
      </c>
      <c r="W112" s="26">
        <f t="shared" si="20"/>
        <v>3.2656351750946474E-3</v>
      </c>
      <c r="X112" s="26">
        <f t="shared" si="21"/>
        <v>1.2729710843230095E-2</v>
      </c>
    </row>
    <row r="113" spans="2:24" x14ac:dyDescent="0.2">
      <c r="B113" s="8">
        <f>+'Simulation and  VaR'!B126/'Simulation and  VaR'!B125-1</f>
        <v>-8.625512208575703E-2</v>
      </c>
      <c r="C113" s="8">
        <f>+'Simulation and  VaR'!C126/'Simulation and  VaR'!C125-1</f>
        <v>-5.7794641922411349E-2</v>
      </c>
      <c r="D113" s="8">
        <f>+'Simulation and  VaR'!D126/'Simulation and  VaR'!D125-1</f>
        <v>-3.2687651331719025E-2</v>
      </c>
      <c r="E113" s="8">
        <f>+'Simulation and  VaR'!E126/'Simulation and  VaR'!E125-1</f>
        <v>-2.5974025974026094E-2</v>
      </c>
      <c r="F113" s="8">
        <f>+'Simulation and  VaR'!F126/'Simulation and  VaR'!F125-1</f>
        <v>-1.8390804597701149E-2</v>
      </c>
      <c r="G113" s="8">
        <f>+'Simulation and  VaR'!G126/'Simulation and  VaR'!G125-1</f>
        <v>-1.1904761904762085E-2</v>
      </c>
      <c r="H113" s="8">
        <f>+'Simulation and  VaR'!H126/'Simulation and  VaR'!H125-1</f>
        <v>5.2497551420176203E-2</v>
      </c>
      <c r="I113" s="8">
        <f>+'Simulation and  VaR'!I126/'Simulation and  VaR'!I125-1</f>
        <v>3.164508466784155E-2</v>
      </c>
      <c r="J113" s="8">
        <f>+'Simulation and  VaR'!J126/'Simulation and  VaR'!J125-1</f>
        <v>0</v>
      </c>
      <c r="K113" s="8">
        <f>+'Simulation and  VaR'!K126/'Simulation and  VaR'!K125-1</f>
        <v>3.0282841741869015E-2</v>
      </c>
      <c r="L113" s="8">
        <f>+'Simulation and  VaR'!L126/'Simulation and  VaR'!L125-1</f>
        <v>-1.3497139010434145E-2</v>
      </c>
      <c r="N113" s="26">
        <f t="shared" si="11"/>
        <v>-9.0776046578182085E-2</v>
      </c>
      <c r="O113" s="26">
        <f t="shared" si="12"/>
        <v>-6.0311411940987943E-2</v>
      </c>
      <c r="P113" s="26">
        <f t="shared" si="13"/>
        <v>-3.4979859655169969E-2</v>
      </c>
      <c r="Q113" s="26">
        <f t="shared" si="14"/>
        <v>-2.8186785246535413E-2</v>
      </c>
      <c r="R113" s="26">
        <f t="shared" si="15"/>
        <v>-2.0571914009145924E-2</v>
      </c>
      <c r="S113" s="26">
        <f t="shared" si="16"/>
        <v>-1.4082763875683694E-2</v>
      </c>
      <c r="T113" s="26">
        <f t="shared" si="17"/>
        <v>4.7154171375115794E-2</v>
      </c>
      <c r="U113" s="26">
        <f t="shared" si="18"/>
        <v>1.924331853880417E-2</v>
      </c>
      <c r="V113" s="26">
        <f t="shared" si="19"/>
        <v>-1.0229205971642284E-2</v>
      </c>
      <c r="W113" s="26">
        <f t="shared" si="20"/>
        <v>3.1849757023740433E-2</v>
      </c>
      <c r="X113" s="26">
        <f t="shared" si="21"/>
        <v>-9.9729038966784381E-3</v>
      </c>
    </row>
    <row r="114" spans="2:24" x14ac:dyDescent="0.2">
      <c r="B114" s="8">
        <f>+'Simulation and  VaR'!B127/'Simulation and  VaR'!B126-1</f>
        <v>6.3000650460467211E-2</v>
      </c>
      <c r="C114" s="8">
        <f>+'Simulation and  VaR'!C127/'Simulation and  VaR'!C126-1</f>
        <v>5.0041848370490305E-2</v>
      </c>
      <c r="D114" s="8">
        <f>+'Simulation and  VaR'!D127/'Simulation and  VaR'!D126-1</f>
        <v>-2.5031289111390187E-3</v>
      </c>
      <c r="E114" s="8">
        <f>+'Simulation and  VaR'!E127/'Simulation and  VaR'!E126-1</f>
        <v>-9.6969696969697594E-3</v>
      </c>
      <c r="F114" s="8">
        <f>+'Simulation and  VaR'!F127/'Simulation and  VaR'!F126-1</f>
        <v>-9.3676814988290502E-3</v>
      </c>
      <c r="G114" s="8">
        <f>+'Simulation and  VaR'!G127/'Simulation and  VaR'!G126-1</f>
        <v>-4.3811610076669449E-3</v>
      </c>
      <c r="H114" s="8">
        <f>+'Simulation and  VaR'!H127/'Simulation and  VaR'!H126-1</f>
        <v>-5.043737204541221E-2</v>
      </c>
      <c r="I114" s="8">
        <f>+'Simulation and  VaR'!I127/'Simulation and  VaR'!I126-1</f>
        <v>-1.6711229946524075E-2</v>
      </c>
      <c r="J114" s="8">
        <f>+'Simulation and  VaR'!J127/'Simulation and  VaR'!J126-1</f>
        <v>0</v>
      </c>
      <c r="K114" s="8">
        <f>+'Simulation and  VaR'!K127/'Simulation and  VaR'!K126-1</f>
        <v>8.229968843689317E-3</v>
      </c>
      <c r="L114" s="8">
        <f>+'Simulation and  VaR'!L127/'Simulation and  VaR'!L126-1</f>
        <v>-1.5865433825787201E-2</v>
      </c>
      <c r="N114" s="26">
        <f t="shared" si="11"/>
        <v>5.8479725968042157E-2</v>
      </c>
      <c r="O114" s="26">
        <f t="shared" si="12"/>
        <v>4.7525078351913712E-2</v>
      </c>
      <c r="P114" s="26">
        <f t="shared" si="13"/>
        <v>-4.7953372345899622E-3</v>
      </c>
      <c r="Q114" s="26">
        <f t="shared" si="14"/>
        <v>-1.1909728969479078E-2</v>
      </c>
      <c r="R114" s="26">
        <f t="shared" si="15"/>
        <v>-1.1548790910273823E-2</v>
      </c>
      <c r="S114" s="26">
        <f t="shared" si="16"/>
        <v>-6.5591629785885543E-3</v>
      </c>
      <c r="T114" s="26">
        <f t="shared" si="17"/>
        <v>-5.5780752090472618E-2</v>
      </c>
      <c r="U114" s="26">
        <f t="shared" si="18"/>
        <v>-2.9112996075561455E-2</v>
      </c>
      <c r="V114" s="26">
        <f t="shared" si="19"/>
        <v>-1.0229205971642284E-2</v>
      </c>
      <c r="W114" s="26">
        <f t="shared" si="20"/>
        <v>9.7968841255607307E-3</v>
      </c>
      <c r="X114" s="26">
        <f t="shared" si="21"/>
        <v>-1.2341198712031494E-2</v>
      </c>
    </row>
    <row r="115" spans="2:24" x14ac:dyDescent="0.2">
      <c r="B115" s="8">
        <f>+'Simulation and  VaR'!B128/'Simulation and  VaR'!B127-1</f>
        <v>1.0413881468642083E-2</v>
      </c>
      <c r="C115" s="8">
        <f>+'Simulation and  VaR'!C128/'Simulation and  VaR'!C127-1</f>
        <v>2.4603502288992329E-2</v>
      </c>
      <c r="D115" s="8">
        <f>+'Simulation and  VaR'!D128/'Simulation and  VaR'!D127-1</f>
        <v>1.0037641154328591E-2</v>
      </c>
      <c r="E115" s="8">
        <f>+'Simulation and  VaR'!E128/'Simulation and  VaR'!E127-1</f>
        <v>1.2239902080783294E-2</v>
      </c>
      <c r="F115" s="8">
        <f>+'Simulation and  VaR'!F128/'Simulation and  VaR'!F127-1</f>
        <v>4.7281323877068626E-3</v>
      </c>
      <c r="G115" s="8">
        <f>+'Simulation and  VaR'!G128/'Simulation and  VaR'!G127-1</f>
        <v>4.4004400440043057E-3</v>
      </c>
      <c r="H115" s="8">
        <f>+'Simulation and  VaR'!H128/'Simulation and  VaR'!H127-1</f>
        <v>-2.1658173265386216E-2</v>
      </c>
      <c r="I115" s="8">
        <f>+'Simulation and  VaR'!I128/'Simulation and  VaR'!I127-1</f>
        <v>8.1199486366039686E-2</v>
      </c>
      <c r="J115" s="8">
        <f>+'Simulation and  VaR'!J128/'Simulation and  VaR'!J127-1</f>
        <v>0</v>
      </c>
      <c r="K115" s="8">
        <f>+'Simulation and  VaR'!K128/'Simulation and  VaR'!K127-1</f>
        <v>-1.1661127631040769E-3</v>
      </c>
      <c r="L115" s="8">
        <f>+'Simulation and  VaR'!L128/'Simulation and  VaR'!L127-1</f>
        <v>-1.9484121481070593E-2</v>
      </c>
      <c r="N115" s="26">
        <f t="shared" si="11"/>
        <v>5.8929569762170304E-3</v>
      </c>
      <c r="O115" s="26">
        <f t="shared" si="12"/>
        <v>2.2086732270415736E-2</v>
      </c>
      <c r="P115" s="26">
        <f t="shared" si="13"/>
        <v>7.7454328308776479E-3</v>
      </c>
      <c r="Q115" s="26">
        <f t="shared" si="14"/>
        <v>1.0027142808273975E-2</v>
      </c>
      <c r="R115" s="26">
        <f t="shared" si="15"/>
        <v>2.5470229762620893E-3</v>
      </c>
      <c r="S115" s="26">
        <f t="shared" si="16"/>
        <v>2.2224380730826963E-3</v>
      </c>
      <c r="T115" s="26">
        <f t="shared" si="17"/>
        <v>-2.7001553310446621E-2</v>
      </c>
      <c r="U115" s="26">
        <f t="shared" si="18"/>
        <v>6.8797720237002313E-2</v>
      </c>
      <c r="V115" s="26">
        <f t="shared" si="19"/>
        <v>-1.0229205971642284E-2</v>
      </c>
      <c r="W115" s="26">
        <f t="shared" si="20"/>
        <v>4.008025187673377E-4</v>
      </c>
      <c r="X115" s="26">
        <f t="shared" si="21"/>
        <v>-1.5959886367314886E-2</v>
      </c>
    </row>
    <row r="116" spans="2:24" x14ac:dyDescent="0.2">
      <c r="B116" s="8">
        <f>+'Simulation and  VaR'!B129/'Simulation and  VaR'!B128-1</f>
        <v>-1.3558516944776944E-2</v>
      </c>
      <c r="C116" s="8">
        <f>+'Simulation and  VaR'!C129/'Simulation and  VaR'!C128-1</f>
        <v>9.3158867978522242E-3</v>
      </c>
      <c r="D116" s="8">
        <f>+'Simulation and  VaR'!D129/'Simulation and  VaR'!D128-1</f>
        <v>7.4534161490684703E-3</v>
      </c>
      <c r="E116" s="8">
        <f>+'Simulation and  VaR'!E129/'Simulation and  VaR'!E128-1</f>
        <v>2.4183796856105388E-3</v>
      </c>
      <c r="F116" s="8">
        <f>+'Simulation and  VaR'!F129/'Simulation and  VaR'!F128-1</f>
        <v>7.058823529411784E-3</v>
      </c>
      <c r="G116" s="8">
        <f>+'Simulation and  VaR'!G129/'Simulation and  VaR'!G128-1</f>
        <v>0</v>
      </c>
      <c r="H116" s="8">
        <f>+'Simulation and  VaR'!H129/'Simulation and  VaR'!H128-1</f>
        <v>-1.4023840528899045E-2</v>
      </c>
      <c r="I116" s="8">
        <f>+'Simulation and  VaR'!I129/'Simulation and  VaR'!I128-1</f>
        <v>4.0170462484281133E-2</v>
      </c>
      <c r="J116" s="8">
        <f>+'Simulation and  VaR'!J129/'Simulation and  VaR'!J128-1</f>
        <v>0</v>
      </c>
      <c r="K116" s="8">
        <f>+'Simulation and  VaR'!K129/'Simulation and  VaR'!K128-1</f>
        <v>4.086159593718941E-3</v>
      </c>
      <c r="L116" s="8">
        <f>+'Simulation and  VaR'!L129/'Simulation and  VaR'!L128-1</f>
        <v>-1.8598401810338672E-2</v>
      </c>
      <c r="N116" s="26">
        <f t="shared" si="11"/>
        <v>-1.8079441437201998E-2</v>
      </c>
      <c r="O116" s="26">
        <f t="shared" si="12"/>
        <v>6.7991167792756301E-3</v>
      </c>
      <c r="P116" s="26">
        <f t="shared" si="13"/>
        <v>5.1612078256175267E-3</v>
      </c>
      <c r="Q116" s="26">
        <f t="shared" si="14"/>
        <v>2.0562041310122044E-4</v>
      </c>
      <c r="R116" s="26">
        <f t="shared" si="15"/>
        <v>4.8777141179670112E-3</v>
      </c>
      <c r="S116" s="26">
        <f t="shared" si="16"/>
        <v>-2.1780019709216093E-3</v>
      </c>
      <c r="T116" s="26">
        <f t="shared" si="17"/>
        <v>-1.936722057395945E-2</v>
      </c>
      <c r="U116" s="26">
        <f t="shared" si="18"/>
        <v>2.7768696355243754E-2</v>
      </c>
      <c r="V116" s="26">
        <f t="shared" si="19"/>
        <v>-1.0229205971642284E-2</v>
      </c>
      <c r="W116" s="26">
        <f t="shared" si="20"/>
        <v>5.6530748755903555E-3</v>
      </c>
      <c r="X116" s="26">
        <f t="shared" si="21"/>
        <v>-1.5074166696582965E-2</v>
      </c>
    </row>
    <row r="117" spans="2:24" x14ac:dyDescent="0.2">
      <c r="B117" s="8">
        <f>+'Simulation and  VaR'!B130/'Simulation and  VaR'!B129-1</f>
        <v>-1.4715439650851203E-2</v>
      </c>
      <c r="C117" s="8">
        <f>+'Simulation and  VaR'!C130/'Simulation and  VaR'!C129-1</f>
        <v>-1.1981258366800529E-2</v>
      </c>
      <c r="D117" s="8">
        <f>+'Simulation and  VaR'!D130/'Simulation and  VaR'!D129-1</f>
        <v>-7.3982737361283357E-3</v>
      </c>
      <c r="E117" s="8">
        <f>+'Simulation and  VaR'!E130/'Simulation and  VaR'!E129-1</f>
        <v>0</v>
      </c>
      <c r="F117" s="8">
        <f>+'Simulation and  VaR'!F130/'Simulation and  VaR'!F129-1</f>
        <v>0</v>
      </c>
      <c r="G117" s="8">
        <f>+'Simulation and  VaR'!G130/'Simulation and  VaR'!G129-1</f>
        <v>-5.4764512595836257E-3</v>
      </c>
      <c r="H117" s="8">
        <f>+'Simulation and  VaR'!H130/'Simulation and  VaR'!H129-1</f>
        <v>2.0319008432378993E-4</v>
      </c>
      <c r="I117" s="8">
        <f>+'Simulation and  VaR'!I130/'Simulation and  VaR'!I129-1</f>
        <v>-1.0074551682450084E-2</v>
      </c>
      <c r="J117" s="8">
        <f>+'Simulation and  VaR'!J130/'Simulation and  VaR'!J129-1</f>
        <v>0</v>
      </c>
      <c r="K117" s="8">
        <f>+'Simulation and  VaR'!K130/'Simulation and  VaR'!K129-1</f>
        <v>-4.6508923899779564E-4</v>
      </c>
      <c r="L117" s="8">
        <f>+'Simulation and  VaR'!L130/'Simulation and  VaR'!L129-1</f>
        <v>8.2864966133433526E-4</v>
      </c>
      <c r="N117" s="26">
        <f t="shared" si="11"/>
        <v>-1.9236364143276258E-2</v>
      </c>
      <c r="O117" s="26">
        <f t="shared" si="12"/>
        <v>-1.4498028385377122E-2</v>
      </c>
      <c r="P117" s="26">
        <f t="shared" si="13"/>
        <v>-9.6904820595792793E-3</v>
      </c>
      <c r="Q117" s="26">
        <f t="shared" si="14"/>
        <v>-2.2127592725093184E-3</v>
      </c>
      <c r="R117" s="26">
        <f t="shared" si="15"/>
        <v>-2.1811094114447733E-3</v>
      </c>
      <c r="S117" s="26">
        <f t="shared" si="16"/>
        <v>-7.654453230505235E-3</v>
      </c>
      <c r="T117" s="26">
        <f t="shared" si="17"/>
        <v>-5.1401899607366151E-3</v>
      </c>
      <c r="U117" s="26">
        <f t="shared" si="18"/>
        <v>-2.2476317811487463E-2</v>
      </c>
      <c r="V117" s="26">
        <f t="shared" si="19"/>
        <v>-1.0229205971642284E-2</v>
      </c>
      <c r="W117" s="26">
        <f t="shared" si="20"/>
        <v>1.1018260428736189E-3</v>
      </c>
      <c r="X117" s="26">
        <f t="shared" si="21"/>
        <v>4.3528847750900421E-3</v>
      </c>
    </row>
    <row r="118" spans="2:24" x14ac:dyDescent="0.2">
      <c r="B118" s="8">
        <f>+'Simulation and  VaR'!B131/'Simulation and  VaR'!B130-1</f>
        <v>9.3725758554699334E-2</v>
      </c>
      <c r="C118" s="8">
        <f>+'Simulation and  VaR'!C131/'Simulation and  VaR'!C130-1</f>
        <v>1.1674909111848875E-2</v>
      </c>
      <c r="D118" s="8">
        <f>+'Simulation and  VaR'!D131/'Simulation and  VaR'!D130-1</f>
        <v>1.2422360248449671E-3</v>
      </c>
      <c r="E118" s="8">
        <f>+'Simulation and  VaR'!E131/'Simulation and  VaR'!E130-1</f>
        <v>0</v>
      </c>
      <c r="F118" s="8">
        <f>+'Simulation and  VaR'!F131/'Simulation and  VaR'!F130-1</f>
        <v>0</v>
      </c>
      <c r="G118" s="8">
        <f>+'Simulation and  VaR'!G131/'Simulation and  VaR'!G130-1</f>
        <v>-6.6079295154185536E-3</v>
      </c>
      <c r="H118" s="8">
        <f>+'Simulation and  VaR'!H131/'Simulation and  VaR'!H130-1</f>
        <v>-2.3565261554088335E-2</v>
      </c>
      <c r="I118" s="8">
        <f>+'Simulation and  VaR'!I131/'Simulation and  VaR'!I130-1</f>
        <v>-2.8360132980527863E-2</v>
      </c>
      <c r="J118" s="8">
        <f>+'Simulation and  VaR'!J131/'Simulation and  VaR'!J130-1</f>
        <v>0</v>
      </c>
      <c r="K118" s="8">
        <f>+'Simulation and  VaR'!K131/'Simulation and  VaR'!K130-1</f>
        <v>-5.816320595586344E-5</v>
      </c>
      <c r="L118" s="8">
        <f>+'Simulation and  VaR'!L131/'Simulation and  VaR'!L130-1</f>
        <v>-1.7999208034846781E-3</v>
      </c>
      <c r="N118" s="26">
        <f t="shared" si="11"/>
        <v>8.920483406227428E-2</v>
      </c>
      <c r="O118" s="26">
        <f t="shared" si="12"/>
        <v>9.1581390932722814E-3</v>
      </c>
      <c r="P118" s="26">
        <f t="shared" si="13"/>
        <v>-1.0499722986059769E-3</v>
      </c>
      <c r="Q118" s="26">
        <f t="shared" si="14"/>
        <v>-2.2127592725093184E-3</v>
      </c>
      <c r="R118" s="26">
        <f t="shared" si="15"/>
        <v>-2.1811094114447733E-3</v>
      </c>
      <c r="S118" s="26">
        <f t="shared" si="16"/>
        <v>-8.7859314863401629E-3</v>
      </c>
      <c r="T118" s="26">
        <f t="shared" si="17"/>
        <v>-2.890864159914874E-2</v>
      </c>
      <c r="U118" s="26">
        <f t="shared" si="18"/>
        <v>-4.0761899109565243E-2</v>
      </c>
      <c r="V118" s="26">
        <f t="shared" si="19"/>
        <v>-1.0229205971642284E-2</v>
      </c>
      <c r="W118" s="26">
        <f t="shared" si="20"/>
        <v>1.5087520759155511E-3</v>
      </c>
      <c r="X118" s="26">
        <f t="shared" si="21"/>
        <v>1.7243143102710283E-3</v>
      </c>
    </row>
    <row r="119" spans="2:24" x14ac:dyDescent="0.2">
      <c r="B119" s="8">
        <f>+'Simulation and  VaR'!B132/'Simulation and  VaR'!B131-1</f>
        <v>1.2261784696796507E-2</v>
      </c>
      <c r="C119" s="8">
        <f>+'Simulation and  VaR'!C132/'Simulation and  VaR'!C131-1</f>
        <v>-2.4269480517748909E-2</v>
      </c>
      <c r="D119" s="8">
        <f>+'Simulation and  VaR'!D132/'Simulation and  VaR'!D131-1</f>
        <v>-1.2406947890818976E-2</v>
      </c>
      <c r="E119" s="8">
        <f>+'Simulation and  VaR'!E132/'Simulation and  VaR'!E131-1</f>
        <v>-1.0856453558504175E-2</v>
      </c>
      <c r="F119" s="8">
        <f>+'Simulation and  VaR'!F132/'Simulation and  VaR'!F131-1</f>
        <v>-1.0514018691588745E-2</v>
      </c>
      <c r="G119" s="8">
        <f>+'Simulation and  VaR'!G132/'Simulation and  VaR'!G131-1</f>
        <v>-1.1086474501108556E-2</v>
      </c>
      <c r="H119" s="8">
        <f>+'Simulation and  VaR'!H132/'Simulation and  VaR'!H131-1</f>
        <v>4.5355248101529133E-2</v>
      </c>
      <c r="I119" s="8">
        <f>+'Simulation and  VaR'!I132/'Simulation and  VaR'!I131-1</f>
        <v>-4.8879268207524529E-4</v>
      </c>
      <c r="J119" s="8">
        <f>+'Simulation and  VaR'!J132/'Simulation and  VaR'!J131-1</f>
        <v>0</v>
      </c>
      <c r="K119" s="8">
        <f>+'Simulation and  VaR'!K132/'Simulation and  VaR'!K131-1</f>
        <v>3.489995346672714E-4</v>
      </c>
      <c r="L119" s="8">
        <f>+'Simulation and  VaR'!L132/'Simulation and  VaR'!L131-1</f>
        <v>-3.4945364059288053E-2</v>
      </c>
      <c r="N119" s="26">
        <f t="shared" si="11"/>
        <v>7.7408602043714542E-3</v>
      </c>
      <c r="O119" s="26">
        <f t="shared" si="12"/>
        <v>-2.6786250536325502E-2</v>
      </c>
      <c r="P119" s="26">
        <f t="shared" si="13"/>
        <v>-1.4699156214269919E-2</v>
      </c>
      <c r="Q119" s="26">
        <f t="shared" si="14"/>
        <v>-1.3069212831013494E-2</v>
      </c>
      <c r="R119" s="26">
        <f t="shared" si="15"/>
        <v>-1.2695128103033517E-2</v>
      </c>
      <c r="S119" s="26">
        <f t="shared" si="16"/>
        <v>-1.3264476472030166E-2</v>
      </c>
      <c r="T119" s="26">
        <f t="shared" si="17"/>
        <v>4.0011868056468725E-2</v>
      </c>
      <c r="U119" s="26">
        <f t="shared" si="18"/>
        <v>-1.2890558811112625E-2</v>
      </c>
      <c r="V119" s="26">
        <f t="shared" si="19"/>
        <v>-1.0229205971642284E-2</v>
      </c>
      <c r="W119" s="26">
        <f t="shared" si="20"/>
        <v>1.915914816538686E-3</v>
      </c>
      <c r="X119" s="26">
        <f t="shared" si="21"/>
        <v>-3.1421128945532346E-2</v>
      </c>
    </row>
    <row r="120" spans="2:24" x14ac:dyDescent="0.2">
      <c r="B120" s="8">
        <f>+'Simulation and  VaR'!B133/'Simulation and  VaR'!B132-1</f>
        <v>3.4155241761335109E-2</v>
      </c>
      <c r="C120" s="8">
        <f>+'Simulation and  VaR'!C133/'Simulation and  VaR'!C132-1</f>
        <v>7.4868979223392529E-3</v>
      </c>
      <c r="D120" s="8">
        <f>+'Simulation and  VaR'!D133/'Simulation and  VaR'!D132-1</f>
        <v>-1.2562814070351536E-3</v>
      </c>
      <c r="E120" s="8">
        <f>+'Simulation and  VaR'!E133/'Simulation and  VaR'!E132-1</f>
        <v>-8.5365853658536661E-3</v>
      </c>
      <c r="F120" s="8">
        <f>+'Simulation and  VaR'!F133/'Simulation and  VaR'!F132-1</f>
        <v>-7.0838252656435508E-3</v>
      </c>
      <c r="G120" s="8">
        <f>+'Simulation and  VaR'!G133/'Simulation and  VaR'!G132-1</f>
        <v>-4.48430493273555E-3</v>
      </c>
      <c r="H120" s="8">
        <f>+'Simulation and  VaR'!H133/'Simulation and  VaR'!H132-1</f>
        <v>-1.6220519454672178E-2</v>
      </c>
      <c r="I120" s="8">
        <f>+'Simulation and  VaR'!I133/'Simulation and  VaR'!I132-1</f>
        <v>8.7327092357132319E-3</v>
      </c>
      <c r="J120" s="8">
        <f>+'Simulation and  VaR'!J133/'Simulation and  VaR'!J132-1</f>
        <v>0</v>
      </c>
      <c r="K120" s="8">
        <f>+'Simulation and  VaR'!K133/'Simulation and  VaR'!K132-1</f>
        <v>9.7685777415978947E-3</v>
      </c>
      <c r="L120" s="8">
        <f>+'Simulation and  VaR'!L133/'Simulation and  VaR'!L132-1</f>
        <v>-2.9147982062779354E-3</v>
      </c>
      <c r="N120" s="26">
        <f t="shared" si="11"/>
        <v>2.9634317268910054E-2</v>
      </c>
      <c r="O120" s="26">
        <f t="shared" si="12"/>
        <v>4.9701279037626589E-3</v>
      </c>
      <c r="P120" s="26">
        <f t="shared" si="13"/>
        <v>-3.5484897304860975E-3</v>
      </c>
      <c r="Q120" s="26">
        <f t="shared" si="14"/>
        <v>-1.0749344638362985E-2</v>
      </c>
      <c r="R120" s="26">
        <f t="shared" si="15"/>
        <v>-9.2649346770883236E-3</v>
      </c>
      <c r="S120" s="26">
        <f t="shared" si="16"/>
        <v>-6.6623069036571593E-3</v>
      </c>
      <c r="T120" s="26">
        <f t="shared" si="17"/>
        <v>-2.1563899499732583E-2</v>
      </c>
      <c r="U120" s="26">
        <f t="shared" si="18"/>
        <v>-3.6690568933241477E-3</v>
      </c>
      <c r="V120" s="26">
        <f t="shared" si="19"/>
        <v>-1.0229205971642284E-2</v>
      </c>
      <c r="W120" s="26">
        <f t="shared" si="20"/>
        <v>1.1335493023469308E-2</v>
      </c>
      <c r="X120" s="26">
        <f t="shared" si="21"/>
        <v>6.0943690747777097E-4</v>
      </c>
    </row>
    <row r="121" spans="2:24" x14ac:dyDescent="0.2">
      <c r="B121" s="8">
        <f>+'Simulation and  VaR'!B134/'Simulation and  VaR'!B133-1</f>
        <v>5.9537530104930125E-2</v>
      </c>
      <c r="C121" s="8">
        <f>+'Simulation and  VaR'!C134/'Simulation and  VaR'!C133-1</f>
        <v>9.0629072479564421E-3</v>
      </c>
      <c r="D121" s="8">
        <f>+'Simulation and  VaR'!D134/'Simulation and  VaR'!D133-1</f>
        <v>5.031446540880502E-3</v>
      </c>
      <c r="E121" s="8">
        <f>+'Simulation and  VaR'!E134/'Simulation and  VaR'!E133-1</f>
        <v>6.1500615006151449E-3</v>
      </c>
      <c r="F121" s="8">
        <f>+'Simulation and  VaR'!F134/'Simulation and  VaR'!F133-1</f>
        <v>0</v>
      </c>
      <c r="G121" s="8">
        <f>+'Simulation and  VaR'!G134/'Simulation and  VaR'!G133-1</f>
        <v>-5.6306306306305176E-3</v>
      </c>
      <c r="H121" s="8">
        <f>+'Simulation and  VaR'!H134/'Simulation and  VaR'!H133-1</f>
        <v>-2.1039854339469977E-2</v>
      </c>
      <c r="I121" s="8">
        <f>+'Simulation and  VaR'!I134/'Simulation and  VaR'!I133-1</f>
        <v>1.2119952905325748E-2</v>
      </c>
      <c r="J121" s="8">
        <f>+'Simulation and  VaR'!J134/'Simulation and  VaR'!J133-1</f>
        <v>6.8296189791516859E-2</v>
      </c>
      <c r="K121" s="8">
        <f>+'Simulation and  VaR'!K134/'Simulation and  VaR'!K133-1</f>
        <v>3.6277784175975381E-3</v>
      </c>
      <c r="L121" s="8">
        <f>+'Simulation and  VaR'!L134/'Simulation and  VaR'!L133-1</f>
        <v>2.5860130425006123E-3</v>
      </c>
      <c r="N121" s="26">
        <f t="shared" si="11"/>
        <v>5.5016605612505071E-2</v>
      </c>
      <c r="O121" s="26">
        <f t="shared" si="12"/>
        <v>6.5461372293798481E-3</v>
      </c>
      <c r="P121" s="26">
        <f t="shared" si="13"/>
        <v>2.739238217429558E-3</v>
      </c>
      <c r="Q121" s="26">
        <f t="shared" si="14"/>
        <v>3.9373022281058261E-3</v>
      </c>
      <c r="R121" s="26">
        <f t="shared" si="15"/>
        <v>-2.1811094114447733E-3</v>
      </c>
      <c r="S121" s="26">
        <f t="shared" si="16"/>
        <v>-7.8086326015521269E-3</v>
      </c>
      <c r="T121" s="26">
        <f t="shared" si="17"/>
        <v>-2.6383234384530382E-2</v>
      </c>
      <c r="U121" s="26">
        <f t="shared" si="18"/>
        <v>-2.8181322371163137E-4</v>
      </c>
      <c r="V121" s="26">
        <f t="shared" si="19"/>
        <v>5.8066983819874574E-2</v>
      </c>
      <c r="W121" s="26">
        <f t="shared" si="20"/>
        <v>5.1946936994689526E-3</v>
      </c>
      <c r="X121" s="26">
        <f t="shared" si="21"/>
        <v>6.1102481562563191E-3</v>
      </c>
    </row>
    <row r="122" spans="2:24" x14ac:dyDescent="0.2">
      <c r="B122" s="8">
        <f>+'Simulation and  VaR'!B135/'Simulation and  VaR'!B134-1</f>
        <v>5.8613075436986461E-2</v>
      </c>
      <c r="C122" s="8">
        <f>+'Simulation and  VaR'!C135/'Simulation and  VaR'!C134-1</f>
        <v>-7.1170000110866161E-3</v>
      </c>
      <c r="D122" s="8">
        <f>+'Simulation and  VaR'!D135/'Simulation and  VaR'!D134-1</f>
        <v>-7.509386733416834E-3</v>
      </c>
      <c r="E122" s="8">
        <f>+'Simulation and  VaR'!E135/'Simulation and  VaR'!E134-1</f>
        <v>-2.4449877750610804E-3</v>
      </c>
      <c r="F122" s="8">
        <f>+'Simulation and  VaR'!F135/'Simulation and  VaR'!F134-1</f>
        <v>-3.5671819262783622E-3</v>
      </c>
      <c r="G122" s="8">
        <f>+'Simulation and  VaR'!G135/'Simulation and  VaR'!G134-1</f>
        <v>-2.2650056625140857E-3</v>
      </c>
      <c r="H122" s="8">
        <f>+'Simulation and  VaR'!H135/'Simulation and  VaR'!H134-1</f>
        <v>-2.4798512089274638E-3</v>
      </c>
      <c r="I122" s="8">
        <f>+'Simulation and  VaR'!I135/'Simulation and  VaR'!I134-1</f>
        <v>5.6452716573148987E-2</v>
      </c>
      <c r="J122" s="8">
        <f>+'Simulation and  VaR'!J135/'Simulation and  VaR'!J134-1</f>
        <v>0</v>
      </c>
      <c r="K122" s="8">
        <f>+'Simulation and  VaR'!K135/'Simulation and  VaR'!K134-1</f>
        <v>2.7540306385906987E-3</v>
      </c>
      <c r="L122" s="8">
        <f>+'Simulation and  VaR'!L135/'Simulation and  VaR'!L134-1</f>
        <v>-1.4167694665620068E-2</v>
      </c>
      <c r="N122" s="26">
        <f t="shared" si="11"/>
        <v>5.4092150944561407E-2</v>
      </c>
      <c r="O122" s="26">
        <f t="shared" si="12"/>
        <v>-9.6337700296632092E-3</v>
      </c>
      <c r="P122" s="26">
        <f t="shared" si="13"/>
        <v>-9.8015950568677776E-3</v>
      </c>
      <c r="Q122" s="26">
        <f t="shared" si="14"/>
        <v>-4.6577470475703993E-3</v>
      </c>
      <c r="R122" s="26">
        <f t="shared" si="15"/>
        <v>-5.748291337723135E-3</v>
      </c>
      <c r="S122" s="26">
        <f t="shared" si="16"/>
        <v>-4.4430076334356951E-3</v>
      </c>
      <c r="T122" s="26">
        <f t="shared" si="17"/>
        <v>-7.8232312539878689E-3</v>
      </c>
      <c r="U122" s="26">
        <f t="shared" si="18"/>
        <v>4.4050950444111607E-2</v>
      </c>
      <c r="V122" s="26">
        <f t="shared" si="19"/>
        <v>-1.0229205971642284E-2</v>
      </c>
      <c r="W122" s="26">
        <f t="shared" si="20"/>
        <v>4.3209459204621133E-3</v>
      </c>
      <c r="X122" s="26">
        <f t="shared" si="21"/>
        <v>-1.0643459551864361E-2</v>
      </c>
    </row>
    <row r="123" spans="2:24" x14ac:dyDescent="0.2">
      <c r="B123" s="8">
        <f>+'Simulation and  VaR'!B136/'Simulation and  VaR'!B135-1</f>
        <v>6.1341875066099005E-2</v>
      </c>
      <c r="C123" s="8">
        <f>+'Simulation and  VaR'!C136/'Simulation and  VaR'!C135-1</f>
        <v>2.4435019089902088E-2</v>
      </c>
      <c r="D123" s="8">
        <f>+'Simulation and  VaR'!D136/'Simulation and  VaR'!D135-1</f>
        <v>1.5132408575031508E-2</v>
      </c>
      <c r="E123" s="8">
        <f>+'Simulation and  VaR'!E136/'Simulation and  VaR'!E135-1</f>
        <v>1.3480392156862697E-2</v>
      </c>
      <c r="F123" s="8">
        <f>+'Simulation and  VaR'!F136/'Simulation and  VaR'!F135-1</f>
        <v>1.3126491646778149E-2</v>
      </c>
      <c r="G123" s="8">
        <f>+'Simulation and  VaR'!G136/'Simulation and  VaR'!G135-1</f>
        <v>1.0215664018161208E-2</v>
      </c>
      <c r="H123" s="8">
        <f>+'Simulation and  VaR'!H136/'Simulation and  VaR'!H135-1</f>
        <v>-4.3401698777708719E-2</v>
      </c>
      <c r="I123" s="8">
        <f>+'Simulation and  VaR'!I136/'Simulation and  VaR'!I135-1</f>
        <v>4.6958999935228896E-2</v>
      </c>
      <c r="J123" s="8">
        <f>+'Simulation and  VaR'!J136/'Simulation and  VaR'!J135-1</f>
        <v>0</v>
      </c>
      <c r="K123" s="8">
        <f>+'Simulation and  VaR'!K136/'Simulation and  VaR'!K135-1</f>
        <v>5.2583395319562909E-2</v>
      </c>
      <c r="L123" s="8">
        <f>+'Simulation and  VaR'!L136/'Simulation and  VaR'!L135-1</f>
        <v>-5.5285909297740021E-2</v>
      </c>
      <c r="N123" s="26">
        <f t="shared" si="11"/>
        <v>5.6820950573673951E-2</v>
      </c>
      <c r="O123" s="26">
        <f t="shared" si="12"/>
        <v>2.1918249071325495E-2</v>
      </c>
      <c r="P123" s="26">
        <f t="shared" si="13"/>
        <v>1.2840200251580565E-2</v>
      </c>
      <c r="Q123" s="26">
        <f t="shared" si="14"/>
        <v>1.1267632884353378E-2</v>
      </c>
      <c r="R123" s="26">
        <f t="shared" si="15"/>
        <v>1.0945382235333376E-2</v>
      </c>
      <c r="S123" s="26">
        <f t="shared" si="16"/>
        <v>8.0376620472395986E-3</v>
      </c>
      <c r="T123" s="26">
        <f t="shared" si="17"/>
        <v>-4.8745078822769128E-2</v>
      </c>
      <c r="U123" s="26">
        <f t="shared" si="18"/>
        <v>3.4557233806191516E-2</v>
      </c>
      <c r="V123" s="26">
        <f t="shared" si="19"/>
        <v>-1.0229205971642284E-2</v>
      </c>
      <c r="W123" s="26">
        <f t="shared" si="20"/>
        <v>5.4150310601434326E-2</v>
      </c>
      <c r="X123" s="26">
        <f t="shared" si="21"/>
        <v>-5.1761674183984314E-2</v>
      </c>
    </row>
    <row r="124" spans="2:24" x14ac:dyDescent="0.2">
      <c r="B124" s="8">
        <f>+'Simulation and  VaR'!B137/'Simulation and  VaR'!B136-1</f>
        <v>-9.0993470982407842E-3</v>
      </c>
      <c r="C124" s="8">
        <f>+'Simulation and  VaR'!C137/'Simulation and  VaR'!C136-1</f>
        <v>7.1505171434260717E-3</v>
      </c>
      <c r="D124" s="8">
        <f>+'Simulation and  VaR'!D137/'Simulation and  VaR'!D136-1</f>
        <v>4.9689440993789802E-3</v>
      </c>
      <c r="E124" s="8">
        <f>+'Simulation and  VaR'!E137/'Simulation and  VaR'!E136-1</f>
        <v>9.6735187424425995E-3</v>
      </c>
      <c r="F124" s="8">
        <f>+'Simulation and  VaR'!F137/'Simulation and  VaR'!F136-1</f>
        <v>9.4228504122497725E-3</v>
      </c>
      <c r="G124" s="8">
        <f>+'Simulation and  VaR'!G137/'Simulation and  VaR'!G136-1</f>
        <v>6.741573033707704E-3</v>
      </c>
      <c r="H124" s="8">
        <f>+'Simulation and  VaR'!H137/'Simulation and  VaR'!H136-1</f>
        <v>2.6962642122360547E-2</v>
      </c>
      <c r="I124" s="8">
        <f>+'Simulation and  VaR'!I137/'Simulation and  VaR'!I136-1</f>
        <v>-9.2798812175204359E-3</v>
      </c>
      <c r="J124" s="8">
        <f>+'Simulation and  VaR'!J137/'Simulation and  VaR'!J136-1</f>
        <v>0</v>
      </c>
      <c r="K124" s="8">
        <f>+'Simulation and  VaR'!K137/'Simulation and  VaR'!K136-1</f>
        <v>-1.2230919765166326E-2</v>
      </c>
      <c r="L124" s="8">
        <f>+'Simulation and  VaR'!L137/'Simulation and  VaR'!L136-1</f>
        <v>-2.0510556313719119E-2</v>
      </c>
      <c r="N124" s="26">
        <f t="shared" si="11"/>
        <v>-1.3620271590665837E-2</v>
      </c>
      <c r="O124" s="26">
        <f t="shared" si="12"/>
        <v>4.6337471248494777E-3</v>
      </c>
      <c r="P124" s="26">
        <f t="shared" si="13"/>
        <v>2.6767357759280362E-3</v>
      </c>
      <c r="Q124" s="26">
        <f t="shared" si="14"/>
        <v>7.4607594699332806E-3</v>
      </c>
      <c r="R124" s="26">
        <f t="shared" si="15"/>
        <v>7.2417410008049996E-3</v>
      </c>
      <c r="S124" s="26">
        <f t="shared" si="16"/>
        <v>4.5635710627860947E-3</v>
      </c>
      <c r="T124" s="26">
        <f t="shared" si="17"/>
        <v>2.1619262077300142E-2</v>
      </c>
      <c r="U124" s="26">
        <f t="shared" si="18"/>
        <v>-2.1681647346557816E-2</v>
      </c>
      <c r="V124" s="26">
        <f t="shared" si="19"/>
        <v>-1.0229205971642284E-2</v>
      </c>
      <c r="W124" s="26">
        <f t="shared" si="20"/>
        <v>-1.0664004483294912E-2</v>
      </c>
      <c r="X124" s="26">
        <f t="shared" si="21"/>
        <v>-1.6986321199963413E-2</v>
      </c>
    </row>
    <row r="125" spans="2:24" x14ac:dyDescent="0.2">
      <c r="B125" s="8">
        <f>+'Simulation and  VaR'!B138/'Simulation and  VaR'!B137-1</f>
        <v>-6.559370799420261E-3</v>
      </c>
      <c r="C125" s="8">
        <f>+'Simulation and  VaR'!C138/'Simulation and  VaR'!C137-1</f>
        <v>1.4217007573121609E-2</v>
      </c>
      <c r="D125" s="8">
        <f>+'Simulation and  VaR'!D138/'Simulation and  VaR'!D137-1</f>
        <v>1.3597033374536327E-2</v>
      </c>
      <c r="E125" s="8">
        <f>+'Simulation and  VaR'!E138/'Simulation and  VaR'!E137-1</f>
        <v>7.1856287425149379E-3</v>
      </c>
      <c r="F125" s="8">
        <f>+'Simulation and  VaR'!F138/'Simulation and  VaR'!F137-1</f>
        <v>1.166861143523823E-3</v>
      </c>
      <c r="G125" s="8">
        <f>+'Simulation and  VaR'!G138/'Simulation and  VaR'!G137-1</f>
        <v>4.4642857142858094E-3</v>
      </c>
      <c r="H125" s="8">
        <f>+'Simulation and  VaR'!H138/'Simulation and  VaR'!H137-1</f>
        <v>2.846900042176248E-3</v>
      </c>
      <c r="I125" s="8">
        <f>+'Simulation and  VaR'!I138/'Simulation and  VaR'!I137-1</f>
        <v>3.1222680154864513E-2</v>
      </c>
      <c r="J125" s="8">
        <f>+'Simulation and  VaR'!J138/'Simulation and  VaR'!J137-1</f>
        <v>0</v>
      </c>
      <c r="K125" s="8">
        <f>+'Simulation and  VaR'!K138/'Simulation and  VaR'!K137-1</f>
        <v>5.5032744482967466E-2</v>
      </c>
      <c r="L125" s="8">
        <f>+'Simulation and  VaR'!L138/'Simulation and  VaR'!L137-1</f>
        <v>-1.6555341556366066E-2</v>
      </c>
      <c r="N125" s="26">
        <f t="shared" si="11"/>
        <v>-1.1080295291845314E-2</v>
      </c>
      <c r="O125" s="26">
        <f t="shared" si="12"/>
        <v>1.1700237554545016E-2</v>
      </c>
      <c r="P125" s="26">
        <f t="shared" si="13"/>
        <v>1.1304825051085383E-2</v>
      </c>
      <c r="Q125" s="26">
        <f t="shared" si="14"/>
        <v>4.972869470005619E-3</v>
      </c>
      <c r="R125" s="26">
        <f t="shared" si="15"/>
        <v>-1.0142482679209503E-3</v>
      </c>
      <c r="S125" s="26">
        <f t="shared" si="16"/>
        <v>2.2862837433642001E-3</v>
      </c>
      <c r="T125" s="26">
        <f t="shared" si="17"/>
        <v>-2.496480002884157E-3</v>
      </c>
      <c r="U125" s="26">
        <f t="shared" si="18"/>
        <v>1.8820914025827133E-2</v>
      </c>
      <c r="V125" s="26">
        <f t="shared" si="19"/>
        <v>-1.0229205971642284E-2</v>
      </c>
      <c r="W125" s="26">
        <f t="shared" si="20"/>
        <v>5.6599659764838883E-2</v>
      </c>
      <c r="X125" s="26">
        <f t="shared" si="21"/>
        <v>-1.3031106442610359E-2</v>
      </c>
    </row>
    <row r="126" spans="2:24" x14ac:dyDescent="0.2">
      <c r="B126" s="8">
        <f>+'Simulation and  VaR'!B139/'Simulation and  VaR'!B138-1</f>
        <v>6.2785466027606152E-2</v>
      </c>
      <c r="C126" s="8">
        <f>+'Simulation and  VaR'!C139/'Simulation and  VaR'!C138-1</f>
        <v>3.5210396058961368E-2</v>
      </c>
      <c r="D126" s="8">
        <f>+'Simulation and  VaR'!D139/'Simulation and  VaR'!D138-1</f>
        <v>2.6829268292682951E-2</v>
      </c>
      <c r="E126" s="8">
        <f>+'Simulation and  VaR'!E139/'Simulation and  VaR'!E138-1</f>
        <v>2.2592152199762072E-2</v>
      </c>
      <c r="F126" s="8">
        <f>+'Simulation and  VaR'!F139/'Simulation and  VaR'!F138-1</f>
        <v>2.2144522144522005E-2</v>
      </c>
      <c r="G126" s="8">
        <f>+'Simulation and  VaR'!G139/'Simulation and  VaR'!G138-1</f>
        <v>2.0000000000000018E-2</v>
      </c>
      <c r="H126" s="8">
        <f>+'Simulation and  VaR'!H139/'Simulation and  VaR'!H138-1</f>
        <v>-6.1507727894017372E-2</v>
      </c>
      <c r="I126" s="8">
        <f>+'Simulation and  VaR'!I139/'Simulation and  VaR'!I138-1</f>
        <v>6.5096281942594203E-2</v>
      </c>
      <c r="J126" s="8">
        <f>+'Simulation and  VaR'!J139/'Simulation and  VaR'!J138-1</f>
        <v>0</v>
      </c>
      <c r="K126" s="8">
        <f>+'Simulation and  VaR'!K139/'Simulation and  VaR'!K138-1</f>
        <v>1.5909446559908336E-2</v>
      </c>
      <c r="L126" s="8">
        <f>+'Simulation and  VaR'!L139/'Simulation and  VaR'!L138-1</f>
        <v>6.750281261719282E-3</v>
      </c>
      <c r="N126" s="26">
        <f t="shared" si="11"/>
        <v>5.8264541535181097E-2</v>
      </c>
      <c r="O126" s="26">
        <f t="shared" si="12"/>
        <v>3.2693626040384775E-2</v>
      </c>
      <c r="P126" s="26">
        <f t="shared" si="13"/>
        <v>2.4537059969232007E-2</v>
      </c>
      <c r="Q126" s="26">
        <f t="shared" si="14"/>
        <v>2.0379392927252753E-2</v>
      </c>
      <c r="R126" s="26">
        <f t="shared" si="15"/>
        <v>1.9963412733077231E-2</v>
      </c>
      <c r="S126" s="26">
        <f t="shared" si="16"/>
        <v>1.7821998029078408E-2</v>
      </c>
      <c r="T126" s="26">
        <f t="shared" si="17"/>
        <v>-6.6851107939077781E-2</v>
      </c>
      <c r="U126" s="26">
        <f t="shared" si="18"/>
        <v>5.2694515813556823E-2</v>
      </c>
      <c r="V126" s="26">
        <f t="shared" si="19"/>
        <v>-1.0229205971642284E-2</v>
      </c>
      <c r="W126" s="26">
        <f t="shared" si="20"/>
        <v>1.7476361841779749E-2</v>
      </c>
      <c r="X126" s="26">
        <f t="shared" si="21"/>
        <v>1.0274516375474989E-2</v>
      </c>
    </row>
    <row r="127" spans="2:24" x14ac:dyDescent="0.2">
      <c r="B127" s="8">
        <f>+'Simulation and  VaR'!B140/'Simulation and  VaR'!B139-1</f>
        <v>7.9299019172873741E-4</v>
      </c>
      <c r="C127" s="8">
        <f>+'Simulation and  VaR'!C140/'Simulation and  VaR'!C139-1</f>
        <v>9.6837826348121769E-3</v>
      </c>
      <c r="D127" s="8">
        <f>+'Simulation and  VaR'!D140/'Simulation and  VaR'!D139-1</f>
        <v>7.1258907363420665E-3</v>
      </c>
      <c r="E127" s="8">
        <f>+'Simulation and  VaR'!E140/'Simulation and  VaR'!E139-1</f>
        <v>6.9767441860466572E-3</v>
      </c>
      <c r="F127" s="8">
        <f>+'Simulation and  VaR'!F140/'Simulation and  VaR'!F139-1</f>
        <v>3.420752565564289E-3</v>
      </c>
      <c r="G127" s="8">
        <f>+'Simulation and  VaR'!G140/'Simulation and  VaR'!G139-1</f>
        <v>3.2679738562091387E-3</v>
      </c>
      <c r="H127" s="8">
        <f>+'Simulation and  VaR'!H140/'Simulation and  VaR'!H139-1</f>
        <v>-2.4759130629621207E-2</v>
      </c>
      <c r="I127" s="8">
        <f>+'Simulation and  VaR'!I140/'Simulation and  VaR'!I139-1</f>
        <v>3.8376257888453003E-2</v>
      </c>
      <c r="J127" s="8">
        <f>+'Simulation and  VaR'!J140/'Simulation and  VaR'!J139-1</f>
        <v>0</v>
      </c>
      <c r="K127" s="8">
        <f>+'Simulation and  VaR'!K140/'Simulation and  VaR'!K139-1</f>
        <v>-3.3374409529677296E-3</v>
      </c>
      <c r="L127" s="8">
        <f>+'Simulation and  VaR'!L140/'Simulation and  VaR'!L139-1</f>
        <v>-1.4486155374363596E-2</v>
      </c>
      <c r="N127" s="26">
        <f t="shared" si="11"/>
        <v>-3.7279343006963155E-3</v>
      </c>
      <c r="O127" s="26">
        <f t="shared" si="12"/>
        <v>7.1670126162355829E-3</v>
      </c>
      <c r="P127" s="26">
        <f t="shared" si="13"/>
        <v>4.8336824128911229E-3</v>
      </c>
      <c r="Q127" s="26">
        <f t="shared" si="14"/>
        <v>4.7639849135373384E-3</v>
      </c>
      <c r="R127" s="26">
        <f t="shared" si="15"/>
        <v>1.2396431541195157E-3</v>
      </c>
      <c r="S127" s="26">
        <f t="shared" si="16"/>
        <v>1.0899718852875294E-3</v>
      </c>
      <c r="T127" s="26">
        <f t="shared" si="17"/>
        <v>-3.0102510674681612E-2</v>
      </c>
      <c r="U127" s="26">
        <f t="shared" si="18"/>
        <v>2.5974491759415623E-2</v>
      </c>
      <c r="V127" s="26">
        <f t="shared" si="19"/>
        <v>-1.0229205971642284E-2</v>
      </c>
      <c r="W127" s="26">
        <f t="shared" si="20"/>
        <v>-1.770525671096315E-3</v>
      </c>
      <c r="X127" s="26">
        <f t="shared" si="21"/>
        <v>-1.0961920260607889E-2</v>
      </c>
    </row>
    <row r="128" spans="2:24" x14ac:dyDescent="0.2">
      <c r="B128" s="8">
        <f>+'Simulation and  VaR'!B141/'Simulation and  VaR'!B140-1</f>
        <v>-2.3908878184094928E-2</v>
      </c>
      <c r="C128" s="8">
        <f>+'Simulation and  VaR'!C141/'Simulation and  VaR'!C140-1</f>
        <v>3.2023510567902314E-4</v>
      </c>
      <c r="D128" s="8">
        <f>+'Simulation and  VaR'!D141/'Simulation and  VaR'!D140-1</f>
        <v>0</v>
      </c>
      <c r="E128" s="8">
        <f>+'Simulation and  VaR'!E141/'Simulation and  VaR'!E140-1</f>
        <v>1.1547344110853786E-3</v>
      </c>
      <c r="F128" s="8">
        <f>+'Simulation and  VaR'!F141/'Simulation and  VaR'!F140-1</f>
        <v>4.5454545454546302E-3</v>
      </c>
      <c r="G128" s="8">
        <f>+'Simulation and  VaR'!G141/'Simulation and  VaR'!G140-1</f>
        <v>2.1715526601522317E-3</v>
      </c>
      <c r="H128" s="8">
        <f>+'Simulation and  VaR'!H141/'Simulation and  VaR'!H140-1</f>
        <v>2.4928202182653569E-2</v>
      </c>
      <c r="I128" s="8">
        <f>+'Simulation and  VaR'!I141/'Simulation and  VaR'!I140-1</f>
        <v>5.475251861585706E-3</v>
      </c>
      <c r="J128" s="8">
        <f>+'Simulation and  VaR'!J141/'Simulation and  VaR'!J140-1</f>
        <v>0</v>
      </c>
      <c r="K128" s="8">
        <f>+'Simulation and  VaR'!K141/'Simulation and  VaR'!K140-1</f>
        <v>-4.0698572974086855E-2</v>
      </c>
      <c r="L128" s="8">
        <f>+'Simulation and  VaR'!L141/'Simulation and  VaR'!L140-1</f>
        <v>-3.4479862248540605E-2</v>
      </c>
      <c r="N128" s="26">
        <f t="shared" si="11"/>
        <v>-2.8429802676519983E-2</v>
      </c>
      <c r="O128" s="26">
        <f t="shared" si="12"/>
        <v>-2.1965349128975709E-3</v>
      </c>
      <c r="P128" s="26">
        <f t="shared" si="13"/>
        <v>-2.292208323450944E-3</v>
      </c>
      <c r="Q128" s="26">
        <f t="shared" si="14"/>
        <v>-1.0580248614239398E-3</v>
      </c>
      <c r="R128" s="26">
        <f t="shared" si="15"/>
        <v>2.3643451340098569E-3</v>
      </c>
      <c r="S128" s="26">
        <f t="shared" si="16"/>
        <v>-6.4493107693776308E-6</v>
      </c>
      <c r="T128" s="26">
        <f t="shared" si="17"/>
        <v>1.9584822137593164E-2</v>
      </c>
      <c r="U128" s="26">
        <f t="shared" si="18"/>
        <v>-6.9265142674516736E-3</v>
      </c>
      <c r="V128" s="26">
        <f t="shared" si="19"/>
        <v>-1.0229205971642284E-2</v>
      </c>
      <c r="W128" s="26">
        <f t="shared" si="20"/>
        <v>-3.9131657692215438E-2</v>
      </c>
      <c r="X128" s="26">
        <f t="shared" si="21"/>
        <v>-3.0955627134784898E-2</v>
      </c>
    </row>
    <row r="129" spans="2:24" x14ac:dyDescent="0.2">
      <c r="B129" s="8">
        <f>+'Simulation and  VaR'!B142/'Simulation and  VaR'!B141-1</f>
        <v>-1.2289237228255701E-3</v>
      </c>
      <c r="C129" s="8">
        <f>+'Simulation and  VaR'!C142/'Simulation and  VaR'!C141-1</f>
        <v>1.4677136873457064E-2</v>
      </c>
      <c r="D129" s="8">
        <f>+'Simulation and  VaR'!D142/'Simulation and  VaR'!D141-1</f>
        <v>1.0613207547169878E-2</v>
      </c>
      <c r="E129" s="8">
        <f>+'Simulation and  VaR'!E142/'Simulation and  VaR'!E141-1</f>
        <v>8.073817762399127E-3</v>
      </c>
      <c r="F129" s="8">
        <f>+'Simulation and  VaR'!F142/'Simulation and  VaR'!F141-1</f>
        <v>1.1312217194570096E-2</v>
      </c>
      <c r="G129" s="8">
        <f>+'Simulation and  VaR'!G142/'Simulation and  VaR'!G141-1</f>
        <v>1.0834236186348933E-2</v>
      </c>
      <c r="H129" s="8">
        <f>+'Simulation and  VaR'!H142/'Simulation and  VaR'!H141-1</f>
        <v>8.5406859448554195E-2</v>
      </c>
      <c r="I129" s="8">
        <f>+'Simulation and  VaR'!I142/'Simulation and  VaR'!I141-1</f>
        <v>-7.0790677412328473E-2</v>
      </c>
      <c r="J129" s="8">
        <f>+'Simulation and  VaR'!J142/'Simulation and  VaR'!J141-1</f>
        <v>0</v>
      </c>
      <c r="K129" s="8">
        <f>+'Simulation and  VaR'!K142/'Simulation and  VaR'!K141-1</f>
        <v>-2.0944095376188021E-2</v>
      </c>
      <c r="L129" s="8">
        <f>+'Simulation and  VaR'!L142/'Simulation and  VaR'!L141-1</f>
        <v>-2.1400608960417511E-2</v>
      </c>
      <c r="N129" s="26">
        <f t="shared" si="11"/>
        <v>-5.749848215250623E-3</v>
      </c>
      <c r="O129" s="26">
        <f t="shared" si="12"/>
        <v>1.2160366854880471E-2</v>
      </c>
      <c r="P129" s="26">
        <f t="shared" si="13"/>
        <v>8.3209992237189348E-3</v>
      </c>
      <c r="Q129" s="26">
        <f t="shared" si="14"/>
        <v>5.8610584898898081E-3</v>
      </c>
      <c r="R129" s="26">
        <f t="shared" si="15"/>
        <v>9.1311077831253227E-3</v>
      </c>
      <c r="S129" s="26">
        <f t="shared" si="16"/>
        <v>8.656234215427324E-3</v>
      </c>
      <c r="T129" s="26">
        <f t="shared" si="17"/>
        <v>8.0063479403493787E-2</v>
      </c>
      <c r="U129" s="26">
        <f t="shared" si="18"/>
        <v>-8.3192443541365846E-2</v>
      </c>
      <c r="V129" s="26">
        <f t="shared" si="19"/>
        <v>-1.0229205971642284E-2</v>
      </c>
      <c r="W129" s="26">
        <f t="shared" si="20"/>
        <v>-1.9377180094316607E-2</v>
      </c>
      <c r="X129" s="26">
        <f t="shared" si="21"/>
        <v>-1.7876373846661804E-2</v>
      </c>
    </row>
    <row r="130" spans="2:24" x14ac:dyDescent="0.2">
      <c r="B130" s="8">
        <f>+'Simulation and  VaR'!B143/'Simulation and  VaR'!B142-1</f>
        <v>1.9709489230160582E-2</v>
      </c>
      <c r="C130" s="8">
        <f>+'Simulation and  VaR'!C143/'Simulation and  VaR'!C142-1</f>
        <v>2.3482886538461534E-2</v>
      </c>
      <c r="D130" s="8">
        <f>+'Simulation and  VaR'!D143/'Simulation and  VaR'!D142-1</f>
        <v>1.5169194865810809E-2</v>
      </c>
      <c r="E130" s="8">
        <f>+'Simulation and  VaR'!E143/'Simulation and  VaR'!E142-1</f>
        <v>1.2585812356979309E-2</v>
      </c>
      <c r="F130" s="8">
        <f>+'Simulation and  VaR'!F143/'Simulation and  VaR'!F142-1</f>
        <v>1.3422818791946511E-2</v>
      </c>
      <c r="G130" s="8">
        <f>+'Simulation and  VaR'!G143/'Simulation and  VaR'!G142-1</f>
        <v>1.8220793140407254E-2</v>
      </c>
      <c r="H130" s="8">
        <f>+'Simulation and  VaR'!H143/'Simulation and  VaR'!H142-1</f>
        <v>4.2337876910367722E-3</v>
      </c>
      <c r="I130" s="8">
        <f>+'Simulation and  VaR'!I143/'Simulation and  VaR'!I142-1</f>
        <v>8.0578996718237317E-2</v>
      </c>
      <c r="J130" s="8">
        <f>+'Simulation and  VaR'!J143/'Simulation and  VaR'!J142-1</f>
        <v>0</v>
      </c>
      <c r="K130" s="8">
        <f>+'Simulation and  VaR'!K143/'Simulation and  VaR'!K142-1</f>
        <v>5.7594207668256736E-3</v>
      </c>
      <c r="L130" s="8">
        <f>+'Simulation and  VaR'!L143/'Simulation and  VaR'!L142-1</f>
        <v>-1.6134767534891958E-2</v>
      </c>
      <c r="N130" s="26">
        <f t="shared" si="11"/>
        <v>1.5188564737735529E-2</v>
      </c>
      <c r="O130" s="26">
        <f t="shared" si="12"/>
        <v>2.0966116519884941E-2</v>
      </c>
      <c r="P130" s="26">
        <f t="shared" si="13"/>
        <v>1.2876986542359865E-2</v>
      </c>
      <c r="Q130" s="26">
        <f t="shared" si="14"/>
        <v>1.037305308446999E-2</v>
      </c>
      <c r="R130" s="26">
        <f t="shared" si="15"/>
        <v>1.1241709380501739E-2</v>
      </c>
      <c r="S130" s="26">
        <f t="shared" si="16"/>
        <v>1.6042791169485645E-2</v>
      </c>
      <c r="T130" s="26">
        <f t="shared" si="17"/>
        <v>-1.1095923540236328E-3</v>
      </c>
      <c r="U130" s="26">
        <f t="shared" si="18"/>
        <v>6.8177230589199944E-2</v>
      </c>
      <c r="V130" s="26">
        <f t="shared" si="19"/>
        <v>-1.0229205971642284E-2</v>
      </c>
      <c r="W130" s="26">
        <f t="shared" si="20"/>
        <v>7.3263360486970882E-3</v>
      </c>
      <c r="X130" s="26">
        <f t="shared" si="21"/>
        <v>-1.2610532421136252E-2</v>
      </c>
    </row>
    <row r="131" spans="2:24" x14ac:dyDescent="0.2">
      <c r="B131" s="8">
        <f>+'Simulation and  VaR'!B144/'Simulation and  VaR'!B143-1</f>
        <v>5.1667711837042107E-2</v>
      </c>
      <c r="C131" s="8">
        <f>+'Simulation and  VaR'!C144/'Simulation and  VaR'!C143-1</f>
        <v>1.3949548478396245E-2</v>
      </c>
      <c r="D131" s="8">
        <f>+'Simulation and  VaR'!D144/'Simulation and  VaR'!D143-1</f>
        <v>8.0459770114942319E-3</v>
      </c>
      <c r="E131" s="8">
        <f>+'Simulation and  VaR'!E144/'Simulation and  VaR'!E143-1</f>
        <v>1.2429378531073398E-2</v>
      </c>
      <c r="F131" s="8">
        <f>+'Simulation and  VaR'!F144/'Simulation and  VaR'!F143-1</f>
        <v>1.4348785871964642E-2</v>
      </c>
      <c r="G131" s="8">
        <f>+'Simulation and  VaR'!G144/'Simulation and  VaR'!G143-1</f>
        <v>1.1578947368420911E-2</v>
      </c>
      <c r="H131" s="8">
        <f>+'Simulation and  VaR'!H144/'Simulation and  VaR'!H143-1</f>
        <v>-1.7583547557840529E-2</v>
      </c>
      <c r="I131" s="8">
        <f>+'Simulation and  VaR'!I144/'Simulation and  VaR'!I143-1</f>
        <v>-5.4232875969412175E-3</v>
      </c>
      <c r="J131" s="8">
        <f>+'Simulation and  VaR'!J144/'Simulation and  VaR'!J143-1</f>
        <v>0</v>
      </c>
      <c r="K131" s="8">
        <f>+'Simulation and  VaR'!K144/'Simulation and  VaR'!K143-1</f>
        <v>1.4997818499127291E-2</v>
      </c>
      <c r="L131" s="8">
        <f>+'Simulation and  VaR'!L144/'Simulation and  VaR'!L143-1</f>
        <v>-7.9647616896318052E-2</v>
      </c>
      <c r="N131" s="26">
        <f t="shared" si="11"/>
        <v>4.7146787344617053E-2</v>
      </c>
      <c r="O131" s="26">
        <f t="shared" si="12"/>
        <v>1.1432778459819652E-2</v>
      </c>
      <c r="P131" s="26">
        <f t="shared" si="13"/>
        <v>5.7537686880432884E-3</v>
      </c>
      <c r="Q131" s="26">
        <f t="shared" si="14"/>
        <v>1.021661925856408E-2</v>
      </c>
      <c r="R131" s="26">
        <f t="shared" si="15"/>
        <v>1.2167676460519869E-2</v>
      </c>
      <c r="S131" s="26">
        <f t="shared" si="16"/>
        <v>9.4009453974993017E-3</v>
      </c>
      <c r="T131" s="26">
        <f t="shared" si="17"/>
        <v>-2.2926927602900934E-2</v>
      </c>
      <c r="U131" s="26">
        <f t="shared" si="18"/>
        <v>-1.7825053725978597E-2</v>
      </c>
      <c r="V131" s="26">
        <f t="shared" si="19"/>
        <v>-1.0229205971642284E-2</v>
      </c>
      <c r="W131" s="26">
        <f t="shared" si="20"/>
        <v>1.6564733780998705E-2</v>
      </c>
      <c r="X131" s="26">
        <f t="shared" si="21"/>
        <v>-7.6123381782562352E-2</v>
      </c>
    </row>
    <row r="132" spans="2:24" x14ac:dyDescent="0.2">
      <c r="B132" s="8">
        <f>+'Simulation and  VaR'!B145/'Simulation and  VaR'!B144-1</f>
        <v>4.1266457668862389E-2</v>
      </c>
      <c r="C132" s="8">
        <f>+'Simulation and  VaR'!C145/'Simulation and  VaR'!C144-1</f>
        <v>2.097752026199684E-2</v>
      </c>
      <c r="D132" s="8">
        <f>+'Simulation and  VaR'!D145/'Simulation and  VaR'!D144-1</f>
        <v>1.3683010262257822E-2</v>
      </c>
      <c r="E132" s="8">
        <f>+'Simulation and  VaR'!E145/'Simulation and  VaR'!E144-1</f>
        <v>1.3392857142857206E-2</v>
      </c>
      <c r="F132" s="8">
        <f>+'Simulation and  VaR'!F145/'Simulation and  VaR'!F144-1</f>
        <v>1.6322089227421177E-2</v>
      </c>
      <c r="G132" s="8">
        <f>+'Simulation and  VaR'!G145/'Simulation and  VaR'!G144-1</f>
        <v>0</v>
      </c>
      <c r="H132" s="8">
        <f>+'Simulation and  VaR'!H145/'Simulation and  VaR'!H144-1</f>
        <v>5.3904123927150938E-2</v>
      </c>
      <c r="I132" s="8">
        <f>+'Simulation and  VaR'!I145/'Simulation and  VaR'!I144-1</f>
        <v>9.4061835432684537E-2</v>
      </c>
      <c r="J132" s="8">
        <f>+'Simulation and  VaR'!J145/'Simulation and  VaR'!J144-1</f>
        <v>0</v>
      </c>
      <c r="K132" s="8">
        <f>+'Simulation and  VaR'!K145/'Simulation and  VaR'!K144-1</f>
        <v>3.76121648487453E-2</v>
      </c>
      <c r="L132" s="8">
        <f>+'Simulation and  VaR'!L145/'Simulation and  VaR'!L144-1</f>
        <v>-7.1519732966817351E-2</v>
      </c>
      <c r="N132" s="26">
        <f t="shared" si="11"/>
        <v>3.6745533176437334E-2</v>
      </c>
      <c r="O132" s="26">
        <f t="shared" si="12"/>
        <v>1.8460750243420247E-2</v>
      </c>
      <c r="P132" s="26">
        <f t="shared" si="13"/>
        <v>1.1390801938806878E-2</v>
      </c>
      <c r="Q132" s="26">
        <f t="shared" si="14"/>
        <v>1.1180097870347887E-2</v>
      </c>
      <c r="R132" s="26">
        <f t="shared" si="15"/>
        <v>1.4140979815976404E-2</v>
      </c>
      <c r="S132" s="26">
        <f t="shared" si="16"/>
        <v>-2.1780019709216093E-3</v>
      </c>
      <c r="T132" s="26">
        <f t="shared" si="17"/>
        <v>4.8560743882090529E-2</v>
      </c>
      <c r="U132" s="26">
        <f t="shared" si="18"/>
        <v>8.1660069303647165E-2</v>
      </c>
      <c r="V132" s="26">
        <f t="shared" si="19"/>
        <v>-1.0229205971642284E-2</v>
      </c>
      <c r="W132" s="26">
        <f t="shared" si="20"/>
        <v>3.9179080130616717E-2</v>
      </c>
      <c r="X132" s="26">
        <f t="shared" si="21"/>
        <v>-6.7995497853061651E-2</v>
      </c>
    </row>
    <row r="133" spans="2:24" x14ac:dyDescent="0.2">
      <c r="B133" s="8">
        <f>+'Simulation and  VaR'!B146/'Simulation and  VaR'!B145-1</f>
        <v>1.0220660243056123E-2</v>
      </c>
      <c r="C133" s="8">
        <f>+'Simulation and  VaR'!C146/'Simulation and  VaR'!C145-1</f>
        <v>-2.6489067606936367E-2</v>
      </c>
      <c r="D133" s="8">
        <f>+'Simulation and  VaR'!D146/'Simulation and  VaR'!D145-1</f>
        <v>-2.1372328458942769E-2</v>
      </c>
      <c r="E133" s="8">
        <f>+'Simulation and  VaR'!E146/'Simulation and  VaR'!E145-1</f>
        <v>-1.2114537444933848E-2</v>
      </c>
      <c r="F133" s="8">
        <f>+'Simulation and  VaR'!F146/'Simulation and  VaR'!F145-1</f>
        <v>-1.6059957173447548E-2</v>
      </c>
      <c r="G133" s="8">
        <f>+'Simulation and  VaR'!G146/'Simulation and  VaR'!G145-1</f>
        <v>-1.2486992715920797E-2</v>
      </c>
      <c r="H133" s="8">
        <f>+'Simulation and  VaR'!H146/'Simulation and  VaR'!H145-1</f>
        <v>2.5921144105670813E-2</v>
      </c>
      <c r="I133" s="8">
        <f>+'Simulation and  VaR'!I146/'Simulation and  VaR'!I145-1</f>
        <v>3.7380382775119569E-2</v>
      </c>
      <c r="J133" s="8">
        <f>+'Simulation and  VaR'!J146/'Simulation and  VaR'!J145-1</f>
        <v>0</v>
      </c>
      <c r="K133" s="8">
        <f>+'Simulation and  VaR'!K146/'Simulation and  VaR'!K145-1</f>
        <v>6.2140748796024603E-3</v>
      </c>
      <c r="L133" s="8">
        <f>+'Simulation and  VaR'!L146/'Simulation and  VaR'!L145-1</f>
        <v>7.2429288924134028E-3</v>
      </c>
      <c r="N133" s="26">
        <f t="shared" si="11"/>
        <v>5.6997357506310704E-3</v>
      </c>
      <c r="O133" s="26">
        <f t="shared" si="12"/>
        <v>-2.900583762551296E-2</v>
      </c>
      <c r="P133" s="26">
        <f t="shared" si="13"/>
        <v>-2.3664536782393712E-2</v>
      </c>
      <c r="Q133" s="26">
        <f t="shared" si="14"/>
        <v>-1.4327296717443167E-2</v>
      </c>
      <c r="R133" s="26">
        <f t="shared" si="15"/>
        <v>-1.8241066584892322E-2</v>
      </c>
      <c r="S133" s="26">
        <f t="shared" si="16"/>
        <v>-1.4664994686842407E-2</v>
      </c>
      <c r="T133" s="26">
        <f t="shared" si="17"/>
        <v>2.0577764060610407E-2</v>
      </c>
      <c r="U133" s="26">
        <f t="shared" si="18"/>
        <v>2.497861664608219E-2</v>
      </c>
      <c r="V133" s="26">
        <f t="shared" si="19"/>
        <v>-1.0229205971642284E-2</v>
      </c>
      <c r="W133" s="26">
        <f t="shared" si="20"/>
        <v>7.7809901614738749E-3</v>
      </c>
      <c r="X133" s="26">
        <f t="shared" si="21"/>
        <v>1.076716400616911E-2</v>
      </c>
    </row>
    <row r="134" spans="2:24" x14ac:dyDescent="0.2">
      <c r="B134" s="8">
        <f>+'Simulation and  VaR'!B147/'Simulation and  VaR'!B146-1</f>
        <v>0.11039126497705842</v>
      </c>
      <c r="C134" s="8">
        <f>+'Simulation and  VaR'!C147/'Simulation and  VaR'!C146-1</f>
        <v>6.6862866790695641E-4</v>
      </c>
      <c r="D134" s="8">
        <f>+'Simulation and  VaR'!D147/'Simulation and  VaR'!D146-1</f>
        <v>0</v>
      </c>
      <c r="E134" s="8">
        <f>+'Simulation and  VaR'!E147/'Simulation and  VaR'!E146-1</f>
        <v>-4.4593088071349651E-3</v>
      </c>
      <c r="F134" s="8">
        <f>+'Simulation and  VaR'!F147/'Simulation and  VaR'!F146-1</f>
        <v>-7.6169749727965641E-3</v>
      </c>
      <c r="G134" s="8">
        <f>+'Simulation and  VaR'!G147/'Simulation and  VaR'!G146-1</f>
        <v>-6.322444678609096E-3</v>
      </c>
      <c r="H134" s="8">
        <f>+'Simulation and  VaR'!H147/'Simulation and  VaR'!H146-1</f>
        <v>-7.2604065827686082E-3</v>
      </c>
      <c r="I134" s="8">
        <f>+'Simulation and  VaR'!I147/'Simulation and  VaR'!I146-1</f>
        <v>4.4441241472086057E-2</v>
      </c>
      <c r="J134" s="8">
        <f>+'Simulation and  VaR'!J147/'Simulation and  VaR'!J146-1</f>
        <v>0</v>
      </c>
      <c r="K134" s="8">
        <f>+'Simulation and  VaR'!K147/'Simulation and  VaR'!K146-1</f>
        <v>1.6468529669085408E-2</v>
      </c>
      <c r="L134" s="8">
        <f>+'Simulation and  VaR'!L147/'Simulation and  VaR'!L146-1</f>
        <v>-6.9284064665127154E-3</v>
      </c>
      <c r="N134" s="26">
        <f t="shared" ref="N134:N197" si="22">B134-$B$256</f>
        <v>0.10587034048463337</v>
      </c>
      <c r="O134" s="26">
        <f t="shared" ref="O134:O197" si="23">C134-$C$256</f>
        <v>-1.8481413506696376E-3</v>
      </c>
      <c r="P134" s="26">
        <f t="shared" ref="P134:P197" si="24">D134-$D$256</f>
        <v>-2.292208323450944E-3</v>
      </c>
      <c r="Q134" s="26">
        <f t="shared" ref="Q134:Q197" si="25">E134-$E$256</f>
        <v>-6.672068079644284E-3</v>
      </c>
      <c r="R134" s="26">
        <f t="shared" ref="R134:R197" si="26">F134-$F$256</f>
        <v>-9.798084384241337E-3</v>
      </c>
      <c r="S134" s="26">
        <f t="shared" ref="S134:S197" si="27">G134-$G$256</f>
        <v>-8.5004466495307053E-3</v>
      </c>
      <c r="T134" s="26">
        <f t="shared" ref="T134:T197" si="28">H134-$H$256</f>
        <v>-1.2603786627829013E-2</v>
      </c>
      <c r="U134" s="26">
        <f t="shared" ref="U134:U197" si="29">I134-$I$256</f>
        <v>3.2039475343048678E-2</v>
      </c>
      <c r="V134" s="26">
        <f t="shared" ref="V134:V197" si="30">J134-$J$256</f>
        <v>-1.0229205971642284E-2</v>
      </c>
      <c r="W134" s="26">
        <f t="shared" ref="W134:W197" si="31">K134-$K$256</f>
        <v>1.8035444950956821E-2</v>
      </c>
      <c r="X134" s="26">
        <f t="shared" ref="X134:X197" si="32">L134-$L$256</f>
        <v>-3.404171352757009E-3</v>
      </c>
    </row>
    <row r="135" spans="2:24" x14ac:dyDescent="0.2">
      <c r="B135" s="8">
        <f>+'Simulation and  VaR'!B148/'Simulation and  VaR'!B147-1</f>
        <v>1.8977988194873285E-2</v>
      </c>
      <c r="C135" s="8">
        <f>+'Simulation and  VaR'!C148/'Simulation and  VaR'!C147-1</f>
        <v>2.680602295140333E-2</v>
      </c>
      <c r="D135" s="8">
        <f>+'Simulation and  VaR'!D148/'Simulation and  VaR'!D147-1</f>
        <v>2.2988505747126631E-2</v>
      </c>
      <c r="E135" s="8">
        <f>+'Simulation and  VaR'!E148/'Simulation and  VaR'!E147-1</f>
        <v>1.6797312430011146E-2</v>
      </c>
      <c r="F135" s="8">
        <f>+'Simulation and  VaR'!F148/'Simulation and  VaR'!F147-1</f>
        <v>1.6447368421052655E-2</v>
      </c>
      <c r="G135" s="8">
        <f>+'Simulation and  VaR'!G148/'Simulation and  VaR'!G147-1</f>
        <v>1.8027571580063517E-2</v>
      </c>
      <c r="H135" s="8">
        <f>+'Simulation and  VaR'!H148/'Simulation and  VaR'!H147-1</f>
        <v>-9.1565090199902444E-2</v>
      </c>
      <c r="I135" s="8">
        <f>+'Simulation and  VaR'!I148/'Simulation and  VaR'!I147-1</f>
        <v>0.10925065550393298</v>
      </c>
      <c r="J135" s="8">
        <f>+'Simulation and  VaR'!J148/'Simulation and  VaR'!J147-1</f>
        <v>0</v>
      </c>
      <c r="K135" s="8">
        <f>+'Simulation and  VaR'!K148/'Simulation and  VaR'!K147-1</f>
        <v>2.7340387828464374E-2</v>
      </c>
      <c r="L135" s="8">
        <f>+'Simulation and  VaR'!L148/'Simulation and  VaR'!L147-1</f>
        <v>-5.1215644820295947E-2</v>
      </c>
      <c r="N135" s="26">
        <f t="shared" si="22"/>
        <v>1.4457063702448232E-2</v>
      </c>
      <c r="O135" s="26">
        <f t="shared" si="23"/>
        <v>2.4289252932826737E-2</v>
      </c>
      <c r="P135" s="26">
        <f t="shared" si="24"/>
        <v>2.0696297423675687E-2</v>
      </c>
      <c r="Q135" s="26">
        <f t="shared" si="25"/>
        <v>1.4584553157501828E-2</v>
      </c>
      <c r="R135" s="26">
        <f t="shared" si="26"/>
        <v>1.4266259009607882E-2</v>
      </c>
      <c r="S135" s="26">
        <f t="shared" si="27"/>
        <v>1.5849569609141908E-2</v>
      </c>
      <c r="T135" s="26">
        <f t="shared" si="28"/>
        <v>-9.6908470244962852E-2</v>
      </c>
      <c r="U135" s="26">
        <f t="shared" si="29"/>
        <v>9.6848889374895608E-2</v>
      </c>
      <c r="V135" s="26">
        <f t="shared" si="30"/>
        <v>-1.0229205971642284E-2</v>
      </c>
      <c r="W135" s="26">
        <f t="shared" si="31"/>
        <v>2.8907303110335788E-2</v>
      </c>
      <c r="X135" s="26">
        <f t="shared" si="32"/>
        <v>-4.769140970654024E-2</v>
      </c>
    </row>
    <row r="136" spans="2:24" x14ac:dyDescent="0.2">
      <c r="B136" s="8">
        <f>+'Simulation and  VaR'!B149/'Simulation and  VaR'!B148-1</f>
        <v>8.3374280317850991E-2</v>
      </c>
      <c r="C136" s="8">
        <f>+'Simulation and  VaR'!C149/'Simulation and  VaR'!C148-1</f>
        <v>1.8794716563524938E-2</v>
      </c>
      <c r="D136" s="8">
        <f>+'Simulation and  VaR'!D149/'Simulation and  VaR'!D148-1</f>
        <v>1.5730337078651457E-2</v>
      </c>
      <c r="E136" s="8">
        <f>+'Simulation and  VaR'!E149/'Simulation and  VaR'!E148-1</f>
        <v>1.8722466960352513E-2</v>
      </c>
      <c r="F136" s="8">
        <f>+'Simulation and  VaR'!F149/'Simulation and  VaR'!F148-1</f>
        <v>2.373247033441217E-2</v>
      </c>
      <c r="G136" s="8">
        <f>+'Simulation and  VaR'!G149/'Simulation and  VaR'!G148-1</f>
        <v>2.5000000000000133E-2</v>
      </c>
      <c r="H136" s="8">
        <f>+'Simulation and  VaR'!H149/'Simulation and  VaR'!H148-1</f>
        <v>1.6638042078145121E-2</v>
      </c>
      <c r="I136" s="8">
        <f>+'Simulation and  VaR'!I149/'Simulation and  VaR'!I148-1</f>
        <v>-0.19801774902546243</v>
      </c>
      <c r="J136" s="8">
        <f>+'Simulation and  VaR'!J149/'Simulation and  VaR'!J148-1</f>
        <v>0</v>
      </c>
      <c r="K136" s="8">
        <f>+'Simulation and  VaR'!K149/'Simulation and  VaR'!K148-1</f>
        <v>-4.1890493322162548E-2</v>
      </c>
      <c r="L136" s="8">
        <f>+'Simulation and  VaR'!L149/'Simulation and  VaR'!L148-1</f>
        <v>0.10918611776502707</v>
      </c>
      <c r="N136" s="26">
        <f t="shared" si="22"/>
        <v>7.8853355825425936E-2</v>
      </c>
      <c r="O136" s="26">
        <f t="shared" si="23"/>
        <v>1.6277946544948345E-2</v>
      </c>
      <c r="P136" s="26">
        <f t="shared" si="24"/>
        <v>1.3438128755200514E-2</v>
      </c>
      <c r="Q136" s="26">
        <f t="shared" si="25"/>
        <v>1.6509707687843194E-2</v>
      </c>
      <c r="R136" s="26">
        <f t="shared" si="26"/>
        <v>2.1551360922967396E-2</v>
      </c>
      <c r="S136" s="26">
        <f t="shared" si="27"/>
        <v>2.2821998029078524E-2</v>
      </c>
      <c r="T136" s="26">
        <f t="shared" si="28"/>
        <v>1.1294662033084716E-2</v>
      </c>
      <c r="U136" s="26">
        <f t="shared" si="29"/>
        <v>-0.2104195151544998</v>
      </c>
      <c r="V136" s="26">
        <f t="shared" si="30"/>
        <v>-1.0229205971642284E-2</v>
      </c>
      <c r="W136" s="26">
        <f t="shared" si="31"/>
        <v>-4.032357804029113E-2</v>
      </c>
      <c r="X136" s="26">
        <f t="shared" si="32"/>
        <v>0.11271035287878277</v>
      </c>
    </row>
    <row r="137" spans="2:24" x14ac:dyDescent="0.2">
      <c r="B137" s="8">
        <f>+'Simulation and  VaR'!B150/'Simulation and  VaR'!B149-1</f>
        <v>5.1172141573916807E-2</v>
      </c>
      <c r="C137" s="8">
        <f>+'Simulation and  VaR'!C150/'Simulation and  VaR'!C149-1</f>
        <v>2.2858763471355736E-2</v>
      </c>
      <c r="D137" s="8">
        <f>+'Simulation and  VaR'!D150/'Simulation and  VaR'!D149-1</f>
        <v>1.4380530973451489E-2</v>
      </c>
      <c r="E137" s="8">
        <f>+'Simulation and  VaR'!E150/'Simulation and  VaR'!E149-1</f>
        <v>9.7297297297296303E-3</v>
      </c>
      <c r="F137" s="8">
        <f>+'Simulation and  VaR'!F150/'Simulation and  VaR'!F149-1</f>
        <v>5.2687038988408208E-3</v>
      </c>
      <c r="G137" s="8">
        <f>+'Simulation and  VaR'!G150/'Simulation and  VaR'!G149-1</f>
        <v>1.1178861788617933E-2</v>
      </c>
      <c r="H137" s="8">
        <f>+'Simulation and  VaR'!H150/'Simulation and  VaR'!H149-1</f>
        <v>1.4887551472917204E-2</v>
      </c>
      <c r="I137" s="8">
        <f>+'Simulation and  VaR'!I150/'Simulation and  VaR'!I149-1</f>
        <v>0.17063964010548638</v>
      </c>
      <c r="J137" s="8">
        <f>+'Simulation and  VaR'!J150/'Simulation and  VaR'!J149-1</f>
        <v>0</v>
      </c>
      <c r="K137" s="8">
        <f>+'Simulation and  VaR'!K150/'Simulation and  VaR'!K149-1</f>
        <v>5.0151741165577857E-2</v>
      </c>
      <c r="L137" s="8">
        <f>+'Simulation and  VaR'!L150/'Simulation and  VaR'!L149-1</f>
        <v>-2.4107277384360359E-2</v>
      </c>
      <c r="N137" s="26">
        <f t="shared" si="22"/>
        <v>4.6651217081491753E-2</v>
      </c>
      <c r="O137" s="26">
        <f t="shared" si="23"/>
        <v>2.0341993452779143E-2</v>
      </c>
      <c r="P137" s="26">
        <f t="shared" si="24"/>
        <v>1.2088322650000545E-2</v>
      </c>
      <c r="Q137" s="26">
        <f t="shared" si="25"/>
        <v>7.5169704572203115E-3</v>
      </c>
      <c r="R137" s="26">
        <f t="shared" si="26"/>
        <v>3.0875944873960475E-3</v>
      </c>
      <c r="S137" s="26">
        <f t="shared" si="27"/>
        <v>9.0008598176963238E-3</v>
      </c>
      <c r="T137" s="26">
        <f t="shared" si="28"/>
        <v>9.5441714278567992E-3</v>
      </c>
      <c r="U137" s="26">
        <f t="shared" si="29"/>
        <v>0.15823787397644901</v>
      </c>
      <c r="V137" s="26">
        <f t="shared" si="30"/>
        <v>-1.0229205971642284E-2</v>
      </c>
      <c r="W137" s="26">
        <f t="shared" si="31"/>
        <v>5.1718656447449274E-2</v>
      </c>
      <c r="X137" s="26">
        <f t="shared" si="32"/>
        <v>-2.0583042270604653E-2</v>
      </c>
    </row>
    <row r="138" spans="2:24" x14ac:dyDescent="0.2">
      <c r="B138" s="8">
        <f>+'Simulation and  VaR'!B151/'Simulation and  VaR'!B150-1</f>
        <v>3.0761220047428539E-2</v>
      </c>
      <c r="C138" s="8">
        <f>+'Simulation and  VaR'!C151/'Simulation and  VaR'!C150-1</f>
        <v>1.0319464825597313E-2</v>
      </c>
      <c r="D138" s="8">
        <f>+'Simulation and  VaR'!D151/'Simulation and  VaR'!D150-1</f>
        <v>9.8146128680478562E-3</v>
      </c>
      <c r="E138" s="8">
        <f>+'Simulation and  VaR'!E151/'Simulation and  VaR'!E150-1</f>
        <v>1.6059957173447659E-2</v>
      </c>
      <c r="F138" s="8">
        <f>+'Simulation and  VaR'!F151/'Simulation and  VaR'!F150-1</f>
        <v>1.9916142557652172E-2</v>
      </c>
      <c r="G138" s="8">
        <f>+'Simulation and  VaR'!G151/'Simulation and  VaR'!G150-1</f>
        <v>1.9095477386934734E-2</v>
      </c>
      <c r="H138" s="8">
        <f>+'Simulation and  VaR'!H151/'Simulation and  VaR'!H150-1</f>
        <v>3.9741989180191561E-2</v>
      </c>
      <c r="I138" s="8">
        <f>+'Simulation and  VaR'!I151/'Simulation and  VaR'!I150-1</f>
        <v>3.312867176112011E-2</v>
      </c>
      <c r="J138" s="8">
        <f>+'Simulation and  VaR'!J151/'Simulation and  VaR'!J150-1</f>
        <v>0</v>
      </c>
      <c r="K138" s="8">
        <f>+'Simulation and  VaR'!K151/'Simulation and  VaR'!K150-1</f>
        <v>-2.5421238244514144E-2</v>
      </c>
      <c r="L138" s="8">
        <f>+'Simulation and  VaR'!L151/'Simulation and  VaR'!L150-1</f>
        <v>4.0656682620554774E-2</v>
      </c>
      <c r="N138" s="26">
        <f t="shared" si="22"/>
        <v>2.6240295555003484E-2</v>
      </c>
      <c r="O138" s="26">
        <f t="shared" si="23"/>
        <v>7.8026948070207191E-3</v>
      </c>
      <c r="P138" s="26">
        <f t="shared" si="24"/>
        <v>7.5224045445969126E-3</v>
      </c>
      <c r="Q138" s="26">
        <f t="shared" si="25"/>
        <v>1.384719790093834E-2</v>
      </c>
      <c r="R138" s="26">
        <f t="shared" si="26"/>
        <v>1.7735033146207398E-2</v>
      </c>
      <c r="S138" s="26">
        <f t="shared" si="27"/>
        <v>1.6917475416013125E-2</v>
      </c>
      <c r="T138" s="26">
        <f t="shared" si="28"/>
        <v>3.4398609135131153E-2</v>
      </c>
      <c r="U138" s="26">
        <f t="shared" si="29"/>
        <v>2.072690563208273E-2</v>
      </c>
      <c r="V138" s="26">
        <f t="shared" si="30"/>
        <v>-1.0229205971642284E-2</v>
      </c>
      <c r="W138" s="26">
        <f t="shared" si="31"/>
        <v>-2.385432296264273E-2</v>
      </c>
      <c r="X138" s="26">
        <f t="shared" si="32"/>
        <v>4.4180917734310481E-2</v>
      </c>
    </row>
    <row r="139" spans="2:24" x14ac:dyDescent="0.2">
      <c r="B139" s="8">
        <f>+'Simulation and  VaR'!B152/'Simulation and  VaR'!B151-1</f>
        <v>-2.8053192261910942E-3</v>
      </c>
      <c r="C139" s="8">
        <f>+'Simulation and  VaR'!C152/'Simulation and  VaR'!C151-1</f>
        <v>-1.330605688331099E-4</v>
      </c>
      <c r="D139" s="8">
        <f>+'Simulation and  VaR'!D152/'Simulation and  VaR'!D151-1</f>
        <v>1.0799136069115089E-3</v>
      </c>
      <c r="E139" s="8">
        <f>+'Simulation and  VaR'!E152/'Simulation and  VaR'!E151-1</f>
        <v>2.1074815595363283E-3</v>
      </c>
      <c r="F139" s="8">
        <f>+'Simulation and  VaR'!F152/'Simulation and  VaR'!F151-1</f>
        <v>-4.1109969167524296E-3</v>
      </c>
      <c r="G139" s="8">
        <f>+'Simulation and  VaR'!G152/'Simulation and  VaR'!G151-1</f>
        <v>-4.9309664694280331E-3</v>
      </c>
      <c r="H139" s="8">
        <f>+'Simulation and  VaR'!H152/'Simulation and  VaR'!H151-1</f>
        <v>-3.6521913147888774E-2</v>
      </c>
      <c r="I139" s="8">
        <f>+'Simulation and  VaR'!I152/'Simulation and  VaR'!I151-1</f>
        <v>7.5890375817692091E-2</v>
      </c>
      <c r="J139" s="8">
        <f>+'Simulation and  VaR'!J152/'Simulation and  VaR'!J151-1</f>
        <v>6.7294751009421283E-2</v>
      </c>
      <c r="K139" s="8">
        <f>+'Simulation and  VaR'!K152/'Simulation and  VaR'!K151-1</f>
        <v>1.6987485550585602E-2</v>
      </c>
      <c r="L139" s="8">
        <f>+'Simulation and  VaR'!L152/'Simulation and  VaR'!L151-1</f>
        <v>2.2254092280302729E-3</v>
      </c>
      <c r="N139" s="26">
        <f t="shared" si="22"/>
        <v>-7.3262437186161471E-3</v>
      </c>
      <c r="O139" s="26">
        <f t="shared" si="23"/>
        <v>-2.6498305874097039E-3</v>
      </c>
      <c r="P139" s="26">
        <f t="shared" si="24"/>
        <v>-1.212294716539435E-3</v>
      </c>
      <c r="Q139" s="26">
        <f t="shared" si="25"/>
        <v>-1.0527771297299008E-4</v>
      </c>
      <c r="R139" s="26">
        <f t="shared" si="26"/>
        <v>-6.2921063281972025E-3</v>
      </c>
      <c r="S139" s="26">
        <f t="shared" si="27"/>
        <v>-7.1089684403496424E-3</v>
      </c>
      <c r="T139" s="26">
        <f t="shared" si="28"/>
        <v>-4.1865293192949182E-2</v>
      </c>
      <c r="U139" s="26">
        <f t="shared" si="29"/>
        <v>6.3488609688654718E-2</v>
      </c>
      <c r="V139" s="26">
        <f t="shared" si="30"/>
        <v>5.7065545037778997E-2</v>
      </c>
      <c r="W139" s="26">
        <f t="shared" si="31"/>
        <v>1.8554400832457015E-2</v>
      </c>
      <c r="X139" s="26">
        <f t="shared" si="32"/>
        <v>5.7496443417859797E-3</v>
      </c>
    </row>
    <row r="140" spans="2:24" x14ac:dyDescent="0.2">
      <c r="B140" s="8">
        <f>+'Simulation and  VaR'!B153/'Simulation and  VaR'!B152-1</f>
        <v>1.6930703706103722E-2</v>
      </c>
      <c r="C140" s="8">
        <f>+'Simulation and  VaR'!C153/'Simulation and  VaR'!C152-1</f>
        <v>2.0793479121758995E-3</v>
      </c>
      <c r="D140" s="8">
        <f>+'Simulation and  VaR'!D153/'Simulation and  VaR'!D152-1</f>
        <v>1.1866235167206085E-2</v>
      </c>
      <c r="E140" s="8">
        <f>+'Simulation and  VaR'!E153/'Simulation and  VaR'!E152-1</f>
        <v>1.1566771819137678E-2</v>
      </c>
      <c r="F140" s="8">
        <f>+'Simulation and  VaR'!F153/'Simulation and  VaR'!F152-1</f>
        <v>1.3415892672858698E-2</v>
      </c>
      <c r="G140" s="8">
        <f>+'Simulation and  VaR'!G153/'Simulation and  VaR'!G152-1</f>
        <v>1.7839444995044529E-2</v>
      </c>
      <c r="H140" s="8">
        <f>+'Simulation and  VaR'!H153/'Simulation and  VaR'!H152-1</f>
        <v>5.4211236888565884E-2</v>
      </c>
      <c r="I140" s="8">
        <f>+'Simulation and  VaR'!I153/'Simulation and  VaR'!I152-1</f>
        <v>-5.1661103163249122E-2</v>
      </c>
      <c r="J140" s="8">
        <f>+'Simulation and  VaR'!J153/'Simulation and  VaR'!J152-1</f>
        <v>0</v>
      </c>
      <c r="K140" s="8">
        <f>+'Simulation and  VaR'!K153/'Simulation and  VaR'!K152-1</f>
        <v>1.9322955275512754E-2</v>
      </c>
      <c r="L140" s="8">
        <f>+'Simulation and  VaR'!L153/'Simulation and  VaR'!L152-1</f>
        <v>3.4195203789598283E-2</v>
      </c>
      <c r="N140" s="26">
        <f t="shared" si="22"/>
        <v>1.2409779213678669E-2</v>
      </c>
      <c r="O140" s="26">
        <f t="shared" si="23"/>
        <v>-4.3742210640069449E-4</v>
      </c>
      <c r="P140" s="26">
        <f t="shared" si="24"/>
        <v>9.5740268437551415E-3</v>
      </c>
      <c r="Q140" s="26">
        <f t="shared" si="25"/>
        <v>9.354012546628359E-3</v>
      </c>
      <c r="R140" s="26">
        <f t="shared" si="26"/>
        <v>1.1234783261413925E-2</v>
      </c>
      <c r="S140" s="26">
        <f t="shared" si="27"/>
        <v>1.566144302412292E-2</v>
      </c>
      <c r="T140" s="26">
        <f t="shared" si="28"/>
        <v>4.8867856843505475E-2</v>
      </c>
      <c r="U140" s="26">
        <f t="shared" si="29"/>
        <v>-6.4062869292286495E-2</v>
      </c>
      <c r="V140" s="26">
        <f t="shared" si="30"/>
        <v>-1.0229205971642284E-2</v>
      </c>
      <c r="W140" s="26">
        <f t="shared" si="31"/>
        <v>2.0889870557384168E-2</v>
      </c>
      <c r="X140" s="26">
        <f t="shared" si="32"/>
        <v>3.771943890335399E-2</v>
      </c>
    </row>
    <row r="141" spans="2:24" x14ac:dyDescent="0.2">
      <c r="B141" s="8">
        <f>+'Simulation and  VaR'!B154/'Simulation and  VaR'!B153-1</f>
        <v>-1.897482447348442E-3</v>
      </c>
      <c r="C141" s="8">
        <f>+'Simulation and  VaR'!C154/'Simulation and  VaR'!C153-1</f>
        <v>7.0916334741601972E-3</v>
      </c>
      <c r="D141" s="8">
        <f>+'Simulation and  VaR'!D154/'Simulation and  VaR'!D153-1</f>
        <v>1.0660980810235365E-3</v>
      </c>
      <c r="E141" s="8">
        <f>+'Simulation and  VaR'!E154/'Simulation and  VaR'!E153-1</f>
        <v>4.1580041580042693E-3</v>
      </c>
      <c r="F141" s="8">
        <f>+'Simulation and  VaR'!F154/'Simulation and  VaR'!F153-1</f>
        <v>7.1283095723013723E-3</v>
      </c>
      <c r="G141" s="8">
        <f>+'Simulation and  VaR'!G154/'Simulation and  VaR'!G153-1</f>
        <v>6.8159688412854358E-3</v>
      </c>
      <c r="H141" s="8">
        <f>+'Simulation and  VaR'!H154/'Simulation and  VaR'!H153-1</f>
        <v>2.4628115456604149E-3</v>
      </c>
      <c r="I141" s="8">
        <f>+'Simulation and  VaR'!I154/'Simulation and  VaR'!I153-1</f>
        <v>3.2475695608447763E-2</v>
      </c>
      <c r="J141" s="8">
        <f>+'Simulation and  VaR'!J154/'Simulation and  VaR'!J153-1</f>
        <v>0</v>
      </c>
      <c r="K141" s="8">
        <f>+'Simulation and  VaR'!K154/'Simulation and  VaR'!K153-1</f>
        <v>2.6665373800058845E-3</v>
      </c>
      <c r="L141" s="8">
        <f>+'Simulation and  VaR'!L154/'Simulation and  VaR'!L153-1</f>
        <v>5.8304308411660788E-2</v>
      </c>
      <c r="N141" s="26">
        <f t="shared" si="22"/>
        <v>-6.4184069397734949E-3</v>
      </c>
      <c r="O141" s="26">
        <f t="shared" si="23"/>
        <v>4.5748634555836032E-3</v>
      </c>
      <c r="P141" s="26">
        <f t="shared" si="24"/>
        <v>-1.2261102424274074E-3</v>
      </c>
      <c r="Q141" s="26">
        <f t="shared" si="25"/>
        <v>1.9452448854949509E-3</v>
      </c>
      <c r="R141" s="26">
        <f t="shared" si="26"/>
        <v>4.9472001608565994E-3</v>
      </c>
      <c r="S141" s="26">
        <f t="shared" si="27"/>
        <v>4.6379668703638265E-3</v>
      </c>
      <c r="T141" s="26">
        <f t="shared" si="28"/>
        <v>-2.8805684993999901E-3</v>
      </c>
      <c r="U141" s="26">
        <f t="shared" si="29"/>
        <v>2.0073929479410384E-2</v>
      </c>
      <c r="V141" s="26">
        <f t="shared" si="30"/>
        <v>-1.0229205971642284E-2</v>
      </c>
      <c r="W141" s="26">
        <f t="shared" si="31"/>
        <v>4.233452661877299E-3</v>
      </c>
      <c r="X141" s="26">
        <f t="shared" si="32"/>
        <v>6.1828543525416495E-2</v>
      </c>
    </row>
    <row r="142" spans="2:24" x14ac:dyDescent="0.2">
      <c r="B142" s="8">
        <f>+'Simulation and  VaR'!B155/'Simulation and  VaR'!B154-1</f>
        <v>1.6318656547341881E-2</v>
      </c>
      <c r="C142" s="8">
        <f>+'Simulation and  VaR'!C155/'Simulation and  VaR'!C154-1</f>
        <v>7.6567615752827223E-3</v>
      </c>
      <c r="D142" s="8">
        <f>+'Simulation and  VaR'!D155/'Simulation and  VaR'!D154-1</f>
        <v>1.2779552715654896E-2</v>
      </c>
      <c r="E142" s="8">
        <f>+'Simulation and  VaR'!E155/'Simulation and  VaR'!E154-1</f>
        <v>2.1739130434782483E-2</v>
      </c>
      <c r="F142" s="8">
        <f>+'Simulation and  VaR'!F155/'Simulation and  VaR'!F154-1</f>
        <v>1.2133468149646109E-2</v>
      </c>
      <c r="G142" s="8">
        <f>+'Simulation and  VaR'!G155/'Simulation and  VaR'!G154-1</f>
        <v>1.3539651837524147E-2</v>
      </c>
      <c r="H142" s="8">
        <f>+'Simulation and  VaR'!H155/'Simulation and  VaR'!H154-1</f>
        <v>-2.6238207547169878E-2</v>
      </c>
      <c r="I142" s="8">
        <f>+'Simulation and  VaR'!I155/'Simulation and  VaR'!I154-1</f>
        <v>0.11871423353220512</v>
      </c>
      <c r="J142" s="8">
        <f>+'Simulation and  VaR'!J155/'Simulation and  VaR'!J154-1</f>
        <v>0.14186633039092089</v>
      </c>
      <c r="K142" s="8">
        <f>+'Simulation and  VaR'!K155/'Simulation and  VaR'!K154-1</f>
        <v>9.6707122479555707E-4</v>
      </c>
      <c r="L142" s="8">
        <f>+'Simulation and  VaR'!L155/'Simulation and  VaR'!L154-1</f>
        <v>-6.5371263694153914E-3</v>
      </c>
      <c r="N142" s="26">
        <f t="shared" si="22"/>
        <v>1.1797732054916828E-2</v>
      </c>
      <c r="O142" s="26">
        <f t="shared" si="23"/>
        <v>5.1399915567061282E-3</v>
      </c>
      <c r="P142" s="26">
        <f t="shared" si="24"/>
        <v>1.0487344392203952E-2</v>
      </c>
      <c r="Q142" s="26">
        <f t="shared" si="25"/>
        <v>1.9526371162273164E-2</v>
      </c>
      <c r="R142" s="26">
        <f t="shared" si="26"/>
        <v>9.9523587382013366E-3</v>
      </c>
      <c r="S142" s="26">
        <f t="shared" si="27"/>
        <v>1.1361649866602538E-2</v>
      </c>
      <c r="T142" s="26">
        <f t="shared" si="28"/>
        <v>-3.1581587592230287E-2</v>
      </c>
      <c r="U142" s="26">
        <f t="shared" si="29"/>
        <v>0.10631246740316774</v>
      </c>
      <c r="V142" s="26">
        <f t="shared" si="30"/>
        <v>0.13163712441927861</v>
      </c>
      <c r="W142" s="26">
        <f t="shared" si="31"/>
        <v>2.5339865066669716E-3</v>
      </c>
      <c r="X142" s="26">
        <f t="shared" si="32"/>
        <v>-3.012891255659685E-3</v>
      </c>
    </row>
    <row r="143" spans="2:24" x14ac:dyDescent="0.2">
      <c r="B143" s="8">
        <f>+'Simulation and  VaR'!B156/'Simulation and  VaR'!B155-1</f>
        <v>-5.9134779791151781E-2</v>
      </c>
      <c r="C143" s="8">
        <f>+'Simulation and  VaR'!C156/'Simulation and  VaR'!C155-1</f>
        <v>-3.6553390563392019E-2</v>
      </c>
      <c r="D143" s="8">
        <f>+'Simulation and  VaR'!D156/'Simulation and  VaR'!D155-1</f>
        <v>-2.208201892744488E-2</v>
      </c>
      <c r="E143" s="8">
        <f>+'Simulation and  VaR'!E156/'Simulation and  VaR'!E155-1</f>
        <v>-2.0263424518743633E-2</v>
      </c>
      <c r="F143" s="8">
        <f>+'Simulation and  VaR'!F156/'Simulation and  VaR'!F155-1</f>
        <v>-1.098901098901095E-2</v>
      </c>
      <c r="G143" s="8">
        <f>+'Simulation and  VaR'!G156/'Simulation and  VaR'!G155-1</f>
        <v>-8.5877862595419296E-3</v>
      </c>
      <c r="H143" s="8">
        <f>+'Simulation and  VaR'!H156/'Simulation and  VaR'!H155-1</f>
        <v>3.865173074982331E-2</v>
      </c>
      <c r="I143" s="8">
        <f>+'Simulation and  VaR'!I156/'Simulation and  VaR'!I155-1</f>
        <v>1.5418662022928409E-2</v>
      </c>
      <c r="J143" s="8">
        <f>+'Simulation and  VaR'!J156/'Simulation and  VaR'!J155-1</f>
        <v>5.5218111540585202E-2</v>
      </c>
      <c r="K143" s="8">
        <f>+'Simulation and  VaR'!K156/'Simulation and  VaR'!K155-1</f>
        <v>5.3620598038742084E-2</v>
      </c>
      <c r="L143" s="8">
        <f>+'Simulation and  VaR'!L156/'Simulation and  VaR'!L155-1</f>
        <v>-1.1571973134870128E-2</v>
      </c>
      <c r="N143" s="26">
        <f t="shared" si="22"/>
        <v>-6.3655704283576836E-2</v>
      </c>
      <c r="O143" s="26">
        <f t="shared" si="23"/>
        <v>-3.9070160581968612E-2</v>
      </c>
      <c r="P143" s="26">
        <f t="shared" si="24"/>
        <v>-2.4374227250895823E-2</v>
      </c>
      <c r="Q143" s="26">
        <f t="shared" si="25"/>
        <v>-2.2476183791252952E-2</v>
      </c>
      <c r="R143" s="26">
        <f t="shared" si="26"/>
        <v>-1.3170120400455723E-2</v>
      </c>
      <c r="S143" s="26">
        <f t="shared" si="27"/>
        <v>-1.0765788230463539E-2</v>
      </c>
      <c r="T143" s="26">
        <f t="shared" si="28"/>
        <v>3.3308350704762901E-2</v>
      </c>
      <c r="U143" s="26">
        <f t="shared" si="29"/>
        <v>3.0168958938910292E-3</v>
      </c>
      <c r="V143" s="26">
        <f t="shared" si="30"/>
        <v>4.4988905568942916E-2</v>
      </c>
      <c r="W143" s="26">
        <f t="shared" si="31"/>
        <v>5.5187513320613502E-2</v>
      </c>
      <c r="X143" s="26">
        <f t="shared" si="32"/>
        <v>-8.0477380211144214E-3</v>
      </c>
    </row>
    <row r="144" spans="2:24" x14ac:dyDescent="0.2">
      <c r="B144" s="8">
        <f>+'Simulation and  VaR'!B157/'Simulation and  VaR'!B156-1</f>
        <v>2.0797845095506196E-2</v>
      </c>
      <c r="C144" s="8">
        <f>+'Simulation and  VaR'!C157/'Simulation and  VaR'!C156-1</f>
        <v>4.0554962544945283E-3</v>
      </c>
      <c r="D144" s="8">
        <f>+'Simulation and  VaR'!D157/'Simulation and  VaR'!D156-1</f>
        <v>-9.6774193548386789E-3</v>
      </c>
      <c r="E144" s="8">
        <f>+'Simulation and  VaR'!E157/'Simulation and  VaR'!E156-1</f>
        <v>-1.7580144777662898E-2</v>
      </c>
      <c r="F144" s="8">
        <f>+'Simulation and  VaR'!F157/'Simulation and  VaR'!F156-1</f>
        <v>-1.4141414141414232E-2</v>
      </c>
      <c r="G144" s="8">
        <f>+'Simulation and  VaR'!G157/'Simulation and  VaR'!G156-1</f>
        <v>-8.6621751684313741E-3</v>
      </c>
      <c r="H144" s="8">
        <f>+'Simulation and  VaR'!H157/'Simulation and  VaR'!H156-1</f>
        <v>8.74465604352892E-3</v>
      </c>
      <c r="I144" s="8">
        <f>+'Simulation and  VaR'!I157/'Simulation and  VaR'!I156-1</f>
        <v>6.788381149737388E-2</v>
      </c>
      <c r="J144" s="8">
        <f>+'Simulation and  VaR'!J157/'Simulation and  VaR'!J156-1</f>
        <v>0.13867085295656723</v>
      </c>
      <c r="K144" s="8">
        <f>+'Simulation and  VaR'!K157/'Simulation and  VaR'!K156-1</f>
        <v>3.0489202695887396E-2</v>
      </c>
      <c r="L144" s="8">
        <f>+'Simulation and  VaR'!L157/'Simulation and  VaR'!L156-1</f>
        <v>-5.0502731738671924E-3</v>
      </c>
      <c r="N144" s="26">
        <f t="shared" si="22"/>
        <v>1.6276920603081141E-2</v>
      </c>
      <c r="O144" s="26">
        <f t="shared" si="23"/>
        <v>1.5387262359179343E-3</v>
      </c>
      <c r="P144" s="26">
        <f t="shared" si="24"/>
        <v>-1.1969627678289622E-2</v>
      </c>
      <c r="Q144" s="26">
        <f t="shared" si="25"/>
        <v>-1.9792904050172217E-2</v>
      </c>
      <c r="R144" s="26">
        <f t="shared" si="26"/>
        <v>-1.6322523552859007E-2</v>
      </c>
      <c r="S144" s="26">
        <f t="shared" si="27"/>
        <v>-1.0840177139352983E-2</v>
      </c>
      <c r="T144" s="26">
        <f t="shared" si="28"/>
        <v>3.4012759984685149E-3</v>
      </c>
      <c r="U144" s="26">
        <f t="shared" si="29"/>
        <v>5.5482045368336501E-2</v>
      </c>
      <c r="V144" s="26">
        <f t="shared" si="30"/>
        <v>0.12844164698492494</v>
      </c>
      <c r="W144" s="26">
        <f t="shared" si="31"/>
        <v>3.2056117977758813E-2</v>
      </c>
      <c r="X144" s="26">
        <f t="shared" si="32"/>
        <v>-1.5260380601114861E-3</v>
      </c>
    </row>
    <row r="145" spans="2:24" x14ac:dyDescent="0.2">
      <c r="B145" s="8">
        <f>+'Simulation and  VaR'!B158/'Simulation and  VaR'!B157-1</f>
        <v>3.1114799981133201E-2</v>
      </c>
      <c r="C145" s="8">
        <f>+'Simulation and  VaR'!C158/'Simulation and  VaR'!C157-1</f>
        <v>8.8800465848215548E-3</v>
      </c>
      <c r="D145" s="8">
        <f>+'Simulation and  VaR'!D158/'Simulation and  VaR'!D157-1</f>
        <v>3.2573289902282365E-3</v>
      </c>
      <c r="E145" s="8">
        <f>+'Simulation and  VaR'!E158/'Simulation and  VaR'!E157-1</f>
        <v>4.2105263157894424E-3</v>
      </c>
      <c r="F145" s="8">
        <f>+'Simulation and  VaR'!F158/'Simulation and  VaR'!F157-1</f>
        <v>1.0245901639344135E-2</v>
      </c>
      <c r="G145" s="8">
        <f>+'Simulation and  VaR'!G158/'Simulation and  VaR'!G157-1</f>
        <v>5.8252427184466438E-3</v>
      </c>
      <c r="H145" s="8">
        <f>+'Simulation and  VaR'!H158/'Simulation and  VaR'!H157-1</f>
        <v>5.3072625698323828E-2</v>
      </c>
      <c r="I145" s="8">
        <f>+'Simulation and  VaR'!I158/'Simulation and  VaR'!I157-1</f>
        <v>5.8549968215731552E-2</v>
      </c>
      <c r="J145" s="8">
        <f>+'Simulation and  VaR'!J158/'Simulation and  VaR'!J157-1</f>
        <v>0.21829044117647056</v>
      </c>
      <c r="K145" s="8">
        <f>+'Simulation and  VaR'!K158/'Simulation and  VaR'!K157-1</f>
        <v>2.3135789286350406E-3</v>
      </c>
      <c r="L145" s="8">
        <f>+'Simulation and  VaR'!L158/'Simulation and  VaR'!L157-1</f>
        <v>1.7073508375248014E-2</v>
      </c>
      <c r="N145" s="26">
        <f t="shared" si="22"/>
        <v>2.6593875488708146E-2</v>
      </c>
      <c r="O145" s="26">
        <f t="shared" si="23"/>
        <v>6.3632765662449608E-3</v>
      </c>
      <c r="P145" s="26">
        <f t="shared" si="24"/>
        <v>9.6512066677729253E-4</v>
      </c>
      <c r="Q145" s="26">
        <f t="shared" si="25"/>
        <v>1.997767043280124E-3</v>
      </c>
      <c r="R145" s="26">
        <f t="shared" si="26"/>
        <v>8.064792227899362E-3</v>
      </c>
      <c r="S145" s="26">
        <f t="shared" si="27"/>
        <v>3.6472407475250344E-3</v>
      </c>
      <c r="T145" s="26">
        <f t="shared" si="28"/>
        <v>4.7729245653263419E-2</v>
      </c>
      <c r="U145" s="26">
        <f t="shared" si="29"/>
        <v>4.6148202086694172E-2</v>
      </c>
      <c r="V145" s="26">
        <f t="shared" si="30"/>
        <v>0.20806123520482828</v>
      </c>
      <c r="W145" s="26">
        <f t="shared" si="31"/>
        <v>3.8804942105064551E-3</v>
      </c>
      <c r="X145" s="26">
        <f t="shared" si="32"/>
        <v>2.0597743489003721E-2</v>
      </c>
    </row>
    <row r="146" spans="2:24" x14ac:dyDescent="0.2">
      <c r="B146" s="8">
        <f>+'Simulation and  VaR'!B159/'Simulation and  VaR'!B158-1</f>
        <v>8.0044137889312417E-2</v>
      </c>
      <c r="C146" s="8">
        <f>+'Simulation and  VaR'!C159/'Simulation and  VaR'!C158-1</f>
        <v>3.3759546765875781E-2</v>
      </c>
      <c r="D146" s="8">
        <f>+'Simulation and  VaR'!D159/'Simulation and  VaR'!D158-1</f>
        <v>2.2727272727272707E-2</v>
      </c>
      <c r="E146" s="8">
        <f>+'Simulation and  VaR'!E159/'Simulation and  VaR'!E158-1</f>
        <v>1.7819706498951815E-2</v>
      </c>
      <c r="F146" s="8">
        <f>+'Simulation and  VaR'!F159/'Simulation and  VaR'!F158-1</f>
        <v>1.8255578093306246E-2</v>
      </c>
      <c r="G146" s="8">
        <f>+'Simulation and  VaR'!G159/'Simulation and  VaR'!G158-1</f>
        <v>1.8339768339768359E-2</v>
      </c>
      <c r="H146" s="8">
        <f>+'Simulation and  VaR'!H159/'Simulation and  VaR'!H158-1</f>
        <v>0</v>
      </c>
      <c r="I146" s="8">
        <f>+'Simulation and  VaR'!I159/'Simulation and  VaR'!I158-1</f>
        <v>0.25797275514396789</v>
      </c>
      <c r="J146" s="8">
        <f>+'Simulation and  VaR'!J159/'Simulation and  VaR'!J158-1</f>
        <v>7.5443228970199838E-2</v>
      </c>
      <c r="K146" s="8">
        <f>+'Simulation and  VaR'!K159/'Simulation and  VaR'!K158-1</f>
        <v>-2.2061434659090939E-2</v>
      </c>
      <c r="L146" s="8">
        <f>+'Simulation and  VaR'!L159/'Simulation and  VaR'!L158-1</f>
        <v>1.8601696837711401E-2</v>
      </c>
      <c r="N146" s="26">
        <f t="shared" si="22"/>
        <v>7.5523213396887362E-2</v>
      </c>
      <c r="O146" s="26">
        <f t="shared" si="23"/>
        <v>3.1242776747299188E-2</v>
      </c>
      <c r="P146" s="26">
        <f t="shared" si="24"/>
        <v>2.0435064403821764E-2</v>
      </c>
      <c r="Q146" s="26">
        <f t="shared" si="25"/>
        <v>1.5606947226442496E-2</v>
      </c>
      <c r="R146" s="26">
        <f t="shared" si="26"/>
        <v>1.6074468681861472E-2</v>
      </c>
      <c r="S146" s="26">
        <f t="shared" si="27"/>
        <v>1.6161766368846749E-2</v>
      </c>
      <c r="T146" s="26">
        <f t="shared" si="28"/>
        <v>-5.3433800450604051E-3</v>
      </c>
      <c r="U146" s="26">
        <f t="shared" si="29"/>
        <v>0.24557098901493052</v>
      </c>
      <c r="V146" s="26">
        <f t="shared" si="30"/>
        <v>6.5214022998557553E-2</v>
      </c>
      <c r="W146" s="26">
        <f t="shared" si="31"/>
        <v>-2.0494519377219526E-2</v>
      </c>
      <c r="X146" s="26">
        <f t="shared" si="32"/>
        <v>2.2125931951467108E-2</v>
      </c>
    </row>
    <row r="147" spans="2:24" x14ac:dyDescent="0.2">
      <c r="B147" s="8">
        <f>+'Simulation and  VaR'!B160/'Simulation and  VaR'!B159-1</f>
        <v>0.14431928411478068</v>
      </c>
      <c r="C147" s="8">
        <f>+'Simulation and  VaR'!C160/'Simulation and  VaR'!C159-1</f>
        <v>0.10319756279870651</v>
      </c>
      <c r="D147" s="8">
        <f>+'Simulation and  VaR'!D160/'Simulation and  VaR'!D159-1</f>
        <v>7.3015873015873201E-2</v>
      </c>
      <c r="E147" s="8">
        <f>+'Simulation and  VaR'!E160/'Simulation and  VaR'!E159-1</f>
        <v>7.8269824922760245E-2</v>
      </c>
      <c r="F147" s="8">
        <f>+'Simulation and  VaR'!F160/'Simulation and  VaR'!F159-1</f>
        <v>7.9681274900398558E-2</v>
      </c>
      <c r="G147" s="8">
        <f>+'Simulation and  VaR'!G160/'Simulation and  VaR'!G159-1</f>
        <v>8.1516587677725294E-2</v>
      </c>
      <c r="H147" s="8">
        <f>+'Simulation and  VaR'!H160/'Simulation and  VaR'!H159-1</f>
        <v>-6.8599652428427693E-2</v>
      </c>
      <c r="I147" s="8">
        <f>+'Simulation and  VaR'!I160/'Simulation and  VaR'!I159-1</f>
        <v>-3.8943745132031804E-2</v>
      </c>
      <c r="J147" s="8">
        <f>+'Simulation and  VaR'!J160/'Simulation and  VaR'!J159-1</f>
        <v>1.7537706068046388E-2</v>
      </c>
      <c r="K147" s="8">
        <f>+'Simulation and  VaR'!K160/'Simulation and  VaR'!K159-1</f>
        <v>-5.8326903000317842E-2</v>
      </c>
      <c r="L147" s="8">
        <f>+'Simulation and  VaR'!L160/'Simulation and  VaR'!L159-1</f>
        <v>5.9462830163466984E-2</v>
      </c>
      <c r="N147" s="26">
        <f t="shared" si="22"/>
        <v>0.13979835962235562</v>
      </c>
      <c r="O147" s="26">
        <f t="shared" si="23"/>
        <v>0.10068079278012991</v>
      </c>
      <c r="P147" s="26">
        <f t="shared" si="24"/>
        <v>7.072366469242225E-2</v>
      </c>
      <c r="Q147" s="26">
        <f t="shared" si="25"/>
        <v>7.605706565025093E-2</v>
      </c>
      <c r="R147" s="26">
        <f t="shared" si="26"/>
        <v>7.750016548895379E-2</v>
      </c>
      <c r="S147" s="26">
        <f t="shared" si="27"/>
        <v>7.9338585706803688E-2</v>
      </c>
      <c r="T147" s="26">
        <f t="shared" si="28"/>
        <v>-7.3943032473488102E-2</v>
      </c>
      <c r="U147" s="26">
        <f t="shared" si="29"/>
        <v>-5.1345511261069184E-2</v>
      </c>
      <c r="V147" s="26">
        <f t="shared" si="30"/>
        <v>7.3085000964041042E-3</v>
      </c>
      <c r="W147" s="26">
        <f t="shared" si="31"/>
        <v>-5.6759987718446425E-2</v>
      </c>
      <c r="X147" s="26">
        <f t="shared" si="32"/>
        <v>6.2987065277222684E-2</v>
      </c>
    </row>
    <row r="148" spans="2:24" x14ac:dyDescent="0.2">
      <c r="B148" s="8">
        <f>+'Simulation and  VaR'!B161/'Simulation and  VaR'!B160-1</f>
        <v>7.9201302102425153E-3</v>
      </c>
      <c r="C148" s="8">
        <f>+'Simulation and  VaR'!C161/'Simulation and  VaR'!C160-1</f>
        <v>3.4345122049901144E-2</v>
      </c>
      <c r="D148" s="8">
        <f>+'Simulation and  VaR'!D161/'Simulation and  VaR'!D160-1</f>
        <v>6.2130177514792884E-2</v>
      </c>
      <c r="E148" s="8">
        <f>+'Simulation and  VaR'!E161/'Simulation and  VaR'!E160-1</f>
        <v>7.2588347659980901E-2</v>
      </c>
      <c r="F148" s="8">
        <f>+'Simulation and  VaR'!F161/'Simulation and  VaR'!F160-1</f>
        <v>6.1808118081180696E-2</v>
      </c>
      <c r="G148" s="8">
        <f>+'Simulation and  VaR'!G161/'Simulation and  VaR'!G160-1</f>
        <v>5.1709027169149824E-2</v>
      </c>
      <c r="H148" s="8">
        <f>+'Simulation and  VaR'!H161/'Simulation and  VaR'!H160-1</f>
        <v>4.2620053029559068E-2</v>
      </c>
      <c r="I148" s="8">
        <f>+'Simulation and  VaR'!I161/'Simulation and  VaR'!I160-1</f>
        <v>8.6925832004391967E-2</v>
      </c>
      <c r="J148" s="8">
        <f>+'Simulation and  VaR'!J161/'Simulation and  VaR'!J160-1</f>
        <v>6.8941744226128865E-2</v>
      </c>
      <c r="K148" s="8">
        <f>+'Simulation and  VaR'!K161/'Simulation and  VaR'!K160-1</f>
        <v>6.0011568495131673E-2</v>
      </c>
      <c r="L148" s="8">
        <f>+'Simulation and  VaR'!L161/'Simulation and  VaR'!L160-1</f>
        <v>4.9188598335155209E-2</v>
      </c>
      <c r="N148" s="26">
        <f t="shared" si="22"/>
        <v>3.3992057178174623E-3</v>
      </c>
      <c r="O148" s="26">
        <f t="shared" si="23"/>
        <v>3.1828352031324551E-2</v>
      </c>
      <c r="P148" s="26">
        <f t="shared" si="24"/>
        <v>5.983796919134194E-2</v>
      </c>
      <c r="Q148" s="26">
        <f t="shared" si="25"/>
        <v>7.0375588387471585E-2</v>
      </c>
      <c r="R148" s="26">
        <f t="shared" si="26"/>
        <v>5.9627008669735922E-2</v>
      </c>
      <c r="S148" s="26">
        <f t="shared" si="27"/>
        <v>4.9531025198228218E-2</v>
      </c>
      <c r="T148" s="26">
        <f t="shared" si="28"/>
        <v>3.727667298449866E-2</v>
      </c>
      <c r="U148" s="26">
        <f t="shared" si="29"/>
        <v>7.4524065875354595E-2</v>
      </c>
      <c r="V148" s="26">
        <f t="shared" si="30"/>
        <v>5.8712538254486579E-2</v>
      </c>
      <c r="W148" s="26">
        <f t="shared" si="31"/>
        <v>6.157848377700309E-2</v>
      </c>
      <c r="X148" s="26">
        <f t="shared" si="32"/>
        <v>5.2712833448910916E-2</v>
      </c>
    </row>
    <row r="149" spans="2:24" x14ac:dyDescent="0.2">
      <c r="B149" s="8">
        <f>+'Simulation and  VaR'!B162/'Simulation and  VaR'!B161-1</f>
        <v>2.1192913371125721E-2</v>
      </c>
      <c r="C149" s="8">
        <f>+'Simulation and  VaR'!C162/'Simulation and  VaR'!C161-1</f>
        <v>-2.5054294172347169E-2</v>
      </c>
      <c r="D149" s="8">
        <f>+'Simulation and  VaR'!D162/'Simulation and  VaR'!D161-1</f>
        <v>-1.8570102135561095E-3</v>
      </c>
      <c r="E149" s="8">
        <f>+'Simulation and  VaR'!E162/'Simulation and  VaR'!E161-1</f>
        <v>-6.2333036509349959E-3</v>
      </c>
      <c r="F149" s="8">
        <f>+'Simulation and  VaR'!F162/'Simulation and  VaR'!F161-1</f>
        <v>-3.4752389226758718E-3</v>
      </c>
      <c r="G149" s="8">
        <f>+'Simulation and  VaR'!G162/'Simulation and  VaR'!G161-1</f>
        <v>5.833333333333357E-3</v>
      </c>
      <c r="H149" s="8">
        <f>+'Simulation and  VaR'!H162/'Simulation and  VaR'!H161-1</f>
        <v>1.6765564660450316E-2</v>
      </c>
      <c r="I149" s="8">
        <f>+'Simulation and  VaR'!I162/'Simulation and  VaR'!I161-1</f>
        <v>0.26637964210121234</v>
      </c>
      <c r="J149" s="8">
        <f>+'Simulation and  VaR'!J162/'Simulation and  VaR'!J161-1</f>
        <v>4.837149306675248E-2</v>
      </c>
      <c r="K149" s="8">
        <f>+'Simulation and  VaR'!K162/'Simulation and  VaR'!K161-1</f>
        <v>8.8672638806783777E-3</v>
      </c>
      <c r="L149" s="8">
        <f>+'Simulation and  VaR'!L162/'Simulation and  VaR'!L161-1</f>
        <v>-3.7065234813271397E-2</v>
      </c>
      <c r="N149" s="26">
        <f t="shared" si="22"/>
        <v>1.6671988878700666E-2</v>
      </c>
      <c r="O149" s="26">
        <f t="shared" si="23"/>
        <v>-2.7571064190923762E-2</v>
      </c>
      <c r="P149" s="26">
        <f t="shared" si="24"/>
        <v>-4.1492185370070531E-3</v>
      </c>
      <c r="Q149" s="26">
        <f t="shared" si="25"/>
        <v>-8.4460629234443148E-3</v>
      </c>
      <c r="R149" s="26">
        <f t="shared" si="26"/>
        <v>-5.6563483341206446E-3</v>
      </c>
      <c r="S149" s="26">
        <f t="shared" si="27"/>
        <v>3.6553313624117477E-3</v>
      </c>
      <c r="T149" s="26">
        <f t="shared" si="28"/>
        <v>1.1422184615389911E-2</v>
      </c>
      <c r="U149" s="26">
        <f t="shared" si="29"/>
        <v>0.25397787597217497</v>
      </c>
      <c r="V149" s="26">
        <f t="shared" si="30"/>
        <v>3.8142287095110194E-2</v>
      </c>
      <c r="W149" s="26">
        <f t="shared" si="31"/>
        <v>1.0434179162549791E-2</v>
      </c>
      <c r="X149" s="26">
        <f t="shared" si="32"/>
        <v>-3.354099969951569E-2</v>
      </c>
    </row>
    <row r="150" spans="2:24" x14ac:dyDescent="0.2">
      <c r="B150" s="8">
        <f>+'Simulation and  VaR'!B163/'Simulation and  VaR'!B162-1</f>
        <v>-3.1979749630194343E-3</v>
      </c>
      <c r="C150" s="8">
        <f>+'Simulation and  VaR'!C163/'Simulation and  VaR'!C162-1</f>
        <v>4.0041624393997832E-2</v>
      </c>
      <c r="D150" s="8">
        <f>+'Simulation and  VaR'!D163/'Simulation and  VaR'!D162-1</f>
        <v>3.2558139534883734E-2</v>
      </c>
      <c r="E150" s="8">
        <f>+'Simulation and  VaR'!E163/'Simulation and  VaR'!E162-1</f>
        <v>3.6738351254480328E-2</v>
      </c>
      <c r="F150" s="8">
        <f>+'Simulation and  VaR'!F163/'Simulation and  VaR'!F162-1</f>
        <v>3.6617262423713992E-2</v>
      </c>
      <c r="G150" s="8">
        <f>+'Simulation and  VaR'!G163/'Simulation and  VaR'!G162-1</f>
        <v>2.9826014913007404E-2</v>
      </c>
      <c r="H150" s="8">
        <f>+'Simulation and  VaR'!H163/'Simulation and  VaR'!H162-1</f>
        <v>5.7619268179712746E-2</v>
      </c>
      <c r="I150" s="8">
        <f>+'Simulation and  VaR'!I163/'Simulation and  VaR'!I162-1</f>
        <v>0.23456344608839341</v>
      </c>
      <c r="J150" s="8">
        <f>+'Simulation and  VaR'!J163/'Simulation and  VaR'!J162-1</f>
        <v>0</v>
      </c>
      <c r="K150" s="8">
        <f>+'Simulation and  VaR'!K163/'Simulation and  VaR'!K162-1</f>
        <v>2.1725412422248125E-2</v>
      </c>
      <c r="L150" s="8">
        <f>+'Simulation and  VaR'!L163/'Simulation and  VaR'!L162-1</f>
        <v>-4.0364529149847783E-3</v>
      </c>
      <c r="N150" s="26">
        <f t="shared" si="22"/>
        <v>-7.7188994554444872E-3</v>
      </c>
      <c r="O150" s="26">
        <f t="shared" si="23"/>
        <v>3.7524854375421239E-2</v>
      </c>
      <c r="P150" s="26">
        <f t="shared" si="24"/>
        <v>3.0265931211432791E-2</v>
      </c>
      <c r="Q150" s="26">
        <f t="shared" si="25"/>
        <v>3.4525591981971013E-2</v>
      </c>
      <c r="R150" s="26">
        <f t="shared" si="26"/>
        <v>3.4436153012269217E-2</v>
      </c>
      <c r="S150" s="26">
        <f t="shared" si="27"/>
        <v>2.7648012942085794E-2</v>
      </c>
      <c r="T150" s="26">
        <f t="shared" si="28"/>
        <v>5.2275888134652337E-2</v>
      </c>
      <c r="U150" s="26">
        <f t="shared" si="29"/>
        <v>0.22216167995935604</v>
      </c>
      <c r="V150" s="26">
        <f t="shared" si="30"/>
        <v>-1.0229205971642284E-2</v>
      </c>
      <c r="W150" s="26">
        <f t="shared" si="31"/>
        <v>2.3292327704119539E-2</v>
      </c>
      <c r="X150" s="26">
        <f t="shared" si="32"/>
        <v>-5.1221780122907195E-4</v>
      </c>
    </row>
    <row r="151" spans="2:24" x14ac:dyDescent="0.2">
      <c r="B151" s="8">
        <f>+'Simulation and  VaR'!B164/'Simulation and  VaR'!B163-1</f>
        <v>7.3951832367902481E-2</v>
      </c>
      <c r="C151" s="8">
        <f>+'Simulation and  VaR'!C164/'Simulation and  VaR'!C163-1</f>
        <v>0.14913276382157736</v>
      </c>
      <c r="D151" s="8">
        <f>+'Simulation and  VaR'!D164/'Simulation and  VaR'!D163-1</f>
        <v>0.11621621621621636</v>
      </c>
      <c r="E151" s="8">
        <f>+'Simulation and  VaR'!E164/'Simulation and  VaR'!E163-1</f>
        <v>0.101123595505618</v>
      </c>
      <c r="F151" s="8">
        <f>+'Simulation and  VaR'!F164/'Simulation and  VaR'!F163-1</f>
        <v>9.3355761143818272E-2</v>
      </c>
      <c r="G151" s="8">
        <f>+'Simulation and  VaR'!G164/'Simulation and  VaR'!G163-1</f>
        <v>9.2518101367658812E-2</v>
      </c>
      <c r="H151" s="8">
        <f>+'Simulation and  VaR'!H164/'Simulation and  VaR'!H163-1</f>
        <v>-4.3794341771042911E-3</v>
      </c>
      <c r="I151" s="8">
        <f>+'Simulation and  VaR'!I164/'Simulation and  VaR'!I163-1</f>
        <v>-1.4615159766772856E-2</v>
      </c>
      <c r="J151" s="8">
        <f>+'Simulation and  VaR'!J164/'Simulation and  VaR'!J163-1</f>
        <v>0.13841894801599519</v>
      </c>
      <c r="K151" s="8">
        <f>+'Simulation and  VaR'!K164/'Simulation and  VaR'!K163-1</f>
        <v>2.7792482795130358E-3</v>
      </c>
      <c r="L151" s="8">
        <f>+'Simulation and  VaR'!L164/'Simulation and  VaR'!L163-1</f>
        <v>5.1474889278850133E-2</v>
      </c>
      <c r="N151" s="26">
        <f t="shared" si="22"/>
        <v>6.9430907875477427E-2</v>
      </c>
      <c r="O151" s="26">
        <f t="shared" si="23"/>
        <v>0.14661599380300078</v>
      </c>
      <c r="P151" s="26">
        <f t="shared" si="24"/>
        <v>0.11392400789276541</v>
      </c>
      <c r="Q151" s="26">
        <f t="shared" si="25"/>
        <v>9.8910836233108687E-2</v>
      </c>
      <c r="R151" s="26">
        <f t="shared" si="26"/>
        <v>9.1174651732373505E-2</v>
      </c>
      <c r="S151" s="26">
        <f t="shared" si="27"/>
        <v>9.0340099396737206E-2</v>
      </c>
      <c r="T151" s="26">
        <f t="shared" si="28"/>
        <v>-9.7228142221646961E-3</v>
      </c>
      <c r="U151" s="26">
        <f t="shared" si="29"/>
        <v>-2.7016925895810236E-2</v>
      </c>
      <c r="V151" s="26">
        <f t="shared" si="30"/>
        <v>0.12818974204435291</v>
      </c>
      <c r="W151" s="26">
        <f t="shared" si="31"/>
        <v>4.3461635613844503E-3</v>
      </c>
      <c r="X151" s="26">
        <f t="shared" si="32"/>
        <v>5.499912439260584E-2</v>
      </c>
    </row>
    <row r="152" spans="2:24" x14ac:dyDescent="0.2">
      <c r="B152" s="8">
        <f>+'Simulation and  VaR'!B165/'Simulation and  VaR'!B164-1</f>
        <v>0.18934901231203916</v>
      </c>
      <c r="C152" s="8">
        <f>+'Simulation and  VaR'!C165/'Simulation and  VaR'!C164-1</f>
        <v>2.6906869831200941E-2</v>
      </c>
      <c r="D152" s="8">
        <f>+'Simulation and  VaR'!D165/'Simulation and  VaR'!D164-1</f>
        <v>4.6811945117029907E-2</v>
      </c>
      <c r="E152" s="8">
        <f>+'Simulation and  VaR'!E165/'Simulation and  VaR'!E164-1</f>
        <v>6.1224489795918213E-2</v>
      </c>
      <c r="F152" s="8">
        <f>+'Simulation and  VaR'!F165/'Simulation and  VaR'!F164-1</f>
        <v>7.5384615384615383E-2</v>
      </c>
      <c r="G152" s="8">
        <f>+'Simulation and  VaR'!G165/'Simulation and  VaR'!G164-1</f>
        <v>6.4801178203240051E-2</v>
      </c>
      <c r="H152" s="8">
        <f>+'Simulation and  VaR'!H165/'Simulation and  VaR'!H164-1</f>
        <v>-0.10178587138207085</v>
      </c>
      <c r="I152" s="8">
        <f>+'Simulation and  VaR'!I165/'Simulation and  VaR'!I164-1</f>
        <v>-0.21311142683174344</v>
      </c>
      <c r="J152" s="8">
        <f>+'Simulation and  VaR'!J165/'Simulation and  VaR'!J164-1</f>
        <v>2.7019724398811062E-2</v>
      </c>
      <c r="K152" s="8">
        <f>+'Simulation and  VaR'!K165/'Simulation and  VaR'!K164-1</f>
        <v>-4.9711847257049913E-2</v>
      </c>
      <c r="L152" s="8">
        <f>+'Simulation and  VaR'!L165/'Simulation and  VaR'!L164-1</f>
        <v>-6.7551458316776891E-3</v>
      </c>
      <c r="N152" s="26">
        <f t="shared" si="22"/>
        <v>0.1848280878196141</v>
      </c>
      <c r="O152" s="26">
        <f t="shared" si="23"/>
        <v>2.4390099812624348E-2</v>
      </c>
      <c r="P152" s="26">
        <f t="shared" si="24"/>
        <v>4.4519736793578964E-2</v>
      </c>
      <c r="Q152" s="26">
        <f t="shared" si="25"/>
        <v>5.9011730523408898E-2</v>
      </c>
      <c r="R152" s="26">
        <f t="shared" si="26"/>
        <v>7.3203505973170616E-2</v>
      </c>
      <c r="S152" s="26">
        <f t="shared" si="27"/>
        <v>6.2623176232318445E-2</v>
      </c>
      <c r="T152" s="26">
        <f t="shared" si="28"/>
        <v>-0.10712925142713126</v>
      </c>
      <c r="U152" s="26">
        <f t="shared" si="29"/>
        <v>-0.22551319296078082</v>
      </c>
      <c r="V152" s="26">
        <f t="shared" si="30"/>
        <v>1.6790518427168777E-2</v>
      </c>
      <c r="W152" s="26">
        <f t="shared" si="31"/>
        <v>-4.8144931975178495E-2</v>
      </c>
      <c r="X152" s="26">
        <f t="shared" si="32"/>
        <v>-3.2309107179219827E-3</v>
      </c>
    </row>
    <row r="153" spans="2:24" x14ac:dyDescent="0.2">
      <c r="B153" s="8">
        <f>+'Simulation and  VaR'!B166/'Simulation and  VaR'!B165-1</f>
        <v>-0.13550877357367608</v>
      </c>
      <c r="C153" s="8">
        <f>+'Simulation and  VaR'!C166/'Simulation and  VaR'!C165-1</f>
        <v>-9.9985071275248361E-2</v>
      </c>
      <c r="D153" s="8">
        <f>+'Simulation and  VaR'!D166/'Simulation and  VaR'!D165-1</f>
        <v>-7.0932922127987741E-2</v>
      </c>
      <c r="E153" s="8">
        <f>+'Simulation and  VaR'!E166/'Simulation and  VaR'!E165-1</f>
        <v>-3.3284023668639029E-2</v>
      </c>
      <c r="F153" s="8">
        <f>+'Simulation and  VaR'!F166/'Simulation and  VaR'!F165-1</f>
        <v>-3.0042918454935563E-2</v>
      </c>
      <c r="G153" s="8">
        <f>+'Simulation and  VaR'!G166/'Simulation and  VaR'!G165-1</f>
        <v>-1.7980636237897585E-2</v>
      </c>
      <c r="H153" s="8">
        <f>+'Simulation and  VaR'!H166/'Simulation and  VaR'!H165-1</f>
        <v>4.1136141038197849E-2</v>
      </c>
      <c r="I153" s="8">
        <f>+'Simulation and  VaR'!I166/'Simulation and  VaR'!I165-1</f>
        <v>2.0832919981746301E-2</v>
      </c>
      <c r="J153" s="8">
        <f>+'Simulation and  VaR'!J166/'Simulation and  VaR'!J165-1</f>
        <v>3.946329913180735E-2</v>
      </c>
      <c r="K153" s="8">
        <f>+'Simulation and  VaR'!K166/'Simulation and  VaR'!K165-1</f>
        <v>4.5599740752742868E-2</v>
      </c>
      <c r="L153" s="8">
        <f>+'Simulation and  VaR'!L166/'Simulation and  VaR'!L165-1</f>
        <v>-4.2406785085613685E-2</v>
      </c>
      <c r="N153" s="26">
        <f t="shared" si="22"/>
        <v>-0.14002969806610113</v>
      </c>
      <c r="O153" s="26">
        <f t="shared" si="23"/>
        <v>-0.10250184129382496</v>
      </c>
      <c r="P153" s="26">
        <f t="shared" si="24"/>
        <v>-7.3225130451438691E-2</v>
      </c>
      <c r="Q153" s="26">
        <f t="shared" si="25"/>
        <v>-3.5496782941148344E-2</v>
      </c>
      <c r="R153" s="26">
        <f t="shared" si="26"/>
        <v>-3.2224027866380338E-2</v>
      </c>
      <c r="S153" s="26">
        <f t="shared" si="27"/>
        <v>-2.0158638208819194E-2</v>
      </c>
      <c r="T153" s="26">
        <f t="shared" si="28"/>
        <v>3.579276099313744E-2</v>
      </c>
      <c r="U153" s="26">
        <f t="shared" si="29"/>
        <v>8.4311538527089211E-3</v>
      </c>
      <c r="V153" s="26">
        <f t="shared" si="30"/>
        <v>2.9234093160165064E-2</v>
      </c>
      <c r="W153" s="26">
        <f t="shared" si="31"/>
        <v>4.7166656034614285E-2</v>
      </c>
      <c r="X153" s="26">
        <f t="shared" si="32"/>
        <v>-3.8882549971857978E-2</v>
      </c>
    </row>
    <row r="154" spans="2:24" x14ac:dyDescent="0.2">
      <c r="B154" s="8">
        <f>+'Simulation and  VaR'!B167/'Simulation and  VaR'!B166-1</f>
        <v>-0.35793697931966517</v>
      </c>
      <c r="C154" s="8">
        <f>+'Simulation and  VaR'!C167/'Simulation and  VaR'!C166-1</f>
        <v>-0.11250259175453547</v>
      </c>
      <c r="D154" s="8">
        <f>+'Simulation and  VaR'!D167/'Simulation and  VaR'!D166-1</f>
        <v>-8.7136929460580825E-2</v>
      </c>
      <c r="E154" s="8">
        <f>+'Simulation and  VaR'!E167/'Simulation and  VaR'!E166-1</f>
        <v>-8.7987758224942647E-2</v>
      </c>
      <c r="F154" s="8">
        <f>+'Simulation and  VaR'!F167/'Simulation and  VaR'!F166-1</f>
        <v>-8.8495575221238965E-2</v>
      </c>
      <c r="G154" s="8">
        <f>+'Simulation and  VaR'!G167/'Simulation and  VaR'!G166-1</f>
        <v>-7.1830985915492973E-2</v>
      </c>
      <c r="H154" s="8">
        <f>+'Simulation and  VaR'!H167/'Simulation and  VaR'!H166-1</f>
        <v>4.6566321730949989E-2</v>
      </c>
      <c r="I154" s="8">
        <f>+'Simulation and  VaR'!I167/'Simulation and  VaR'!I166-1</f>
        <v>4.081553322578757E-2</v>
      </c>
      <c r="J154" s="8">
        <f>+'Simulation and  VaR'!J167/'Simulation and  VaR'!J166-1</f>
        <v>0</v>
      </c>
      <c r="K154" s="8">
        <f>+'Simulation and  VaR'!K167/'Simulation and  VaR'!K166-1</f>
        <v>3.7191180377224908E-2</v>
      </c>
      <c r="L154" s="8">
        <f>+'Simulation and  VaR'!L167/'Simulation and  VaR'!L166-1</f>
        <v>-6.8307152406417049E-2</v>
      </c>
      <c r="N154" s="26">
        <f t="shared" si="22"/>
        <v>-0.3624579038120902</v>
      </c>
      <c r="O154" s="26">
        <f t="shared" si="23"/>
        <v>-0.11501936177311207</v>
      </c>
      <c r="P154" s="26">
        <f t="shared" si="24"/>
        <v>-8.9429137784031776E-2</v>
      </c>
      <c r="Q154" s="26">
        <f t="shared" si="25"/>
        <v>-9.0200517497451962E-2</v>
      </c>
      <c r="R154" s="26">
        <f t="shared" si="26"/>
        <v>-9.0676684632683732E-2</v>
      </c>
      <c r="S154" s="26">
        <f t="shared" si="27"/>
        <v>-7.4008987886414579E-2</v>
      </c>
      <c r="T154" s="26">
        <f t="shared" si="28"/>
        <v>4.122294168588958E-2</v>
      </c>
      <c r="U154" s="26">
        <f t="shared" si="29"/>
        <v>2.8413767096750191E-2</v>
      </c>
      <c r="V154" s="26">
        <f t="shared" si="30"/>
        <v>-1.0229205971642284E-2</v>
      </c>
      <c r="W154" s="26">
        <f t="shared" si="31"/>
        <v>3.8758095659096325E-2</v>
      </c>
      <c r="X154" s="26">
        <f t="shared" si="32"/>
        <v>-6.4782917292661349E-2</v>
      </c>
    </row>
    <row r="155" spans="2:24" x14ac:dyDescent="0.2">
      <c r="B155" s="8">
        <f>+'Simulation and  VaR'!B168/'Simulation and  VaR'!B167-1</f>
        <v>-0.17823794684481598</v>
      </c>
      <c r="C155" s="8">
        <f>+'Simulation and  VaR'!C168/'Simulation and  VaR'!C167-1</f>
        <v>-3.9575740581443863E-2</v>
      </c>
      <c r="D155" s="8">
        <f>+'Simulation and  VaR'!D168/'Simulation and  VaR'!D167-1</f>
        <v>-3.7272727272727235E-2</v>
      </c>
      <c r="E155" s="8">
        <f>+'Simulation and  VaR'!E168/'Simulation and  VaR'!E167-1</f>
        <v>-4.3624161073825496E-2</v>
      </c>
      <c r="F155" s="8">
        <f>+'Simulation and  VaR'!F168/'Simulation and  VaR'!F167-1</f>
        <v>-3.7216828478964348E-2</v>
      </c>
      <c r="G155" s="8">
        <f>+'Simulation and  VaR'!G168/'Simulation and  VaR'!G167-1</f>
        <v>-3.4901365705614529E-2</v>
      </c>
      <c r="H155" s="8">
        <f>+'Simulation and  VaR'!H168/'Simulation and  VaR'!H167-1</f>
        <v>2.6966292134831482E-2</v>
      </c>
      <c r="I155" s="8">
        <f>+'Simulation and  VaR'!I168/'Simulation and  VaR'!I167-1</f>
        <v>0.21661593621034148</v>
      </c>
      <c r="J155" s="8">
        <f>+'Simulation and  VaR'!J168/'Simulation and  VaR'!J167-1</f>
        <v>0</v>
      </c>
      <c r="K155" s="8">
        <f>+'Simulation and  VaR'!K168/'Simulation and  VaR'!K167-1</f>
        <v>5.5493895671476778E-3</v>
      </c>
      <c r="L155" s="8">
        <f>+'Simulation and  VaR'!L168/'Simulation and  VaR'!L167-1</f>
        <v>-1.3900721940720118E-2</v>
      </c>
      <c r="N155" s="26">
        <f t="shared" si="22"/>
        <v>-0.18275887133724103</v>
      </c>
      <c r="O155" s="26">
        <f t="shared" si="23"/>
        <v>-4.2092510600020457E-2</v>
      </c>
      <c r="P155" s="26">
        <f t="shared" si="24"/>
        <v>-3.9564935596178179E-2</v>
      </c>
      <c r="Q155" s="26">
        <f t="shared" si="25"/>
        <v>-4.5836920346334811E-2</v>
      </c>
      <c r="R155" s="26">
        <f t="shared" si="26"/>
        <v>-3.9397937890409122E-2</v>
      </c>
      <c r="S155" s="26">
        <f t="shared" si="27"/>
        <v>-3.7079367676536135E-2</v>
      </c>
      <c r="T155" s="26">
        <f t="shared" si="28"/>
        <v>2.1622912089771077E-2</v>
      </c>
      <c r="U155" s="26">
        <f t="shared" si="29"/>
        <v>0.2042141700813041</v>
      </c>
      <c r="V155" s="26">
        <f t="shared" si="30"/>
        <v>-1.0229205971642284E-2</v>
      </c>
      <c r="W155" s="26">
        <f t="shared" si="31"/>
        <v>7.1163048490190924E-3</v>
      </c>
      <c r="X155" s="26">
        <f t="shared" si="32"/>
        <v>-1.0376486826964411E-2</v>
      </c>
    </row>
    <row r="156" spans="2:24" x14ac:dyDescent="0.2">
      <c r="B156" s="8">
        <f>+'Simulation and  VaR'!B169/'Simulation and  VaR'!B168-1</f>
        <v>0.14138308828991253</v>
      </c>
      <c r="C156" s="8">
        <f>+'Simulation and  VaR'!C169/'Simulation and  VaR'!C168-1</f>
        <v>4.7979920819238409E-2</v>
      </c>
      <c r="D156" s="8">
        <f>+'Simulation and  VaR'!D169/'Simulation and  VaR'!D168-1</f>
        <v>4.6270066100094542E-2</v>
      </c>
      <c r="E156" s="8">
        <f>+'Simulation and  VaR'!E169/'Simulation and  VaR'!E168-1</f>
        <v>3.5087719298245723E-3</v>
      </c>
      <c r="F156" s="8">
        <f>+'Simulation and  VaR'!F169/'Simulation and  VaR'!F168-1</f>
        <v>5.0420168067226712E-3</v>
      </c>
      <c r="G156" s="8">
        <f>+'Simulation and  VaR'!G169/'Simulation and  VaR'!G168-1</f>
        <v>-4.7169811320755262E-3</v>
      </c>
      <c r="H156" s="8">
        <f>+'Simulation and  VaR'!H169/'Simulation and  VaR'!H168-1</f>
        <v>6.5032822757111752E-2</v>
      </c>
      <c r="I156" s="8">
        <f>+'Simulation and  VaR'!I169/'Simulation and  VaR'!I168-1</f>
        <v>-5.2662276864514634E-2</v>
      </c>
      <c r="J156" s="8">
        <f>+'Simulation and  VaR'!J169/'Simulation and  VaR'!J168-1</f>
        <v>0</v>
      </c>
      <c r="K156" s="8">
        <f>+'Simulation and  VaR'!K169/'Simulation and  VaR'!K168-1</f>
        <v>-5.5187637969095205E-3</v>
      </c>
      <c r="L156" s="8">
        <f>+'Simulation and  VaR'!L169/'Simulation and  VaR'!L168-1</f>
        <v>3.4104861079532478E-2</v>
      </c>
      <c r="N156" s="26">
        <f t="shared" si="22"/>
        <v>0.13686216379748747</v>
      </c>
      <c r="O156" s="26">
        <f t="shared" si="23"/>
        <v>4.5463150800661815E-2</v>
      </c>
      <c r="P156" s="26">
        <f t="shared" si="24"/>
        <v>4.3977857776643599E-2</v>
      </c>
      <c r="Q156" s="26">
        <f t="shared" si="25"/>
        <v>1.2960126573152539E-3</v>
      </c>
      <c r="R156" s="26">
        <f t="shared" si="26"/>
        <v>2.8609073952778979E-3</v>
      </c>
      <c r="S156" s="26">
        <f t="shared" si="27"/>
        <v>-6.8949831029971355E-3</v>
      </c>
      <c r="T156" s="26">
        <f t="shared" si="28"/>
        <v>5.9689442712051344E-2</v>
      </c>
      <c r="U156" s="26">
        <f t="shared" si="29"/>
        <v>-6.5064042993552007E-2</v>
      </c>
      <c r="V156" s="26">
        <f t="shared" si="30"/>
        <v>-1.0229205971642284E-2</v>
      </c>
      <c r="W156" s="26">
        <f t="shared" si="31"/>
        <v>-3.9518485150381059E-3</v>
      </c>
      <c r="X156" s="26">
        <f t="shared" si="32"/>
        <v>3.7629096193288185E-2</v>
      </c>
    </row>
    <row r="157" spans="2:24" x14ac:dyDescent="0.2">
      <c r="B157" s="8">
        <f>+'Simulation and  VaR'!B170/'Simulation and  VaR'!B169-1</f>
        <v>0.13632254499316065</v>
      </c>
      <c r="C157" s="8">
        <f>+'Simulation and  VaR'!C170/'Simulation and  VaR'!C169-1</f>
        <v>8.327161237492775E-2</v>
      </c>
      <c r="D157" s="8">
        <f>+'Simulation and  VaR'!D170/'Simulation and  VaR'!D169-1</f>
        <v>5.1444043321299704E-2</v>
      </c>
      <c r="E157" s="8">
        <f>+'Simulation and  VaR'!E170/'Simulation and  VaR'!E169-1</f>
        <v>5.7692307692307709E-2</v>
      </c>
      <c r="F157" s="8">
        <f>+'Simulation and  VaR'!F170/'Simulation and  VaR'!F169-1</f>
        <v>4.0969899665551868E-2</v>
      </c>
      <c r="G157" s="8">
        <f>+'Simulation and  VaR'!G170/'Simulation and  VaR'!G169-1</f>
        <v>3.9494470774091628E-2</v>
      </c>
      <c r="H157" s="8">
        <f>+'Simulation and  VaR'!H170/'Simulation and  VaR'!H169-1</f>
        <v>5.8349769888230707E-3</v>
      </c>
      <c r="I157" s="8">
        <f>+'Simulation and  VaR'!I170/'Simulation and  VaR'!I169-1</f>
        <v>2.4805573558003724E-2</v>
      </c>
      <c r="J157" s="8">
        <f>+'Simulation and  VaR'!J170/'Simulation and  VaR'!J169-1</f>
        <v>-3.796507213363709E-2</v>
      </c>
      <c r="K157" s="8">
        <f>+'Simulation and  VaR'!K170/'Simulation and  VaR'!K169-1</f>
        <v>2.2837872449415153E-2</v>
      </c>
      <c r="L157" s="8">
        <f>+'Simulation and  VaR'!L170/'Simulation and  VaR'!L169-1</f>
        <v>-3.6497955235038071E-2</v>
      </c>
      <c r="N157" s="26">
        <f t="shared" si="22"/>
        <v>0.1318016205007356</v>
      </c>
      <c r="O157" s="26">
        <f t="shared" si="23"/>
        <v>8.075484235635115E-2</v>
      </c>
      <c r="P157" s="26">
        <f t="shared" si="24"/>
        <v>4.915183499784876E-2</v>
      </c>
      <c r="Q157" s="26">
        <f t="shared" si="25"/>
        <v>5.5479548419798394E-2</v>
      </c>
      <c r="R157" s="26">
        <f t="shared" si="26"/>
        <v>3.8788790254107093E-2</v>
      </c>
      <c r="S157" s="26">
        <f t="shared" si="27"/>
        <v>3.7316468803170022E-2</v>
      </c>
      <c r="T157" s="26">
        <f t="shared" si="28"/>
        <v>4.9159694376266563E-4</v>
      </c>
      <c r="U157" s="26">
        <f t="shared" si="29"/>
        <v>1.2403807428966344E-2</v>
      </c>
      <c r="V157" s="26">
        <f t="shared" si="30"/>
        <v>-4.8194278105279376E-2</v>
      </c>
      <c r="W157" s="26">
        <f t="shared" si="31"/>
        <v>2.4404787731286567E-2</v>
      </c>
      <c r="X157" s="26">
        <f t="shared" si="32"/>
        <v>-3.2973720121282364E-2</v>
      </c>
    </row>
    <row r="158" spans="2:24" x14ac:dyDescent="0.2">
      <c r="B158" s="8">
        <f>+'Simulation and  VaR'!B171/'Simulation and  VaR'!B170-1</f>
        <v>0.1281114431968311</v>
      </c>
      <c r="C158" s="8">
        <f>+'Simulation and  VaR'!C171/'Simulation and  VaR'!C170-1</f>
        <v>3.6597385903693214E-2</v>
      </c>
      <c r="D158" s="8">
        <f>+'Simulation and  VaR'!D171/'Simulation and  VaR'!D170-1</f>
        <v>3.2618025751072866E-2</v>
      </c>
      <c r="E158" s="8">
        <f>+'Simulation and  VaR'!E171/'Simulation and  VaR'!E170-1</f>
        <v>3.5537190082644665E-2</v>
      </c>
      <c r="F158" s="8">
        <f>+'Simulation and  VaR'!F171/'Simulation and  VaR'!F170-1</f>
        <v>4.2570281124498122E-2</v>
      </c>
      <c r="G158" s="8">
        <f>+'Simulation and  VaR'!G171/'Simulation and  VaR'!G170-1</f>
        <v>4.1793313069908633E-2</v>
      </c>
      <c r="H158" s="8">
        <f>+'Simulation and  VaR'!H171/'Simulation and  VaR'!H170-1</f>
        <v>2.5165454694010991E-2</v>
      </c>
      <c r="I158" s="8">
        <f>+'Simulation and  VaR'!I171/'Simulation and  VaR'!I170-1</f>
        <v>6.0078101531991557E-2</v>
      </c>
      <c r="J158" s="8">
        <f>+'Simulation and  VaR'!J171/'Simulation and  VaR'!J170-1</f>
        <v>-5.2617732175743281E-2</v>
      </c>
      <c r="K158" s="8">
        <f>+'Simulation and  VaR'!K171/'Simulation and  VaR'!K170-1</f>
        <v>-3.7561036684612414E-3</v>
      </c>
      <c r="L158" s="8">
        <f>+'Simulation and  VaR'!L171/'Simulation and  VaR'!L170-1</f>
        <v>-3.765232075213365E-2</v>
      </c>
      <c r="N158" s="26">
        <f t="shared" si="22"/>
        <v>0.12359051870440604</v>
      </c>
      <c r="O158" s="26">
        <f t="shared" si="23"/>
        <v>3.408061588511662E-2</v>
      </c>
      <c r="P158" s="26">
        <f t="shared" si="24"/>
        <v>3.0325817427621922E-2</v>
      </c>
      <c r="Q158" s="26">
        <f t="shared" si="25"/>
        <v>3.332443081013535E-2</v>
      </c>
      <c r="R158" s="26">
        <f t="shared" si="26"/>
        <v>4.0389171713053347E-2</v>
      </c>
      <c r="S158" s="26">
        <f t="shared" si="27"/>
        <v>3.9615311098987027E-2</v>
      </c>
      <c r="T158" s="26">
        <f t="shared" si="28"/>
        <v>1.9822074648950586E-2</v>
      </c>
      <c r="U158" s="26">
        <f t="shared" si="29"/>
        <v>4.7676335402954177E-2</v>
      </c>
      <c r="V158" s="26">
        <f t="shared" si="30"/>
        <v>-6.2846938147385567E-2</v>
      </c>
      <c r="W158" s="26">
        <f t="shared" si="31"/>
        <v>-2.1891883865898269E-3</v>
      </c>
      <c r="X158" s="26">
        <f t="shared" si="32"/>
        <v>-3.4128085638377943E-2</v>
      </c>
    </row>
    <row r="159" spans="2:24" x14ac:dyDescent="0.2">
      <c r="B159" s="8">
        <f>+'Simulation and  VaR'!B172/'Simulation and  VaR'!B171-1</f>
        <v>0.13516249885166043</v>
      </c>
      <c r="C159" s="8">
        <f>+'Simulation and  VaR'!C172/'Simulation and  VaR'!C171-1</f>
        <v>2.107832634479756E-2</v>
      </c>
      <c r="D159" s="8">
        <f>+'Simulation and  VaR'!D172/'Simulation and  VaR'!D171-1</f>
        <v>2.4106400665004246E-2</v>
      </c>
      <c r="E159" s="8">
        <f>+'Simulation and  VaR'!E172/'Simulation and  VaR'!E171-1</f>
        <v>1.276935355147657E-2</v>
      </c>
      <c r="F159" s="8">
        <f>+'Simulation and  VaR'!F172/'Simulation and  VaR'!F171-1</f>
        <v>6.1633281972264253E-3</v>
      </c>
      <c r="G159" s="8">
        <f>+'Simulation and  VaR'!G172/'Simulation and  VaR'!G171-1</f>
        <v>3.8657913931436916E-2</v>
      </c>
      <c r="H159" s="8">
        <f>+'Simulation and  VaR'!H172/'Simulation and  VaR'!H171-1</f>
        <v>1.6019765681039244E-2</v>
      </c>
      <c r="I159" s="8">
        <f>+'Simulation and  VaR'!I172/'Simulation and  VaR'!I171-1</f>
        <v>-6.1147484750413872E-2</v>
      </c>
      <c r="J159" s="8">
        <f>+'Simulation and  VaR'!J172/'Simulation and  VaR'!J171-1</f>
        <v>0</v>
      </c>
      <c r="K159" s="8">
        <f>+'Simulation and  VaR'!K172/'Simulation and  VaR'!K171-1</f>
        <v>2.0736458464245322E-2</v>
      </c>
      <c r="L159" s="8">
        <f>+'Simulation and  VaR'!L172/'Simulation and  VaR'!L171-1</f>
        <v>9.484966328370259E-4</v>
      </c>
      <c r="N159" s="26">
        <f t="shared" si="22"/>
        <v>0.13064157435923537</v>
      </c>
      <c r="O159" s="26">
        <f t="shared" si="23"/>
        <v>1.8561556326220967E-2</v>
      </c>
      <c r="P159" s="26">
        <f t="shared" si="24"/>
        <v>2.1814192341553303E-2</v>
      </c>
      <c r="Q159" s="26">
        <f t="shared" si="25"/>
        <v>1.0556594278967251E-2</v>
      </c>
      <c r="R159" s="26">
        <f t="shared" si="26"/>
        <v>3.9822187857816525E-3</v>
      </c>
      <c r="S159" s="26">
        <f t="shared" si="27"/>
        <v>3.647991196051531E-2</v>
      </c>
      <c r="T159" s="26">
        <f t="shared" si="28"/>
        <v>1.0676385635978839E-2</v>
      </c>
      <c r="U159" s="26">
        <f t="shared" si="29"/>
        <v>-7.3549250879451245E-2</v>
      </c>
      <c r="V159" s="26">
        <f t="shared" si="30"/>
        <v>-1.0229205971642284E-2</v>
      </c>
      <c r="W159" s="26">
        <f t="shared" si="31"/>
        <v>2.2303373746116736E-2</v>
      </c>
      <c r="X159" s="26">
        <f t="shared" si="32"/>
        <v>4.4727317465927327E-3</v>
      </c>
    </row>
    <row r="160" spans="2:24" x14ac:dyDescent="0.2">
      <c r="B160" s="8">
        <f>+'Simulation and  VaR'!B173/'Simulation and  VaR'!B172-1</f>
        <v>0.1876511687868736</v>
      </c>
      <c r="C160" s="8">
        <f>+'Simulation and  VaR'!C173/'Simulation and  VaR'!C172-1</f>
        <v>7.9356635409124854E-2</v>
      </c>
      <c r="D160" s="8">
        <f>+'Simulation and  VaR'!D173/'Simulation and  VaR'!D172-1</f>
        <v>5.3571428571428603E-2</v>
      </c>
      <c r="E160" s="8">
        <f>+'Simulation and  VaR'!E173/'Simulation and  VaR'!E172-1</f>
        <v>5.2009456264775489E-2</v>
      </c>
      <c r="F160" s="8">
        <f>+'Simulation and  VaR'!F173/'Simulation and  VaR'!F172-1</f>
        <v>4.1347626339969246E-2</v>
      </c>
      <c r="G160" s="8">
        <f>+'Simulation and  VaR'!G173/'Simulation and  VaR'!G172-1</f>
        <v>2.8792134831460592E-2</v>
      </c>
      <c r="H160" s="8">
        <f>+'Simulation and  VaR'!H173/'Simulation and  VaR'!H172-1</f>
        <v>0.1023689990586758</v>
      </c>
      <c r="I160" s="8">
        <f>+'Simulation and  VaR'!I173/'Simulation and  VaR'!I172-1</f>
        <v>-1.1119759813188024E-2</v>
      </c>
      <c r="J160" s="8">
        <f>+'Simulation and  VaR'!J173/'Simulation and  VaR'!J172-1</f>
        <v>0</v>
      </c>
      <c r="K160" s="8">
        <f>+'Simulation and  VaR'!K173/'Simulation and  VaR'!K172-1</f>
        <v>-3.2422227694328232E-2</v>
      </c>
      <c r="L160" s="8">
        <f>+'Simulation and  VaR'!L173/'Simulation and  VaR'!L172-1</f>
        <v>2.6295840045484686E-2</v>
      </c>
      <c r="N160" s="26">
        <f t="shared" si="22"/>
        <v>0.18313024429444855</v>
      </c>
      <c r="O160" s="26">
        <f t="shared" si="23"/>
        <v>7.6839865390548254E-2</v>
      </c>
      <c r="P160" s="26">
        <f t="shared" si="24"/>
        <v>5.127922024797766E-2</v>
      </c>
      <c r="Q160" s="26">
        <f t="shared" si="25"/>
        <v>4.9796696992266173E-2</v>
      </c>
      <c r="R160" s="26">
        <f t="shared" si="26"/>
        <v>3.9166516928524471E-2</v>
      </c>
      <c r="S160" s="26">
        <f t="shared" si="27"/>
        <v>2.6614132860538983E-2</v>
      </c>
      <c r="T160" s="26">
        <f t="shared" si="28"/>
        <v>9.7025619013615394E-2</v>
      </c>
      <c r="U160" s="26">
        <f t="shared" si="29"/>
        <v>-2.3521525942225403E-2</v>
      </c>
      <c r="V160" s="26">
        <f t="shared" si="30"/>
        <v>-1.0229205971642284E-2</v>
      </c>
      <c r="W160" s="26">
        <f t="shared" si="31"/>
        <v>-3.0855312412456818E-2</v>
      </c>
      <c r="X160" s="26">
        <f t="shared" si="32"/>
        <v>2.9820075159240393E-2</v>
      </c>
    </row>
    <row r="161" spans="2:24" x14ac:dyDescent="0.2">
      <c r="B161" s="8">
        <f>+'Simulation and  VaR'!B174/'Simulation and  VaR'!B173-1</f>
        <v>0.13388208402182422</v>
      </c>
      <c r="C161" s="8">
        <f>+'Simulation and  VaR'!C174/'Simulation and  VaR'!C173-1</f>
        <v>1.2555235881615001E-2</v>
      </c>
      <c r="D161" s="8">
        <f>+'Simulation and  VaR'!D174/'Simulation and  VaR'!D173-1</f>
        <v>1.8489984591679498E-2</v>
      </c>
      <c r="E161" s="8">
        <f>+'Simulation and  VaR'!E174/'Simulation and  VaR'!E173-1</f>
        <v>3.2958801498127244E-2</v>
      </c>
      <c r="F161" s="8">
        <f>+'Simulation and  VaR'!F174/'Simulation and  VaR'!F173-1</f>
        <v>3.2352941176470473E-2</v>
      </c>
      <c r="G161" s="8">
        <f>+'Simulation and  VaR'!G174/'Simulation and  VaR'!G173-1</f>
        <v>3.4129692832764569E-2</v>
      </c>
      <c r="H161" s="8">
        <f>+'Simulation and  VaR'!H174/'Simulation and  VaR'!H173-1</f>
        <v>-3.3871771152067298E-2</v>
      </c>
      <c r="I161" s="8">
        <f>+'Simulation and  VaR'!I174/'Simulation and  VaR'!I173-1</f>
        <v>-5.3011196607283373E-2</v>
      </c>
      <c r="J161" s="8">
        <f>+'Simulation and  VaR'!J174/'Simulation and  VaR'!J173-1</f>
        <v>2.7770063871146888E-2</v>
      </c>
      <c r="K161" s="8">
        <f>+'Simulation and  VaR'!K174/'Simulation and  VaR'!K173-1</f>
        <v>1.3361045130641402E-2</v>
      </c>
      <c r="L161" s="8">
        <f>+'Simulation and  VaR'!L174/'Simulation and  VaR'!L173-1</f>
        <v>-6.2323992428789055E-2</v>
      </c>
      <c r="N161" s="26">
        <f t="shared" si="22"/>
        <v>0.12936115952939917</v>
      </c>
      <c r="O161" s="26">
        <f t="shared" si="23"/>
        <v>1.0038465863038408E-2</v>
      </c>
      <c r="P161" s="26">
        <f t="shared" si="24"/>
        <v>1.6197776268228554E-2</v>
      </c>
      <c r="Q161" s="26">
        <f t="shared" si="25"/>
        <v>3.0746042225617925E-2</v>
      </c>
      <c r="R161" s="26">
        <f t="shared" si="26"/>
        <v>3.0171831765025699E-2</v>
      </c>
      <c r="S161" s="26">
        <f t="shared" si="27"/>
        <v>3.1951690861842963E-2</v>
      </c>
      <c r="T161" s="26">
        <f t="shared" si="28"/>
        <v>-3.9215151197127707E-2</v>
      </c>
      <c r="U161" s="26">
        <f t="shared" si="29"/>
        <v>-6.5412962736320746E-2</v>
      </c>
      <c r="V161" s="26">
        <f t="shared" si="30"/>
        <v>1.7540857899504603E-2</v>
      </c>
      <c r="W161" s="26">
        <f t="shared" si="31"/>
        <v>1.4927960412512816E-2</v>
      </c>
      <c r="X161" s="26">
        <f t="shared" si="32"/>
        <v>-5.8799757315033348E-2</v>
      </c>
    </row>
    <row r="162" spans="2:24" x14ac:dyDescent="0.2">
      <c r="B162" s="8">
        <f>+'Simulation and  VaR'!B175/'Simulation and  VaR'!B174-1</f>
        <v>-3.1765083801343241E-2</v>
      </c>
      <c r="C162" s="8">
        <f>+'Simulation and  VaR'!C175/'Simulation and  VaR'!C174-1</f>
        <v>-2.1434380879082338E-2</v>
      </c>
      <c r="D162" s="8">
        <f>+'Simulation and  VaR'!D175/'Simulation and  VaR'!D174-1</f>
        <v>-3.0257186081694476E-2</v>
      </c>
      <c r="E162" s="8">
        <f>+'Simulation and  VaR'!E175/'Simulation and  VaR'!E174-1</f>
        <v>-1.8854242204496052E-2</v>
      </c>
      <c r="F162" s="8">
        <f>+'Simulation and  VaR'!F175/'Simulation and  VaR'!F174-1</f>
        <v>-1.4245014245014231E-2</v>
      </c>
      <c r="G162" s="8">
        <f>+'Simulation and  VaR'!G175/'Simulation and  VaR'!G174-1</f>
        <v>-7.2607260726073042E-3</v>
      </c>
      <c r="H162" s="8">
        <f>+'Simulation and  VaR'!H175/'Simulation and  VaR'!H174-1</f>
        <v>-4.5739117625395731E-2</v>
      </c>
      <c r="I162" s="8">
        <f>+'Simulation and  VaR'!I175/'Simulation and  VaR'!I174-1</f>
        <v>-0.14079489745721019</v>
      </c>
      <c r="J162" s="8">
        <f>+'Simulation and  VaR'!J175/'Simulation and  VaR'!J174-1</f>
        <v>2.7019724398811062E-2</v>
      </c>
      <c r="K162" s="8">
        <f>+'Simulation and  VaR'!K175/'Simulation and  VaR'!K174-1</f>
        <v>-9.8363400443681748E-3</v>
      </c>
      <c r="L162" s="8">
        <f>+'Simulation and  VaR'!L175/'Simulation and  VaR'!L174-1</f>
        <v>1.7724385800797604E-2</v>
      </c>
      <c r="N162" s="26">
        <f t="shared" si="22"/>
        <v>-3.6286008293768296E-2</v>
      </c>
      <c r="O162" s="26">
        <f t="shared" si="23"/>
        <v>-2.3951150897658931E-2</v>
      </c>
      <c r="P162" s="26">
        <f t="shared" si="24"/>
        <v>-3.254939440514542E-2</v>
      </c>
      <c r="Q162" s="26">
        <f t="shared" si="25"/>
        <v>-2.1067001477005371E-2</v>
      </c>
      <c r="R162" s="26">
        <f t="shared" si="26"/>
        <v>-1.6426123656459006E-2</v>
      </c>
      <c r="S162" s="26">
        <f t="shared" si="27"/>
        <v>-9.4387280435289135E-3</v>
      </c>
      <c r="T162" s="26">
        <f t="shared" si="28"/>
        <v>-5.108249767045614E-2</v>
      </c>
      <c r="U162" s="26">
        <f t="shared" si="29"/>
        <v>-0.15319666358624756</v>
      </c>
      <c r="V162" s="26">
        <f t="shared" si="30"/>
        <v>1.6790518427168777E-2</v>
      </c>
      <c r="W162" s="26">
        <f t="shared" si="31"/>
        <v>-8.2694247624967611E-3</v>
      </c>
      <c r="X162" s="26">
        <f t="shared" si="32"/>
        <v>2.1248620914553311E-2</v>
      </c>
    </row>
    <row r="163" spans="2:24" x14ac:dyDescent="0.2">
      <c r="B163" s="8">
        <f>+'Simulation and  VaR'!B176/'Simulation and  VaR'!B175-1</f>
        <v>-1.6187033762953829E-2</v>
      </c>
      <c r="C163" s="8">
        <f>+'Simulation and  VaR'!C176/'Simulation and  VaR'!C175-1</f>
        <v>4.9757082459457314E-2</v>
      </c>
      <c r="D163" s="8">
        <f>+'Simulation and  VaR'!D176/'Simulation and  VaR'!D175-1</f>
        <v>4.2121684867394649E-2</v>
      </c>
      <c r="E163" s="8">
        <f>+'Simulation and  VaR'!E176/'Simulation and  VaR'!E175-1</f>
        <v>2.7346637102734661E-2</v>
      </c>
      <c r="F163" s="8">
        <f>+'Simulation and  VaR'!F176/'Simulation and  VaR'!F175-1</f>
        <v>3.1791907514450823E-2</v>
      </c>
      <c r="G163" s="8">
        <f>+'Simulation and  VaR'!G176/'Simulation and  VaR'!G175-1</f>
        <v>2.2606382978723305E-2</v>
      </c>
      <c r="H163" s="8">
        <f>+'Simulation and  VaR'!H176/'Simulation and  VaR'!H175-1</f>
        <v>1.3275702377276932E-2</v>
      </c>
      <c r="I163" s="8">
        <f>+'Simulation and  VaR'!I176/'Simulation and  VaR'!I175-1</f>
        <v>-3.1588714931590656E-2</v>
      </c>
      <c r="J163" s="8">
        <f>+'Simulation and  VaR'!J176/'Simulation and  VaR'!J175-1</f>
        <v>0</v>
      </c>
      <c r="K163" s="8">
        <f>+'Simulation and  VaR'!K176/'Simulation and  VaR'!K175-1</f>
        <v>-6.8270206290159008E-2</v>
      </c>
      <c r="L163" s="8">
        <f>+'Simulation and  VaR'!L176/'Simulation and  VaR'!L175-1</f>
        <v>1.4513085965845773E-2</v>
      </c>
      <c r="N163" s="26">
        <f t="shared" si="22"/>
        <v>-2.0707958255378883E-2</v>
      </c>
      <c r="O163" s="26">
        <f t="shared" si="23"/>
        <v>4.724031244088072E-2</v>
      </c>
      <c r="P163" s="26">
        <f t="shared" si="24"/>
        <v>3.9829476543943705E-2</v>
      </c>
      <c r="Q163" s="26">
        <f t="shared" si="25"/>
        <v>2.5133877830225342E-2</v>
      </c>
      <c r="R163" s="26">
        <f t="shared" si="26"/>
        <v>2.9610798103006049E-2</v>
      </c>
      <c r="S163" s="26">
        <f t="shared" si="27"/>
        <v>2.0428381007801696E-2</v>
      </c>
      <c r="T163" s="26">
        <f t="shared" si="28"/>
        <v>7.9323223322165272E-3</v>
      </c>
      <c r="U163" s="26">
        <f t="shared" si="29"/>
        <v>-4.3990481060628035E-2</v>
      </c>
      <c r="V163" s="26">
        <f t="shared" si="30"/>
        <v>-1.0229205971642284E-2</v>
      </c>
      <c r="W163" s="26">
        <f t="shared" si="31"/>
        <v>-6.6703291008287591E-2</v>
      </c>
      <c r="X163" s="26">
        <f t="shared" si="32"/>
        <v>1.803732107960148E-2</v>
      </c>
    </row>
    <row r="164" spans="2:24" x14ac:dyDescent="0.2">
      <c r="B164" s="8">
        <f>+'Simulation and  VaR'!B177/'Simulation and  VaR'!B176-1</f>
        <v>-9.9857815897000268E-2</v>
      </c>
      <c r="C164" s="8">
        <f>+'Simulation and  VaR'!C177/'Simulation and  VaR'!C176-1</f>
        <v>-5.9476454333307061E-3</v>
      </c>
      <c r="D164" s="8">
        <f>+'Simulation and  VaR'!D177/'Simulation and  VaR'!D176-1</f>
        <v>-1.4970059880239361E-3</v>
      </c>
      <c r="E164" s="8">
        <f>+'Simulation and  VaR'!E177/'Simulation and  VaR'!E176-1</f>
        <v>7.1942446043160579E-4</v>
      </c>
      <c r="F164" s="8">
        <f>+'Simulation and  VaR'!F177/'Simulation and  VaR'!F176-1</f>
        <v>1.4005602240896531E-2</v>
      </c>
      <c r="G164" s="8">
        <f>+'Simulation and  VaR'!G177/'Simulation and  VaR'!G176-1</f>
        <v>-1.9505851755525772E-3</v>
      </c>
      <c r="H164" s="8">
        <f>+'Simulation and  VaR'!H177/'Simulation and  VaR'!H176-1</f>
        <v>3.6029859841560041E-2</v>
      </c>
      <c r="I164" s="8">
        <f>+'Simulation and  VaR'!I177/'Simulation and  VaR'!I176-1</f>
        <v>3.4657805141587339E-2</v>
      </c>
      <c r="J164" s="8">
        <f>+'Simulation and  VaR'!J177/'Simulation and  VaR'!J176-1</f>
        <v>0</v>
      </c>
      <c r="K164" s="8">
        <f>+'Simulation and  VaR'!K177/'Simulation and  VaR'!K176-1</f>
        <v>1.2930447801823952E-2</v>
      </c>
      <c r="L164" s="8">
        <f>+'Simulation and  VaR'!L177/'Simulation and  VaR'!L176-1</f>
        <v>7.3911592198752096E-3</v>
      </c>
      <c r="N164" s="26">
        <f t="shared" si="22"/>
        <v>-0.10437874038942532</v>
      </c>
      <c r="O164" s="26">
        <f t="shared" si="23"/>
        <v>-8.4644154519072992E-3</v>
      </c>
      <c r="P164" s="26">
        <f t="shared" si="24"/>
        <v>-3.7892143114748801E-3</v>
      </c>
      <c r="Q164" s="26">
        <f t="shared" si="25"/>
        <v>-1.4933348120777126E-3</v>
      </c>
      <c r="R164" s="26">
        <f t="shared" si="26"/>
        <v>1.1824492829451758E-2</v>
      </c>
      <c r="S164" s="26">
        <f t="shared" si="27"/>
        <v>-4.1285871464741865E-3</v>
      </c>
      <c r="T164" s="26">
        <f t="shared" si="28"/>
        <v>3.0686479796499636E-2</v>
      </c>
      <c r="U164" s="26">
        <f t="shared" si="29"/>
        <v>2.2256039012549959E-2</v>
      </c>
      <c r="V164" s="26">
        <f t="shared" si="30"/>
        <v>-1.0229205971642284E-2</v>
      </c>
      <c r="W164" s="26">
        <f t="shared" si="31"/>
        <v>1.4497363083695366E-2</v>
      </c>
      <c r="X164" s="26">
        <f t="shared" si="32"/>
        <v>1.0915394333630916E-2</v>
      </c>
    </row>
    <row r="165" spans="2:24" x14ac:dyDescent="0.2">
      <c r="B165" s="8">
        <f>+'Simulation and  VaR'!B178/'Simulation and  VaR'!B177-1</f>
        <v>2.5793614084240302E-2</v>
      </c>
      <c r="C165" s="8">
        <f>+'Simulation and  VaR'!C178/'Simulation and  VaR'!C177-1</f>
        <v>4.2939099676915893E-2</v>
      </c>
      <c r="D165" s="8">
        <f>+'Simulation and  VaR'!D178/'Simulation and  VaR'!D177-1</f>
        <v>4.1229385307346433E-2</v>
      </c>
      <c r="E165" s="8">
        <f>+'Simulation and  VaR'!E178/'Simulation and  VaR'!E177-1</f>
        <v>3.5226455787203514E-2</v>
      </c>
      <c r="F165" s="8">
        <f>+'Simulation and  VaR'!F178/'Simulation and  VaR'!F177-1</f>
        <v>2.4171270718231996E-2</v>
      </c>
      <c r="G165" s="8">
        <f>+'Simulation and  VaR'!G178/'Simulation and  VaR'!G177-1</f>
        <v>1.4332247557003353E-2</v>
      </c>
      <c r="H165" s="8">
        <f>+'Simulation and  VaR'!H178/'Simulation and  VaR'!H177-1</f>
        <v>-2.3013013748989009E-2</v>
      </c>
      <c r="I165" s="8">
        <f>+'Simulation and  VaR'!I178/'Simulation and  VaR'!I177-1</f>
        <v>-5.0245315363244059E-2</v>
      </c>
      <c r="J165" s="8">
        <f>+'Simulation and  VaR'!J178/'Simulation and  VaR'!J177-1</f>
        <v>0</v>
      </c>
      <c r="K165" s="8">
        <f>+'Simulation and  VaR'!K178/'Simulation and  VaR'!K177-1</f>
        <v>-4.1655468959957087E-2</v>
      </c>
      <c r="L165" s="8">
        <f>+'Simulation and  VaR'!L178/'Simulation and  VaR'!L177-1</f>
        <v>2.1442771939789829E-2</v>
      </c>
      <c r="N165" s="26">
        <f t="shared" si="22"/>
        <v>2.1272689591815247E-2</v>
      </c>
      <c r="O165" s="26">
        <f t="shared" si="23"/>
        <v>4.04223296583393E-2</v>
      </c>
      <c r="P165" s="26">
        <f t="shared" si="24"/>
        <v>3.893717698389549E-2</v>
      </c>
      <c r="Q165" s="26">
        <f t="shared" si="25"/>
        <v>3.3013696514694199E-2</v>
      </c>
      <c r="R165" s="26">
        <f t="shared" si="26"/>
        <v>2.1990161306787222E-2</v>
      </c>
      <c r="S165" s="26">
        <f t="shared" si="27"/>
        <v>1.2154245586081743E-2</v>
      </c>
      <c r="T165" s="26">
        <f t="shared" si="28"/>
        <v>-2.8356393794049414E-2</v>
      </c>
      <c r="U165" s="26">
        <f t="shared" si="29"/>
        <v>-6.2647081492281431E-2</v>
      </c>
      <c r="V165" s="26">
        <f t="shared" si="30"/>
        <v>-1.0229205971642284E-2</v>
      </c>
      <c r="W165" s="26">
        <f t="shared" si="31"/>
        <v>-4.008855367808567E-2</v>
      </c>
      <c r="X165" s="26">
        <f t="shared" si="32"/>
        <v>2.4967007053545535E-2</v>
      </c>
    </row>
    <row r="166" spans="2:24" x14ac:dyDescent="0.2">
      <c r="B166" s="8">
        <f>+'Simulation and  VaR'!B179/'Simulation and  VaR'!B178-1</f>
        <v>0.19874048225643692</v>
      </c>
      <c r="C166" s="8">
        <f>+'Simulation and  VaR'!C179/'Simulation and  VaR'!C178-1</f>
        <v>3.0788228740610712E-2</v>
      </c>
      <c r="D166" s="8">
        <f>+'Simulation and  VaR'!D179/'Simulation and  VaR'!D178-1</f>
        <v>3.1677465802735671E-2</v>
      </c>
      <c r="E166" s="8">
        <f>+'Simulation and  VaR'!E179/'Simulation and  VaR'!E178-1</f>
        <v>3.4027777777777768E-2</v>
      </c>
      <c r="F166" s="8">
        <f>+'Simulation and  VaR'!F179/'Simulation and  VaR'!F178-1</f>
        <v>4.1132838840188812E-2</v>
      </c>
      <c r="G166" s="8">
        <f>+'Simulation and  VaR'!G179/'Simulation and  VaR'!G178-1</f>
        <v>2.5048169556840083E-2</v>
      </c>
      <c r="H166" s="8">
        <f>+'Simulation and  VaR'!H179/'Simulation and  VaR'!H178-1</f>
        <v>-2.1071643588199684E-3</v>
      </c>
      <c r="I166" s="8">
        <f>+'Simulation and  VaR'!I179/'Simulation and  VaR'!I178-1</f>
        <v>-5.1866143855936464E-3</v>
      </c>
      <c r="J166" s="8">
        <f>+'Simulation and  VaR'!J179/'Simulation and  VaR'!J178-1</f>
        <v>0</v>
      </c>
      <c r="K166" s="8">
        <f>+'Simulation and  VaR'!K179/'Simulation and  VaR'!K178-1</f>
        <v>-3.2482707048046344E-2</v>
      </c>
      <c r="L166" s="8">
        <f>+'Simulation and  VaR'!L179/'Simulation and  VaR'!L178-1</f>
        <v>3.7629176514203611E-2</v>
      </c>
      <c r="N166" s="26">
        <f t="shared" si="22"/>
        <v>0.19421955776401187</v>
      </c>
      <c r="O166" s="26">
        <f t="shared" si="23"/>
        <v>2.8271458722034119E-2</v>
      </c>
      <c r="P166" s="26">
        <f t="shared" si="24"/>
        <v>2.9385257479284728E-2</v>
      </c>
      <c r="Q166" s="26">
        <f t="shared" si="25"/>
        <v>3.1815018505268453E-2</v>
      </c>
      <c r="R166" s="26">
        <f t="shared" si="26"/>
        <v>3.8951729428744038E-2</v>
      </c>
      <c r="S166" s="26">
        <f t="shared" si="27"/>
        <v>2.2870167585918474E-2</v>
      </c>
      <c r="T166" s="26">
        <f t="shared" si="28"/>
        <v>-7.4505444038803735E-3</v>
      </c>
      <c r="U166" s="26">
        <f t="shared" si="29"/>
        <v>-1.7588380514631026E-2</v>
      </c>
      <c r="V166" s="26">
        <f t="shared" si="30"/>
        <v>-1.0229205971642284E-2</v>
      </c>
      <c r="W166" s="26">
        <f t="shared" si="31"/>
        <v>-3.0915791766174931E-2</v>
      </c>
      <c r="X166" s="26">
        <f t="shared" si="32"/>
        <v>4.1153411627959317E-2</v>
      </c>
    </row>
    <row r="167" spans="2:24" x14ac:dyDescent="0.2">
      <c r="B167" s="8">
        <f>+'Simulation and  VaR'!B180/'Simulation and  VaR'!B179-1</f>
        <v>-9.9931566222703161E-2</v>
      </c>
      <c r="C167" s="8">
        <f>+'Simulation and  VaR'!C180/'Simulation and  VaR'!C179-1</f>
        <v>-4.4555826844305924E-2</v>
      </c>
      <c r="D167" s="8">
        <f>+'Simulation and  VaR'!D180/'Simulation and  VaR'!D179-1</f>
        <v>-3.9776692254012591E-2</v>
      </c>
      <c r="E167" s="8">
        <f>+'Simulation and  VaR'!E180/'Simulation and  VaR'!E179-1</f>
        <v>-3.156480859637345E-2</v>
      </c>
      <c r="F167" s="8">
        <f>+'Simulation and  VaR'!F180/'Simulation and  VaR'!F179-1</f>
        <v>-2.2668393782383389E-2</v>
      </c>
      <c r="G167" s="8">
        <f>+'Simulation and  VaR'!G180/'Simulation and  VaR'!G179-1</f>
        <v>-9.3984962406014061E-3</v>
      </c>
      <c r="H167" s="8">
        <f>+'Simulation and  VaR'!H180/'Simulation and  VaR'!H179-1</f>
        <v>-1.0407239819004488E-2</v>
      </c>
      <c r="I167" s="8">
        <f>+'Simulation and  VaR'!I180/'Simulation and  VaR'!I179-1</f>
        <v>-0.108444036620717</v>
      </c>
      <c r="J167" s="8">
        <f>+'Simulation and  VaR'!J180/'Simulation and  VaR'!J179-1</f>
        <v>-5.2617732175743281E-2</v>
      </c>
      <c r="K167" s="8">
        <f>+'Simulation and  VaR'!K180/'Simulation and  VaR'!K179-1</f>
        <v>-6.7629583111927016E-2</v>
      </c>
      <c r="L167" s="8">
        <f>+'Simulation and  VaR'!L180/'Simulation and  VaR'!L179-1</f>
        <v>1.3174936358358202E-2</v>
      </c>
      <c r="N167" s="26">
        <f t="shared" si="22"/>
        <v>-0.10445249071512822</v>
      </c>
      <c r="O167" s="26">
        <f t="shared" si="23"/>
        <v>-4.7072596862882517E-2</v>
      </c>
      <c r="P167" s="26">
        <f t="shared" si="24"/>
        <v>-4.2068900577463535E-2</v>
      </c>
      <c r="Q167" s="26">
        <f t="shared" si="25"/>
        <v>-3.3777567868882766E-2</v>
      </c>
      <c r="R167" s="26">
        <f t="shared" si="26"/>
        <v>-2.4849503193828164E-2</v>
      </c>
      <c r="S167" s="26">
        <f t="shared" si="27"/>
        <v>-1.1576498211523015E-2</v>
      </c>
      <c r="T167" s="26">
        <f t="shared" si="28"/>
        <v>-1.5750619864064893E-2</v>
      </c>
      <c r="U167" s="26">
        <f t="shared" si="29"/>
        <v>-0.12084580274975437</v>
      </c>
      <c r="V167" s="26">
        <f t="shared" si="30"/>
        <v>-6.2846938147385567E-2</v>
      </c>
      <c r="W167" s="26">
        <f t="shared" si="31"/>
        <v>-6.6062667830055599E-2</v>
      </c>
      <c r="X167" s="26">
        <f t="shared" si="32"/>
        <v>1.6699171472113909E-2</v>
      </c>
    </row>
    <row r="168" spans="2:24" x14ac:dyDescent="0.2">
      <c r="B168" s="8">
        <f>+'Simulation and  VaR'!B181/'Simulation and  VaR'!B180-1</f>
        <v>1.4909913744728165E-2</v>
      </c>
      <c r="C168" s="8">
        <f>+'Simulation and  VaR'!C181/'Simulation and  VaR'!C180-1</f>
        <v>5.9977748562867195E-2</v>
      </c>
      <c r="D168" s="8">
        <f>+'Simulation and  VaR'!D181/'Simulation and  VaR'!D180-1</f>
        <v>4.5784883720930258E-2</v>
      </c>
      <c r="E168" s="8">
        <f>+'Simulation and  VaR'!E181/'Simulation and  VaR'!E180-1</f>
        <v>2.6352288488210807E-2</v>
      </c>
      <c r="F168" s="8">
        <f>+'Simulation and  VaR'!F181/'Simulation and  VaR'!F180-1</f>
        <v>1.8555334658714395E-2</v>
      </c>
      <c r="G168" s="8">
        <f>+'Simulation and  VaR'!G181/'Simulation and  VaR'!G180-1</f>
        <v>2.3402909550917395E-2</v>
      </c>
      <c r="H168" s="8">
        <f>+'Simulation and  VaR'!H181/'Simulation and  VaR'!H180-1</f>
        <v>-2.2100289590003541E-3</v>
      </c>
      <c r="I168" s="8">
        <f>+'Simulation and  VaR'!I181/'Simulation and  VaR'!I180-1</f>
        <v>-5.0291221257982244E-2</v>
      </c>
      <c r="J168" s="8">
        <f>+'Simulation and  VaR'!J181/'Simulation and  VaR'!J180-1</f>
        <v>0</v>
      </c>
      <c r="K168" s="8">
        <f>+'Simulation and  VaR'!K181/'Simulation and  VaR'!K180-1</f>
        <v>-4.6629708305269135E-2</v>
      </c>
      <c r="L168" s="8">
        <f>+'Simulation and  VaR'!L181/'Simulation and  VaR'!L180-1</f>
        <v>5.972846689588307E-2</v>
      </c>
      <c r="N168" s="26">
        <f t="shared" si="22"/>
        <v>1.0388989252303112E-2</v>
      </c>
      <c r="O168" s="26">
        <f t="shared" si="23"/>
        <v>5.7460978544290602E-2</v>
      </c>
      <c r="P168" s="26">
        <f t="shared" si="24"/>
        <v>4.3492675397479315E-2</v>
      </c>
      <c r="Q168" s="26">
        <f t="shared" si="25"/>
        <v>2.4139529215701488E-2</v>
      </c>
      <c r="R168" s="26">
        <f t="shared" si="26"/>
        <v>1.6374225247269621E-2</v>
      </c>
      <c r="S168" s="26">
        <f t="shared" si="27"/>
        <v>2.1224907579995785E-2</v>
      </c>
      <c r="T168" s="26">
        <f t="shared" si="28"/>
        <v>-7.5534090040607592E-3</v>
      </c>
      <c r="U168" s="26">
        <f t="shared" si="29"/>
        <v>-6.2692987387019616E-2</v>
      </c>
      <c r="V168" s="26">
        <f t="shared" si="30"/>
        <v>-1.0229205971642284E-2</v>
      </c>
      <c r="W168" s="26">
        <f t="shared" si="31"/>
        <v>-4.5062793023397718E-2</v>
      </c>
      <c r="X168" s="26">
        <f t="shared" si="32"/>
        <v>6.325270200963877E-2</v>
      </c>
    </row>
    <row r="169" spans="2:24" x14ac:dyDescent="0.2">
      <c r="B169" s="8">
        <f>+'Simulation and  VaR'!B182/'Simulation and  VaR'!B181-1</f>
        <v>3.8920910142866694E-2</v>
      </c>
      <c r="C169" s="8">
        <f>+'Simulation and  VaR'!C182/'Simulation and  VaR'!C181-1</f>
        <v>4.5919665566180434E-2</v>
      </c>
      <c r="D169" s="8">
        <f>+'Simulation and  VaR'!D182/'Simulation and  VaR'!D181-1</f>
        <v>3.5441278665740095E-2</v>
      </c>
      <c r="E169" s="8">
        <f>+'Simulation and  VaR'!E182/'Simulation and  VaR'!E181-1</f>
        <v>4.2567567567567632E-2</v>
      </c>
      <c r="F169" s="8">
        <f>+'Simulation and  VaR'!F182/'Simulation and  VaR'!F181-1</f>
        <v>2.6024723487312995E-2</v>
      </c>
      <c r="G169" s="8">
        <f>+'Simulation and  VaR'!G182/'Simulation and  VaR'!G181-1</f>
        <v>1.0506798516687121E-2</v>
      </c>
      <c r="H169" s="8">
        <f>+'Simulation and  VaR'!H182/'Simulation and  VaR'!H181-1</f>
        <v>-6.2094248835255272E-2</v>
      </c>
      <c r="I169" s="8">
        <f>+'Simulation and  VaR'!I182/'Simulation and  VaR'!I181-1</f>
        <v>5.1722863968867827E-2</v>
      </c>
      <c r="J169" s="8">
        <f>+'Simulation and  VaR'!J182/'Simulation and  VaR'!J181-1</f>
        <v>0</v>
      </c>
      <c r="K169" s="8">
        <f>+'Simulation and  VaR'!K182/'Simulation and  VaR'!K181-1</f>
        <v>2.7172436280635814E-3</v>
      </c>
      <c r="L169" s="8">
        <f>+'Simulation and  VaR'!L182/'Simulation and  VaR'!L181-1</f>
        <v>-4.1179651428809194E-2</v>
      </c>
      <c r="N169" s="26">
        <f t="shared" si="22"/>
        <v>3.4399985650441639E-2</v>
      </c>
      <c r="O169" s="26">
        <f t="shared" si="23"/>
        <v>4.3402895547603841E-2</v>
      </c>
      <c r="P169" s="26">
        <f t="shared" si="24"/>
        <v>3.3149070342289151E-2</v>
      </c>
      <c r="Q169" s="26">
        <f t="shared" si="25"/>
        <v>4.0354808295058317E-2</v>
      </c>
      <c r="R169" s="26">
        <f t="shared" si="26"/>
        <v>2.3843614075868221E-2</v>
      </c>
      <c r="S169" s="26">
        <f t="shared" si="27"/>
        <v>8.3287965457655121E-3</v>
      </c>
      <c r="T169" s="26">
        <f t="shared" si="28"/>
        <v>-6.7437628880315681E-2</v>
      </c>
      <c r="U169" s="26">
        <f t="shared" si="29"/>
        <v>3.9321097839830448E-2</v>
      </c>
      <c r="V169" s="26">
        <f t="shared" si="30"/>
        <v>-1.0229205971642284E-2</v>
      </c>
      <c r="W169" s="26">
        <f t="shared" si="31"/>
        <v>4.284158909934996E-3</v>
      </c>
      <c r="X169" s="26">
        <f t="shared" si="32"/>
        <v>-3.7655416315053487E-2</v>
      </c>
    </row>
    <row r="170" spans="2:24" x14ac:dyDescent="0.2">
      <c r="B170" s="8">
        <f>+'Simulation and  VaR'!B183/'Simulation and  VaR'!B182-1</f>
        <v>-5.3574749029884239E-2</v>
      </c>
      <c r="C170" s="8">
        <f>+'Simulation and  VaR'!C183/'Simulation and  VaR'!C182-1</f>
        <v>2.5868934986042813E-2</v>
      </c>
      <c r="D170" s="8">
        <f>+'Simulation and  VaR'!D183/'Simulation and  VaR'!D182-1</f>
        <v>4.0268456375838868E-2</v>
      </c>
      <c r="E170" s="8">
        <f>+'Simulation and  VaR'!E183/'Simulation and  VaR'!E182-1</f>
        <v>3.4348671419313082E-2</v>
      </c>
      <c r="F170" s="8">
        <f>+'Simulation and  VaR'!F183/'Simulation and  VaR'!F182-1</f>
        <v>3.8046924540266369E-2</v>
      </c>
      <c r="G170" s="8">
        <f>+'Simulation and  VaR'!G183/'Simulation and  VaR'!G182-1</f>
        <v>3.547400611620799E-2</v>
      </c>
      <c r="H170" s="8">
        <f>+'Simulation and  VaR'!H183/'Simulation and  VaR'!H182-1</f>
        <v>-5.3827361563517861E-2</v>
      </c>
      <c r="I170" s="8">
        <f>+'Simulation and  VaR'!I183/'Simulation and  VaR'!I182-1</f>
        <v>8.1965293552843654E-3</v>
      </c>
      <c r="J170" s="8">
        <f>+'Simulation and  VaR'!J183/'Simulation and  VaR'!J182-1</f>
        <v>0</v>
      </c>
      <c r="K170" s="8">
        <f>+'Simulation and  VaR'!K183/'Simulation and  VaR'!K182-1</f>
        <v>-2.2762993875670601E-2</v>
      </c>
      <c r="L170" s="8">
        <f>+'Simulation and  VaR'!L183/'Simulation and  VaR'!L182-1</f>
        <v>7.8087718537156459E-3</v>
      </c>
      <c r="N170" s="26">
        <f t="shared" si="22"/>
        <v>-5.8095673522309293E-2</v>
      </c>
      <c r="O170" s="26">
        <f t="shared" si="23"/>
        <v>2.335216496746622E-2</v>
      </c>
      <c r="P170" s="26">
        <f t="shared" si="24"/>
        <v>3.7976248052387925E-2</v>
      </c>
      <c r="Q170" s="26">
        <f t="shared" si="25"/>
        <v>3.2135912146803766E-2</v>
      </c>
      <c r="R170" s="26">
        <f t="shared" si="26"/>
        <v>3.5865815128821595E-2</v>
      </c>
      <c r="S170" s="26">
        <f t="shared" si="27"/>
        <v>3.3296004145286384E-2</v>
      </c>
      <c r="T170" s="26">
        <f t="shared" si="28"/>
        <v>-5.917074160857827E-2</v>
      </c>
      <c r="U170" s="26">
        <f t="shared" si="29"/>
        <v>-4.2052367737530141E-3</v>
      </c>
      <c r="V170" s="26">
        <f t="shared" si="30"/>
        <v>-1.0229205971642284E-2</v>
      </c>
      <c r="W170" s="26">
        <f t="shared" si="31"/>
        <v>-2.1196078593799187E-2</v>
      </c>
      <c r="X170" s="26">
        <f t="shared" si="32"/>
        <v>1.1333006967471353E-2</v>
      </c>
    </row>
    <row r="171" spans="2:24" x14ac:dyDescent="0.2">
      <c r="B171" s="8">
        <f>+'Simulation and  VaR'!B184/'Simulation and  VaR'!B183-1</f>
        <v>-8.1715902986377986E-2</v>
      </c>
      <c r="C171" s="8">
        <f>+'Simulation and  VaR'!C184/'Simulation and  VaR'!C183-1</f>
        <v>-1.1459271463166276E-2</v>
      </c>
      <c r="D171" s="8">
        <f>+'Simulation and  VaR'!D184/'Simulation and  VaR'!D183-1</f>
        <v>-5.8064516129031629E-3</v>
      </c>
      <c r="E171" s="8">
        <f>+'Simulation and  VaR'!E184/'Simulation and  VaR'!E183-1</f>
        <v>-8.1453634085212334E-3</v>
      </c>
      <c r="F171" s="8">
        <f>+'Simulation and  VaR'!F184/'Simulation and  VaR'!F183-1</f>
        <v>6.7196090409284981E-3</v>
      </c>
      <c r="G171" s="8">
        <f>+'Simulation and  VaR'!G184/'Simulation and  VaR'!G183-1</f>
        <v>1.1222681630242093E-2</v>
      </c>
      <c r="H171" s="8">
        <f>+'Simulation and  VaR'!H184/'Simulation and  VaR'!H183-1</f>
        <v>4.9143644031327982E-2</v>
      </c>
      <c r="I171" s="8">
        <f>+'Simulation and  VaR'!I184/'Simulation and  VaR'!I183-1</f>
        <v>-5.8070660379549999E-3</v>
      </c>
      <c r="J171" s="8">
        <f>+'Simulation and  VaR'!J184/'Simulation and  VaR'!J183-1</f>
        <v>-2.7770063871146888E-2</v>
      </c>
      <c r="K171" s="8">
        <f>+'Simulation and  VaR'!K184/'Simulation and  VaR'!K183-1</f>
        <v>3.2721424213853822E-2</v>
      </c>
      <c r="L171" s="8">
        <f>+'Simulation and  VaR'!L184/'Simulation and  VaR'!L183-1</f>
        <v>2.1522965003659689E-3</v>
      </c>
      <c r="N171" s="26">
        <f t="shared" si="22"/>
        <v>-8.6236827478803041E-2</v>
      </c>
      <c r="O171" s="26">
        <f t="shared" si="23"/>
        <v>-1.3976041481742869E-2</v>
      </c>
      <c r="P171" s="26">
        <f t="shared" si="24"/>
        <v>-8.0986599363541065E-3</v>
      </c>
      <c r="Q171" s="26">
        <f t="shared" si="25"/>
        <v>-1.0358122681030552E-2</v>
      </c>
      <c r="R171" s="26">
        <f t="shared" si="26"/>
        <v>4.5384996294837252E-3</v>
      </c>
      <c r="S171" s="26">
        <f t="shared" si="27"/>
        <v>9.0446796593204835E-3</v>
      </c>
      <c r="T171" s="26">
        <f t="shared" si="28"/>
        <v>4.3800263986267574E-2</v>
      </c>
      <c r="U171" s="26">
        <f t="shared" si="29"/>
        <v>-1.8208832166992379E-2</v>
      </c>
      <c r="V171" s="26">
        <f t="shared" si="30"/>
        <v>-3.7999269842789174E-2</v>
      </c>
      <c r="W171" s="26">
        <f t="shared" si="31"/>
        <v>3.428833949572524E-2</v>
      </c>
      <c r="X171" s="26">
        <f t="shared" si="32"/>
        <v>5.6765316141216757E-3</v>
      </c>
    </row>
    <row r="172" spans="2:24" x14ac:dyDescent="0.2">
      <c r="B172" s="8">
        <f>+'Simulation and  VaR'!B185/'Simulation and  VaR'!B184-1</f>
        <v>-0.20363097114397966</v>
      </c>
      <c r="C172" s="8">
        <f>+'Simulation and  VaR'!C185/'Simulation and  VaR'!C184-1</f>
        <v>-0.11580066181323334</v>
      </c>
      <c r="D172" s="8">
        <f>+'Simulation and  VaR'!D185/'Simulation and  VaR'!D184-1</f>
        <v>-7.6573653471771586E-2</v>
      </c>
      <c r="E172" s="8">
        <f>+'Simulation and  VaR'!E185/'Simulation and  VaR'!E184-1</f>
        <v>-5.3695514845230607E-2</v>
      </c>
      <c r="F172" s="8">
        <f>+'Simulation and  VaR'!F185/'Simulation and  VaR'!F184-1</f>
        <v>-3.94417475728156E-2</v>
      </c>
      <c r="G172" s="8">
        <f>+'Simulation and  VaR'!G185/'Simulation and  VaR'!G184-1</f>
        <v>-4.2056074766355089E-2</v>
      </c>
      <c r="H172" s="8">
        <f>+'Simulation and  VaR'!H185/'Simulation and  VaR'!H184-1</f>
        <v>3.6587366694011525E-2</v>
      </c>
      <c r="I172" s="8">
        <f>+'Simulation and  VaR'!I185/'Simulation and  VaR'!I184-1</f>
        <v>-4.4391486180229478E-2</v>
      </c>
      <c r="J172" s="8">
        <f>+'Simulation and  VaR'!J185/'Simulation and  VaR'!J184-1</f>
        <v>2.8563267637817802E-2</v>
      </c>
      <c r="K172" s="8">
        <f>+'Simulation and  VaR'!K185/'Simulation and  VaR'!K184-1</f>
        <v>4.9943612050910247E-2</v>
      </c>
      <c r="L172" s="8">
        <f>+'Simulation and  VaR'!L185/'Simulation and  VaR'!L184-1</f>
        <v>-7.9893475366178524E-2</v>
      </c>
      <c r="N172" s="26">
        <f t="shared" si="22"/>
        <v>-0.20815189563640471</v>
      </c>
      <c r="O172" s="26">
        <f t="shared" si="23"/>
        <v>-0.11831743183180994</v>
      </c>
      <c r="P172" s="26">
        <f t="shared" si="24"/>
        <v>-7.8865861795222536E-2</v>
      </c>
      <c r="Q172" s="26">
        <f t="shared" si="25"/>
        <v>-5.5908274117739923E-2</v>
      </c>
      <c r="R172" s="26">
        <f t="shared" si="26"/>
        <v>-4.1622856984260374E-2</v>
      </c>
      <c r="S172" s="26">
        <f t="shared" si="27"/>
        <v>-4.4234076737276695E-2</v>
      </c>
      <c r="T172" s="26">
        <f t="shared" si="28"/>
        <v>3.124398664895112E-2</v>
      </c>
      <c r="U172" s="26">
        <f t="shared" si="29"/>
        <v>-5.6793252309266858E-2</v>
      </c>
      <c r="V172" s="26">
        <f t="shared" si="30"/>
        <v>1.8334061666175516E-2</v>
      </c>
      <c r="W172" s="26">
        <f t="shared" si="31"/>
        <v>5.1510527332781664E-2</v>
      </c>
      <c r="X172" s="26">
        <f t="shared" si="32"/>
        <v>-7.6369240252422824E-2</v>
      </c>
    </row>
    <row r="173" spans="2:24" x14ac:dyDescent="0.2">
      <c r="B173" s="8">
        <f>+'Simulation and  VaR'!B186/'Simulation and  VaR'!B185-1</f>
        <v>-1.1882764404297363E-3</v>
      </c>
      <c r="C173" s="8">
        <f>+'Simulation and  VaR'!C186/'Simulation and  VaR'!C185-1</f>
        <v>2.4753650504599545E-2</v>
      </c>
      <c r="D173" s="8">
        <f>+'Simulation and  VaR'!D186/'Simulation and  VaR'!D185-1</f>
        <v>7.027406886859211E-4</v>
      </c>
      <c r="E173" s="8">
        <f>+'Simulation and  VaR'!E186/'Simulation and  VaR'!E185-1</f>
        <v>2.0026702269693164E-3</v>
      </c>
      <c r="F173" s="8">
        <f>+'Simulation and  VaR'!F186/'Simulation and  VaR'!F185-1</f>
        <v>-4.4219835754896186E-3</v>
      </c>
      <c r="G173" s="8">
        <f>+'Simulation and  VaR'!G186/'Simulation and  VaR'!G185-1</f>
        <v>9.7560975609756184E-3</v>
      </c>
      <c r="H173" s="8">
        <f>+'Simulation and  VaR'!H186/'Simulation and  VaR'!H185-1</f>
        <v>-3.0072807850585637E-2</v>
      </c>
      <c r="I173" s="8">
        <f>+'Simulation and  VaR'!I186/'Simulation and  VaR'!I185-1</f>
        <v>-2.2004351971834479E-2</v>
      </c>
      <c r="J173" s="8">
        <f>+'Simulation and  VaR'!J186/'Simulation and  VaR'!J185-1</f>
        <v>-2.7770063871146888E-2</v>
      </c>
      <c r="K173" s="8">
        <f>+'Simulation and  VaR'!K186/'Simulation and  VaR'!K185-1</f>
        <v>-2.0459311544166581E-2</v>
      </c>
      <c r="L173" s="8">
        <f>+'Simulation and  VaR'!L186/'Simulation and  VaR'!L185-1</f>
        <v>2.6142570374865892E-2</v>
      </c>
      <c r="N173" s="26">
        <f t="shared" si="22"/>
        <v>-5.7092009328547893E-3</v>
      </c>
      <c r="O173" s="26">
        <f t="shared" si="23"/>
        <v>2.2236880486022952E-2</v>
      </c>
      <c r="P173" s="26">
        <f t="shared" si="24"/>
        <v>-1.5894676347650229E-3</v>
      </c>
      <c r="Q173" s="26">
        <f t="shared" si="25"/>
        <v>-2.10089045540002E-4</v>
      </c>
      <c r="R173" s="26">
        <f t="shared" si="26"/>
        <v>-6.6030929869343915E-3</v>
      </c>
      <c r="S173" s="26">
        <f t="shared" si="27"/>
        <v>7.5780955900540091E-3</v>
      </c>
      <c r="T173" s="26">
        <f t="shared" si="28"/>
        <v>-3.5416187895646045E-2</v>
      </c>
      <c r="U173" s="26">
        <f t="shared" si="29"/>
        <v>-3.4406118100871859E-2</v>
      </c>
      <c r="V173" s="26">
        <f t="shared" si="30"/>
        <v>-3.7999269842789174E-2</v>
      </c>
      <c r="W173" s="26">
        <f t="shared" si="31"/>
        <v>-1.8892396262295167E-2</v>
      </c>
      <c r="X173" s="26">
        <f t="shared" si="32"/>
        <v>2.9666805488621599E-2</v>
      </c>
    </row>
    <row r="174" spans="2:24" x14ac:dyDescent="0.2">
      <c r="B174" s="8">
        <f>+'Simulation and  VaR'!B187/'Simulation and  VaR'!B186-1</f>
        <v>0.13598073135964328</v>
      </c>
      <c r="C174" s="8">
        <f>+'Simulation and  VaR'!C187/'Simulation and  VaR'!C186-1</f>
        <v>6.3304209686007473E-2</v>
      </c>
      <c r="D174" s="8">
        <f>+'Simulation and  VaR'!D187/'Simulation and  VaR'!D186-1</f>
        <v>6.6713483146067398E-2</v>
      </c>
      <c r="E174" s="8">
        <f>+'Simulation and  VaR'!E187/'Simulation and  VaR'!E186-1</f>
        <v>4.9966688874083953E-2</v>
      </c>
      <c r="F174" s="8">
        <f>+'Simulation and  VaR'!F187/'Simulation and  VaR'!F186-1</f>
        <v>2.7918781725888575E-2</v>
      </c>
      <c r="G174" s="8">
        <f>+'Simulation and  VaR'!G187/'Simulation and  VaR'!G186-1</f>
        <v>3.3212560386473466E-2</v>
      </c>
      <c r="H174" s="8">
        <f>+'Simulation and  VaR'!H187/'Simulation and  VaR'!H186-1</f>
        <v>-1.7542428198433324E-2</v>
      </c>
      <c r="I174" s="8">
        <f>+'Simulation and  VaR'!I187/'Simulation and  VaR'!I186-1</f>
        <v>-3.2499187520312001E-2</v>
      </c>
      <c r="J174" s="8">
        <f>+'Simulation and  VaR'!J187/'Simulation and  VaR'!J186-1</f>
        <v>0</v>
      </c>
      <c r="K174" s="8">
        <f>+'Simulation and  VaR'!K187/'Simulation and  VaR'!K186-1</f>
        <v>-1.8797973996135919E-2</v>
      </c>
      <c r="L174" s="8">
        <f>+'Simulation and  VaR'!L187/'Simulation and  VaR'!L186-1</f>
        <v>3.8669760247486362E-2</v>
      </c>
      <c r="N174" s="26">
        <f t="shared" si="22"/>
        <v>0.13145980686721823</v>
      </c>
      <c r="O174" s="26">
        <f t="shared" si="23"/>
        <v>6.078743966743088E-2</v>
      </c>
      <c r="P174" s="26">
        <f t="shared" si="24"/>
        <v>6.4421274822616448E-2</v>
      </c>
      <c r="Q174" s="26">
        <f t="shared" si="25"/>
        <v>4.7753929601574638E-2</v>
      </c>
      <c r="R174" s="26">
        <f t="shared" si="26"/>
        <v>2.57376723144438E-2</v>
      </c>
      <c r="S174" s="26">
        <f t="shared" si="27"/>
        <v>3.1034558415551857E-2</v>
      </c>
      <c r="T174" s="26">
        <f t="shared" si="28"/>
        <v>-2.2885808243493729E-2</v>
      </c>
      <c r="U174" s="26">
        <f t="shared" si="29"/>
        <v>-4.490095364934938E-2</v>
      </c>
      <c r="V174" s="26">
        <f t="shared" si="30"/>
        <v>-1.0229205971642284E-2</v>
      </c>
      <c r="W174" s="26">
        <f t="shared" si="31"/>
        <v>-1.7231058714264506E-2</v>
      </c>
      <c r="X174" s="26">
        <f t="shared" si="32"/>
        <v>4.2193995361242069E-2</v>
      </c>
    </row>
    <row r="175" spans="2:24" x14ac:dyDescent="0.2">
      <c r="B175" s="8">
        <f>+'Simulation and  VaR'!B188/'Simulation and  VaR'!B187-1</f>
        <v>0.10153222633993386</v>
      </c>
      <c r="C175" s="8">
        <f>+'Simulation and  VaR'!C188/'Simulation and  VaR'!C187-1</f>
        <v>-1.1534130676526866E-2</v>
      </c>
      <c r="D175" s="8">
        <f>+'Simulation and  VaR'!D188/'Simulation and  VaR'!D187-1</f>
        <v>5.9249506254115403E-3</v>
      </c>
      <c r="E175" s="8">
        <f>+'Simulation and  VaR'!E188/'Simulation and  VaR'!E187-1</f>
        <v>-1.9035532994923221E-3</v>
      </c>
      <c r="F175" s="8">
        <f>+'Simulation and  VaR'!F188/'Simulation and  VaR'!F187-1</f>
        <v>9.8765432098766315E-3</v>
      </c>
      <c r="G175" s="8">
        <f>+'Simulation and  VaR'!G188/'Simulation and  VaR'!G187-1</f>
        <v>4.6756282875510813E-3</v>
      </c>
      <c r="H175" s="8">
        <f>+'Simulation and  VaR'!H188/'Simulation and  VaR'!H187-1</f>
        <v>-6.0543144257121595E-2</v>
      </c>
      <c r="I175" s="8">
        <f>+'Simulation and  VaR'!I188/'Simulation and  VaR'!I187-1</f>
        <v>-6.2013901449574971E-2</v>
      </c>
      <c r="J175" s="8">
        <f>+'Simulation and  VaR'!J188/'Simulation and  VaR'!J187-1</f>
        <v>-2.8563267637817802E-2</v>
      </c>
      <c r="K175" s="8">
        <f>+'Simulation and  VaR'!K188/'Simulation and  VaR'!K187-1</f>
        <v>-3.1398009685487782E-2</v>
      </c>
      <c r="L175" s="8">
        <f>+'Simulation and  VaR'!L188/'Simulation and  VaR'!L187-1</f>
        <v>3.9201086242389716E-2</v>
      </c>
      <c r="N175" s="26">
        <f t="shared" si="22"/>
        <v>9.7011301847508807E-2</v>
      </c>
      <c r="O175" s="26">
        <f t="shared" si="23"/>
        <v>-1.4050900695103459E-2</v>
      </c>
      <c r="P175" s="26">
        <f t="shared" si="24"/>
        <v>3.6327423019605963E-3</v>
      </c>
      <c r="Q175" s="26">
        <f t="shared" si="25"/>
        <v>-4.1163125720016409E-3</v>
      </c>
      <c r="R175" s="26">
        <f t="shared" si="26"/>
        <v>7.6954337984318586E-3</v>
      </c>
      <c r="S175" s="26">
        <f t="shared" si="27"/>
        <v>2.497626316629472E-3</v>
      </c>
      <c r="T175" s="26">
        <f t="shared" si="28"/>
        <v>-6.5886524302182004E-2</v>
      </c>
      <c r="U175" s="26">
        <f t="shared" si="29"/>
        <v>-7.4415667578612343E-2</v>
      </c>
      <c r="V175" s="26">
        <f t="shared" si="30"/>
        <v>-3.8792473609460087E-2</v>
      </c>
      <c r="W175" s="26">
        <f t="shared" si="31"/>
        <v>-2.9831094403616368E-2</v>
      </c>
      <c r="X175" s="26">
        <f t="shared" si="32"/>
        <v>4.2725321356145422E-2</v>
      </c>
    </row>
    <row r="176" spans="2:24" x14ac:dyDescent="0.2">
      <c r="B176" s="8">
        <f>+'Simulation and  VaR'!B189/'Simulation and  VaR'!B188-1</f>
        <v>-6.1579939286272256E-2</v>
      </c>
      <c r="C176" s="8">
        <f>+'Simulation and  VaR'!C189/'Simulation and  VaR'!C188-1</f>
        <v>-3.9087599055452338E-2</v>
      </c>
      <c r="D176" s="8">
        <f>+'Simulation and  VaR'!D189/'Simulation and  VaR'!D188-1</f>
        <v>-4.5157068062827155E-2</v>
      </c>
      <c r="E176" s="8">
        <f>+'Simulation and  VaR'!E189/'Simulation and  VaR'!E188-1</f>
        <v>-3.2422123331214192E-2</v>
      </c>
      <c r="F176" s="8">
        <f>+'Simulation and  VaR'!F189/'Simulation and  VaR'!F188-1</f>
        <v>-1.4058679706601462E-2</v>
      </c>
      <c r="G176" s="8">
        <f>+'Simulation and  VaR'!G189/'Simulation and  VaR'!G188-1</f>
        <v>-2.0942408376963262E-2</v>
      </c>
      <c r="H176" s="8">
        <f>+'Simulation and  VaR'!H189/'Simulation and  VaR'!H188-1</f>
        <v>-1.0166195190947747E-2</v>
      </c>
      <c r="I176" s="8">
        <f>+'Simulation and  VaR'!I189/'Simulation and  VaR'!I188-1</f>
        <v>-0.11845403707886837</v>
      </c>
      <c r="J176" s="8">
        <f>+'Simulation and  VaR'!J189/'Simulation and  VaR'!J188-1</f>
        <v>-7.3507791825933477E-2</v>
      </c>
      <c r="K176" s="8">
        <f>+'Simulation and  VaR'!K189/'Simulation and  VaR'!K188-1</f>
        <v>-2.1427394099225339E-2</v>
      </c>
      <c r="L176" s="8">
        <f>+'Simulation and  VaR'!L189/'Simulation and  VaR'!L188-1</f>
        <v>4.636264014161684E-2</v>
      </c>
      <c r="N176" s="26">
        <f t="shared" si="22"/>
        <v>-6.6100863778697311E-2</v>
      </c>
      <c r="O176" s="26">
        <f t="shared" si="23"/>
        <v>-4.1604369074028931E-2</v>
      </c>
      <c r="P176" s="26">
        <f t="shared" si="24"/>
        <v>-4.7449276386278098E-2</v>
      </c>
      <c r="Q176" s="26">
        <f t="shared" si="25"/>
        <v>-3.4634882603723507E-2</v>
      </c>
      <c r="R176" s="26">
        <f t="shared" si="26"/>
        <v>-1.6239789118046237E-2</v>
      </c>
      <c r="S176" s="26">
        <f t="shared" si="27"/>
        <v>-2.3120410347884871E-2</v>
      </c>
      <c r="T176" s="26">
        <f t="shared" si="28"/>
        <v>-1.5509575236008152E-2</v>
      </c>
      <c r="U176" s="26">
        <f t="shared" si="29"/>
        <v>-0.13085580320790574</v>
      </c>
      <c r="V176" s="26">
        <f t="shared" si="30"/>
        <v>-8.3736997797575763E-2</v>
      </c>
      <c r="W176" s="26">
        <f t="shared" si="31"/>
        <v>-1.9860478817353925E-2</v>
      </c>
      <c r="X176" s="26">
        <f t="shared" si="32"/>
        <v>4.9886875255372547E-2</v>
      </c>
    </row>
    <row r="177" spans="2:24" x14ac:dyDescent="0.2">
      <c r="B177" s="8">
        <f>+'Simulation and  VaR'!B190/'Simulation and  VaR'!B189-1</f>
        <v>2.0697150867838854E-3</v>
      </c>
      <c r="C177" s="8">
        <f>+'Simulation and  VaR'!C190/'Simulation and  VaR'!C189-1</f>
        <v>7.641973482908071E-4</v>
      </c>
      <c r="D177" s="8">
        <f>+'Simulation and  VaR'!D190/'Simulation and  VaR'!D189-1</f>
        <v>-8.2248115147360856E-3</v>
      </c>
      <c r="E177" s="8">
        <f>+'Simulation and  VaR'!E190/'Simulation and  VaR'!E189-1</f>
        <v>-2.036793692509864E-2</v>
      </c>
      <c r="F177" s="8">
        <f>+'Simulation and  VaR'!F190/'Simulation and  VaR'!F189-1</f>
        <v>-1.0539367637941943E-2</v>
      </c>
      <c r="G177" s="8">
        <f>+'Simulation and  VaR'!G190/'Simulation and  VaR'!G189-1</f>
        <v>-2.3767082590611111E-3</v>
      </c>
      <c r="H177" s="8">
        <f>+'Simulation and  VaR'!H190/'Simulation and  VaR'!H189-1</f>
        <v>4.001071715638127E-2</v>
      </c>
      <c r="I177" s="8">
        <f>+'Simulation and  VaR'!I190/'Simulation and  VaR'!I189-1</f>
        <v>0.13124589856566993</v>
      </c>
      <c r="J177" s="8">
        <f>+'Simulation and  VaR'!J190/'Simulation and  VaR'!J189-1</f>
        <v>-0.10472865756902572</v>
      </c>
      <c r="K177" s="8">
        <f>+'Simulation and  VaR'!K190/'Simulation and  VaR'!K189-1</f>
        <v>7.5795856493177105E-3</v>
      </c>
      <c r="L177" s="8">
        <f>+'Simulation and  VaR'!L190/'Simulation and  VaR'!L189-1</f>
        <v>-4.9947635543381996E-2</v>
      </c>
      <c r="N177" s="26">
        <f t="shared" si="22"/>
        <v>-2.4512094056411676E-3</v>
      </c>
      <c r="O177" s="26">
        <f t="shared" si="23"/>
        <v>-1.7525726702857869E-3</v>
      </c>
      <c r="P177" s="26">
        <f t="shared" si="24"/>
        <v>-1.0517019838187029E-2</v>
      </c>
      <c r="Q177" s="26">
        <f t="shared" si="25"/>
        <v>-2.2580696197607959E-2</v>
      </c>
      <c r="R177" s="26">
        <f t="shared" si="26"/>
        <v>-1.2720477049386716E-2</v>
      </c>
      <c r="S177" s="26">
        <f t="shared" si="27"/>
        <v>-4.5547102299827204E-3</v>
      </c>
      <c r="T177" s="26">
        <f t="shared" si="28"/>
        <v>3.4667337111320862E-2</v>
      </c>
      <c r="U177" s="26">
        <f t="shared" si="29"/>
        <v>0.11884413243663255</v>
      </c>
      <c r="V177" s="26">
        <f t="shared" si="30"/>
        <v>-0.114957863540668</v>
      </c>
      <c r="W177" s="26">
        <f t="shared" si="31"/>
        <v>9.1465009311891242E-3</v>
      </c>
      <c r="X177" s="26">
        <f t="shared" si="32"/>
        <v>-4.6423400429626289E-2</v>
      </c>
    </row>
    <row r="178" spans="2:24" x14ac:dyDescent="0.2">
      <c r="B178" s="8">
        <f>+'Simulation and  VaR'!B191/'Simulation and  VaR'!B190-1</f>
        <v>-4.9890824075689455E-2</v>
      </c>
      <c r="C178" s="8">
        <f>+'Simulation and  VaR'!C191/'Simulation and  VaR'!C190-1</f>
        <v>-1.7966177277379924E-2</v>
      </c>
      <c r="D178" s="8">
        <f>+'Simulation and  VaR'!D191/'Simulation and  VaR'!D190-1</f>
        <v>-1.3821700069108545E-2</v>
      </c>
      <c r="E178" s="8">
        <f>+'Simulation and  VaR'!E191/'Simulation and  VaR'!E190-1</f>
        <v>-8.7189805499665596E-3</v>
      </c>
      <c r="F178" s="8">
        <f>+'Simulation and  VaR'!F191/'Simulation and  VaR'!F190-1</f>
        <v>-1.5664160401002492E-2</v>
      </c>
      <c r="G178" s="8">
        <f>+'Simulation and  VaR'!G191/'Simulation and  VaR'!G190-1</f>
        <v>-8.3382966051220864E-3</v>
      </c>
      <c r="H178" s="8">
        <f>+'Simulation and  VaR'!H191/'Simulation and  VaR'!H190-1</f>
        <v>-3.9158437097466692E-2</v>
      </c>
      <c r="I178" s="8">
        <f>+'Simulation and  VaR'!I191/'Simulation and  VaR'!I190-1</f>
        <v>-0.10496947598132644</v>
      </c>
      <c r="J178" s="8">
        <f>+'Simulation and  VaR'!J191/'Simulation and  VaR'!J190-1</f>
        <v>0.20028358738036145</v>
      </c>
      <c r="K178" s="8">
        <f>+'Simulation and  VaR'!K191/'Simulation and  VaR'!K190-1</f>
        <v>-1.9502953304356696E-3</v>
      </c>
      <c r="L178" s="8">
        <f>+'Simulation and  VaR'!L191/'Simulation and  VaR'!L190-1</f>
        <v>3.1586534384804521E-2</v>
      </c>
      <c r="N178" s="26">
        <f t="shared" si="22"/>
        <v>-5.441174856811451E-2</v>
      </c>
      <c r="O178" s="26">
        <f t="shared" si="23"/>
        <v>-2.0482947295956518E-2</v>
      </c>
      <c r="P178" s="26">
        <f t="shared" si="24"/>
        <v>-1.6113908392559488E-2</v>
      </c>
      <c r="Q178" s="26">
        <f t="shared" si="25"/>
        <v>-1.0931739822475878E-2</v>
      </c>
      <c r="R178" s="26">
        <f t="shared" si="26"/>
        <v>-1.7845269812447266E-2</v>
      </c>
      <c r="S178" s="26">
        <f t="shared" si="27"/>
        <v>-1.0516298576043696E-2</v>
      </c>
      <c r="T178" s="26">
        <f t="shared" si="28"/>
        <v>-4.45018171425271E-2</v>
      </c>
      <c r="U178" s="26">
        <f t="shared" si="29"/>
        <v>-0.11737124211036382</v>
      </c>
      <c r="V178" s="26">
        <f t="shared" si="30"/>
        <v>0.19005438140871916</v>
      </c>
      <c r="W178" s="26">
        <f t="shared" si="31"/>
        <v>-3.8338004856425505E-4</v>
      </c>
      <c r="X178" s="26">
        <f t="shared" si="32"/>
        <v>3.5110769498560228E-2</v>
      </c>
    </row>
    <row r="179" spans="2:24" x14ac:dyDescent="0.2">
      <c r="B179" s="8">
        <f>+'Simulation and  VaR'!B192/'Simulation and  VaR'!B191-1</f>
        <v>3.2232994310644303E-2</v>
      </c>
      <c r="C179" s="8">
        <f>+'Simulation and  VaR'!C192/'Simulation and  VaR'!C191-1</f>
        <v>4.9664071498257911E-2</v>
      </c>
      <c r="D179" s="8">
        <f>+'Simulation and  VaR'!D192/'Simulation and  VaR'!D191-1</f>
        <v>3.854239663629988E-2</v>
      </c>
      <c r="E179" s="8">
        <f>+'Simulation and  VaR'!E192/'Simulation and  VaR'!E191-1</f>
        <v>3.3152909336941816E-2</v>
      </c>
      <c r="F179" s="8">
        <f>+'Simulation and  VaR'!F192/'Simulation and  VaR'!F191-1</f>
        <v>2.3551877784850683E-2</v>
      </c>
      <c r="G179" s="8">
        <f>+'Simulation and  VaR'!G192/'Simulation and  VaR'!G191-1</f>
        <v>1.6816816816816793E-2</v>
      </c>
      <c r="H179" s="8">
        <f>+'Simulation and  VaR'!H192/'Simulation and  VaR'!H191-1</f>
        <v>-2.0287782643667818E-2</v>
      </c>
      <c r="I179" s="8">
        <f>+'Simulation and  VaR'!I192/'Simulation and  VaR'!I191-1</f>
        <v>-1.8517946976945199E-2</v>
      </c>
      <c r="J179" s="8">
        <f>+'Simulation and  VaR'!J192/'Simulation and  VaR'!J191-1</f>
        <v>6.6450088600118029E-2</v>
      </c>
      <c r="K179" s="8">
        <f>+'Simulation and  VaR'!K192/'Simulation and  VaR'!K191-1</f>
        <v>-3.098654458154193E-2</v>
      </c>
      <c r="L179" s="8">
        <f>+'Simulation and  VaR'!L192/'Simulation and  VaR'!L191-1</f>
        <v>4.8086802844108378E-2</v>
      </c>
      <c r="N179" s="26">
        <f t="shared" si="22"/>
        <v>2.7712069818219248E-2</v>
      </c>
      <c r="O179" s="26">
        <f t="shared" si="23"/>
        <v>4.7147301479681318E-2</v>
      </c>
      <c r="P179" s="26">
        <f t="shared" si="24"/>
        <v>3.6250188312848937E-2</v>
      </c>
      <c r="Q179" s="26">
        <f t="shared" si="25"/>
        <v>3.0940150064432497E-2</v>
      </c>
      <c r="R179" s="26">
        <f t="shared" si="26"/>
        <v>2.1370768373405909E-2</v>
      </c>
      <c r="S179" s="26">
        <f t="shared" si="27"/>
        <v>1.4638814845895184E-2</v>
      </c>
      <c r="T179" s="26">
        <f t="shared" si="28"/>
        <v>-2.5631162688728223E-2</v>
      </c>
      <c r="U179" s="26">
        <f t="shared" si="29"/>
        <v>-3.0919713105982578E-2</v>
      </c>
      <c r="V179" s="26">
        <f t="shared" si="30"/>
        <v>5.6220882628475743E-2</v>
      </c>
      <c r="W179" s="26">
        <f t="shared" si="31"/>
        <v>-2.9419629299670517E-2</v>
      </c>
      <c r="X179" s="26">
        <f t="shared" si="32"/>
        <v>5.1611037957864085E-2</v>
      </c>
    </row>
    <row r="180" spans="2:24" x14ac:dyDescent="0.2">
      <c r="B180" s="8">
        <f>+'Simulation and  VaR'!B193/'Simulation and  VaR'!B192-1</f>
        <v>-9.2025349067458628E-2</v>
      </c>
      <c r="C180" s="8">
        <f>+'Simulation and  VaR'!C193/'Simulation and  VaR'!C192-1</f>
        <v>-2.469365498146836E-2</v>
      </c>
      <c r="D180" s="8">
        <f>+'Simulation and  VaR'!D193/'Simulation and  VaR'!D192-1</f>
        <v>-1.3495276653171406E-2</v>
      </c>
      <c r="E180" s="8">
        <f>+'Simulation and  VaR'!E193/'Simulation and  VaR'!E192-1</f>
        <v>-3.2743942370661028E-3</v>
      </c>
      <c r="F180" s="8">
        <f>+'Simulation and  VaR'!F193/'Simulation and  VaR'!F192-1</f>
        <v>8.0845771144277823E-3</v>
      </c>
      <c r="G180" s="8">
        <f>+'Simulation and  VaR'!G193/'Simulation and  VaR'!G192-1</f>
        <v>-7.0880094506793334E-3</v>
      </c>
      <c r="H180" s="8">
        <f>+'Simulation and  VaR'!H193/'Simulation and  VaR'!H192-1</f>
        <v>-2.2988505747126409E-2</v>
      </c>
      <c r="I180" s="8">
        <f>+'Simulation and  VaR'!I193/'Simulation and  VaR'!I192-1</f>
        <v>7.7041602465331316E-2</v>
      </c>
      <c r="J180" s="8">
        <f>+'Simulation and  VaR'!J193/'Simulation and  VaR'!J192-1</f>
        <v>-4.8463029631680921E-2</v>
      </c>
      <c r="K180" s="8">
        <f>+'Simulation and  VaR'!K193/'Simulation and  VaR'!K192-1</f>
        <v>1.4404240608434371E-3</v>
      </c>
      <c r="L180" s="8">
        <f>+'Simulation and  VaR'!L193/'Simulation and  VaR'!L192-1</f>
        <v>1.2156386024077648E-2</v>
      </c>
      <c r="N180" s="26">
        <f t="shared" si="22"/>
        <v>-9.6546273559883683E-2</v>
      </c>
      <c r="O180" s="26">
        <f t="shared" si="23"/>
        <v>-2.7210425000044954E-2</v>
      </c>
      <c r="P180" s="26">
        <f t="shared" si="24"/>
        <v>-1.578748497662235E-2</v>
      </c>
      <c r="Q180" s="26">
        <f t="shared" si="25"/>
        <v>-5.4871535095754216E-3</v>
      </c>
      <c r="R180" s="26">
        <f t="shared" si="26"/>
        <v>5.9034677029830094E-3</v>
      </c>
      <c r="S180" s="26">
        <f t="shared" si="27"/>
        <v>-9.2660114216009427E-3</v>
      </c>
      <c r="T180" s="26">
        <f t="shared" si="28"/>
        <v>-2.8331885792186814E-2</v>
      </c>
      <c r="U180" s="26">
        <f t="shared" si="29"/>
        <v>6.4639836336293943E-2</v>
      </c>
      <c r="V180" s="26">
        <f t="shared" si="30"/>
        <v>-5.8692235603323206E-2</v>
      </c>
      <c r="W180" s="26">
        <f t="shared" si="31"/>
        <v>3.0073393427148517E-3</v>
      </c>
      <c r="X180" s="26">
        <f t="shared" si="32"/>
        <v>1.5680621137833355E-2</v>
      </c>
    </row>
    <row r="181" spans="2:24" x14ac:dyDescent="0.2">
      <c r="B181" s="8">
        <f>+'Simulation and  VaR'!B194/'Simulation and  VaR'!B193-1</f>
        <v>-0.24009722878248962</v>
      </c>
      <c r="C181" s="8">
        <f>+'Simulation and  VaR'!C194/'Simulation and  VaR'!C193-1</f>
        <v>-6.3856284980732703E-2</v>
      </c>
      <c r="D181" s="8">
        <f>+'Simulation and  VaR'!D194/'Simulation and  VaR'!D193-1</f>
        <v>-6.1559507523939683E-2</v>
      </c>
      <c r="E181" s="8">
        <f>+'Simulation and  VaR'!E194/'Simulation and  VaR'!E193-1</f>
        <v>-4.796320630749018E-2</v>
      </c>
      <c r="F181" s="8">
        <f>+'Simulation and  VaR'!F194/'Simulation and  VaR'!F193-1</f>
        <v>-3.0845157310302351E-2</v>
      </c>
      <c r="G181" s="8">
        <f>+'Simulation and  VaR'!G194/'Simulation and  VaR'!G193-1</f>
        <v>-2.8554431885782328E-2</v>
      </c>
      <c r="H181" s="8">
        <f>+'Simulation and  VaR'!H194/'Simulation and  VaR'!H193-1</f>
        <v>0.11596638655462188</v>
      </c>
      <c r="I181" s="8">
        <f>+'Simulation and  VaR'!I194/'Simulation and  VaR'!I193-1</f>
        <v>0.20729321771627096</v>
      </c>
      <c r="J181" s="8">
        <f>+'Simulation and  VaR'!J194/'Simulation and  VaR'!J193-1</f>
        <v>-1.5133876600698537E-2</v>
      </c>
      <c r="K181" s="8">
        <f>+'Simulation and  VaR'!K194/'Simulation and  VaR'!K193-1</f>
        <v>-1.0068465565847728E-2</v>
      </c>
      <c r="L181" s="8">
        <f>+'Simulation and  VaR'!L194/'Simulation and  VaR'!L193-1</f>
        <v>1.1622951454806074E-2</v>
      </c>
      <c r="N181" s="26">
        <f t="shared" si="22"/>
        <v>-0.24461815327491468</v>
      </c>
      <c r="O181" s="26">
        <f t="shared" si="23"/>
        <v>-6.6373054999309303E-2</v>
      </c>
      <c r="P181" s="26">
        <f t="shared" si="24"/>
        <v>-6.3851715847390633E-2</v>
      </c>
      <c r="Q181" s="26">
        <f t="shared" si="25"/>
        <v>-5.0175965579999496E-2</v>
      </c>
      <c r="R181" s="26">
        <f t="shared" si="26"/>
        <v>-3.3026266721747126E-2</v>
      </c>
      <c r="S181" s="26">
        <f t="shared" si="27"/>
        <v>-3.0732433856703937E-2</v>
      </c>
      <c r="T181" s="26">
        <f t="shared" si="28"/>
        <v>0.11062300650956147</v>
      </c>
      <c r="U181" s="26">
        <f t="shared" si="29"/>
        <v>0.19489145158723359</v>
      </c>
      <c r="V181" s="26">
        <f t="shared" si="30"/>
        <v>-2.5363082572340823E-2</v>
      </c>
      <c r="W181" s="26">
        <f t="shared" si="31"/>
        <v>-8.5015502839763148E-3</v>
      </c>
      <c r="X181" s="26">
        <f t="shared" si="32"/>
        <v>1.5147186568561781E-2</v>
      </c>
    </row>
    <row r="182" spans="2:24" x14ac:dyDescent="0.2">
      <c r="B182" s="8">
        <f>+'Simulation and  VaR'!B195/'Simulation and  VaR'!B194-1</f>
        <v>-8.938965922522224E-2</v>
      </c>
      <c r="C182" s="8">
        <f>+'Simulation and  VaR'!C195/'Simulation and  VaR'!C194-1</f>
        <v>-5.4799263758132377E-2</v>
      </c>
      <c r="D182" s="8">
        <f>+'Simulation and  VaR'!D195/'Simulation and  VaR'!D194-1</f>
        <v>-5.6122448979591955E-2</v>
      </c>
      <c r="E182" s="8">
        <f>+'Simulation and  VaR'!E195/'Simulation and  VaR'!E194-1</f>
        <v>-5.2449965493443718E-2</v>
      </c>
      <c r="F182" s="8">
        <f>+'Simulation and  VaR'!F195/'Simulation and  VaR'!F194-1</f>
        <v>-4.0101845957988491E-2</v>
      </c>
      <c r="G182" s="8">
        <f>+'Simulation and  VaR'!G195/'Simulation and  VaR'!G194-1</f>
        <v>-4.2253521126760618E-2</v>
      </c>
      <c r="H182" s="8">
        <f>+'Simulation and  VaR'!H195/'Simulation and  VaR'!H194-1</f>
        <v>7.6137884872824468E-3</v>
      </c>
      <c r="I182" s="8">
        <f>+'Simulation and  VaR'!I195/'Simulation and  VaR'!I194-1</f>
        <v>-4.3529781625595509E-2</v>
      </c>
      <c r="J182" s="8">
        <f>+'Simulation and  VaR'!J195/'Simulation and  VaR'!J194-1</f>
        <v>0</v>
      </c>
      <c r="K182" s="8">
        <f>+'Simulation and  VaR'!K195/'Simulation and  VaR'!K194-1</f>
        <v>-1.5111007787981023E-2</v>
      </c>
      <c r="L182" s="8">
        <f>+'Simulation and  VaR'!L195/'Simulation and  VaR'!L194-1</f>
        <v>2.7574585423767672E-2</v>
      </c>
      <c r="N182" s="26">
        <f t="shared" si="22"/>
        <v>-9.3910583717647295E-2</v>
      </c>
      <c r="O182" s="26">
        <f t="shared" si="23"/>
        <v>-5.731603377670897E-2</v>
      </c>
      <c r="P182" s="26">
        <f t="shared" si="24"/>
        <v>-5.8414657303042898E-2</v>
      </c>
      <c r="Q182" s="26">
        <f t="shared" si="25"/>
        <v>-5.4662724765953033E-2</v>
      </c>
      <c r="R182" s="26">
        <f t="shared" si="26"/>
        <v>-4.2282955369433266E-2</v>
      </c>
      <c r="S182" s="26">
        <f t="shared" si="27"/>
        <v>-4.4431523097682224E-2</v>
      </c>
      <c r="T182" s="26">
        <f t="shared" si="28"/>
        <v>2.2704084422220418E-3</v>
      </c>
      <c r="U182" s="26">
        <f t="shared" si="29"/>
        <v>-5.5931547754632889E-2</v>
      </c>
      <c r="V182" s="26">
        <f t="shared" si="30"/>
        <v>-1.0229205971642284E-2</v>
      </c>
      <c r="W182" s="26">
        <f t="shared" si="31"/>
        <v>-1.354409250610961E-2</v>
      </c>
      <c r="X182" s="26">
        <f t="shared" si="32"/>
        <v>3.1098820537523379E-2</v>
      </c>
    </row>
    <row r="183" spans="2:24" x14ac:dyDescent="0.2">
      <c r="B183" s="8">
        <f>+'Simulation and  VaR'!B196/'Simulation and  VaR'!B195-1</f>
        <v>-2.7021682761705579E-2</v>
      </c>
      <c r="C183" s="8">
        <f>+'Simulation and  VaR'!C196/'Simulation and  VaR'!C195-1</f>
        <v>-0.11600470442723954</v>
      </c>
      <c r="D183" s="8">
        <f>+'Simulation and  VaR'!D196/'Simulation and  VaR'!D195-1</f>
        <v>-6.3320463320463372E-2</v>
      </c>
      <c r="E183" s="8">
        <f>+'Simulation and  VaR'!E196/'Simulation and  VaR'!E195-1</f>
        <v>-5.4624908958485041E-2</v>
      </c>
      <c r="F183" s="8">
        <f>+'Simulation and  VaR'!F196/'Simulation and  VaR'!F195-1</f>
        <v>-4.8408488063660493E-2</v>
      </c>
      <c r="G183" s="8">
        <f>+'Simulation and  VaR'!G196/'Simulation and  VaR'!G195-1</f>
        <v>-5.7544757033248128E-2</v>
      </c>
      <c r="H183" s="8">
        <f>+'Simulation and  VaR'!H196/'Simulation and  VaR'!H195-1</f>
        <v>0.11035456281657385</v>
      </c>
      <c r="I183" s="8">
        <f>+'Simulation and  VaR'!I196/'Simulation and  VaR'!I195-1</f>
        <v>6.9530479633890474E-2</v>
      </c>
      <c r="J183" s="8">
        <f>+'Simulation and  VaR'!J196/'Simulation and  VaR'!J195-1</f>
        <v>5.8215130023640649E-2</v>
      </c>
      <c r="K183" s="8">
        <f>+'Simulation and  VaR'!K196/'Simulation and  VaR'!K195-1</f>
        <v>-1.0326920807270157E-2</v>
      </c>
      <c r="L183" s="8">
        <f>+'Simulation and  VaR'!L196/'Simulation and  VaR'!L195-1</f>
        <v>3.2797883045730725E-2</v>
      </c>
      <c r="N183" s="26">
        <f t="shared" si="22"/>
        <v>-3.1542607254130633E-2</v>
      </c>
      <c r="O183" s="26">
        <f t="shared" si="23"/>
        <v>-0.11852147444581614</v>
      </c>
      <c r="P183" s="26">
        <f t="shared" si="24"/>
        <v>-6.5612671643914322E-2</v>
      </c>
      <c r="Q183" s="26">
        <f t="shared" si="25"/>
        <v>-5.6837668230994356E-2</v>
      </c>
      <c r="R183" s="26">
        <f t="shared" si="26"/>
        <v>-5.0589597475105268E-2</v>
      </c>
      <c r="S183" s="26">
        <f t="shared" si="27"/>
        <v>-5.9722759004169734E-2</v>
      </c>
      <c r="T183" s="26">
        <f t="shared" si="28"/>
        <v>0.10501118277151344</v>
      </c>
      <c r="U183" s="26">
        <f t="shared" si="29"/>
        <v>5.7128713504853094E-2</v>
      </c>
      <c r="V183" s="26">
        <f t="shared" si="30"/>
        <v>4.7985924051998363E-2</v>
      </c>
      <c r="W183" s="26">
        <f t="shared" si="31"/>
        <v>-8.7600055253987431E-3</v>
      </c>
      <c r="X183" s="26">
        <f t="shared" si="32"/>
        <v>3.6322118159486431E-2</v>
      </c>
    </row>
    <row r="184" spans="2:24" x14ac:dyDescent="0.2">
      <c r="B184" s="8">
        <f>+'Simulation and  VaR'!B197/'Simulation and  VaR'!B196-1</f>
        <v>4.7033709755940567E-2</v>
      </c>
      <c r="C184" s="8">
        <f>+'Simulation and  VaR'!C197/'Simulation and  VaR'!C196-1</f>
        <v>-3.2608774259148876E-2</v>
      </c>
      <c r="D184" s="8">
        <f>+'Simulation and  VaR'!D197/'Simulation and  VaR'!D196-1</f>
        <v>-3.6273701566364336E-2</v>
      </c>
      <c r="E184" s="8">
        <f>+'Simulation and  VaR'!E197/'Simulation and  VaR'!E196-1</f>
        <v>-3.5439137134052445E-2</v>
      </c>
      <c r="F184" s="8">
        <f>+'Simulation and  VaR'!F197/'Simulation and  VaR'!F196-1</f>
        <v>-3.6933797909407651E-2</v>
      </c>
      <c r="G184" s="8">
        <f>+'Simulation and  VaR'!G197/'Simulation and  VaR'!G196-1</f>
        <v>-2.917232021709637E-2</v>
      </c>
      <c r="H184" s="8">
        <f>+'Simulation and  VaR'!H197/'Simulation and  VaR'!H196-1</f>
        <v>3.612025127131302E-2</v>
      </c>
      <c r="I184" s="8">
        <f>+'Simulation and  VaR'!I197/'Simulation and  VaR'!I196-1</f>
        <v>3.5460154606274052E-2</v>
      </c>
      <c r="J184" s="8">
        <f>+'Simulation and  VaR'!J197/'Simulation and  VaR'!J196-1</f>
        <v>1.3962580284838655E-3</v>
      </c>
      <c r="K184" s="8">
        <f>+'Simulation and  VaR'!K197/'Simulation and  VaR'!K196-1</f>
        <v>-2.6832031482916907E-2</v>
      </c>
      <c r="L184" s="8">
        <f>+'Simulation and  VaR'!L197/'Simulation and  VaR'!L196-1</f>
        <v>-0.10068203962325439</v>
      </c>
      <c r="N184" s="26">
        <f t="shared" si="22"/>
        <v>4.2512785263515512E-2</v>
      </c>
      <c r="O184" s="26">
        <f t="shared" si="23"/>
        <v>-3.5125544277725469E-2</v>
      </c>
      <c r="P184" s="26">
        <f t="shared" si="24"/>
        <v>-3.8565909889815279E-2</v>
      </c>
      <c r="Q184" s="26">
        <f t="shared" si="25"/>
        <v>-3.7651896406561761E-2</v>
      </c>
      <c r="R184" s="26">
        <f t="shared" si="26"/>
        <v>-3.9114907320852425E-2</v>
      </c>
      <c r="S184" s="26">
        <f t="shared" si="27"/>
        <v>-3.1350322188017976E-2</v>
      </c>
      <c r="T184" s="26">
        <f t="shared" si="28"/>
        <v>3.0776871226252615E-2</v>
      </c>
      <c r="U184" s="26">
        <f t="shared" si="29"/>
        <v>2.3058388477236673E-2</v>
      </c>
      <c r="V184" s="26">
        <f t="shared" si="30"/>
        <v>-8.8329479431584184E-3</v>
      </c>
      <c r="W184" s="26">
        <f t="shared" si="31"/>
        <v>-2.5265116201045493E-2</v>
      </c>
      <c r="X184" s="26">
        <f t="shared" si="32"/>
        <v>-9.7157804509498694E-2</v>
      </c>
    </row>
    <row r="185" spans="2:24" x14ac:dyDescent="0.2">
      <c r="B185" s="8">
        <f>+'Simulation and  VaR'!B198/'Simulation and  VaR'!B197-1</f>
        <v>-1.6369129051962861E-2</v>
      </c>
      <c r="C185" s="8">
        <f>+'Simulation and  VaR'!C198/'Simulation and  VaR'!C197-1</f>
        <v>-9.9676052927899494E-4</v>
      </c>
      <c r="D185" s="8">
        <f>+'Simulation and  VaR'!D198/'Simulation and  VaR'!D197-1</f>
        <v>1.2831479897348119E-2</v>
      </c>
      <c r="E185" s="8">
        <f>+'Simulation and  VaR'!E198/'Simulation and  VaR'!E197-1</f>
        <v>-5.5910543130990309E-3</v>
      </c>
      <c r="F185" s="8">
        <f>+'Simulation and  VaR'!F198/'Simulation and  VaR'!F197-1</f>
        <v>-1.085383502170767E-2</v>
      </c>
      <c r="G185" s="8">
        <f>+'Simulation and  VaR'!G198/'Simulation and  VaR'!G197-1</f>
        <v>-1.1180992313067795E-2</v>
      </c>
      <c r="H185" s="8">
        <f>+'Simulation and  VaR'!H198/'Simulation and  VaR'!H197-1</f>
        <v>1.5156983038614236E-2</v>
      </c>
      <c r="I185" s="8">
        <f>+'Simulation and  VaR'!I198/'Simulation and  VaR'!I197-1</f>
        <v>2.2830528983356579E-2</v>
      </c>
      <c r="J185" s="8">
        <f>+'Simulation and  VaR'!J198/'Simulation and  VaR'!J197-1</f>
        <v>-5.1589514779698864E-2</v>
      </c>
      <c r="K185" s="8">
        <f>+'Simulation and  VaR'!K198/'Simulation and  VaR'!K197-1</f>
        <v>-8.5779057655779312E-3</v>
      </c>
      <c r="L185" s="8">
        <f>+'Simulation and  VaR'!L198/'Simulation and  VaR'!L197-1</f>
        <v>-5.8183861000762449E-2</v>
      </c>
      <c r="N185" s="26">
        <f t="shared" si="22"/>
        <v>-2.0890053544387915E-2</v>
      </c>
      <c r="O185" s="26">
        <f t="shared" si="23"/>
        <v>-3.513530547855589E-3</v>
      </c>
      <c r="P185" s="26">
        <f t="shared" si="24"/>
        <v>1.0539271573897176E-2</v>
      </c>
      <c r="Q185" s="26">
        <f t="shared" si="25"/>
        <v>-7.8038135856083497E-3</v>
      </c>
      <c r="R185" s="26">
        <f t="shared" si="26"/>
        <v>-1.3034944433152442E-2</v>
      </c>
      <c r="S185" s="26">
        <f t="shared" si="27"/>
        <v>-1.3358994283989404E-2</v>
      </c>
      <c r="T185" s="26">
        <f t="shared" si="28"/>
        <v>9.8136029935538306E-3</v>
      </c>
      <c r="U185" s="26">
        <f t="shared" si="29"/>
        <v>1.04287628543192E-2</v>
      </c>
      <c r="V185" s="26">
        <f t="shared" si="30"/>
        <v>-6.181872075134115E-2</v>
      </c>
      <c r="W185" s="26">
        <f t="shared" si="31"/>
        <v>-7.0109904837065166E-3</v>
      </c>
      <c r="X185" s="26">
        <f t="shared" si="32"/>
        <v>-5.4659625887006742E-2</v>
      </c>
    </row>
    <row r="186" spans="2:24" x14ac:dyDescent="0.2">
      <c r="B186" s="8">
        <f>+'Simulation and  VaR'!B199/'Simulation and  VaR'!B198-1</f>
        <v>-1.034461995078606E-2</v>
      </c>
      <c r="C186" s="8">
        <f>+'Simulation and  VaR'!C199/'Simulation and  VaR'!C198-1</f>
        <v>-7.8537576018957722E-3</v>
      </c>
      <c r="D186" s="8">
        <f>+'Simulation and  VaR'!D199/'Simulation and  VaR'!D198-1</f>
        <v>-3.3783783783785104E-3</v>
      </c>
      <c r="E186" s="8">
        <f>+'Simulation and  VaR'!E199/'Simulation and  VaR'!E198-1</f>
        <v>-7.2289156626506035E-3</v>
      </c>
      <c r="F186" s="8">
        <f>+'Simulation and  VaR'!F199/'Simulation and  VaR'!F198-1</f>
        <v>-9.5098756400878726E-3</v>
      </c>
      <c r="G186" s="8">
        <f>+'Simulation and  VaR'!G199/'Simulation and  VaR'!G198-1</f>
        <v>-1.4134275618374659E-2</v>
      </c>
      <c r="H186" s="8">
        <f>+'Simulation and  VaR'!H199/'Simulation and  VaR'!H198-1</f>
        <v>3.3131887664415327E-2</v>
      </c>
      <c r="I186" s="8">
        <f>+'Simulation and  VaR'!I199/'Simulation and  VaR'!I198-1</f>
        <v>0.11606883774915744</v>
      </c>
      <c r="J186" s="8">
        <f>+'Simulation and  VaR'!J199/'Simulation and  VaR'!J198-1</f>
        <v>-7.938841517200812E-2</v>
      </c>
      <c r="K186" s="8">
        <f>+'Simulation and  VaR'!K199/'Simulation and  VaR'!K198-1</f>
        <v>-6.0441258265867437E-2</v>
      </c>
      <c r="L186" s="8">
        <f>+'Simulation and  VaR'!L199/'Simulation and  VaR'!L198-1</f>
        <v>2.1941970942865652E-2</v>
      </c>
      <c r="N186" s="26">
        <f t="shared" si="22"/>
        <v>-1.4865544443211113E-2</v>
      </c>
      <c r="O186" s="26">
        <f t="shared" si="23"/>
        <v>-1.0370527620472365E-2</v>
      </c>
      <c r="P186" s="26">
        <f t="shared" si="24"/>
        <v>-5.670586701829454E-3</v>
      </c>
      <c r="Q186" s="26">
        <f t="shared" si="25"/>
        <v>-9.4416749351599223E-3</v>
      </c>
      <c r="R186" s="26">
        <f t="shared" si="26"/>
        <v>-1.1690985051532645E-2</v>
      </c>
      <c r="S186" s="26">
        <f t="shared" si="27"/>
        <v>-1.6312277589296268E-2</v>
      </c>
      <c r="T186" s="26">
        <f t="shared" si="28"/>
        <v>2.7788507619354922E-2</v>
      </c>
      <c r="U186" s="26">
        <f t="shared" si="29"/>
        <v>0.10366707162012007</v>
      </c>
      <c r="V186" s="26">
        <f t="shared" si="30"/>
        <v>-8.9617621143650406E-2</v>
      </c>
      <c r="W186" s="26">
        <f t="shared" si="31"/>
        <v>-5.887434298399602E-2</v>
      </c>
      <c r="X186" s="26">
        <f t="shared" si="32"/>
        <v>2.5466206056621359E-2</v>
      </c>
    </row>
    <row r="187" spans="2:24" x14ac:dyDescent="0.2">
      <c r="B187" s="8">
        <f>+'Simulation and  VaR'!B200/'Simulation and  VaR'!B199-1</f>
        <v>3.3408581303773444E-2</v>
      </c>
      <c r="C187" s="8">
        <f>+'Simulation and  VaR'!C200/'Simulation and  VaR'!C199-1</f>
        <v>2.5565141170627692E-2</v>
      </c>
      <c r="D187" s="8">
        <f>+'Simulation and  VaR'!D200/'Simulation and  VaR'!D199-1</f>
        <v>1.8644067796610209E-2</v>
      </c>
      <c r="E187" s="8">
        <f>+'Simulation and  VaR'!E200/'Simulation and  VaR'!E199-1</f>
        <v>1.8608414239482229E-2</v>
      </c>
      <c r="F187" s="8">
        <f>+'Simulation and  VaR'!F200/'Simulation and  VaR'!F199-1</f>
        <v>-7.3855243722298347E-4</v>
      </c>
      <c r="G187" s="8">
        <f>+'Simulation and  VaR'!G200/'Simulation and  VaR'!G199-1</f>
        <v>7.1684587813614087E-4</v>
      </c>
      <c r="H187" s="8">
        <f>+'Simulation and  VaR'!H200/'Simulation and  VaR'!H199-1</f>
        <v>1.899387516344353E-2</v>
      </c>
      <c r="I187" s="8">
        <f>+'Simulation and  VaR'!I200/'Simulation and  VaR'!I199-1</f>
        <v>-0.17399652006959865</v>
      </c>
      <c r="J187" s="8">
        <f>+'Simulation and  VaR'!J200/'Simulation and  VaR'!J199-1</f>
        <v>-5.7489619929734892E-2</v>
      </c>
      <c r="K187" s="8">
        <f>+'Simulation and  VaR'!K200/'Simulation and  VaR'!K199-1</f>
        <v>-5.7225547589292436E-3</v>
      </c>
      <c r="L187" s="8">
        <f>+'Simulation and  VaR'!L200/'Simulation and  VaR'!L199-1</f>
        <v>-8.3381972817476724E-3</v>
      </c>
      <c r="N187" s="26">
        <f t="shared" si="22"/>
        <v>2.8887656811348389E-2</v>
      </c>
      <c r="O187" s="26">
        <f t="shared" si="23"/>
        <v>2.3048371152051099E-2</v>
      </c>
      <c r="P187" s="26">
        <f t="shared" si="24"/>
        <v>1.6351859473159265E-2</v>
      </c>
      <c r="Q187" s="26">
        <f t="shared" si="25"/>
        <v>1.6395654966972911E-2</v>
      </c>
      <c r="R187" s="26">
        <f t="shared" si="26"/>
        <v>-2.9196618486677568E-3</v>
      </c>
      <c r="S187" s="26">
        <f t="shared" si="27"/>
        <v>-1.4611560927854685E-3</v>
      </c>
      <c r="T187" s="26">
        <f t="shared" si="28"/>
        <v>1.3650495118383125E-2</v>
      </c>
      <c r="U187" s="26">
        <f t="shared" si="29"/>
        <v>-0.18639828619863602</v>
      </c>
      <c r="V187" s="26">
        <f t="shared" si="30"/>
        <v>-6.7718825901377178E-2</v>
      </c>
      <c r="W187" s="26">
        <f t="shared" si="31"/>
        <v>-4.155639477057829E-3</v>
      </c>
      <c r="X187" s="26">
        <f t="shared" si="32"/>
        <v>-4.8139621679919656E-3</v>
      </c>
    </row>
    <row r="188" spans="2:24" x14ac:dyDescent="0.2">
      <c r="B188" s="8">
        <f>+'Simulation and  VaR'!B201/'Simulation and  VaR'!B200-1</f>
        <v>2.9557196474224279E-2</v>
      </c>
      <c r="C188" s="8">
        <f>+'Simulation and  VaR'!C201/'Simulation and  VaR'!C200-1</f>
        <v>-2.0327941533153759E-2</v>
      </c>
      <c r="D188" s="8">
        <f>+'Simulation and  VaR'!D201/'Simulation and  VaR'!D200-1</f>
        <v>-2.3294509151414289E-2</v>
      </c>
      <c r="E188" s="8">
        <f>+'Simulation and  VaR'!E201/'Simulation and  VaR'!E200-1</f>
        <v>-2.0651310563939651E-2</v>
      </c>
      <c r="F188" s="8">
        <f>+'Simulation and  VaR'!F201/'Simulation and  VaR'!F200-1</f>
        <v>-2.7346637102734661E-2</v>
      </c>
      <c r="G188" s="8">
        <f>+'Simulation and  VaR'!G201/'Simulation and  VaR'!G200-1</f>
        <v>-2.4355300859598805E-2</v>
      </c>
      <c r="H188" s="8">
        <f>+'Simulation and  VaR'!H201/'Simulation and  VaR'!H200-1</f>
        <v>3.3092456270682913E-2</v>
      </c>
      <c r="I188" s="8">
        <f>+'Simulation and  VaR'!I201/'Simulation and  VaR'!I200-1</f>
        <v>1.2106244400861943E-2</v>
      </c>
      <c r="J188" s="8">
        <f>+'Simulation and  VaR'!J201/'Simulation and  VaR'!J200-1</f>
        <v>-4.066418163334462E-2</v>
      </c>
      <c r="K188" s="8">
        <f>+'Simulation and  VaR'!K201/'Simulation and  VaR'!K200-1</f>
        <v>-1.9184969568668997E-2</v>
      </c>
      <c r="L188" s="8">
        <f>+'Simulation and  VaR'!L201/'Simulation and  VaR'!L200-1</f>
        <v>4.8347767594383306E-3</v>
      </c>
      <c r="N188" s="26">
        <f t="shared" si="22"/>
        <v>2.5036271981799224E-2</v>
      </c>
      <c r="O188" s="26">
        <f t="shared" si="23"/>
        <v>-2.2844711551730353E-2</v>
      </c>
      <c r="P188" s="26">
        <f t="shared" si="24"/>
        <v>-2.5586717474865232E-2</v>
      </c>
      <c r="Q188" s="26">
        <f t="shared" si="25"/>
        <v>-2.286406983644897E-2</v>
      </c>
      <c r="R188" s="26">
        <f t="shared" si="26"/>
        <v>-2.9527746514179436E-2</v>
      </c>
      <c r="S188" s="26">
        <f t="shared" si="27"/>
        <v>-2.6533302830520415E-2</v>
      </c>
      <c r="T188" s="26">
        <f t="shared" si="28"/>
        <v>2.7749076225622508E-2</v>
      </c>
      <c r="U188" s="26">
        <f t="shared" si="29"/>
        <v>-2.9552172817543659E-4</v>
      </c>
      <c r="V188" s="26">
        <f t="shared" si="30"/>
        <v>-5.0893387604986906E-2</v>
      </c>
      <c r="W188" s="26">
        <f t="shared" si="31"/>
        <v>-1.7618054286797583E-2</v>
      </c>
      <c r="X188" s="26">
        <f t="shared" si="32"/>
        <v>8.3590118731940374E-3</v>
      </c>
    </row>
    <row r="189" spans="2:24" x14ac:dyDescent="0.2">
      <c r="B189" s="8">
        <f>+'Simulation and  VaR'!B202/'Simulation and  VaR'!B201-1</f>
        <v>-1.6705990555847983E-2</v>
      </c>
      <c r="C189" s="8">
        <f>+'Simulation and  VaR'!C202/'Simulation and  VaR'!C201-1</f>
        <v>-1.0128989588158555E-2</v>
      </c>
      <c r="D189" s="8">
        <f>+'Simulation and  VaR'!D202/'Simulation and  VaR'!D201-1</f>
        <v>-1.8739352640545159E-2</v>
      </c>
      <c r="E189" s="8">
        <f>+'Simulation and  VaR'!E202/'Simulation and  VaR'!E201-1</f>
        <v>-2.1086780210867739E-2</v>
      </c>
      <c r="F189" s="8">
        <f>+'Simulation and  VaR'!F202/'Simulation and  VaR'!F201-1</f>
        <v>-2.203647416413379E-2</v>
      </c>
      <c r="G189" s="8">
        <f>+'Simulation and  VaR'!G202/'Simulation and  VaR'!G201-1</f>
        <v>-2.3494860499265857E-2</v>
      </c>
      <c r="H189" s="8">
        <f>+'Simulation and  VaR'!H202/'Simulation and  VaR'!H201-1</f>
        <v>7.4916650323592737E-2</v>
      </c>
      <c r="I189" s="8">
        <f>+'Simulation and  VaR'!I202/'Simulation and  VaR'!I201-1</f>
        <v>2.6315159924403808E-2</v>
      </c>
      <c r="J189" s="8">
        <f>+'Simulation and  VaR'!J202/'Simulation and  VaR'!J201-1</f>
        <v>3.3557046979865834E-2</v>
      </c>
      <c r="K189" s="8">
        <f>+'Simulation and  VaR'!K202/'Simulation and  VaR'!K201-1</f>
        <v>5.0451908808849311E-2</v>
      </c>
      <c r="L189" s="8">
        <f>+'Simulation and  VaR'!L202/'Simulation and  VaR'!L201-1</f>
        <v>-2.9287477511400484E-3</v>
      </c>
      <c r="N189" s="26">
        <f t="shared" si="22"/>
        <v>-2.1226915048273037E-2</v>
      </c>
      <c r="O189" s="26">
        <f t="shared" si="23"/>
        <v>-1.2645759606735148E-2</v>
      </c>
      <c r="P189" s="26">
        <f t="shared" si="24"/>
        <v>-2.1031560963996103E-2</v>
      </c>
      <c r="Q189" s="26">
        <f t="shared" si="25"/>
        <v>-2.3299539483377058E-2</v>
      </c>
      <c r="R189" s="26">
        <f t="shared" si="26"/>
        <v>-2.4217583575578565E-2</v>
      </c>
      <c r="S189" s="26">
        <f t="shared" si="27"/>
        <v>-2.5672862470187467E-2</v>
      </c>
      <c r="T189" s="26">
        <f t="shared" si="28"/>
        <v>6.9573270278532329E-2</v>
      </c>
      <c r="U189" s="26">
        <f t="shared" si="29"/>
        <v>1.3913393795366429E-2</v>
      </c>
      <c r="V189" s="26">
        <f t="shared" si="30"/>
        <v>2.3327841008223549E-2</v>
      </c>
      <c r="W189" s="26">
        <f t="shared" si="31"/>
        <v>5.2018824090720728E-2</v>
      </c>
      <c r="X189" s="26">
        <f t="shared" si="32"/>
        <v>5.95487362615658E-4</v>
      </c>
    </row>
    <row r="190" spans="2:24" x14ac:dyDescent="0.2">
      <c r="B190" s="8">
        <f>+'Simulation and  VaR'!B203/'Simulation and  VaR'!B202-1</f>
        <v>-2.3706129853688918E-3</v>
      </c>
      <c r="C190" s="8">
        <f>+'Simulation and  VaR'!C203/'Simulation and  VaR'!C202-1</f>
        <v>-2.0127167050912886E-3</v>
      </c>
      <c r="D190" s="8">
        <f>+'Simulation and  VaR'!D203/'Simulation and  VaR'!D202-1</f>
        <v>-4.3402777777776791E-3</v>
      </c>
      <c r="E190" s="8">
        <f>+'Simulation and  VaR'!E203/'Simulation and  VaR'!E202-1</f>
        <v>-9.1135045567524164E-3</v>
      </c>
      <c r="F190" s="8">
        <f>+'Simulation and  VaR'!F203/'Simulation and  VaR'!F202-1</f>
        <v>-6.1383061383061266E-2</v>
      </c>
      <c r="G190" s="8">
        <f>+'Simulation and  VaR'!G203/'Simulation and  VaR'!G202-1</f>
        <v>-1.5037593984962405E-2</v>
      </c>
      <c r="H190" s="8">
        <f>+'Simulation and  VaR'!H203/'Simulation and  VaR'!H202-1</f>
        <v>-1.2345679012345734E-2</v>
      </c>
      <c r="I190" s="8">
        <f>+'Simulation and  VaR'!I203/'Simulation and  VaR'!I202-1</f>
        <v>1.748210997412647E-2</v>
      </c>
      <c r="J190" s="8">
        <f>+'Simulation and  VaR'!J203/'Simulation and  VaR'!J202-1</f>
        <v>5.9808612440191311E-2</v>
      </c>
      <c r="K190" s="8">
        <f>+'Simulation and  VaR'!K203/'Simulation and  VaR'!K202-1</f>
        <v>2.7738538589957784E-2</v>
      </c>
      <c r="L190" s="8">
        <f>+'Simulation and  VaR'!L203/'Simulation and  VaR'!L202-1</f>
        <v>2.3079182577314672E-3</v>
      </c>
      <c r="N190" s="26">
        <f t="shared" si="22"/>
        <v>-6.8915374777939447E-3</v>
      </c>
      <c r="O190" s="26">
        <f t="shared" si="23"/>
        <v>-4.5294867236678827E-3</v>
      </c>
      <c r="P190" s="26">
        <f t="shared" si="24"/>
        <v>-6.6324861012286226E-3</v>
      </c>
      <c r="Q190" s="26">
        <f t="shared" si="25"/>
        <v>-1.1326263829261735E-2</v>
      </c>
      <c r="R190" s="26">
        <f t="shared" si="26"/>
        <v>-6.3564170794506034E-2</v>
      </c>
      <c r="S190" s="26">
        <f t="shared" si="27"/>
        <v>-1.7215595955884015E-2</v>
      </c>
      <c r="T190" s="26">
        <f t="shared" si="28"/>
        <v>-1.7689059057406139E-2</v>
      </c>
      <c r="U190" s="26">
        <f t="shared" si="29"/>
        <v>5.08034384508909E-3</v>
      </c>
      <c r="V190" s="26">
        <f t="shared" si="30"/>
        <v>4.9579406468549025E-2</v>
      </c>
      <c r="W190" s="26">
        <f t="shared" si="31"/>
        <v>2.9305453871829198E-2</v>
      </c>
      <c r="X190" s="26">
        <f t="shared" si="32"/>
        <v>5.832153371487174E-3</v>
      </c>
    </row>
    <row r="191" spans="2:24" x14ac:dyDescent="0.2">
      <c r="B191" s="8">
        <f>+'Simulation and  VaR'!B204/'Simulation and  VaR'!B203-1</f>
        <v>7.4712357806209218E-2</v>
      </c>
      <c r="C191" s="8">
        <f>+'Simulation and  VaR'!C204/'Simulation and  VaR'!C203-1</f>
        <v>4.5200365011001997E-2</v>
      </c>
      <c r="D191" s="8">
        <f>+'Simulation and  VaR'!D204/'Simulation and  VaR'!D203-1</f>
        <v>2.4411508282476069E-2</v>
      </c>
      <c r="E191" s="8">
        <f>+'Simulation and  VaR'!E204/'Simulation and  VaR'!E203-1</f>
        <v>1.6722408026755842E-2</v>
      </c>
      <c r="F191" s="8">
        <f>+'Simulation and  VaR'!F204/'Simulation and  VaR'!F203-1</f>
        <v>6.7052980132450424E-2</v>
      </c>
      <c r="G191" s="8">
        <f>+'Simulation and  VaR'!G204/'Simulation and  VaR'!G203-1</f>
        <v>2.1374045801526576E-2</v>
      </c>
      <c r="H191" s="8">
        <f>+'Simulation and  VaR'!H204/'Simulation and  VaR'!H203-1</f>
        <v>3.5221674876847464E-2</v>
      </c>
      <c r="I191" s="8">
        <f>+'Simulation and  VaR'!I204/'Simulation and  VaR'!I203-1</f>
        <v>-4.6963414354768473E-2</v>
      </c>
      <c r="J191" s="8">
        <f>+'Simulation and  VaR'!J204/'Simulation and  VaR'!J203-1</f>
        <v>-2.4185746533376351E-2</v>
      </c>
      <c r="K191" s="8">
        <f>+'Simulation and  VaR'!K204/'Simulation and  VaR'!K203-1</f>
        <v>-4.2171685617893306E-2</v>
      </c>
      <c r="L191" s="8">
        <f>+'Simulation and  VaR'!L204/'Simulation and  VaR'!L203-1</f>
        <v>1.8002177007452325E-3</v>
      </c>
      <c r="N191" s="26">
        <f t="shared" si="22"/>
        <v>7.0191433313784163E-2</v>
      </c>
      <c r="O191" s="26">
        <f t="shared" si="23"/>
        <v>4.2683594992425404E-2</v>
      </c>
      <c r="P191" s="26">
        <f t="shared" si="24"/>
        <v>2.2119299959025125E-2</v>
      </c>
      <c r="Q191" s="26">
        <f t="shared" si="25"/>
        <v>1.4509648754246523E-2</v>
      </c>
      <c r="R191" s="26">
        <f t="shared" si="26"/>
        <v>6.4871870721005656E-2</v>
      </c>
      <c r="S191" s="26">
        <f t="shared" si="27"/>
        <v>1.9196043830604966E-2</v>
      </c>
      <c r="T191" s="26">
        <f t="shared" si="28"/>
        <v>2.9878294831787059E-2</v>
      </c>
      <c r="U191" s="26">
        <f t="shared" si="29"/>
        <v>-5.9365180483805853E-2</v>
      </c>
      <c r="V191" s="26">
        <f t="shared" si="30"/>
        <v>-3.4414952505018637E-2</v>
      </c>
      <c r="W191" s="26">
        <f t="shared" si="31"/>
        <v>-4.0604770336021889E-2</v>
      </c>
      <c r="X191" s="26">
        <f t="shared" si="32"/>
        <v>5.3244528145009393E-3</v>
      </c>
    </row>
    <row r="192" spans="2:24" x14ac:dyDescent="0.2">
      <c r="B192" s="8">
        <f>+'Simulation and  VaR'!B205/'Simulation and  VaR'!B204-1</f>
        <v>3.3501861544881661E-2</v>
      </c>
      <c r="C192" s="8">
        <f>+'Simulation and  VaR'!C205/'Simulation and  VaR'!C204-1</f>
        <v>4.8658378336635888E-2</v>
      </c>
      <c r="D192" s="8">
        <f>+'Simulation and  VaR'!D205/'Simulation and  VaR'!D204-1</f>
        <v>3.4893617021276579E-2</v>
      </c>
      <c r="E192" s="8">
        <f>+'Simulation and  VaR'!E205/'Simulation and  VaR'!E204-1</f>
        <v>1.9736842105263275E-2</v>
      </c>
      <c r="F192" s="8">
        <f>+'Simulation and  VaR'!F205/'Simulation and  VaR'!F204-1</f>
        <v>8.5337470907680402E-3</v>
      </c>
      <c r="G192" s="8">
        <f>+'Simulation and  VaR'!G205/'Simulation and  VaR'!G204-1</f>
        <v>1.494768310911887E-3</v>
      </c>
      <c r="H192" s="8">
        <f>+'Simulation and  VaR'!H205/'Simulation and  VaR'!H204-1</f>
        <v>-3.3012134189864484E-2</v>
      </c>
      <c r="I192" s="8">
        <f>+'Simulation and  VaR'!I205/'Simulation and  VaR'!I204-1</f>
        <v>1.3533328525756616E-2</v>
      </c>
      <c r="J192" s="8">
        <f>+'Simulation and  VaR'!J205/'Simulation and  VaR'!J204-1</f>
        <v>4.4613350958360831E-2</v>
      </c>
      <c r="K192" s="8">
        <f>+'Simulation and  VaR'!K205/'Simulation and  VaR'!K204-1</f>
        <v>-8.479551236057703E-3</v>
      </c>
      <c r="L192" s="8">
        <f>+'Simulation and  VaR'!L205/'Simulation and  VaR'!L204-1</f>
        <v>1.0322203184420564E-2</v>
      </c>
      <c r="N192" s="26">
        <f t="shared" si="22"/>
        <v>2.8980937052456607E-2</v>
      </c>
      <c r="O192" s="26">
        <f t="shared" si="23"/>
        <v>4.6141608318059295E-2</v>
      </c>
      <c r="P192" s="26">
        <f t="shared" si="24"/>
        <v>3.2601408697825636E-2</v>
      </c>
      <c r="Q192" s="26">
        <f t="shared" si="25"/>
        <v>1.7524082832753956E-2</v>
      </c>
      <c r="R192" s="26">
        <f t="shared" si="26"/>
        <v>6.3526376793232673E-3</v>
      </c>
      <c r="S192" s="26">
        <f t="shared" si="27"/>
        <v>-6.8323366000972233E-4</v>
      </c>
      <c r="T192" s="26">
        <f t="shared" si="28"/>
        <v>-3.8355514234924892E-2</v>
      </c>
      <c r="U192" s="26">
        <f t="shared" si="29"/>
        <v>1.1315623967192365E-3</v>
      </c>
      <c r="V192" s="26">
        <f t="shared" si="30"/>
        <v>3.4384144986718546E-2</v>
      </c>
      <c r="W192" s="26">
        <f t="shared" si="31"/>
        <v>-6.9126359541862884E-3</v>
      </c>
      <c r="X192" s="26">
        <f t="shared" si="32"/>
        <v>1.3846438298176271E-2</v>
      </c>
    </row>
    <row r="193" spans="2:24" x14ac:dyDescent="0.2">
      <c r="B193" s="8">
        <f>+'Simulation and  VaR'!B206/'Simulation and  VaR'!B205-1</f>
        <v>2.9624843876888018E-2</v>
      </c>
      <c r="C193" s="8">
        <f>+'Simulation and  VaR'!C206/'Simulation and  VaR'!C205-1</f>
        <v>4.1194955352594986E-2</v>
      </c>
      <c r="D193" s="8">
        <f>+'Simulation and  VaR'!D206/'Simulation and  VaR'!D205-1</f>
        <v>2.960526315789469E-2</v>
      </c>
      <c r="E193" s="8">
        <f>+'Simulation and  VaR'!E206/'Simulation and  VaR'!E205-1</f>
        <v>2.661290322580645E-2</v>
      </c>
      <c r="F193" s="8">
        <f>+'Simulation and  VaR'!F206/'Simulation and  VaR'!F205-1</f>
        <v>1.3846153846153841E-2</v>
      </c>
      <c r="G193" s="8">
        <f>+'Simulation and  VaR'!G206/'Simulation and  VaR'!G205-1</f>
        <v>1.8656716417910557E-2</v>
      </c>
      <c r="H193" s="8">
        <f>+'Simulation and  VaR'!H206/'Simulation and  VaR'!H205-1</f>
        <v>9.1037706833978493E-3</v>
      </c>
      <c r="I193" s="8">
        <f>+'Simulation and  VaR'!I206/'Simulation and  VaR'!I205-1</f>
        <v>-1.6601840432596493E-2</v>
      </c>
      <c r="J193" s="8">
        <f>+'Simulation and  VaR'!J206/'Simulation and  VaR'!J205-1</f>
        <v>3.1635558367604233E-3</v>
      </c>
      <c r="K193" s="8">
        <f>+'Simulation and  VaR'!K206/'Simulation and  VaR'!K205-1</f>
        <v>-1.7104137885665338E-2</v>
      </c>
      <c r="L193" s="8">
        <f>+'Simulation and  VaR'!L206/'Simulation and  VaR'!L205-1</f>
        <v>1.9440767703507555E-2</v>
      </c>
      <c r="N193" s="26">
        <f t="shared" si="22"/>
        <v>2.5103919384462964E-2</v>
      </c>
      <c r="O193" s="26">
        <f t="shared" si="23"/>
        <v>3.8678185334018393E-2</v>
      </c>
      <c r="P193" s="26">
        <f t="shared" si="24"/>
        <v>2.7313054834443747E-2</v>
      </c>
      <c r="Q193" s="26">
        <f t="shared" si="25"/>
        <v>2.4400143953297131E-2</v>
      </c>
      <c r="R193" s="26">
        <f t="shared" si="26"/>
        <v>1.1665044434709069E-2</v>
      </c>
      <c r="S193" s="26">
        <f t="shared" si="27"/>
        <v>1.6478714446988948E-2</v>
      </c>
      <c r="T193" s="26">
        <f t="shared" si="28"/>
        <v>3.7603906383374443E-3</v>
      </c>
      <c r="U193" s="26">
        <f t="shared" si="29"/>
        <v>-2.9003606561633873E-2</v>
      </c>
      <c r="V193" s="26">
        <f t="shared" si="30"/>
        <v>-7.0656501348818606E-3</v>
      </c>
      <c r="W193" s="26">
        <f t="shared" si="31"/>
        <v>-1.5537222603793924E-2</v>
      </c>
      <c r="X193" s="26">
        <f t="shared" si="32"/>
        <v>2.2965002817263262E-2</v>
      </c>
    </row>
    <row r="194" spans="2:24" x14ac:dyDescent="0.2">
      <c r="B194" s="8">
        <f>+'Simulation and  VaR'!B207/'Simulation and  VaR'!B206-1</f>
        <v>-3.8086660208982215E-2</v>
      </c>
      <c r="C194" s="8">
        <f>+'Simulation and  VaR'!C207/'Simulation and  VaR'!C206-1</f>
        <v>-1.6217613239835837E-2</v>
      </c>
      <c r="D194" s="8">
        <f>+'Simulation and  VaR'!D207/'Simulation and  VaR'!D206-1</f>
        <v>-1.1182108626198173E-2</v>
      </c>
      <c r="E194" s="8">
        <f>+'Simulation and  VaR'!E207/'Simulation and  VaR'!E206-1</f>
        <v>-7.8554595443834918E-3</v>
      </c>
      <c r="F194" s="8">
        <f>+'Simulation and  VaR'!F207/'Simulation and  VaR'!F206-1</f>
        <v>-4.5523520485584168E-3</v>
      </c>
      <c r="G194" s="8">
        <f>+'Simulation and  VaR'!G207/'Simulation and  VaR'!G206-1</f>
        <v>-6.59340659340657E-3</v>
      </c>
      <c r="H194" s="8">
        <f>+'Simulation and  VaR'!H207/'Simulation and  VaR'!H206-1</f>
        <v>1.2374276135324713E-2</v>
      </c>
      <c r="I194" s="8">
        <f>+'Simulation and  VaR'!I207/'Simulation and  VaR'!I206-1</f>
        <v>-1.8690912598881004E-2</v>
      </c>
      <c r="J194" s="8">
        <f>+'Simulation and  VaR'!J207/'Simulation and  VaR'!J206-1</f>
        <v>9.4607379375590828E-3</v>
      </c>
      <c r="K194" s="8">
        <f>+'Simulation and  VaR'!K207/'Simulation and  VaR'!K206-1</f>
        <v>2.4764072016598693E-3</v>
      </c>
      <c r="L194" s="8">
        <f>+'Simulation and  VaR'!L207/'Simulation and  VaR'!L206-1</f>
        <v>-4.3820498255294882E-2</v>
      </c>
      <c r="N194" s="26">
        <f t="shared" si="22"/>
        <v>-4.260758470140727E-2</v>
      </c>
      <c r="O194" s="26">
        <f t="shared" si="23"/>
        <v>-1.8734383258412431E-2</v>
      </c>
      <c r="P194" s="26">
        <f t="shared" si="24"/>
        <v>-1.3474316949649116E-2</v>
      </c>
      <c r="Q194" s="26">
        <f t="shared" si="25"/>
        <v>-1.0068218816892811E-2</v>
      </c>
      <c r="R194" s="26">
        <f t="shared" si="26"/>
        <v>-6.7334614600031897E-3</v>
      </c>
      <c r="S194" s="26">
        <f t="shared" si="27"/>
        <v>-8.7714085643281793E-3</v>
      </c>
      <c r="T194" s="26">
        <f t="shared" si="28"/>
        <v>7.0308960902643082E-3</v>
      </c>
      <c r="U194" s="26">
        <f t="shared" si="29"/>
        <v>-3.1092678727918384E-2</v>
      </c>
      <c r="V194" s="26">
        <f t="shared" si="30"/>
        <v>-7.6846803408320112E-4</v>
      </c>
      <c r="W194" s="26">
        <f t="shared" si="31"/>
        <v>4.0433224835312838E-3</v>
      </c>
      <c r="X194" s="26">
        <f t="shared" si="32"/>
        <v>-4.0296263141539175E-2</v>
      </c>
    </row>
    <row r="195" spans="2:24" x14ac:dyDescent="0.2">
      <c r="B195" s="8">
        <f>+'Simulation and  VaR'!B208/'Simulation and  VaR'!B207-1</f>
        <v>-4.0891987966391596E-2</v>
      </c>
      <c r="C195" s="8">
        <f>+'Simulation and  VaR'!C208/'Simulation and  VaR'!C207-1</f>
        <v>-9.6717563476848012E-3</v>
      </c>
      <c r="D195" s="8">
        <f>+'Simulation and  VaR'!D208/'Simulation and  VaR'!D207-1</f>
        <v>-9.6930533117931539E-3</v>
      </c>
      <c r="E195" s="8">
        <f>+'Simulation and  VaR'!E208/'Simulation and  VaR'!E207-1</f>
        <v>-1.0292953285827355E-2</v>
      </c>
      <c r="F195" s="8">
        <f>+'Simulation and  VaR'!F208/'Simulation and  VaR'!F207-1</f>
        <v>-1.0670731707317027E-2</v>
      </c>
      <c r="G195" s="8">
        <f>+'Simulation and  VaR'!G208/'Simulation and  VaR'!G207-1</f>
        <v>-6.6371681415928752E-3</v>
      </c>
      <c r="H195" s="8">
        <f>+'Simulation and  VaR'!H208/'Simulation and  VaR'!H207-1</f>
        <v>-1.5173410404624166E-2</v>
      </c>
      <c r="I195" s="8">
        <f>+'Simulation and  VaR'!I208/'Simulation and  VaR'!I207-1</f>
        <v>-5.8984000589839991E-2</v>
      </c>
      <c r="J195" s="8">
        <f>+'Simulation and  VaR'!J208/'Simulation and  VaR'!J207-1</f>
        <v>-5.6232427366447846E-2</v>
      </c>
      <c r="K195" s="8">
        <f>+'Simulation and  VaR'!K208/'Simulation and  VaR'!K207-1</f>
        <v>-1.6691147015622798E-3</v>
      </c>
      <c r="L195" s="8">
        <f>+'Simulation and  VaR'!L208/'Simulation and  VaR'!L207-1</f>
        <v>-6.7894424170414913E-3</v>
      </c>
      <c r="N195" s="26">
        <f t="shared" si="22"/>
        <v>-4.5412912458816651E-2</v>
      </c>
      <c r="O195" s="26">
        <f t="shared" si="23"/>
        <v>-1.2188526366261394E-2</v>
      </c>
      <c r="P195" s="26">
        <f t="shared" si="24"/>
        <v>-1.1985261635244097E-2</v>
      </c>
      <c r="Q195" s="26">
        <f t="shared" si="25"/>
        <v>-1.2505712558336674E-2</v>
      </c>
      <c r="R195" s="26">
        <f t="shared" si="26"/>
        <v>-1.28518411187618E-2</v>
      </c>
      <c r="S195" s="26">
        <f t="shared" si="27"/>
        <v>-8.8151701125144845E-3</v>
      </c>
      <c r="T195" s="26">
        <f t="shared" si="28"/>
        <v>-2.0516790449684571E-2</v>
      </c>
      <c r="U195" s="26">
        <f t="shared" si="29"/>
        <v>-7.1385766718877364E-2</v>
      </c>
      <c r="V195" s="26">
        <f t="shared" si="30"/>
        <v>-6.6461633338090131E-2</v>
      </c>
      <c r="W195" s="26">
        <f t="shared" si="31"/>
        <v>-1.0219941969086526E-4</v>
      </c>
      <c r="X195" s="26">
        <f t="shared" si="32"/>
        <v>-3.2652073032857849E-3</v>
      </c>
    </row>
    <row r="196" spans="2:24" x14ac:dyDescent="0.2">
      <c r="B196" s="8">
        <f>+'Simulation and  VaR'!B209/'Simulation and  VaR'!B208-1</f>
        <v>1.5282292675283138E-2</v>
      </c>
      <c r="C196" s="8">
        <f>+'Simulation and  VaR'!C209/'Simulation and  VaR'!C208-1</f>
        <v>1.2899316076530054E-2</v>
      </c>
      <c r="D196" s="8">
        <f>+'Simulation and  VaR'!D209/'Simulation and  VaR'!D208-1</f>
        <v>1.3050570962479524E-2</v>
      </c>
      <c r="E196" s="8">
        <f>+'Simulation and  VaR'!E209/'Simulation and  VaR'!E208-1</f>
        <v>9.5999999999998309E-3</v>
      </c>
      <c r="F196" s="8">
        <f>+'Simulation and  VaR'!F209/'Simulation and  VaR'!F208-1</f>
        <v>9.244992295839749E-3</v>
      </c>
      <c r="G196" s="8">
        <f>+'Simulation and  VaR'!G209/'Simulation and  VaR'!G208-1</f>
        <v>1.1135857461024301E-2</v>
      </c>
      <c r="H196" s="8">
        <f>+'Simulation and  VaR'!H209/'Simulation and  VaR'!H208-1</f>
        <v>1.7424798239178196E-2</v>
      </c>
      <c r="I196" s="8">
        <f>+'Simulation and  VaR'!I209/'Simulation and  VaR'!I208-1</f>
        <v>5.3853587192143948E-2</v>
      </c>
      <c r="J196" s="8">
        <f>+'Simulation and  VaR'!J209/'Simulation and  VaR'!J208-1</f>
        <v>1.6550810989739428E-3</v>
      </c>
      <c r="K196" s="8">
        <f>+'Simulation and  VaR'!K209/'Simulation and  VaR'!K208-1</f>
        <v>-2.1534140306293081E-2</v>
      </c>
      <c r="L196" s="8">
        <f>+'Simulation and  VaR'!L209/'Simulation and  VaR'!L208-1</f>
        <v>-6.622233615312334E-3</v>
      </c>
      <c r="N196" s="26">
        <f t="shared" si="22"/>
        <v>1.0761368182858085E-2</v>
      </c>
      <c r="O196" s="26">
        <f t="shared" si="23"/>
        <v>1.0382546057953461E-2</v>
      </c>
      <c r="P196" s="26">
        <f t="shared" si="24"/>
        <v>1.0758362639028581E-2</v>
      </c>
      <c r="Q196" s="26">
        <f t="shared" si="25"/>
        <v>7.3872407274905121E-3</v>
      </c>
      <c r="R196" s="26">
        <f t="shared" si="26"/>
        <v>7.0638828843949761E-3</v>
      </c>
      <c r="S196" s="26">
        <f t="shared" si="27"/>
        <v>8.9578554901026917E-3</v>
      </c>
      <c r="T196" s="26">
        <f t="shared" si="28"/>
        <v>1.2081418194117791E-2</v>
      </c>
      <c r="U196" s="26">
        <f t="shared" si="29"/>
        <v>4.1451821063106568E-2</v>
      </c>
      <c r="V196" s="26">
        <f t="shared" si="30"/>
        <v>-8.574124872668341E-3</v>
      </c>
      <c r="W196" s="26">
        <f t="shared" si="31"/>
        <v>-1.9967225024421668E-2</v>
      </c>
      <c r="X196" s="26">
        <f t="shared" si="32"/>
        <v>-3.0979985015566276E-3</v>
      </c>
    </row>
    <row r="197" spans="2:24" x14ac:dyDescent="0.2">
      <c r="B197" s="8">
        <f>+'Simulation and  VaR'!B210/'Simulation and  VaR'!B209-1</f>
        <v>2.7046324616394557E-2</v>
      </c>
      <c r="C197" s="8">
        <f>+'Simulation and  VaR'!C210/'Simulation and  VaR'!C209-1</f>
        <v>1.1925111931623933E-2</v>
      </c>
      <c r="D197" s="8">
        <f>+'Simulation and  VaR'!D210/'Simulation and  VaR'!D209-1</f>
        <v>1.2882447665056418E-2</v>
      </c>
      <c r="E197" s="8">
        <f>+'Simulation and  VaR'!E210/'Simulation and  VaR'!E209-1</f>
        <v>1.188589540412055E-2</v>
      </c>
      <c r="F197" s="8">
        <f>+'Simulation and  VaR'!F210/'Simulation and  VaR'!F209-1</f>
        <v>9.1603053435114212E-3</v>
      </c>
      <c r="G197" s="8">
        <f>+'Simulation and  VaR'!G210/'Simulation and  VaR'!G209-1</f>
        <v>1.0279001468428861E-2</v>
      </c>
      <c r="H197" s="8">
        <f>+'Simulation and  VaR'!H210/'Simulation and  VaR'!H209-1</f>
        <v>-8.8336037497745989E-3</v>
      </c>
      <c r="I197" s="8">
        <f>+'Simulation and  VaR'!I210/'Simulation and  VaR'!I209-1</f>
        <v>-5.3282446531684458E-2</v>
      </c>
      <c r="J197" s="8">
        <f>+'Simulation and  VaR'!J210/'Simulation and  VaR'!J209-1</f>
        <v>-3.3046926635822871E-2</v>
      </c>
      <c r="K197" s="8">
        <f>+'Simulation and  VaR'!K210/'Simulation and  VaR'!K209-1</f>
        <v>-7.8600232383295721E-3</v>
      </c>
      <c r="L197" s="8">
        <f>+'Simulation and  VaR'!L210/'Simulation and  VaR'!L209-1</f>
        <v>-3.4407122274311419E-3</v>
      </c>
      <c r="N197" s="26">
        <f t="shared" si="22"/>
        <v>2.2525400123969502E-2</v>
      </c>
      <c r="O197" s="26">
        <f t="shared" si="23"/>
        <v>9.4083419130473397E-3</v>
      </c>
      <c r="P197" s="26">
        <f t="shared" si="24"/>
        <v>1.0590239341605474E-2</v>
      </c>
      <c r="Q197" s="26">
        <f t="shared" si="25"/>
        <v>9.6731361316112312E-3</v>
      </c>
      <c r="R197" s="26">
        <f t="shared" si="26"/>
        <v>6.9791959320666484E-3</v>
      </c>
      <c r="S197" s="26">
        <f t="shared" si="27"/>
        <v>8.1009994975072518E-3</v>
      </c>
      <c r="T197" s="26">
        <f t="shared" si="28"/>
        <v>-1.4176983794835004E-2</v>
      </c>
      <c r="U197" s="26">
        <f t="shared" si="29"/>
        <v>-6.568421266072183E-2</v>
      </c>
      <c r="V197" s="26">
        <f t="shared" si="30"/>
        <v>-4.3276132607465156E-2</v>
      </c>
      <c r="W197" s="26">
        <f t="shared" si="31"/>
        <v>-6.2931079564581575E-3</v>
      </c>
      <c r="X197" s="26">
        <f t="shared" si="32"/>
        <v>8.352288632456446E-5</v>
      </c>
    </row>
    <row r="198" spans="2:24" x14ac:dyDescent="0.2">
      <c r="B198" s="8">
        <f>+'Simulation and  VaR'!B211/'Simulation and  VaR'!B210-1</f>
        <v>-1.0546261311172866E-2</v>
      </c>
      <c r="C198" s="8">
        <f>+'Simulation and  VaR'!C211/'Simulation and  VaR'!C210-1</f>
        <v>-1.3071632549487511E-2</v>
      </c>
      <c r="D198" s="8">
        <f>+'Simulation and  VaR'!D211/'Simulation and  VaR'!D210-1</f>
        <v>-2.941176470588247E-2</v>
      </c>
      <c r="E198" s="8">
        <f>+'Simulation and  VaR'!E211/'Simulation and  VaR'!E210-1</f>
        <v>-3.9154267815191268E-3</v>
      </c>
      <c r="F198" s="8">
        <f>+'Simulation and  VaR'!F211/'Simulation and  VaR'!F210-1</f>
        <v>-6.0514372163389396E-3</v>
      </c>
      <c r="G198" s="8">
        <f>+'Simulation and  VaR'!G211/'Simulation and  VaR'!G210-1</f>
        <v>-7.2674418604651292E-3</v>
      </c>
      <c r="H198" s="8">
        <f>+'Simulation and  VaR'!H211/'Simulation and  VaR'!H210-1</f>
        <v>-9.2154722929550514E-3</v>
      </c>
      <c r="I198" s="8">
        <f>+'Simulation and  VaR'!I211/'Simulation and  VaR'!I210-1</f>
        <v>-2.3219287453208004E-2</v>
      </c>
      <c r="J198" s="8">
        <f>+'Simulation and  VaR'!J211/'Simulation and  VaR'!J210-1</f>
        <v>-1.0252904989747069E-2</v>
      </c>
      <c r="K198" s="8">
        <f>+'Simulation and  VaR'!K211/'Simulation and  VaR'!K210-1</f>
        <v>-3.4651419123725602E-2</v>
      </c>
      <c r="L198" s="8">
        <f>+'Simulation and  VaR'!L211/'Simulation and  VaR'!L210-1</f>
        <v>1.2817746320832102E-2</v>
      </c>
      <c r="N198" s="26">
        <f t="shared" ref="N198:N254" si="33">B198-$B$256</f>
        <v>-1.5067185803597919E-2</v>
      </c>
      <c r="O198" s="26">
        <f t="shared" ref="O198:O254" si="34">C198-$C$256</f>
        <v>-1.5588402568064104E-2</v>
      </c>
      <c r="P198" s="26">
        <f t="shared" ref="P198:P254" si="35">D198-$D$256</f>
        <v>-3.1703973029333414E-2</v>
      </c>
      <c r="Q198" s="26">
        <f t="shared" ref="Q198:Q254" si="36">E198-$E$256</f>
        <v>-6.1281860540284457E-3</v>
      </c>
      <c r="R198" s="26">
        <f t="shared" ref="R198:R254" si="37">F198-$F$256</f>
        <v>-8.2325466277837125E-3</v>
      </c>
      <c r="S198" s="26">
        <f t="shared" ref="S198:S254" si="38">G198-$G$256</f>
        <v>-9.4454438313867385E-3</v>
      </c>
      <c r="T198" s="26">
        <f t="shared" ref="T198:T254" si="39">H198-$H$256</f>
        <v>-1.4558852338015457E-2</v>
      </c>
      <c r="U198" s="26">
        <f t="shared" ref="U198:U254" si="40">I198-$I$256</f>
        <v>-3.5621053582245384E-2</v>
      </c>
      <c r="V198" s="26">
        <f t="shared" ref="V198:V254" si="41">J198-$J$256</f>
        <v>-2.0482110961389355E-2</v>
      </c>
      <c r="W198" s="26">
        <f t="shared" ref="W198:W254" si="42">K198-$K$256</f>
        <v>-3.3084503841854185E-2</v>
      </c>
      <c r="X198" s="26">
        <f t="shared" ref="X198:X254" si="43">L198-$L$256</f>
        <v>1.6341981434587809E-2</v>
      </c>
    </row>
    <row r="199" spans="2:24" x14ac:dyDescent="0.2">
      <c r="B199" s="8">
        <f>+'Simulation and  VaR'!B212/'Simulation and  VaR'!B211-1</f>
        <v>2.1190029352823547E-2</v>
      </c>
      <c r="C199" s="8">
        <f>+'Simulation and  VaR'!C212/'Simulation and  VaR'!C211-1</f>
        <v>1.4321503481492082E-2</v>
      </c>
      <c r="D199" s="8">
        <f>+'Simulation and  VaR'!D212/'Simulation and  VaR'!D211-1</f>
        <v>-9.8280098280097983E-3</v>
      </c>
      <c r="E199" s="8">
        <f>+'Simulation and  VaR'!E212/'Simulation and  VaR'!E211-1</f>
        <v>-7.8616352201266171E-4</v>
      </c>
      <c r="F199" s="8">
        <f>+'Simulation and  VaR'!F212/'Simulation and  VaR'!F211-1</f>
        <v>-1.5220700152207556E-3</v>
      </c>
      <c r="G199" s="8">
        <f>+'Simulation and  VaR'!G212/'Simulation and  VaR'!G211-1</f>
        <v>-4.3923865300147247E-3</v>
      </c>
      <c r="H199" s="8">
        <f>+'Simulation and  VaR'!H212/'Simulation and  VaR'!H211-1</f>
        <v>-3.8856933055929521E-2</v>
      </c>
      <c r="I199" s="8">
        <f>+'Simulation and  VaR'!I212/'Simulation and  VaR'!I211-1</f>
        <v>5.8610709117221438E-2</v>
      </c>
      <c r="J199" s="8">
        <f>+'Simulation and  VaR'!J212/'Simulation and  VaR'!J211-1</f>
        <v>5.0069060773480611E-2</v>
      </c>
      <c r="K199" s="8">
        <f>+'Simulation and  VaR'!K212/'Simulation and  VaR'!K211-1</f>
        <v>6.3726539641761226E-2</v>
      </c>
      <c r="L199" s="8">
        <f>+'Simulation and  VaR'!L212/'Simulation and  VaR'!L211-1</f>
        <v>-5.2837906937105439E-3</v>
      </c>
      <c r="N199" s="26">
        <f t="shared" si="33"/>
        <v>1.6669104860398493E-2</v>
      </c>
      <c r="O199" s="26">
        <f t="shared" si="34"/>
        <v>1.1804733462915488E-2</v>
      </c>
      <c r="P199" s="26">
        <f t="shared" si="35"/>
        <v>-1.2120218151460742E-2</v>
      </c>
      <c r="Q199" s="26">
        <f t="shared" si="36"/>
        <v>-2.9989227945219801E-3</v>
      </c>
      <c r="R199" s="26">
        <f t="shared" si="37"/>
        <v>-3.7031794266655289E-3</v>
      </c>
      <c r="S199" s="26">
        <f t="shared" si="38"/>
        <v>-6.570388500936334E-3</v>
      </c>
      <c r="T199" s="26">
        <f t="shared" si="39"/>
        <v>-4.420031310098993E-2</v>
      </c>
      <c r="U199" s="26">
        <f t="shared" si="40"/>
        <v>4.6208942988184058E-2</v>
      </c>
      <c r="V199" s="26">
        <f t="shared" si="41"/>
        <v>3.9839854801838326E-2</v>
      </c>
      <c r="W199" s="26">
        <f t="shared" si="42"/>
        <v>6.5293454923632643E-2</v>
      </c>
      <c r="X199" s="26">
        <f t="shared" si="43"/>
        <v>-1.7595555799548375E-3</v>
      </c>
    </row>
    <row r="200" spans="2:24" x14ac:dyDescent="0.2">
      <c r="B200" s="8">
        <f>+'Simulation and  VaR'!B213/'Simulation and  VaR'!B212-1</f>
        <v>4.8308205299679496E-2</v>
      </c>
      <c r="C200" s="8">
        <f>+'Simulation and  VaR'!C213/'Simulation and  VaR'!C212-1</f>
        <v>4.0244803392442963E-2</v>
      </c>
      <c r="D200" s="8">
        <f>+'Simulation and  VaR'!D213/'Simulation and  VaR'!D212-1</f>
        <v>4.0529363110008321E-2</v>
      </c>
      <c r="E200" s="8">
        <f>+'Simulation and  VaR'!E213/'Simulation and  VaR'!E212-1</f>
        <v>4.0912667191188135E-2</v>
      </c>
      <c r="F200" s="8">
        <f>+'Simulation and  VaR'!F213/'Simulation and  VaR'!F212-1</f>
        <v>3.2774390243902385E-2</v>
      </c>
      <c r="G200" s="8">
        <f>+'Simulation and  VaR'!G213/'Simulation and  VaR'!G212-1</f>
        <v>2.941176470588247E-2</v>
      </c>
      <c r="H200" s="8">
        <f>+'Simulation and  VaR'!H213/'Simulation and  VaR'!H212-1</f>
        <v>1.349716686827529E-2</v>
      </c>
      <c r="I200" s="8">
        <f>+'Simulation and  VaR'!I213/'Simulation and  VaR'!I212-1</f>
        <v>-1.7088174982911819E-2</v>
      </c>
      <c r="J200" s="8">
        <f>+'Simulation and  VaR'!J213/'Simulation and  VaR'!J212-1</f>
        <v>3.2883919763235792E-3</v>
      </c>
      <c r="K200" s="8">
        <f>+'Simulation and  VaR'!K213/'Simulation and  VaR'!K212-1</f>
        <v>-3.5556151885147047E-2</v>
      </c>
      <c r="L200" s="8">
        <f>+'Simulation and  VaR'!L213/'Simulation and  VaR'!L212-1</f>
        <v>-3.7183002056202952E-2</v>
      </c>
      <c r="N200" s="26">
        <f t="shared" si="33"/>
        <v>4.3787280807254442E-2</v>
      </c>
      <c r="O200" s="26">
        <f t="shared" si="34"/>
        <v>3.772803337386637E-2</v>
      </c>
      <c r="P200" s="26">
        <f t="shared" si="35"/>
        <v>3.8237154786557377E-2</v>
      </c>
      <c r="Q200" s="26">
        <f t="shared" si="36"/>
        <v>3.8699907918678819E-2</v>
      </c>
      <c r="R200" s="26">
        <f t="shared" si="37"/>
        <v>3.059328083245761E-2</v>
      </c>
      <c r="S200" s="26">
        <f t="shared" si="38"/>
        <v>2.7233762734960861E-2</v>
      </c>
      <c r="T200" s="26">
        <f t="shared" si="39"/>
        <v>8.1537868232148848E-3</v>
      </c>
      <c r="U200" s="26">
        <f t="shared" si="40"/>
        <v>-2.9489941111949199E-2</v>
      </c>
      <c r="V200" s="26">
        <f t="shared" si="41"/>
        <v>-6.9408139953187047E-3</v>
      </c>
      <c r="W200" s="26">
        <f t="shared" si="42"/>
        <v>-3.398923660327563E-2</v>
      </c>
      <c r="X200" s="26">
        <f t="shared" si="43"/>
        <v>-3.3658766942447245E-2</v>
      </c>
    </row>
    <row r="201" spans="2:24" x14ac:dyDescent="0.2">
      <c r="B201" s="8">
        <f>+'Simulation and  VaR'!B214/'Simulation and  VaR'!B213-1</f>
        <v>1.9335033993814088E-2</v>
      </c>
      <c r="C201" s="8">
        <f>+'Simulation and  VaR'!C214/'Simulation and  VaR'!C213-1</f>
        <v>2.5758246081470926E-2</v>
      </c>
      <c r="D201" s="8">
        <f>+'Simulation and  VaR'!D214/'Simulation and  VaR'!D213-1</f>
        <v>1.9077901430842648E-2</v>
      </c>
      <c r="E201" s="8">
        <f>+'Simulation and  VaR'!E214/'Simulation and  VaR'!E213-1</f>
        <v>1.9652305366591127E-2</v>
      </c>
      <c r="F201" s="8">
        <f>+'Simulation and  VaR'!F214/'Simulation and  VaR'!F213-1</f>
        <v>1.6974169741697409E-2</v>
      </c>
      <c r="G201" s="8">
        <f>+'Simulation and  VaR'!G214/'Simulation and  VaR'!G213-1</f>
        <v>2.2857142857142909E-2</v>
      </c>
      <c r="H201" s="8">
        <f>+'Simulation and  VaR'!H214/'Simulation and  VaR'!H213-1</f>
        <v>5.4651674100132386E-3</v>
      </c>
      <c r="I201" s="8">
        <f>+'Simulation and  VaR'!I214/'Simulation and  VaR'!I213-1</f>
        <v>-3.2838819347859705E-2</v>
      </c>
      <c r="J201" s="8">
        <f>+'Simulation and  VaR'!J214/'Simulation and  VaR'!J213-1</f>
        <v>6.555227794165841E-3</v>
      </c>
      <c r="K201" s="8">
        <f>+'Simulation and  VaR'!K214/'Simulation and  VaR'!K213-1</f>
        <v>-2.7476349471341033E-2</v>
      </c>
      <c r="L201" s="8">
        <f>+'Simulation and  VaR'!L214/'Simulation and  VaR'!L213-1</f>
        <v>1.0010678056593614E-2</v>
      </c>
      <c r="N201" s="26">
        <f t="shared" si="33"/>
        <v>1.4814109501389035E-2</v>
      </c>
      <c r="O201" s="26">
        <f t="shared" si="34"/>
        <v>2.3241476062894333E-2</v>
      </c>
      <c r="P201" s="26">
        <f t="shared" si="35"/>
        <v>1.6785693107391704E-2</v>
      </c>
      <c r="Q201" s="26">
        <f t="shared" si="36"/>
        <v>1.7439546094081809E-2</v>
      </c>
      <c r="R201" s="26">
        <f t="shared" si="37"/>
        <v>1.4793060330252636E-2</v>
      </c>
      <c r="S201" s="26">
        <f t="shared" si="38"/>
        <v>2.06791408862213E-2</v>
      </c>
      <c r="T201" s="26">
        <f t="shared" si="39"/>
        <v>1.2178736495283352E-4</v>
      </c>
      <c r="U201" s="26">
        <f t="shared" si="40"/>
        <v>-4.5240585476897084E-2</v>
      </c>
      <c r="V201" s="26">
        <f t="shared" si="41"/>
        <v>-3.6739781774764429E-3</v>
      </c>
      <c r="W201" s="26">
        <f t="shared" si="42"/>
        <v>-2.5909434189469619E-2</v>
      </c>
      <c r="X201" s="26">
        <f t="shared" si="43"/>
        <v>1.3534913170349321E-2</v>
      </c>
    </row>
    <row r="202" spans="2:24" x14ac:dyDescent="0.2">
      <c r="B202" s="8">
        <f>+'Simulation and  VaR'!B215/'Simulation and  VaR'!B214-1</f>
        <v>1.4519400981304997E-2</v>
      </c>
      <c r="C202" s="8">
        <f>+'Simulation and  VaR'!C215/'Simulation and  VaR'!C214-1</f>
        <v>6.1041357160663834E-2</v>
      </c>
      <c r="D202" s="8">
        <f>+'Simulation and  VaR'!D215/'Simulation and  VaR'!D214-1</f>
        <v>3.6661466458658198E-2</v>
      </c>
      <c r="E202" s="8">
        <f>+'Simulation and  VaR'!E215/'Simulation and  VaR'!E214-1</f>
        <v>4.5959970348406154E-2</v>
      </c>
      <c r="F202" s="8">
        <f>+'Simulation and  VaR'!F215/'Simulation and  VaR'!F214-1</f>
        <v>4.3541364296081353E-2</v>
      </c>
      <c r="G202" s="8">
        <f>+'Simulation and  VaR'!G215/'Simulation and  VaR'!G214-1</f>
        <v>3.0027932960893899E-2</v>
      </c>
      <c r="H202" s="8">
        <f>+'Simulation and  VaR'!H215/'Simulation and  VaR'!H214-1</f>
        <v>-5.935274272147939E-2</v>
      </c>
      <c r="I202" s="8">
        <f>+'Simulation and  VaR'!I215/'Simulation and  VaR'!I214-1</f>
        <v>2.4633165561503079E-2</v>
      </c>
      <c r="J202" s="8">
        <f>+'Simulation and  VaR'!J215/'Simulation and  VaR'!J214-1</f>
        <v>-1.6281341582546349E-2</v>
      </c>
      <c r="K202" s="8">
        <f>+'Simulation and  VaR'!K215/'Simulation and  VaR'!K214-1</f>
        <v>-8.9407052428295275E-3</v>
      </c>
      <c r="L202" s="8">
        <f>+'Simulation and  VaR'!L215/'Simulation and  VaR'!L214-1</f>
        <v>2.0175322673010143E-2</v>
      </c>
      <c r="N202" s="26">
        <f t="shared" si="33"/>
        <v>9.9984764888799444E-3</v>
      </c>
      <c r="O202" s="26">
        <f t="shared" si="34"/>
        <v>5.8524587142087241E-2</v>
      </c>
      <c r="P202" s="26">
        <f t="shared" si="35"/>
        <v>3.4369258135207255E-2</v>
      </c>
      <c r="Q202" s="26">
        <f t="shared" si="36"/>
        <v>4.3747211075896839E-2</v>
      </c>
      <c r="R202" s="26">
        <f t="shared" si="37"/>
        <v>4.1360254884636578E-2</v>
      </c>
      <c r="S202" s="26">
        <f t="shared" si="38"/>
        <v>2.784993098997229E-2</v>
      </c>
      <c r="T202" s="26">
        <f t="shared" si="39"/>
        <v>-6.4696122766539799E-2</v>
      </c>
      <c r="U202" s="26">
        <f t="shared" si="40"/>
        <v>1.2231399432465699E-2</v>
      </c>
      <c r="V202" s="26">
        <f t="shared" si="41"/>
        <v>-2.6510547554188635E-2</v>
      </c>
      <c r="W202" s="26">
        <f t="shared" si="42"/>
        <v>-7.3737899609581129E-3</v>
      </c>
      <c r="X202" s="26">
        <f t="shared" si="43"/>
        <v>2.369955778676585E-2</v>
      </c>
    </row>
    <row r="203" spans="2:24" x14ac:dyDescent="0.2">
      <c r="B203" s="8">
        <f>+'Simulation and  VaR'!B216/'Simulation and  VaR'!B215-1</f>
        <v>3.5381529725342364E-3</v>
      </c>
      <c r="C203" s="8">
        <f>+'Simulation and  VaR'!C216/'Simulation and  VaR'!C215-1</f>
        <v>1.1493029173754055E-2</v>
      </c>
      <c r="D203" s="8">
        <f>+'Simulation and  VaR'!D216/'Simulation and  VaR'!D215-1</f>
        <v>2.0316027088036259E-2</v>
      </c>
      <c r="E203" s="8">
        <f>+'Simulation and  VaR'!E216/'Simulation and  VaR'!E215-1</f>
        <v>1.6300496102055417E-2</v>
      </c>
      <c r="F203" s="8">
        <f>+'Simulation and  VaR'!F216/'Simulation and  VaR'!F215-1</f>
        <v>2.0166898470097339E-2</v>
      </c>
      <c r="G203" s="8">
        <f>+'Simulation and  VaR'!G216/'Simulation and  VaR'!G215-1</f>
        <v>2.1016949152542486E-2</v>
      </c>
      <c r="H203" s="8">
        <f>+'Simulation and  VaR'!H216/'Simulation and  VaR'!H215-1</f>
        <v>1.7468119022316708E-2</v>
      </c>
      <c r="I203" s="8">
        <f>+'Simulation and  VaR'!I216/'Simulation and  VaR'!I215-1</f>
        <v>-2.9239006133693679E-2</v>
      </c>
      <c r="J203" s="8">
        <f>+'Simulation and  VaR'!J216/'Simulation and  VaR'!J215-1</f>
        <v>1.8205892088712261E-2</v>
      </c>
      <c r="K203" s="8">
        <f>+'Simulation and  VaR'!K216/'Simulation and  VaR'!K215-1</f>
        <v>-2.0207852193995457E-2</v>
      </c>
      <c r="L203" s="8">
        <f>+'Simulation and  VaR'!L216/'Simulation and  VaR'!L215-1</f>
        <v>2.4698821192624898E-2</v>
      </c>
      <c r="N203" s="26">
        <f t="shared" si="33"/>
        <v>-9.827715198908165E-4</v>
      </c>
      <c r="O203" s="26">
        <f t="shared" si="34"/>
        <v>8.9762591551774615E-3</v>
      </c>
      <c r="P203" s="26">
        <f t="shared" si="35"/>
        <v>1.8023818764585316E-2</v>
      </c>
      <c r="Q203" s="26">
        <f t="shared" si="36"/>
        <v>1.4087736829546098E-2</v>
      </c>
      <c r="R203" s="26">
        <f t="shared" si="37"/>
        <v>1.7985789058652564E-2</v>
      </c>
      <c r="S203" s="26">
        <f t="shared" si="38"/>
        <v>1.8838947181620876E-2</v>
      </c>
      <c r="T203" s="26">
        <f t="shared" si="39"/>
        <v>1.2124738977256303E-2</v>
      </c>
      <c r="U203" s="26">
        <f t="shared" si="40"/>
        <v>-4.1640772262731059E-2</v>
      </c>
      <c r="V203" s="26">
        <f t="shared" si="41"/>
        <v>7.9766861170699772E-3</v>
      </c>
      <c r="W203" s="26">
        <f t="shared" si="42"/>
        <v>-1.8640936912124043E-2</v>
      </c>
      <c r="X203" s="26">
        <f t="shared" si="43"/>
        <v>2.8223056306380605E-2</v>
      </c>
    </row>
    <row r="204" spans="2:24" x14ac:dyDescent="0.2">
      <c r="B204" s="8">
        <f>+'Simulation and  VaR'!B217/'Simulation and  VaR'!B216-1</f>
        <v>2.5673604959466134E-2</v>
      </c>
      <c r="C204" s="8">
        <f>+'Simulation and  VaR'!C217/'Simulation and  VaR'!C216-1</f>
        <v>-1.4770375042580497E-2</v>
      </c>
      <c r="D204" s="8">
        <f>+'Simulation and  VaR'!D217/'Simulation and  VaR'!D216-1</f>
        <v>-8.1120943952803781E-3</v>
      </c>
      <c r="E204" s="8">
        <f>+'Simulation and  VaR'!E217/'Simulation and  VaR'!E216-1</f>
        <v>-1.4644351464435212E-2</v>
      </c>
      <c r="F204" s="8">
        <f>+'Simulation and  VaR'!F217/'Simulation and  VaR'!F216-1</f>
        <v>-6.1349693251533388E-3</v>
      </c>
      <c r="G204" s="8">
        <f>+'Simulation and  VaR'!G217/'Simulation and  VaR'!G216-1</f>
        <v>6.6401062416998613E-3</v>
      </c>
      <c r="H204" s="8">
        <f>+'Simulation and  VaR'!H217/'Simulation and  VaR'!H216-1</f>
        <v>-1.645015993211052E-2</v>
      </c>
      <c r="I204" s="8">
        <f>+'Simulation and  VaR'!I217/'Simulation and  VaR'!I216-1</f>
        <v>-8.6664346336108866E-2</v>
      </c>
      <c r="J204" s="8">
        <f>+'Simulation and  VaR'!J217/'Simulation and  VaR'!J216-1</f>
        <v>-3.9011703511053319E-2</v>
      </c>
      <c r="K204" s="8">
        <f>+'Simulation and  VaR'!K217/'Simulation and  VaR'!K216-1</f>
        <v>-3.697701826753097E-2</v>
      </c>
      <c r="L204" s="8">
        <f>+'Simulation and  VaR'!L217/'Simulation and  VaR'!L216-1</f>
        <v>3.3711179469891661E-2</v>
      </c>
      <c r="N204" s="26">
        <f t="shared" si="33"/>
        <v>2.115268046704108E-2</v>
      </c>
      <c r="O204" s="26">
        <f t="shared" si="34"/>
        <v>-1.728714506115709E-2</v>
      </c>
      <c r="P204" s="26">
        <f t="shared" si="35"/>
        <v>-1.0404302718731322E-2</v>
      </c>
      <c r="Q204" s="26">
        <f t="shared" si="36"/>
        <v>-1.6857110736944531E-2</v>
      </c>
      <c r="R204" s="26">
        <f t="shared" si="37"/>
        <v>-8.3160787365981117E-3</v>
      </c>
      <c r="S204" s="26">
        <f t="shared" si="38"/>
        <v>4.462104270778252E-3</v>
      </c>
      <c r="T204" s="26">
        <f t="shared" si="39"/>
        <v>-2.1793539977170925E-2</v>
      </c>
      <c r="U204" s="26">
        <f t="shared" si="40"/>
        <v>-9.9066112465146239E-2</v>
      </c>
      <c r="V204" s="26">
        <f t="shared" si="41"/>
        <v>-4.9240909482695605E-2</v>
      </c>
      <c r="W204" s="26">
        <f t="shared" si="42"/>
        <v>-3.5410102985659553E-2</v>
      </c>
      <c r="X204" s="26">
        <f t="shared" si="43"/>
        <v>3.7235414583647368E-2</v>
      </c>
    </row>
    <row r="205" spans="2:24" x14ac:dyDescent="0.2">
      <c r="B205" s="8">
        <f>+'Simulation and  VaR'!B218/'Simulation and  VaR'!B217-1</f>
        <v>3.5625194026468687E-2</v>
      </c>
      <c r="C205" s="8">
        <f>+'Simulation and  VaR'!C218/'Simulation and  VaR'!C217-1</f>
        <v>-4.8330510332879384E-2</v>
      </c>
      <c r="D205" s="8">
        <f>+'Simulation and  VaR'!D218/'Simulation and  VaR'!D217-1</f>
        <v>-4.2379182156133899E-2</v>
      </c>
      <c r="E205" s="8">
        <f>+'Simulation and  VaR'!E218/'Simulation and  VaR'!E217-1</f>
        <v>-4.6001415428166936E-2</v>
      </c>
      <c r="F205" s="8">
        <f>+'Simulation and  VaR'!F218/'Simulation and  VaR'!F217-1</f>
        <v>-3.0178326474622708E-2</v>
      </c>
      <c r="G205" s="8">
        <f>+'Simulation and  VaR'!G218/'Simulation and  VaR'!G217-1</f>
        <v>-3.4300791556728161E-2</v>
      </c>
      <c r="H205" s="8">
        <f>+'Simulation and  VaR'!H218/'Simulation and  VaR'!H217-1</f>
        <v>0.10632508130351104</v>
      </c>
      <c r="I205" s="8">
        <f>+'Simulation and  VaR'!I218/'Simulation and  VaR'!I217-1</f>
        <v>2.0138359617752233E-2</v>
      </c>
      <c r="J205" s="8">
        <f>+'Simulation and  VaR'!J218/'Simulation and  VaR'!J217-1</f>
        <v>-5.7510148849796994E-2</v>
      </c>
      <c r="K205" s="8">
        <f>+'Simulation and  VaR'!K218/'Simulation and  VaR'!K217-1</f>
        <v>1.5297537096525815E-4</v>
      </c>
      <c r="L205" s="8">
        <f>+'Simulation and  VaR'!L218/'Simulation and  VaR'!L217-1</f>
        <v>-1.3860013860013898E-2</v>
      </c>
      <c r="N205" s="26">
        <f t="shared" si="33"/>
        <v>3.1104269534043633E-2</v>
      </c>
      <c r="O205" s="26">
        <f t="shared" si="34"/>
        <v>-5.0847280351455977E-2</v>
      </c>
      <c r="P205" s="26">
        <f t="shared" si="35"/>
        <v>-4.4671390479584842E-2</v>
      </c>
      <c r="Q205" s="26">
        <f t="shared" si="36"/>
        <v>-4.8214174700676252E-2</v>
      </c>
      <c r="R205" s="26">
        <f t="shared" si="37"/>
        <v>-3.2359435886067482E-2</v>
      </c>
      <c r="S205" s="26">
        <f t="shared" si="38"/>
        <v>-3.6478793527649767E-2</v>
      </c>
      <c r="T205" s="26">
        <f t="shared" si="39"/>
        <v>0.10098170125845063</v>
      </c>
      <c r="U205" s="26">
        <f t="shared" si="40"/>
        <v>7.7365934887148533E-3</v>
      </c>
      <c r="V205" s="26">
        <f t="shared" si="41"/>
        <v>-6.7739354821439279E-2</v>
      </c>
      <c r="W205" s="26">
        <f t="shared" si="42"/>
        <v>1.7198906528366727E-3</v>
      </c>
      <c r="X205" s="26">
        <f t="shared" si="43"/>
        <v>-1.0335778746258191E-2</v>
      </c>
    </row>
    <row r="206" spans="2:24" x14ac:dyDescent="0.2">
      <c r="B206" s="8">
        <f>+'Simulation and  VaR'!B219/'Simulation and  VaR'!B218-1</f>
        <v>-9.5604916861614653E-3</v>
      </c>
      <c r="C206" s="8">
        <f>+'Simulation and  VaR'!C219/'Simulation and  VaR'!C218-1</f>
        <v>-1.5201481669756323E-2</v>
      </c>
      <c r="D206" s="8">
        <f>+'Simulation and  VaR'!D219/'Simulation and  VaR'!D218-1</f>
        <v>-1.6304347826086918E-2</v>
      </c>
      <c r="E206" s="8">
        <f>+'Simulation and  VaR'!E219/'Simulation and  VaR'!E218-1</f>
        <v>-1.4836795252225587E-2</v>
      </c>
      <c r="F206" s="8">
        <f>+'Simulation and  VaR'!F219/'Simulation and  VaR'!F218-1</f>
        <v>-1.3437057991513512E-2</v>
      </c>
      <c r="G206" s="8">
        <f>+'Simulation and  VaR'!G219/'Simulation and  VaR'!G218-1</f>
        <v>-1.9125683060109422E-2</v>
      </c>
      <c r="H206" s="8">
        <f>+'Simulation and  VaR'!H219/'Simulation and  VaR'!H218-1</f>
        <v>-3.4795128681984755E-3</v>
      </c>
      <c r="I206" s="8">
        <f>+'Simulation and  VaR'!I219/'Simulation and  VaR'!I218-1</f>
        <v>-1.2212292750208298E-2</v>
      </c>
      <c r="J206" s="8">
        <f>+'Simulation and  VaR'!J219/'Simulation and  VaR'!J218-1</f>
        <v>6.8198133524766558E-2</v>
      </c>
      <c r="K206" s="8">
        <f>+'Simulation and  VaR'!K219/'Simulation and  VaR'!K218-1</f>
        <v>-5.620985010706625E-2</v>
      </c>
      <c r="L206" s="8">
        <f>+'Simulation and  VaR'!L219/'Simulation and  VaR'!L218-1</f>
        <v>2.0668843784878765E-2</v>
      </c>
      <c r="N206" s="26">
        <f t="shared" si="33"/>
        <v>-1.4081416178586518E-2</v>
      </c>
      <c r="O206" s="26">
        <f t="shared" si="34"/>
        <v>-1.7718251688332916E-2</v>
      </c>
      <c r="P206" s="26">
        <f t="shared" si="35"/>
        <v>-1.8596556149537861E-2</v>
      </c>
      <c r="Q206" s="26">
        <f t="shared" si="36"/>
        <v>-1.7049554524734906E-2</v>
      </c>
      <c r="R206" s="26">
        <f t="shared" si="37"/>
        <v>-1.5618167402958285E-2</v>
      </c>
      <c r="S206" s="26">
        <f t="shared" si="38"/>
        <v>-2.1303685031031031E-2</v>
      </c>
      <c r="T206" s="26">
        <f t="shared" si="39"/>
        <v>-8.8228929132588806E-3</v>
      </c>
      <c r="U206" s="26">
        <f t="shared" si="40"/>
        <v>-2.4614058879245677E-2</v>
      </c>
      <c r="V206" s="26">
        <f t="shared" si="41"/>
        <v>5.7968927553124272E-2</v>
      </c>
      <c r="W206" s="26">
        <f t="shared" si="42"/>
        <v>-5.4642934825194833E-2</v>
      </c>
      <c r="X206" s="26">
        <f t="shared" si="43"/>
        <v>2.4193078898634472E-2</v>
      </c>
    </row>
    <row r="207" spans="2:24" x14ac:dyDescent="0.2">
      <c r="B207" s="8">
        <f>+'Simulation and  VaR'!B220/'Simulation and  VaR'!B219-1</f>
        <v>-6.2436878408409835E-2</v>
      </c>
      <c r="C207" s="8">
        <f>+'Simulation and  VaR'!C220/'Simulation and  VaR'!C219-1</f>
        <v>-2.8898721813859329E-2</v>
      </c>
      <c r="D207" s="8">
        <f>+'Simulation and  VaR'!D220/'Simulation and  VaR'!D219-1</f>
        <v>-2.3677979479084232E-3</v>
      </c>
      <c r="E207" s="8">
        <f>+'Simulation and  VaR'!E220/'Simulation and  VaR'!E219-1</f>
        <v>-1.2048192771084376E-2</v>
      </c>
      <c r="F207" s="8">
        <f>+'Simulation and  VaR'!F220/'Simulation and  VaR'!F219-1</f>
        <v>-2.3655913978494647E-2</v>
      </c>
      <c r="G207" s="8">
        <f>+'Simulation and  VaR'!G220/'Simulation and  VaR'!G219-1</f>
        <v>-2.8551532033426197E-2</v>
      </c>
      <c r="H207" s="8">
        <f>+'Simulation and  VaR'!H220/'Simulation and  VaR'!H219-1</f>
        <v>-6.0201071579002452E-5</v>
      </c>
      <c r="I207" s="8">
        <f>+'Simulation and  VaR'!I220/'Simulation and  VaR'!I219-1</f>
        <v>-2.9090062834535746E-2</v>
      </c>
      <c r="J207" s="8">
        <f>+'Simulation and  VaR'!J220/'Simulation and  VaR'!J219-1</f>
        <v>-1.6801075268817467E-3</v>
      </c>
      <c r="K207" s="8">
        <f>+'Simulation and  VaR'!K220/'Simulation and  VaR'!K219-1</f>
        <v>-1.2559760149096544E-2</v>
      </c>
      <c r="L207" s="8">
        <f>+'Simulation and  VaR'!L220/'Simulation and  VaR'!L219-1</f>
        <v>-4.8600704710218823E-3</v>
      </c>
      <c r="N207" s="26">
        <f t="shared" si="33"/>
        <v>-6.695780290083489E-2</v>
      </c>
      <c r="O207" s="26">
        <f t="shared" si="34"/>
        <v>-3.1415491832435923E-2</v>
      </c>
      <c r="P207" s="26">
        <f t="shared" si="35"/>
        <v>-4.6600062713593668E-3</v>
      </c>
      <c r="Q207" s="26">
        <f t="shared" si="36"/>
        <v>-1.4260952043593695E-2</v>
      </c>
      <c r="R207" s="26">
        <f t="shared" si="37"/>
        <v>-2.5837023389939422E-2</v>
      </c>
      <c r="S207" s="26">
        <f t="shared" si="38"/>
        <v>-3.0729534004347806E-2</v>
      </c>
      <c r="T207" s="26">
        <f t="shared" si="39"/>
        <v>-5.4035811166394075E-3</v>
      </c>
      <c r="U207" s="26">
        <f t="shared" si="40"/>
        <v>-4.1491828963573125E-2</v>
      </c>
      <c r="V207" s="26">
        <f t="shared" si="41"/>
        <v>-1.1909313498524031E-2</v>
      </c>
      <c r="W207" s="26">
        <f t="shared" si="42"/>
        <v>-1.099284486722513E-2</v>
      </c>
      <c r="X207" s="26">
        <f t="shared" si="43"/>
        <v>-1.3358353572661759E-3</v>
      </c>
    </row>
    <row r="208" spans="2:24" x14ac:dyDescent="0.2">
      <c r="B208" s="8">
        <f>+'Simulation and  VaR'!B221/'Simulation and  VaR'!B220-1</f>
        <v>-0.11830806009483252</v>
      </c>
      <c r="C208" s="8">
        <f>+'Simulation and  VaR'!C221/'Simulation and  VaR'!C220-1</f>
        <v>-4.8299179320081098E-2</v>
      </c>
      <c r="D208" s="8">
        <f>+'Simulation and  VaR'!D221/'Simulation and  VaR'!D220-1</f>
        <v>-2.6898734177215333E-2</v>
      </c>
      <c r="E208" s="8">
        <f>+'Simulation and  VaR'!E221/'Simulation and  VaR'!E220-1</f>
        <v>-3.4298780487804881E-2</v>
      </c>
      <c r="F208" s="8">
        <f>+'Simulation and  VaR'!F221/'Simulation and  VaR'!F220-1</f>
        <v>-3.8179148311306865E-2</v>
      </c>
      <c r="G208" s="8">
        <f>+'Simulation and  VaR'!G221/'Simulation and  VaR'!G220-1</f>
        <v>-3.2974910394265144E-2</v>
      </c>
      <c r="H208" s="8">
        <f>+'Simulation and  VaR'!H221/'Simulation and  VaR'!H220-1</f>
        <v>-1.5111378687537536E-2</v>
      </c>
      <c r="I208" s="8">
        <f>+'Simulation and  VaR'!I221/'Simulation and  VaR'!I220-1</f>
        <v>-1.3482742090124678E-2</v>
      </c>
      <c r="J208" s="8">
        <f>+'Simulation and  VaR'!J221/'Simulation and  VaR'!J220-1</f>
        <v>-3.1975765735442585E-2</v>
      </c>
      <c r="K208" s="8">
        <f>+'Simulation and  VaR'!K221/'Simulation and  VaR'!K220-1</f>
        <v>-1.7643197111439246E-2</v>
      </c>
      <c r="L208" s="8">
        <f>+'Simulation and  VaR'!L221/'Simulation and  VaR'!L220-1</f>
        <v>7.3257091693459397E-3</v>
      </c>
      <c r="N208" s="26">
        <f t="shared" si="33"/>
        <v>-0.12282898458725758</v>
      </c>
      <c r="O208" s="26">
        <f t="shared" si="34"/>
        <v>-5.0815949338657691E-2</v>
      </c>
      <c r="P208" s="26">
        <f t="shared" si="35"/>
        <v>-2.9190942500666277E-2</v>
      </c>
      <c r="Q208" s="26">
        <f t="shared" si="36"/>
        <v>-3.6511539760314196E-2</v>
      </c>
      <c r="R208" s="26">
        <f t="shared" si="37"/>
        <v>-4.036025772275164E-2</v>
      </c>
      <c r="S208" s="26">
        <f t="shared" si="38"/>
        <v>-3.515291236518675E-2</v>
      </c>
      <c r="T208" s="26">
        <f t="shared" si="39"/>
        <v>-2.0454758732597941E-2</v>
      </c>
      <c r="U208" s="26">
        <f t="shared" si="40"/>
        <v>-2.5884508219162057E-2</v>
      </c>
      <c r="V208" s="26">
        <f t="shared" si="41"/>
        <v>-4.2204971707084871E-2</v>
      </c>
      <c r="W208" s="26">
        <f t="shared" si="42"/>
        <v>-1.6076281829567832E-2</v>
      </c>
      <c r="X208" s="26">
        <f t="shared" si="43"/>
        <v>1.0849944283101647E-2</v>
      </c>
    </row>
    <row r="209" spans="2:24" x14ac:dyDescent="0.2">
      <c r="B209" s="8">
        <f>+'Simulation and  VaR'!B222/'Simulation and  VaR'!B221-1</f>
        <v>-6.527869089431737E-2</v>
      </c>
      <c r="C209" s="8">
        <f>+'Simulation and  VaR'!C222/'Simulation and  VaR'!C221-1</f>
        <v>-6.3139001272035644E-3</v>
      </c>
      <c r="D209" s="8">
        <f>+'Simulation and  VaR'!D222/'Simulation and  VaR'!D221-1</f>
        <v>-1.300813008130064E-2</v>
      </c>
      <c r="E209" s="8">
        <f>+'Simulation and  VaR'!E222/'Simulation and  VaR'!E221-1</f>
        <v>-1.2628255722178405E-2</v>
      </c>
      <c r="F209" s="8">
        <f>+'Simulation and  VaR'!F222/'Simulation and  VaR'!F221-1</f>
        <v>-1.2977099236641254E-2</v>
      </c>
      <c r="G209" s="8">
        <f>+'Simulation and  VaR'!G222/'Simulation and  VaR'!G221-1</f>
        <v>-5.9303187546330127E-3</v>
      </c>
      <c r="H209" s="8">
        <f>+'Simulation and  VaR'!H222/'Simulation and  VaR'!H221-1</f>
        <v>2.2373005684944047E-2</v>
      </c>
      <c r="I209" s="8">
        <f>+'Simulation and  VaR'!I222/'Simulation and  VaR'!I221-1</f>
        <v>-6.1501548927898941E-2</v>
      </c>
      <c r="J209" s="8">
        <f>+'Simulation and  VaR'!J222/'Simulation and  VaR'!J221-1</f>
        <v>-4.8678720445062496E-2</v>
      </c>
      <c r="K209" s="8">
        <f>+'Simulation and  VaR'!K222/'Simulation and  VaR'!K221-1</f>
        <v>-3.2578731935510863E-2</v>
      </c>
      <c r="L209" s="8">
        <f>+'Simulation and  VaR'!L222/'Simulation and  VaR'!L221-1</f>
        <v>1.6564987273241405E-2</v>
      </c>
      <c r="N209" s="26">
        <f t="shared" si="33"/>
        <v>-6.9799615386742425E-2</v>
      </c>
      <c r="O209" s="26">
        <f t="shared" si="34"/>
        <v>-8.8306701457801576E-3</v>
      </c>
      <c r="P209" s="26">
        <f t="shared" si="35"/>
        <v>-1.5300338404751583E-2</v>
      </c>
      <c r="Q209" s="26">
        <f t="shared" si="36"/>
        <v>-1.4841014994687724E-2</v>
      </c>
      <c r="R209" s="26">
        <f t="shared" si="37"/>
        <v>-1.5158208648086027E-2</v>
      </c>
      <c r="S209" s="26">
        <f t="shared" si="38"/>
        <v>-8.108320725554622E-3</v>
      </c>
      <c r="T209" s="26">
        <f t="shared" si="39"/>
        <v>1.7029625639883642E-2</v>
      </c>
      <c r="U209" s="26">
        <f t="shared" si="40"/>
        <v>-7.3903315056936314E-2</v>
      </c>
      <c r="V209" s="26">
        <f t="shared" si="41"/>
        <v>-5.8907926416704781E-2</v>
      </c>
      <c r="W209" s="26">
        <f t="shared" si="42"/>
        <v>-3.1011816653639449E-2</v>
      </c>
      <c r="X209" s="26">
        <f t="shared" si="43"/>
        <v>2.0089222386997112E-2</v>
      </c>
    </row>
    <row r="210" spans="2:24" x14ac:dyDescent="0.2">
      <c r="B210" s="8">
        <f>+'Simulation and  VaR'!B223/'Simulation and  VaR'!B222-1</f>
        <v>-3.8056373608387539E-2</v>
      </c>
      <c r="C210" s="8">
        <f>+'Simulation and  VaR'!C223/'Simulation and  VaR'!C222-1</f>
        <v>-1.0010364116599169E-2</v>
      </c>
      <c r="D210" s="8">
        <f>+'Simulation and  VaR'!D223/'Simulation and  VaR'!D222-1</f>
        <v>-4.1186161449753289E-3</v>
      </c>
      <c r="E210" s="8">
        <f>+'Simulation and  VaR'!E223/'Simulation and  VaR'!E222-1</f>
        <v>-5.5955235811351312E-3</v>
      </c>
      <c r="F210" s="8">
        <f>+'Simulation and  VaR'!F223/'Simulation and  VaR'!F222-1</f>
        <v>-9.2807424593966958E-3</v>
      </c>
      <c r="G210" s="8">
        <f>+'Simulation and  VaR'!G223/'Simulation and  VaR'!G222-1</f>
        <v>-1.0439970171513879E-2</v>
      </c>
      <c r="H210" s="8">
        <f>+'Simulation and  VaR'!H223/'Simulation and  VaR'!H222-1</f>
        <v>7.4080717488789194E-2</v>
      </c>
      <c r="I210" s="8">
        <f>+'Simulation and  VaR'!I223/'Simulation and  VaR'!I222-1</f>
        <v>-7.2813177567069287E-3</v>
      </c>
      <c r="J210" s="8">
        <f>+'Simulation and  VaR'!J223/'Simulation and  VaR'!J222-1</f>
        <v>-5.2997076023391876E-2</v>
      </c>
      <c r="K210" s="8">
        <f>+'Simulation and  VaR'!K223/'Simulation and  VaR'!K222-1</f>
        <v>-2.3745790518953425E-2</v>
      </c>
      <c r="L210" s="8">
        <f>+'Simulation and  VaR'!L223/'Simulation and  VaR'!L222-1</f>
        <v>1.2718095465204193E-2</v>
      </c>
      <c r="N210" s="26">
        <f t="shared" si="33"/>
        <v>-4.2577298100812594E-2</v>
      </c>
      <c r="O210" s="26">
        <f t="shared" si="34"/>
        <v>-1.2527134135175762E-2</v>
      </c>
      <c r="P210" s="26">
        <f t="shared" si="35"/>
        <v>-6.4108244684262725E-3</v>
      </c>
      <c r="Q210" s="26">
        <f t="shared" si="36"/>
        <v>-7.80828285364445E-3</v>
      </c>
      <c r="R210" s="26">
        <f t="shared" si="37"/>
        <v>-1.1461851870841469E-2</v>
      </c>
      <c r="S210" s="26">
        <f t="shared" si="38"/>
        <v>-1.2617972142435489E-2</v>
      </c>
      <c r="T210" s="26">
        <f t="shared" si="39"/>
        <v>6.8737337443728785E-2</v>
      </c>
      <c r="U210" s="26">
        <f t="shared" si="40"/>
        <v>-1.9683083885744308E-2</v>
      </c>
      <c r="V210" s="26">
        <f t="shared" si="41"/>
        <v>-6.3226281995034161E-2</v>
      </c>
      <c r="W210" s="26">
        <f t="shared" si="42"/>
        <v>-2.2178875237082011E-2</v>
      </c>
      <c r="X210" s="26">
        <f t="shared" si="43"/>
        <v>1.62423305789599E-2</v>
      </c>
    </row>
    <row r="211" spans="2:24" x14ac:dyDescent="0.2">
      <c r="B211" s="8">
        <f>+'Simulation and  VaR'!B224/'Simulation and  VaR'!B223-1</f>
        <v>6.6902644599652783E-2</v>
      </c>
      <c r="C211" s="8">
        <f>+'Simulation and  VaR'!C224/'Simulation and  VaR'!C223-1</f>
        <v>1.0935584539951693E-2</v>
      </c>
      <c r="D211" s="8">
        <f>+'Simulation and  VaR'!D224/'Simulation and  VaR'!D223-1</f>
        <v>4.1356492969397696E-3</v>
      </c>
      <c r="E211" s="8">
        <f>+'Simulation and  VaR'!E224/'Simulation and  VaR'!E223-1</f>
        <v>4.8231511254019921E-3</v>
      </c>
      <c r="F211" s="8">
        <f>+'Simulation and  VaR'!F224/'Simulation and  VaR'!F223-1</f>
        <v>0</v>
      </c>
      <c r="G211" s="8">
        <f>+'Simulation and  VaR'!G224/'Simulation and  VaR'!G223-1</f>
        <v>-2.2607385079125297E-3</v>
      </c>
      <c r="H211" s="8">
        <f>+'Simulation and  VaR'!H224/'Simulation and  VaR'!H223-1</f>
        <v>8.6283678468048741E-3</v>
      </c>
      <c r="I211" s="8">
        <f>+'Simulation and  VaR'!I224/'Simulation and  VaR'!I223-1</f>
        <v>-5.8677793714956294E-2</v>
      </c>
      <c r="J211" s="8">
        <f>+'Simulation and  VaR'!J224/'Simulation and  VaR'!J223-1</f>
        <v>3.0876109610189051E-2</v>
      </c>
      <c r="K211" s="8">
        <f>+'Simulation and  VaR'!K224/'Simulation and  VaR'!K223-1</f>
        <v>-4.5551034848752781E-2</v>
      </c>
      <c r="L211" s="8">
        <f>+'Simulation and  VaR'!L224/'Simulation and  VaR'!L223-1</f>
        <v>1.8248891330795436E-2</v>
      </c>
      <c r="N211" s="26">
        <f t="shared" si="33"/>
        <v>6.2381720107227728E-2</v>
      </c>
      <c r="O211" s="26">
        <f t="shared" si="34"/>
        <v>8.4188145213750995E-3</v>
      </c>
      <c r="P211" s="26">
        <f t="shared" si="35"/>
        <v>1.8434409734888256E-3</v>
      </c>
      <c r="Q211" s="26">
        <f t="shared" si="36"/>
        <v>2.6103918528926737E-3</v>
      </c>
      <c r="R211" s="26">
        <f t="shared" si="37"/>
        <v>-2.1811094114447733E-3</v>
      </c>
      <c r="S211" s="26">
        <f t="shared" si="38"/>
        <v>-4.4387404788341391E-3</v>
      </c>
      <c r="T211" s="26">
        <f t="shared" si="39"/>
        <v>3.2849878017444691E-3</v>
      </c>
      <c r="U211" s="26">
        <f t="shared" si="40"/>
        <v>-7.1079559843993667E-2</v>
      </c>
      <c r="V211" s="26">
        <f t="shared" si="41"/>
        <v>2.0646903638546765E-2</v>
      </c>
      <c r="W211" s="26">
        <f t="shared" si="42"/>
        <v>-4.3984119566881363E-2</v>
      </c>
      <c r="X211" s="26">
        <f t="shared" si="43"/>
        <v>2.1773126444551143E-2</v>
      </c>
    </row>
    <row r="212" spans="2:24" x14ac:dyDescent="0.2">
      <c r="B212" s="8">
        <f>+'Simulation and  VaR'!B225/'Simulation and  VaR'!B224-1</f>
        <v>3.1079962481259438E-2</v>
      </c>
      <c r="C212" s="8">
        <f>+'Simulation and  VaR'!C225/'Simulation and  VaR'!C224-1</f>
        <v>3.0067935348673691E-2</v>
      </c>
      <c r="D212" s="8">
        <f>+'Simulation and  VaR'!D225/'Simulation and  VaR'!D224-1</f>
        <v>3.5420098846787429E-2</v>
      </c>
      <c r="E212" s="8">
        <f>+'Simulation and  VaR'!E225/'Simulation and  VaR'!E224-1</f>
        <v>3.3600000000000074E-2</v>
      </c>
      <c r="F212" s="8">
        <f>+'Simulation and  VaR'!F225/'Simulation and  VaR'!F224-1</f>
        <v>4.3715846994535346E-2</v>
      </c>
      <c r="G212" s="8">
        <f>+'Simulation and  VaR'!G225/'Simulation and  VaR'!G224-1</f>
        <v>3.4743202416918306E-2</v>
      </c>
      <c r="H212" s="8">
        <f>+'Simulation and  VaR'!H225/'Simulation and  VaR'!H224-1</f>
        <v>-2.8699155582537772E-3</v>
      </c>
      <c r="I212" s="8">
        <f>+'Simulation and  VaR'!I225/'Simulation and  VaR'!I224-1</f>
        <v>0.14285219559495776</v>
      </c>
      <c r="J212" s="8">
        <f>+'Simulation and  VaR'!J225/'Simulation and  VaR'!J224-1</f>
        <v>1.8719580681392678E-2</v>
      </c>
      <c r="K212" s="8">
        <f>+'Simulation and  VaR'!K225/'Simulation and  VaR'!K224-1</f>
        <v>0.14549161338152161</v>
      </c>
      <c r="L212" s="8">
        <f>+'Simulation and  VaR'!L225/'Simulation and  VaR'!L224-1</f>
        <v>-3.2567640484082339E-2</v>
      </c>
      <c r="N212" s="26">
        <f t="shared" si="33"/>
        <v>2.6559037988834383E-2</v>
      </c>
      <c r="O212" s="26">
        <f t="shared" si="34"/>
        <v>2.7551165330097098E-2</v>
      </c>
      <c r="P212" s="26">
        <f t="shared" si="35"/>
        <v>3.3127890523336485E-2</v>
      </c>
      <c r="Q212" s="26">
        <f t="shared" si="36"/>
        <v>3.1387240727490759E-2</v>
      </c>
      <c r="R212" s="26">
        <f t="shared" si="37"/>
        <v>4.1534737583090571E-2</v>
      </c>
      <c r="S212" s="26">
        <f t="shared" si="38"/>
        <v>3.25652004459967E-2</v>
      </c>
      <c r="T212" s="26">
        <f t="shared" si="39"/>
        <v>-8.2132956033141823E-3</v>
      </c>
      <c r="U212" s="26">
        <f t="shared" si="40"/>
        <v>0.13045042946592039</v>
      </c>
      <c r="V212" s="26">
        <f t="shared" si="41"/>
        <v>8.4903747097503941E-3</v>
      </c>
      <c r="W212" s="26">
        <f t="shared" si="42"/>
        <v>0.14705852866339303</v>
      </c>
      <c r="X212" s="26">
        <f t="shared" si="43"/>
        <v>-2.9043405370326632E-2</v>
      </c>
    </row>
    <row r="213" spans="2:24" x14ac:dyDescent="0.2">
      <c r="B213" s="8">
        <f>+'Simulation and  VaR'!B226/'Simulation and  VaR'!B225-1</f>
        <v>-6.8205703011726793E-2</v>
      </c>
      <c r="C213" s="8">
        <f>+'Simulation and  VaR'!C226/'Simulation and  VaR'!C225-1</f>
        <v>-3.5437653009808279E-2</v>
      </c>
      <c r="D213" s="8">
        <f>+'Simulation and  VaR'!D226/'Simulation and  VaR'!D225-1</f>
        <v>-2.6252983293556076E-2</v>
      </c>
      <c r="E213" s="8">
        <f>+'Simulation and  VaR'!E226/'Simulation and  VaR'!E225-1</f>
        <v>-1.7027863777089869E-2</v>
      </c>
      <c r="F213" s="8">
        <f>+'Simulation and  VaR'!F226/'Simulation and  VaR'!F225-1</f>
        <v>-1.6454749439042571E-2</v>
      </c>
      <c r="G213" s="8">
        <f>+'Simulation and  VaR'!G226/'Simulation and  VaR'!G225-1</f>
        <v>-1.3138686131386801E-2</v>
      </c>
      <c r="H213" s="8">
        <f>+'Simulation and  VaR'!H226/'Simulation and  VaR'!H225-1</f>
        <v>-4.5940111806054285E-3</v>
      </c>
      <c r="I213" s="8">
        <f>+'Simulation and  VaR'!I226/'Simulation and  VaR'!I225-1</f>
        <v>-2.7271900851489339E-2</v>
      </c>
      <c r="J213" s="8">
        <f>+'Simulation and  VaR'!J226/'Simulation and  VaR'!J225-1</f>
        <v>5.5126791620727644E-2</v>
      </c>
      <c r="K213" s="8">
        <f>+'Simulation and  VaR'!K226/'Simulation and  VaR'!K225-1</f>
        <v>4.0449801795972018E-3</v>
      </c>
      <c r="L213" s="8">
        <f>+'Simulation and  VaR'!L226/'Simulation and  VaR'!L225-1</f>
        <v>1.9919525118521353E-3</v>
      </c>
      <c r="N213" s="26">
        <f t="shared" si="33"/>
        <v>-7.2726627504151847E-2</v>
      </c>
      <c r="O213" s="26">
        <f t="shared" si="34"/>
        <v>-3.7954423028384872E-2</v>
      </c>
      <c r="P213" s="26">
        <f t="shared" si="35"/>
        <v>-2.8545191617007019E-2</v>
      </c>
      <c r="Q213" s="26">
        <f t="shared" si="36"/>
        <v>-1.9240623049599188E-2</v>
      </c>
      <c r="R213" s="26">
        <f t="shared" si="37"/>
        <v>-1.8635858850487345E-2</v>
      </c>
      <c r="S213" s="26">
        <f t="shared" si="38"/>
        <v>-1.531668810230841E-2</v>
      </c>
      <c r="T213" s="26">
        <f t="shared" si="39"/>
        <v>-9.9373912256658335E-3</v>
      </c>
      <c r="U213" s="26">
        <f t="shared" si="40"/>
        <v>-3.9673666980526719E-2</v>
      </c>
      <c r="V213" s="26">
        <f t="shared" si="41"/>
        <v>4.4897585649085359E-2</v>
      </c>
      <c r="W213" s="26">
        <f t="shared" si="42"/>
        <v>5.6118954614686163E-3</v>
      </c>
      <c r="X213" s="26">
        <f t="shared" si="43"/>
        <v>5.5161876256078421E-3</v>
      </c>
    </row>
    <row r="214" spans="2:24" x14ac:dyDescent="0.2">
      <c r="B214" s="8">
        <f>+'Simulation and  VaR'!B227/'Simulation and  VaR'!B226-1</f>
        <v>-5.9819096044344544E-2</v>
      </c>
      <c r="C214" s="8">
        <f>+'Simulation and  VaR'!C227/'Simulation and  VaR'!C226-1</f>
        <v>-5.1372298339680933E-2</v>
      </c>
      <c r="D214" s="8">
        <f>+'Simulation and  VaR'!D227/'Simulation and  VaR'!D226-1</f>
        <v>-4.166666666666663E-2</v>
      </c>
      <c r="E214" s="8">
        <f>+'Simulation and  VaR'!E227/'Simulation and  VaR'!E226-1</f>
        <v>-3.0708661417322758E-2</v>
      </c>
      <c r="F214" s="8">
        <f>+'Simulation and  VaR'!F227/'Simulation and  VaR'!F226-1</f>
        <v>-3.3460076045627507E-2</v>
      </c>
      <c r="G214" s="8">
        <f>+'Simulation and  VaR'!G227/'Simulation and  VaR'!G226-1</f>
        <v>-2.6627218934911157E-2</v>
      </c>
      <c r="H214" s="8">
        <f>+'Simulation and  VaR'!H227/'Simulation and  VaR'!H226-1</f>
        <v>5.4048042704626376E-2</v>
      </c>
      <c r="I214" s="8">
        <f>+'Simulation and  VaR'!I227/'Simulation and  VaR'!I226-1</f>
        <v>-1.5575838758917215E-2</v>
      </c>
      <c r="J214" s="8">
        <f>+'Simulation and  VaR'!J227/'Simulation and  VaR'!J226-1</f>
        <v>-4.7021943573667624E-2</v>
      </c>
      <c r="K214" s="8">
        <f>+'Simulation and  VaR'!K227/'Simulation and  VaR'!K226-1</f>
        <v>3.6258158085569203E-2</v>
      </c>
      <c r="L214" s="8">
        <f>+'Simulation and  VaR'!L227/'Simulation and  VaR'!L226-1</f>
        <v>-1.1927955150888847E-3</v>
      </c>
      <c r="N214" s="26">
        <f t="shared" si="33"/>
        <v>-6.4340020536769599E-2</v>
      </c>
      <c r="O214" s="26">
        <f t="shared" si="34"/>
        <v>-5.3889068358257526E-2</v>
      </c>
      <c r="P214" s="26">
        <f t="shared" si="35"/>
        <v>-4.3958874990117573E-2</v>
      </c>
      <c r="Q214" s="26">
        <f t="shared" si="36"/>
        <v>-3.2921420689832073E-2</v>
      </c>
      <c r="R214" s="26">
        <f t="shared" si="37"/>
        <v>-3.5641185457072282E-2</v>
      </c>
      <c r="S214" s="26">
        <f t="shared" si="38"/>
        <v>-2.8805220905832766E-2</v>
      </c>
      <c r="T214" s="26">
        <f t="shared" si="39"/>
        <v>4.8704662659565967E-2</v>
      </c>
      <c r="U214" s="26">
        <f t="shared" si="40"/>
        <v>-2.7977604887954595E-2</v>
      </c>
      <c r="V214" s="26">
        <f t="shared" si="41"/>
        <v>-5.725114954530991E-2</v>
      </c>
      <c r="W214" s="26">
        <f t="shared" si="42"/>
        <v>3.782507336744062E-2</v>
      </c>
      <c r="X214" s="26">
        <f t="shared" si="43"/>
        <v>2.3314395986668217E-3</v>
      </c>
    </row>
    <row r="215" spans="2:24" x14ac:dyDescent="0.2">
      <c r="B215" s="8">
        <f>+'Simulation and  VaR'!B228/'Simulation and  VaR'!B227-1</f>
        <v>-7.1425692506216665E-2</v>
      </c>
      <c r="C215" s="8">
        <f>+'Simulation and  VaR'!C228/'Simulation and  VaR'!C227-1</f>
        <v>-6.3629893236865964E-2</v>
      </c>
      <c r="D215" s="8">
        <f>+'Simulation and  VaR'!D228/'Simulation and  VaR'!D227-1</f>
        <v>-6.6496163682864595E-2</v>
      </c>
      <c r="E215" s="8">
        <f>+'Simulation and  VaR'!E228/'Simulation and  VaR'!E227-1</f>
        <v>-6.8237205523964284E-2</v>
      </c>
      <c r="F215" s="8">
        <f>+'Simulation and  VaR'!F228/'Simulation and  VaR'!F227-1</f>
        <v>-5.6648308418567939E-2</v>
      </c>
      <c r="G215" s="8">
        <f>+'Simulation and  VaR'!G228/'Simulation and  VaR'!G227-1</f>
        <v>-5.699088145896658E-2</v>
      </c>
      <c r="H215" s="8">
        <f>+'Simulation and  VaR'!H228/'Simulation and  VaR'!H227-1</f>
        <v>1.2133361468664283E-2</v>
      </c>
      <c r="I215" s="8">
        <f>+'Simulation and  VaR'!I228/'Simulation and  VaR'!I227-1</f>
        <v>5.5377994367267203E-3</v>
      </c>
      <c r="J215" s="8">
        <f>+'Simulation and  VaR'!J228/'Simulation and  VaR'!J227-1</f>
        <v>5.482456140350811E-3</v>
      </c>
      <c r="K215" s="8">
        <f>+'Simulation and  VaR'!K228/'Simulation and  VaR'!K227-1</f>
        <v>1.8272296088950979E-2</v>
      </c>
      <c r="L215" s="8">
        <f>+'Simulation and  VaR'!L228/'Simulation and  VaR'!L227-1</f>
        <v>-1.1146053102981557E-2</v>
      </c>
      <c r="N215" s="26">
        <f t="shared" si="33"/>
        <v>-7.5946616998641719E-2</v>
      </c>
      <c r="O215" s="26">
        <f t="shared" si="34"/>
        <v>-6.6146663255442564E-2</v>
      </c>
      <c r="P215" s="26">
        <f t="shared" si="35"/>
        <v>-6.8788372006315546E-2</v>
      </c>
      <c r="Q215" s="26">
        <f t="shared" si="36"/>
        <v>-7.0449964796473599E-2</v>
      </c>
      <c r="R215" s="26">
        <f t="shared" si="37"/>
        <v>-5.8829417830012713E-2</v>
      </c>
      <c r="S215" s="26">
        <f t="shared" si="38"/>
        <v>-5.9168883429888186E-2</v>
      </c>
      <c r="T215" s="26">
        <f t="shared" si="39"/>
        <v>6.7899814236038782E-3</v>
      </c>
      <c r="U215" s="26">
        <f t="shared" si="40"/>
        <v>-6.8639666923106593E-3</v>
      </c>
      <c r="V215" s="26">
        <f t="shared" si="41"/>
        <v>-4.7467498312914729E-3</v>
      </c>
      <c r="W215" s="26">
        <f t="shared" si="42"/>
        <v>1.9839211370822393E-2</v>
      </c>
      <c r="X215" s="26">
        <f t="shared" si="43"/>
        <v>-7.62181798922585E-3</v>
      </c>
    </row>
    <row r="216" spans="2:24" x14ac:dyDescent="0.2">
      <c r="B216" s="8">
        <f>+'Simulation and  VaR'!B229/'Simulation and  VaR'!B228-1</f>
        <v>1.8817424043846787E-2</v>
      </c>
      <c r="C216" s="8">
        <f>+'Simulation and  VaR'!C229/'Simulation and  VaR'!C228-1</f>
        <v>1.4835548091678197E-2</v>
      </c>
      <c r="D216" s="8">
        <f>+'Simulation and  VaR'!D229/'Simulation and  VaR'!D228-1</f>
        <v>2.73972602739736E-3</v>
      </c>
      <c r="E216" s="8">
        <f>+'Simulation and  VaR'!E229/'Simulation and  VaR'!E228-1</f>
        <v>-3.4873583260680574E-3</v>
      </c>
      <c r="F216" s="8">
        <f>+'Simulation and  VaR'!F229/'Simulation and  VaR'!F228-1</f>
        <v>-5.0041701417848916E-3</v>
      </c>
      <c r="G216" s="8">
        <f>+'Simulation and  VaR'!G229/'Simulation and  VaR'!G228-1</f>
        <v>2.4174053182917099E-3</v>
      </c>
      <c r="H216" s="8">
        <f>+'Simulation and  VaR'!H229/'Simulation and  VaR'!H228-1</f>
        <v>-4.8472844782654345E-3</v>
      </c>
      <c r="I216" s="8">
        <f>+'Simulation and  VaR'!I229/'Simulation and  VaR'!I228-1</f>
        <v>2.3602719033232633E-2</v>
      </c>
      <c r="J216" s="8">
        <f>+'Simulation and  VaR'!J229/'Simulation and  VaR'!J228-1</f>
        <v>-2.9080334423845944E-2</v>
      </c>
      <c r="K216" s="8">
        <f>+'Simulation and  VaR'!K229/'Simulation and  VaR'!K228-1</f>
        <v>7.7504581551618879E-2</v>
      </c>
      <c r="L216" s="8">
        <f>+'Simulation and  VaR'!L229/'Simulation and  VaR'!L228-1</f>
        <v>-4.8105953866591555E-2</v>
      </c>
      <c r="N216" s="26">
        <f t="shared" si="33"/>
        <v>1.4296499551421734E-2</v>
      </c>
      <c r="O216" s="26">
        <f t="shared" si="34"/>
        <v>1.2318778073101604E-2</v>
      </c>
      <c r="P216" s="26">
        <f t="shared" si="35"/>
        <v>4.4751770394641606E-4</v>
      </c>
      <c r="Q216" s="26">
        <f t="shared" si="36"/>
        <v>-5.7001175985773762E-3</v>
      </c>
      <c r="R216" s="26">
        <f t="shared" si="37"/>
        <v>-7.1852795532296645E-3</v>
      </c>
      <c r="S216" s="26">
        <f t="shared" si="38"/>
        <v>2.3940334737010058E-4</v>
      </c>
      <c r="T216" s="26">
        <f t="shared" si="39"/>
        <v>-1.019066452332584E-2</v>
      </c>
      <c r="U216" s="26">
        <f t="shared" si="40"/>
        <v>1.1200952904195254E-2</v>
      </c>
      <c r="V216" s="26">
        <f t="shared" si="41"/>
        <v>-3.9309540395488229E-2</v>
      </c>
      <c r="W216" s="26">
        <f t="shared" si="42"/>
        <v>7.9071496833490296E-2</v>
      </c>
      <c r="X216" s="26">
        <f t="shared" si="43"/>
        <v>-4.4581718752835849E-2</v>
      </c>
    </row>
    <row r="217" spans="2:24" x14ac:dyDescent="0.2">
      <c r="B217" s="8">
        <f>+'Simulation and  VaR'!B230/'Simulation and  VaR'!B229-1</f>
        <v>7.4988315738497846E-3</v>
      </c>
      <c r="C217" s="8">
        <f>+'Simulation and  VaR'!C230/'Simulation and  VaR'!C229-1</f>
        <v>2.4232277393294588E-3</v>
      </c>
      <c r="D217" s="8">
        <f>+'Simulation and  VaR'!D230/'Simulation and  VaR'!D229-1</f>
        <v>7.2859744990891873E-3</v>
      </c>
      <c r="E217" s="8">
        <f>+'Simulation and  VaR'!E230/'Simulation and  VaR'!E229-1</f>
        <v>4.3744531933509467E-3</v>
      </c>
      <c r="F217" s="8">
        <f>+'Simulation and  VaR'!F230/'Simulation and  VaR'!F229-1</f>
        <v>6.7057837384745245E-3</v>
      </c>
      <c r="G217" s="8">
        <f>+'Simulation and  VaR'!G230/'Simulation and  VaR'!G229-1</f>
        <v>5.6270096463022501E-3</v>
      </c>
      <c r="H217" s="8">
        <f>+'Simulation and  VaR'!H230/'Simulation and  VaR'!H229-1</f>
        <v>-1.1993924474938411E-2</v>
      </c>
      <c r="I217" s="8">
        <f>+'Simulation and  VaR'!I230/'Simulation and  VaR'!I229-1</f>
        <v>2.5364323925475052E-2</v>
      </c>
      <c r="J217" s="8">
        <f>+'Simulation and  VaR'!J230/'Simulation and  VaR'!J229-1</f>
        <v>1.6847622613253455E-2</v>
      </c>
      <c r="K217" s="8">
        <f>+'Simulation and  VaR'!K230/'Simulation and  VaR'!K229-1</f>
        <v>-1.417333994755865E-2</v>
      </c>
      <c r="L217" s="8">
        <f>+'Simulation and  VaR'!L230/'Simulation and  VaR'!L229-1</f>
        <v>1.0784064958132555E-2</v>
      </c>
      <c r="N217" s="26">
        <f t="shared" si="33"/>
        <v>2.9779070814247317E-3</v>
      </c>
      <c r="O217" s="26">
        <f t="shared" si="34"/>
        <v>-9.3542279247135242E-5</v>
      </c>
      <c r="P217" s="26">
        <f t="shared" si="35"/>
        <v>4.9937661756382437E-3</v>
      </c>
      <c r="Q217" s="26">
        <f t="shared" si="36"/>
        <v>2.1616939208416283E-3</v>
      </c>
      <c r="R217" s="26">
        <f t="shared" si="37"/>
        <v>4.5246743270297516E-3</v>
      </c>
      <c r="S217" s="26">
        <f t="shared" si="38"/>
        <v>3.4490076753806408E-3</v>
      </c>
      <c r="T217" s="26">
        <f t="shared" si="39"/>
        <v>-1.7337304519998816E-2</v>
      </c>
      <c r="U217" s="26">
        <f t="shared" si="40"/>
        <v>1.2962557796437672E-2</v>
      </c>
      <c r="V217" s="26">
        <f t="shared" si="41"/>
        <v>6.6184166416111707E-3</v>
      </c>
      <c r="W217" s="26">
        <f t="shared" si="42"/>
        <v>-1.2606424665687236E-2</v>
      </c>
      <c r="X217" s="26">
        <f t="shared" si="43"/>
        <v>1.4308300071888262E-2</v>
      </c>
    </row>
    <row r="218" spans="2:24" x14ac:dyDescent="0.2">
      <c r="B218" s="8">
        <f>+'Simulation and  VaR'!B231/'Simulation and  VaR'!B230-1</f>
        <v>-5.0582415354313293E-3</v>
      </c>
      <c r="C218" s="8">
        <f>+'Simulation and  VaR'!C231/'Simulation and  VaR'!C230-1</f>
        <v>3.9464431188156457E-3</v>
      </c>
      <c r="D218" s="8">
        <f>+'Simulation and  VaR'!D231/'Simulation and  VaR'!D230-1</f>
        <v>1.8083182640145079E-3</v>
      </c>
      <c r="E218" s="8">
        <f>+'Simulation and  VaR'!E231/'Simulation and  VaR'!E230-1</f>
        <v>-8.7108013937275963E-4</v>
      </c>
      <c r="F218" s="8">
        <f>+'Simulation and  VaR'!F231/'Simulation and  VaR'!F230-1</f>
        <v>-8.3263946711076287E-4</v>
      </c>
      <c r="G218" s="8">
        <f>+'Simulation and  VaR'!G231/'Simulation and  VaR'!G230-1</f>
        <v>-1.5987210231813709E-3</v>
      </c>
      <c r="H218" s="8">
        <f>+'Simulation and  VaR'!H231/'Simulation and  VaR'!H230-1</f>
        <v>-3.4722222222222099E-2</v>
      </c>
      <c r="I218" s="8">
        <f>+'Simulation and  VaR'!I231/'Simulation and  VaR'!I230-1</f>
        <v>-2.4736889448592203E-2</v>
      </c>
      <c r="J218" s="8">
        <f>+'Simulation and  VaR'!J231/'Simulation and  VaR'!J230-1</f>
        <v>3.6818851251841034E-2</v>
      </c>
      <c r="K218" s="8">
        <f>+'Simulation and  VaR'!K231/'Simulation and  VaR'!K230-1</f>
        <v>1.2579972683487872E-2</v>
      </c>
      <c r="L218" s="8">
        <f>+'Simulation and  VaR'!L231/'Simulation and  VaR'!L230-1</f>
        <v>-9.4138320572361045E-2</v>
      </c>
      <c r="N218" s="26">
        <f t="shared" si="33"/>
        <v>-9.5791660278563822E-3</v>
      </c>
      <c r="O218" s="26">
        <f t="shared" si="34"/>
        <v>1.4296731002390517E-3</v>
      </c>
      <c r="P218" s="26">
        <f t="shared" si="35"/>
        <v>-4.8389005943643608E-4</v>
      </c>
      <c r="Q218" s="26">
        <f t="shared" si="36"/>
        <v>-3.083839411882078E-3</v>
      </c>
      <c r="R218" s="26">
        <f t="shared" si="37"/>
        <v>-3.0137488785555362E-3</v>
      </c>
      <c r="S218" s="26">
        <f t="shared" si="38"/>
        <v>-3.7767229941029802E-3</v>
      </c>
      <c r="T218" s="26">
        <f t="shared" si="39"/>
        <v>-4.0065602267282507E-2</v>
      </c>
      <c r="U218" s="26">
        <f t="shared" si="40"/>
        <v>-3.7138655577629583E-2</v>
      </c>
      <c r="V218" s="26">
        <f t="shared" si="41"/>
        <v>2.6589645280198748E-2</v>
      </c>
      <c r="W218" s="26">
        <f t="shared" si="42"/>
        <v>1.4146887965359286E-2</v>
      </c>
      <c r="X218" s="26">
        <f t="shared" si="43"/>
        <v>-9.0614085458605345E-2</v>
      </c>
    </row>
    <row r="219" spans="2:24" x14ac:dyDescent="0.2">
      <c r="B219" s="8">
        <f>+'Simulation and  VaR'!B232/'Simulation and  VaR'!B231-1</f>
        <v>8.8602230250238723E-3</v>
      </c>
      <c r="C219" s="8">
        <f>+'Simulation and  VaR'!C232/'Simulation and  VaR'!C231-1</f>
        <v>-1.3080826018462277E-2</v>
      </c>
      <c r="D219" s="8">
        <f>+'Simulation and  VaR'!D232/'Simulation and  VaR'!D231-1</f>
        <v>-4.512635379061436E-3</v>
      </c>
      <c r="E219" s="8">
        <f>+'Simulation and  VaR'!E232/'Simulation and  VaR'!E231-1</f>
        <v>-8.7183958151715313E-4</v>
      </c>
      <c r="F219" s="8">
        <f>+'Simulation and  VaR'!F232/'Simulation and  VaR'!F231-1</f>
        <v>-4.1666666666667629E-3</v>
      </c>
      <c r="G219" s="8">
        <f>+'Simulation and  VaR'!G232/'Simulation and  VaR'!G231-1</f>
        <v>-9.60768614891927E-3</v>
      </c>
      <c r="H219" s="8">
        <f>+'Simulation and  VaR'!H232/'Simulation and  VaR'!H231-1</f>
        <v>4.25064528529846E-2</v>
      </c>
      <c r="I219" s="8">
        <f>+'Simulation and  VaR'!I232/'Simulation and  VaR'!I231-1</f>
        <v>-2.305847629588631E-3</v>
      </c>
      <c r="J219" s="8">
        <f>+'Simulation and  VaR'!J232/'Simulation and  VaR'!J231-1</f>
        <v>3.1960227272727293E-2</v>
      </c>
      <c r="K219" s="8">
        <f>+'Simulation and  VaR'!K232/'Simulation and  VaR'!K231-1</f>
        <v>2.271759193525491E-2</v>
      </c>
      <c r="L219" s="8">
        <f>+'Simulation and  VaR'!L232/'Simulation and  VaR'!L231-1</f>
        <v>-2.2862685326312859E-2</v>
      </c>
      <c r="N219" s="26">
        <f t="shared" si="33"/>
        <v>4.3392985325988193E-3</v>
      </c>
      <c r="O219" s="26">
        <f t="shared" si="34"/>
        <v>-1.559759603703887E-2</v>
      </c>
      <c r="P219" s="26">
        <f t="shared" si="35"/>
        <v>-6.8048437025123795E-3</v>
      </c>
      <c r="Q219" s="26">
        <f t="shared" si="36"/>
        <v>-3.0845988540264715E-3</v>
      </c>
      <c r="R219" s="26">
        <f t="shared" si="37"/>
        <v>-6.3477760781115358E-3</v>
      </c>
      <c r="S219" s="26">
        <f t="shared" si="38"/>
        <v>-1.1785688119840879E-2</v>
      </c>
      <c r="T219" s="26">
        <f t="shared" si="39"/>
        <v>3.7163072807924191E-2</v>
      </c>
      <c r="U219" s="26">
        <f t="shared" si="40"/>
        <v>-1.4707613758626011E-2</v>
      </c>
      <c r="V219" s="26">
        <f t="shared" si="41"/>
        <v>2.1731021301085007E-2</v>
      </c>
      <c r="W219" s="26">
        <f t="shared" si="42"/>
        <v>2.4284507217126324E-2</v>
      </c>
      <c r="X219" s="26">
        <f t="shared" si="43"/>
        <v>-1.9338450212557153E-2</v>
      </c>
    </row>
    <row r="220" spans="2:24" x14ac:dyDescent="0.2">
      <c r="B220" s="8">
        <f>+'Simulation and  VaR'!B233/'Simulation and  VaR'!B232-1</f>
        <v>1.0792533236942736E-2</v>
      </c>
      <c r="C220" s="8">
        <f>+'Simulation and  VaR'!C233/'Simulation and  VaR'!C232-1</f>
        <v>-4.4427375046878326E-2</v>
      </c>
      <c r="D220" s="8">
        <f>+'Simulation and  VaR'!D233/'Simulation and  VaR'!D232-1</f>
        <v>-4.261106074342691E-2</v>
      </c>
      <c r="E220" s="8">
        <f>+'Simulation and  VaR'!E233/'Simulation and  VaR'!E232-1</f>
        <v>-3.3158813263525211E-2</v>
      </c>
      <c r="F220" s="8">
        <f>+'Simulation and  VaR'!F233/'Simulation and  VaR'!F232-1</f>
        <v>-3.3472803347280311E-2</v>
      </c>
      <c r="G220" s="8">
        <f>+'Simulation and  VaR'!G233/'Simulation and  VaR'!G232-1</f>
        <v>-2.9911075181891622E-2</v>
      </c>
      <c r="H220" s="8">
        <f>+'Simulation and  VaR'!H233/'Simulation and  VaR'!H232-1</f>
        <v>6.5058209977348236E-2</v>
      </c>
      <c r="I220" s="8">
        <f>+'Simulation and  VaR'!I233/'Simulation and  VaR'!I232-1</f>
        <v>1.5407845675017295E-3</v>
      </c>
      <c r="J220" s="8">
        <f>+'Simulation and  VaR'!J233/'Simulation and  VaR'!J232-1</f>
        <v>4.4735030970405987E-2</v>
      </c>
      <c r="K220" s="8">
        <f>+'Simulation and  VaR'!K233/'Simulation and  VaR'!K232-1</f>
        <v>3.3666527835624072E-2</v>
      </c>
      <c r="L220" s="8">
        <f>+'Simulation and  VaR'!L233/'Simulation and  VaR'!L232-1</f>
        <v>-4.4668179239932049E-2</v>
      </c>
      <c r="N220" s="26">
        <f t="shared" si="33"/>
        <v>6.2716087445176833E-3</v>
      </c>
      <c r="O220" s="26">
        <f t="shared" si="34"/>
        <v>-4.6944145065454919E-2</v>
      </c>
      <c r="P220" s="26">
        <f t="shared" si="35"/>
        <v>-4.4903269066877853E-2</v>
      </c>
      <c r="Q220" s="26">
        <f t="shared" si="36"/>
        <v>-3.5371572536034526E-2</v>
      </c>
      <c r="R220" s="26">
        <f t="shared" si="37"/>
        <v>-3.5653912758725086E-2</v>
      </c>
      <c r="S220" s="26">
        <f t="shared" si="38"/>
        <v>-3.2089077152813228E-2</v>
      </c>
      <c r="T220" s="26">
        <f t="shared" si="39"/>
        <v>5.9714829932287827E-2</v>
      </c>
      <c r="U220" s="26">
        <f t="shared" si="40"/>
        <v>-1.086098156153565E-2</v>
      </c>
      <c r="V220" s="26">
        <f t="shared" si="41"/>
        <v>3.4505824998763701E-2</v>
      </c>
      <c r="W220" s="26">
        <f t="shared" si="42"/>
        <v>3.5233443117495489E-2</v>
      </c>
      <c r="X220" s="26">
        <f t="shared" si="43"/>
        <v>-4.1143944126176342E-2</v>
      </c>
    </row>
    <row r="221" spans="2:24" x14ac:dyDescent="0.2">
      <c r="B221" s="8">
        <f>+'Simulation and  VaR'!B234/'Simulation and  VaR'!B233-1</f>
        <v>-1.9361607453586283E-2</v>
      </c>
      <c r="C221" s="8">
        <f>+'Simulation and  VaR'!C234/'Simulation and  VaR'!C233-1</f>
        <v>-5.3365379680541669E-2</v>
      </c>
      <c r="D221" s="8">
        <f>+'Simulation and  VaR'!D234/'Simulation and  VaR'!D233-1</f>
        <v>-3.6931818181818232E-2</v>
      </c>
      <c r="E221" s="8">
        <f>+'Simulation and  VaR'!E234/'Simulation and  VaR'!E233-1</f>
        <v>-3.9711191335740081E-2</v>
      </c>
      <c r="F221" s="8">
        <f>+'Simulation and  VaR'!F234/'Simulation and  VaR'!F233-1</f>
        <v>-3.0303030303030276E-2</v>
      </c>
      <c r="G221" s="8">
        <f>+'Simulation and  VaR'!G234/'Simulation and  VaR'!G233-1</f>
        <v>-3.4166666666666679E-2</v>
      </c>
      <c r="H221" s="8">
        <f>+'Simulation and  VaR'!H234/'Simulation and  VaR'!H233-1</f>
        <v>4.5058858442971639E-2</v>
      </c>
      <c r="I221" s="8">
        <f>+'Simulation and  VaR'!I234/'Simulation and  VaR'!I233-1</f>
        <v>6.9228639118796842E-3</v>
      </c>
      <c r="J221" s="8">
        <f>+'Simulation and  VaR'!J234/'Simulation and  VaR'!J233-1</f>
        <v>-1.8115942028985477E-2</v>
      </c>
      <c r="K221" s="8">
        <f>+'Simulation and  VaR'!K234/'Simulation and  VaR'!K233-1</f>
        <v>-2.95480491572091E-2</v>
      </c>
      <c r="L221" s="8">
        <f>+'Simulation and  VaR'!L234/'Simulation and  VaR'!L233-1</f>
        <v>-9.1534312997871847E-3</v>
      </c>
      <c r="N221" s="26">
        <f t="shared" si="33"/>
        <v>-2.3882531946011337E-2</v>
      </c>
      <c r="O221" s="26">
        <f t="shared" si="34"/>
        <v>-5.5882149699118262E-2</v>
      </c>
      <c r="P221" s="26">
        <f t="shared" si="35"/>
        <v>-3.9224026505269176E-2</v>
      </c>
      <c r="Q221" s="26">
        <f t="shared" si="36"/>
        <v>-4.1923950608249397E-2</v>
      </c>
      <c r="R221" s="26">
        <f t="shared" si="37"/>
        <v>-3.2484139714475051E-2</v>
      </c>
      <c r="S221" s="26">
        <f t="shared" si="38"/>
        <v>-3.6344668637588284E-2</v>
      </c>
      <c r="T221" s="26">
        <f t="shared" si="39"/>
        <v>3.971547839791123E-2</v>
      </c>
      <c r="U221" s="26">
        <f t="shared" si="40"/>
        <v>-5.4789022171576954E-3</v>
      </c>
      <c r="V221" s="26">
        <f t="shared" si="41"/>
        <v>-2.8345148000627762E-2</v>
      </c>
      <c r="W221" s="26">
        <f t="shared" si="42"/>
        <v>-2.7981133875337686E-2</v>
      </c>
      <c r="X221" s="26">
        <f t="shared" si="43"/>
        <v>-5.6291961860314779E-3</v>
      </c>
    </row>
    <row r="222" spans="2:24" x14ac:dyDescent="0.2">
      <c r="B222" s="8">
        <f>+'Simulation and  VaR'!B235/'Simulation and  VaR'!B234-1</f>
        <v>-3.6824994797060029E-3</v>
      </c>
      <c r="C222" s="8">
        <f>+'Simulation and  VaR'!C235/'Simulation and  VaR'!C234-1</f>
        <v>-7.0382738421652657E-3</v>
      </c>
      <c r="D222" s="8">
        <f>+'Simulation and  VaR'!D235/'Simulation and  VaR'!D234-1</f>
        <v>-1.0816125860373615E-2</v>
      </c>
      <c r="E222" s="8">
        <f>+'Simulation and  VaR'!E235/'Simulation and  VaR'!E234-1</f>
        <v>-1.5977443609022535E-2</v>
      </c>
      <c r="F222" s="8">
        <f>+'Simulation and  VaR'!F235/'Simulation and  VaR'!F234-1</f>
        <v>-1.3392857142857206E-2</v>
      </c>
      <c r="G222" s="8">
        <f>+'Simulation and  VaR'!G235/'Simulation and  VaR'!G234-1</f>
        <v>-1.2079378774805916E-2</v>
      </c>
      <c r="H222" s="8">
        <f>+'Simulation and  VaR'!H235/'Simulation and  VaR'!H234-1</f>
        <v>2.36641582658903E-3</v>
      </c>
      <c r="I222" s="8">
        <f>+'Simulation and  VaR'!I235/'Simulation and  VaR'!I234-1</f>
        <v>6.8385992788608352E-2</v>
      </c>
      <c r="J222" s="8">
        <f>+'Simulation and  VaR'!J235/'Simulation and  VaR'!J234-1</f>
        <v>-0.10734652801073463</v>
      </c>
      <c r="K222" s="8">
        <f>+'Simulation and  VaR'!K235/'Simulation and  VaR'!K234-1</f>
        <v>-2.2835789910732873E-2</v>
      </c>
      <c r="L222" s="8">
        <f>+'Simulation and  VaR'!L235/'Simulation and  VaR'!L234-1</f>
        <v>-3.9698392090282586E-2</v>
      </c>
      <c r="N222" s="26">
        <f t="shared" si="33"/>
        <v>-8.2034239721310558E-3</v>
      </c>
      <c r="O222" s="26">
        <f t="shared" si="34"/>
        <v>-9.5550438607418589E-3</v>
      </c>
      <c r="P222" s="26">
        <f t="shared" si="35"/>
        <v>-1.3108334183824559E-2</v>
      </c>
      <c r="Q222" s="26">
        <f t="shared" si="36"/>
        <v>-1.8190202881531854E-2</v>
      </c>
      <c r="R222" s="26">
        <f t="shared" si="37"/>
        <v>-1.5573966554301979E-2</v>
      </c>
      <c r="S222" s="26">
        <f t="shared" si="38"/>
        <v>-1.4257380745727525E-2</v>
      </c>
      <c r="T222" s="26">
        <f t="shared" si="39"/>
        <v>-2.976964218471375E-3</v>
      </c>
      <c r="U222" s="26">
        <f t="shared" si="40"/>
        <v>5.5984226659570972E-2</v>
      </c>
      <c r="V222" s="26">
        <f t="shared" si="41"/>
        <v>-0.11757573398237692</v>
      </c>
      <c r="W222" s="26">
        <f t="shared" si="42"/>
        <v>-2.126887462886146E-2</v>
      </c>
      <c r="X222" s="26">
        <f t="shared" si="43"/>
        <v>-3.6174156976526879E-2</v>
      </c>
    </row>
    <row r="223" spans="2:24" x14ac:dyDescent="0.2">
      <c r="B223" s="8">
        <f>+'Simulation and  VaR'!B236/'Simulation and  VaR'!B235-1</f>
        <v>-1.3813648040270632E-3</v>
      </c>
      <c r="C223" s="8">
        <f>+'Simulation and  VaR'!C236/'Simulation and  VaR'!C235-1</f>
        <v>-5.3195255316176748E-2</v>
      </c>
      <c r="D223" s="8">
        <f>+'Simulation and  VaR'!D236/'Simulation and  VaR'!D235-1</f>
        <v>-3.7773359840954313E-2</v>
      </c>
      <c r="E223" s="8">
        <f>+'Simulation and  VaR'!E236/'Simulation and  VaR'!E235-1</f>
        <v>-3.1518624641833859E-2</v>
      </c>
      <c r="F223" s="8">
        <f>+'Simulation and  VaR'!F236/'Simulation and  VaR'!F235-1</f>
        <v>-3.3484162895927483E-2</v>
      </c>
      <c r="G223" s="8">
        <f>+'Simulation and  VaR'!G236/'Simulation and  VaR'!G235-1</f>
        <v>-2.8820960698690001E-2</v>
      </c>
      <c r="H223" s="8">
        <f>+'Simulation and  VaR'!H236/'Simulation and  VaR'!H235-1</f>
        <v>7.1485905850134479E-2</v>
      </c>
      <c r="I223" s="8">
        <f>+'Simulation and  VaR'!I236/'Simulation and  VaR'!I235-1</f>
        <v>-3.6122869236929422E-2</v>
      </c>
      <c r="J223" s="8">
        <f>+'Simulation and  VaR'!J236/'Simulation and  VaR'!J235-1</f>
        <v>-0.35512965050732814</v>
      </c>
      <c r="K223" s="8">
        <f>+'Simulation and  VaR'!K236/'Simulation and  VaR'!K235-1</f>
        <v>2.4077614899794764E-2</v>
      </c>
      <c r="L223" s="8">
        <f>+'Simulation and  VaR'!L236/'Simulation and  VaR'!L235-1</f>
        <v>-6.1099266808798292E-2</v>
      </c>
      <c r="N223" s="26">
        <f t="shared" si="33"/>
        <v>-5.9022892964521161E-3</v>
      </c>
      <c r="O223" s="26">
        <f t="shared" si="34"/>
        <v>-5.5712025334753341E-2</v>
      </c>
      <c r="P223" s="26">
        <f t="shared" si="35"/>
        <v>-4.0065568164405256E-2</v>
      </c>
      <c r="Q223" s="26">
        <f t="shared" si="36"/>
        <v>-3.3731383914343174E-2</v>
      </c>
      <c r="R223" s="26">
        <f t="shared" si="37"/>
        <v>-3.5665272307372257E-2</v>
      </c>
      <c r="S223" s="26">
        <f t="shared" si="38"/>
        <v>-3.0998962669611611E-2</v>
      </c>
      <c r="T223" s="26">
        <f t="shared" si="39"/>
        <v>6.6142525805074071E-2</v>
      </c>
      <c r="U223" s="26">
        <f t="shared" si="40"/>
        <v>-4.8524635365966802E-2</v>
      </c>
      <c r="V223" s="26">
        <f t="shared" si="41"/>
        <v>-0.36535885647897043</v>
      </c>
      <c r="W223" s="26">
        <f t="shared" si="42"/>
        <v>2.5644530181666177E-2</v>
      </c>
      <c r="X223" s="26">
        <f t="shared" si="43"/>
        <v>-5.7575031695042585E-2</v>
      </c>
    </row>
    <row r="224" spans="2:24" x14ac:dyDescent="0.2">
      <c r="B224" s="8">
        <f>+'Simulation and  VaR'!B237/'Simulation and  VaR'!B236-1</f>
        <v>-7.238518185033227E-2</v>
      </c>
      <c r="C224" s="8">
        <f>+'Simulation and  VaR'!C237/'Simulation and  VaR'!C236-1</f>
        <v>-0.10622999335466499</v>
      </c>
      <c r="D224" s="8">
        <f>+'Simulation and  VaR'!D237/'Simulation and  VaR'!D236-1</f>
        <v>-6.9214876033057871E-2</v>
      </c>
      <c r="E224" s="8">
        <f>+'Simulation and  VaR'!E237/'Simulation and  VaR'!E236-1</f>
        <v>-6.3116370808678601E-2</v>
      </c>
      <c r="F224" s="8">
        <f>+'Simulation and  VaR'!F237/'Simulation and  VaR'!F236-1</f>
        <v>-4.8689138576779034E-2</v>
      </c>
      <c r="G224" s="8">
        <f>+'Simulation and  VaR'!G237/'Simulation and  VaR'!G236-1</f>
        <v>-5.5755395683453224E-2</v>
      </c>
      <c r="H224" s="8">
        <f>+'Simulation and  VaR'!H237/'Simulation and  VaR'!H236-1</f>
        <v>5.2791609747499413E-2</v>
      </c>
      <c r="I224" s="8">
        <f>+'Simulation and  VaR'!I237/'Simulation and  VaR'!I236-1</f>
        <v>2.0029079255808435E-2</v>
      </c>
      <c r="J224" s="8">
        <f>+'Simulation and  VaR'!J237/'Simulation and  VaR'!J236-1</f>
        <v>-0.29428904428904434</v>
      </c>
      <c r="K224" s="8">
        <f>+'Simulation and  VaR'!K237/'Simulation and  VaR'!K236-1</f>
        <v>1.9016665514141495E-2</v>
      </c>
      <c r="L224" s="8">
        <f>+'Simulation and  VaR'!L237/'Simulation and  VaR'!L236-1</f>
        <v>-1.6338059370846314E-2</v>
      </c>
      <c r="N224" s="26">
        <f t="shared" si="33"/>
        <v>-7.6906106342757324E-2</v>
      </c>
      <c r="O224" s="26">
        <f t="shared" si="34"/>
        <v>-0.10874676337324159</v>
      </c>
      <c r="P224" s="26">
        <f t="shared" si="35"/>
        <v>-7.1507084356508821E-2</v>
      </c>
      <c r="Q224" s="26">
        <f t="shared" si="36"/>
        <v>-6.5329130081187917E-2</v>
      </c>
      <c r="R224" s="26">
        <f t="shared" si="37"/>
        <v>-5.0870247988223809E-2</v>
      </c>
      <c r="S224" s="26">
        <f t="shared" si="38"/>
        <v>-5.793339765437483E-2</v>
      </c>
      <c r="T224" s="26">
        <f t="shared" si="39"/>
        <v>4.7448229702439004E-2</v>
      </c>
      <c r="U224" s="26">
        <f t="shared" si="40"/>
        <v>7.6273131267710556E-3</v>
      </c>
      <c r="V224" s="26">
        <f t="shared" si="41"/>
        <v>-0.30451825026068663</v>
      </c>
      <c r="W224" s="26">
        <f t="shared" si="42"/>
        <v>2.0583580796012909E-2</v>
      </c>
      <c r="X224" s="26">
        <f t="shared" si="43"/>
        <v>-1.2813824257090607E-2</v>
      </c>
    </row>
    <row r="225" spans="2:24" x14ac:dyDescent="0.2">
      <c r="B225" s="8">
        <f>+'Simulation and  VaR'!B238/'Simulation and  VaR'!B237-1</f>
        <v>-7.7909755569069206E-2</v>
      </c>
      <c r="C225" s="8">
        <f>+'Simulation and  VaR'!C238/'Simulation and  VaR'!C237-1</f>
        <v>-6.1553455851576011E-2</v>
      </c>
      <c r="D225" s="8">
        <f>+'Simulation and  VaR'!D238/'Simulation and  VaR'!D237-1</f>
        <v>-2.3307436182020025E-2</v>
      </c>
      <c r="E225" s="8">
        <f>+'Simulation and  VaR'!E238/'Simulation and  VaR'!E237-1</f>
        <v>-2.9473684210526208E-2</v>
      </c>
      <c r="F225" s="8">
        <f>+'Simulation and  VaR'!F238/'Simulation and  VaR'!F237-1</f>
        <v>-3.1496062992126039E-2</v>
      </c>
      <c r="G225" s="8">
        <f>+'Simulation and  VaR'!G238/'Simulation and  VaR'!G237-1</f>
        <v>-2.8571428571428692E-2</v>
      </c>
      <c r="H225" s="8">
        <f>+'Simulation and  VaR'!H238/'Simulation and  VaR'!H237-1</f>
        <v>-1.4147586957431679E-2</v>
      </c>
      <c r="I225" s="8">
        <f>+'Simulation and  VaR'!I238/'Simulation and  VaR'!I237-1</f>
        <v>5.8180125669071714E-3</v>
      </c>
      <c r="J225" s="8">
        <f>+'Simulation and  VaR'!J238/'Simulation and  VaR'!J237-1</f>
        <v>-6.6061106523534141E-2</v>
      </c>
      <c r="K225" s="8">
        <f>+'Simulation and  VaR'!K238/'Simulation and  VaR'!K237-1</f>
        <v>5.2592290988056511E-2</v>
      </c>
      <c r="L225" s="8">
        <f>+'Simulation and  VaR'!L238/'Simulation and  VaR'!L237-1</f>
        <v>-5.6303136084679961E-2</v>
      </c>
      <c r="N225" s="26">
        <f t="shared" si="33"/>
        <v>-8.243068006149426E-2</v>
      </c>
      <c r="O225" s="26">
        <f t="shared" si="34"/>
        <v>-6.4070225870152611E-2</v>
      </c>
      <c r="P225" s="26">
        <f t="shared" si="35"/>
        <v>-2.5599644505470968E-2</v>
      </c>
      <c r="Q225" s="26">
        <f t="shared" si="36"/>
        <v>-3.1686443483035523E-2</v>
      </c>
      <c r="R225" s="26">
        <f t="shared" si="37"/>
        <v>-3.3677172403570814E-2</v>
      </c>
      <c r="S225" s="26">
        <f t="shared" si="38"/>
        <v>-3.0749430542350301E-2</v>
      </c>
      <c r="T225" s="26">
        <f t="shared" si="39"/>
        <v>-1.9490967002492084E-2</v>
      </c>
      <c r="U225" s="26">
        <f t="shared" si="40"/>
        <v>-6.5837535621302082E-3</v>
      </c>
      <c r="V225" s="26">
        <f t="shared" si="41"/>
        <v>-7.6290312495176427E-2</v>
      </c>
      <c r="W225" s="26">
        <f t="shared" si="42"/>
        <v>5.4159206269927929E-2</v>
      </c>
      <c r="X225" s="26">
        <f t="shared" si="43"/>
        <v>-5.2778900970924254E-2</v>
      </c>
    </row>
    <row r="226" spans="2:24" x14ac:dyDescent="0.2">
      <c r="B226" s="8">
        <f>+'Simulation and  VaR'!B239/'Simulation and  VaR'!B238-1</f>
        <v>1.4411201540215135E-2</v>
      </c>
      <c r="C226" s="8">
        <f>+'Simulation and  VaR'!C239/'Simulation and  VaR'!C238-1</f>
        <v>5.6153755043462539E-2</v>
      </c>
      <c r="D226" s="8">
        <f>+'Simulation and  VaR'!D239/'Simulation and  VaR'!D238-1</f>
        <v>3.4090909090909172E-2</v>
      </c>
      <c r="E226" s="8">
        <f>+'Simulation and  VaR'!E239/'Simulation and  VaR'!E238-1</f>
        <v>2.3861171366594158E-2</v>
      </c>
      <c r="F226" s="8">
        <f>+'Simulation and  VaR'!F239/'Simulation and  VaR'!F238-1</f>
        <v>1.1178861788617933E-2</v>
      </c>
      <c r="G226" s="8">
        <f>+'Simulation and  VaR'!G239/'Simulation and  VaR'!G238-1</f>
        <v>9.8039215686274161E-3</v>
      </c>
      <c r="H226" s="8">
        <f>+'Simulation and  VaR'!H239/'Simulation and  VaR'!H238-1</f>
        <v>5.0227147284846785E-2</v>
      </c>
      <c r="I226" s="8">
        <f>+'Simulation and  VaR'!I239/'Simulation and  VaR'!I238-1</f>
        <v>-6.5074039796390037E-3</v>
      </c>
      <c r="J226" s="8">
        <f>+'Simulation and  VaR'!J239/'Simulation and  VaR'!J238-1</f>
        <v>0.22988505747126431</v>
      </c>
      <c r="K226" s="8">
        <f>+'Simulation and  VaR'!K239/'Simulation and  VaR'!K238-1</f>
        <v>-5.0738185803623215E-2</v>
      </c>
      <c r="L226" s="8">
        <f>+'Simulation and  VaR'!L239/'Simulation and  VaR'!L238-1</f>
        <v>4.116699480937891E-2</v>
      </c>
      <c r="N226" s="26">
        <f t="shared" si="33"/>
        <v>9.8902770477900821E-3</v>
      </c>
      <c r="O226" s="26">
        <f t="shared" si="34"/>
        <v>5.3636985024885946E-2</v>
      </c>
      <c r="P226" s="26">
        <f t="shared" si="35"/>
        <v>3.1798700767458228E-2</v>
      </c>
      <c r="Q226" s="26">
        <f t="shared" si="36"/>
        <v>2.1648412094084839E-2</v>
      </c>
      <c r="R226" s="26">
        <f t="shared" si="37"/>
        <v>8.9977523771731602E-3</v>
      </c>
      <c r="S226" s="26">
        <f t="shared" si="38"/>
        <v>7.6259195977058068E-3</v>
      </c>
      <c r="T226" s="26">
        <f t="shared" si="39"/>
        <v>4.4883767239786376E-2</v>
      </c>
      <c r="U226" s="26">
        <f t="shared" si="40"/>
        <v>-1.8909170108676383E-2</v>
      </c>
      <c r="V226" s="26">
        <f t="shared" si="41"/>
        <v>0.21965585149962202</v>
      </c>
      <c r="W226" s="26">
        <f t="shared" si="42"/>
        <v>-4.9171270521751798E-2</v>
      </c>
      <c r="X226" s="26">
        <f t="shared" si="43"/>
        <v>4.4691229923134616E-2</v>
      </c>
    </row>
    <row r="227" spans="2:24" x14ac:dyDescent="0.2">
      <c r="B227" s="8">
        <f>+'Simulation and  VaR'!B240/'Simulation and  VaR'!B239-1</f>
        <v>1.0995799408821227E-2</v>
      </c>
      <c r="C227" s="8">
        <f>+'Simulation and  VaR'!C240/'Simulation and  VaR'!C239-1</f>
        <v>1.1658750231209325E-2</v>
      </c>
      <c r="D227" s="8">
        <f>+'Simulation and  VaR'!D240/'Simulation and  VaR'!D239-1</f>
        <v>4.395604395604602E-3</v>
      </c>
      <c r="E227" s="8">
        <f>+'Simulation and  VaR'!E240/'Simulation and  VaR'!E239-1</f>
        <v>6.3559322033899246E-3</v>
      </c>
      <c r="F227" s="8">
        <f>+'Simulation and  VaR'!F240/'Simulation and  VaR'!F239-1</f>
        <v>2.0100502512563345E-3</v>
      </c>
      <c r="G227" s="8">
        <f>+'Simulation and  VaR'!G240/'Simulation and  VaR'!G239-1</f>
        <v>4.8543689320388328E-3</v>
      </c>
      <c r="H227" s="8">
        <f>+'Simulation and  VaR'!H240/'Simulation and  VaR'!H239-1</f>
        <v>1.4108990944372568E-2</v>
      </c>
      <c r="I227" s="8">
        <f>+'Simulation and  VaR'!I240/'Simulation and  VaR'!I239-1</f>
        <v>1.1644493610084128E-2</v>
      </c>
      <c r="J227" s="8">
        <f>+'Simulation and  VaR'!J240/'Simulation and  VaR'!J239-1</f>
        <v>-7.1890726096333069E-3</v>
      </c>
      <c r="K227" s="8">
        <f>+'Simulation and  VaR'!K240/'Simulation and  VaR'!K239-1</f>
        <v>4.054604726976363E-2</v>
      </c>
      <c r="L227" s="8">
        <f>+'Simulation and  VaR'!L240/'Simulation and  VaR'!L239-1</f>
        <v>-6.1314537848833783E-2</v>
      </c>
      <c r="N227" s="26">
        <f t="shared" si="33"/>
        <v>6.4748749163961745E-3</v>
      </c>
      <c r="O227" s="26">
        <f t="shared" si="34"/>
        <v>9.1419802126327318E-3</v>
      </c>
      <c r="P227" s="26">
        <f t="shared" si="35"/>
        <v>2.103396072153658E-3</v>
      </c>
      <c r="Q227" s="26">
        <f t="shared" si="36"/>
        <v>4.1431729308806058E-3</v>
      </c>
      <c r="R227" s="26">
        <f t="shared" si="37"/>
        <v>-1.7105916018843878E-4</v>
      </c>
      <c r="S227" s="26">
        <f t="shared" si="38"/>
        <v>2.6763669611172235E-3</v>
      </c>
      <c r="T227" s="26">
        <f t="shared" si="39"/>
        <v>8.765610899312163E-3</v>
      </c>
      <c r="U227" s="26">
        <f t="shared" si="40"/>
        <v>-7.5727251895325171E-4</v>
      </c>
      <c r="V227" s="26">
        <f t="shared" si="41"/>
        <v>-1.7418278581275592E-2</v>
      </c>
      <c r="W227" s="26">
        <f t="shared" si="42"/>
        <v>4.2112962551635047E-2</v>
      </c>
      <c r="X227" s="26">
        <f t="shared" si="43"/>
        <v>-5.7790302735078077E-2</v>
      </c>
    </row>
    <row r="228" spans="2:24" x14ac:dyDescent="0.2">
      <c r="B228" s="8">
        <f>+'Simulation and  VaR'!B241/'Simulation and  VaR'!B240-1</f>
        <v>-6.2083203101226281E-2</v>
      </c>
      <c r="C228" s="8">
        <f>+'Simulation and  VaR'!C241/'Simulation and  VaR'!C240-1</f>
        <v>-6.3555986715843393E-2</v>
      </c>
      <c r="D228" s="8">
        <f>+'Simulation and  VaR'!D241/'Simulation and  VaR'!D240-1</f>
        <v>-2.7352297592997843E-2</v>
      </c>
      <c r="E228" s="8">
        <f>+'Simulation and  VaR'!E241/'Simulation and  VaR'!E240-1</f>
        <v>-2.210526315789485E-2</v>
      </c>
      <c r="F228" s="8">
        <f>+'Simulation and  VaR'!F241/'Simulation and  VaR'!F240-1</f>
        <v>-2.006018054162495E-2</v>
      </c>
      <c r="G228" s="8">
        <f>+'Simulation and  VaR'!G241/'Simulation and  VaR'!G240-1</f>
        <v>-1.7391304347826098E-2</v>
      </c>
      <c r="H228" s="8">
        <f>+'Simulation and  VaR'!H241/'Simulation and  VaR'!H240-1</f>
        <v>-5.86804863464222E-2</v>
      </c>
      <c r="I228" s="8">
        <f>+'Simulation and  VaR'!I241/'Simulation and  VaR'!I240-1</f>
        <v>3.2747259071681301E-2</v>
      </c>
      <c r="J228" s="8">
        <f>+'Simulation and  VaR'!J241/'Simulation and  VaR'!J240-1</f>
        <v>-0.11006517016654604</v>
      </c>
      <c r="K228" s="8">
        <f>+'Simulation and  VaR'!K241/'Simulation and  VaR'!K240-1</f>
        <v>-2.6434305854709073E-2</v>
      </c>
      <c r="L228" s="8">
        <f>+'Simulation and  VaR'!L241/'Simulation and  VaR'!L240-1</f>
        <v>-6.0741102496795207E-2</v>
      </c>
      <c r="N228" s="26">
        <f t="shared" si="33"/>
        <v>-6.6604127593651336E-2</v>
      </c>
      <c r="O228" s="26">
        <f t="shared" si="34"/>
        <v>-6.6072756734419993E-2</v>
      </c>
      <c r="P228" s="26">
        <f t="shared" si="35"/>
        <v>-2.9644505916448786E-2</v>
      </c>
      <c r="Q228" s="26">
        <f t="shared" si="36"/>
        <v>-2.4318022430404169E-2</v>
      </c>
      <c r="R228" s="26">
        <f t="shared" si="37"/>
        <v>-2.2241289953069725E-2</v>
      </c>
      <c r="S228" s="26">
        <f t="shared" si="38"/>
        <v>-1.9569306318747707E-2</v>
      </c>
      <c r="T228" s="26">
        <f t="shared" si="39"/>
        <v>-6.4023866391482609E-2</v>
      </c>
      <c r="U228" s="26">
        <f t="shared" si="40"/>
        <v>2.0345492942643921E-2</v>
      </c>
      <c r="V228" s="26">
        <f t="shared" si="41"/>
        <v>-0.12029437613818833</v>
      </c>
      <c r="W228" s="26">
        <f t="shared" si="42"/>
        <v>-2.4867390572837659E-2</v>
      </c>
      <c r="X228" s="26">
        <f t="shared" si="43"/>
        <v>-5.7216867383039501E-2</v>
      </c>
    </row>
    <row r="229" spans="2:24" x14ac:dyDescent="0.2">
      <c r="B229" s="8">
        <f>+'Simulation and  VaR'!B242/'Simulation and  VaR'!B241-1</f>
        <v>-5.2352330697789551E-2</v>
      </c>
      <c r="C229" s="8">
        <f>+'Simulation and  VaR'!C242/'Simulation and  VaR'!C241-1</f>
        <v>-1.8797226134836365E-2</v>
      </c>
      <c r="D229" s="8">
        <f>+'Simulation and  VaR'!D242/'Simulation and  VaR'!D241-1</f>
        <v>-1.7997750281214864E-2</v>
      </c>
      <c r="E229" s="8">
        <f>+'Simulation and  VaR'!E242/'Simulation and  VaR'!E241-1</f>
        <v>-6.4585575888049807E-3</v>
      </c>
      <c r="F229" s="8">
        <f>+'Simulation and  VaR'!F242/'Simulation and  VaR'!F241-1</f>
        <v>-1.2282497441146289E-2</v>
      </c>
      <c r="G229" s="8">
        <f>+'Simulation and  VaR'!G242/'Simulation and  VaR'!G241-1</f>
        <v>1.9665683382497079E-3</v>
      </c>
      <c r="H229" s="8">
        <f>+'Simulation and  VaR'!H242/'Simulation and  VaR'!H241-1</f>
        <v>7.1189598949731092E-2</v>
      </c>
      <c r="I229" s="8">
        <f>+'Simulation and  VaR'!I242/'Simulation and  VaR'!I241-1</f>
        <v>7.3476552704171194E-2</v>
      </c>
      <c r="J229" s="8">
        <f>+'Simulation and  VaR'!J242/'Simulation and  VaR'!J241-1</f>
        <v>-5.9397884458909589E-2</v>
      </c>
      <c r="K229" s="8">
        <f>+'Simulation and  VaR'!K242/'Simulation and  VaR'!K241-1</f>
        <v>-2.3464735854116237E-3</v>
      </c>
      <c r="L229" s="8">
        <f>+'Simulation and  VaR'!L242/'Simulation and  VaR'!L241-1</f>
        <v>4.5495905368517775E-3</v>
      </c>
      <c r="N229" s="26">
        <f t="shared" si="33"/>
        <v>-5.6873255190214606E-2</v>
      </c>
      <c r="O229" s="26">
        <f t="shared" si="34"/>
        <v>-2.1313996153412958E-2</v>
      </c>
      <c r="P229" s="26">
        <f t="shared" si="35"/>
        <v>-2.0289958604665807E-2</v>
      </c>
      <c r="Q229" s="26">
        <f t="shared" si="36"/>
        <v>-8.6713168613142995E-3</v>
      </c>
      <c r="R229" s="26">
        <f t="shared" si="37"/>
        <v>-1.4463606852591062E-2</v>
      </c>
      <c r="S229" s="26">
        <f t="shared" si="38"/>
        <v>-2.1143363267190143E-4</v>
      </c>
      <c r="T229" s="26">
        <f t="shared" si="39"/>
        <v>6.5846218904670684E-2</v>
      </c>
      <c r="U229" s="26">
        <f t="shared" si="40"/>
        <v>6.1074786575133815E-2</v>
      </c>
      <c r="V229" s="26">
        <f t="shared" si="41"/>
        <v>-6.9627090430551875E-2</v>
      </c>
      <c r="W229" s="26">
        <f t="shared" si="42"/>
        <v>-7.795583035402091E-4</v>
      </c>
      <c r="X229" s="26">
        <f t="shared" si="43"/>
        <v>8.0738256506074843E-3</v>
      </c>
    </row>
    <row r="230" spans="2:24" x14ac:dyDescent="0.2">
      <c r="B230" s="8">
        <f>+'Simulation and  VaR'!B243/'Simulation and  VaR'!B242-1</f>
        <v>-5.813465213105562E-2</v>
      </c>
      <c r="C230" s="8">
        <f>+'Simulation and  VaR'!C243/'Simulation and  VaR'!C242-1</f>
        <v>3.9285951290144006E-2</v>
      </c>
      <c r="D230" s="8">
        <f>+'Simulation and  VaR'!D243/'Simulation and  VaR'!D242-1</f>
        <v>1.9473081328751363E-2</v>
      </c>
      <c r="E230" s="8">
        <f>+'Simulation and  VaR'!E243/'Simulation and  VaR'!E242-1</f>
        <v>1.5167930660888285E-2</v>
      </c>
      <c r="F230" s="8">
        <f>+'Simulation and  VaR'!F243/'Simulation and  VaR'!F242-1</f>
        <v>9.32642487046631E-3</v>
      </c>
      <c r="G230" s="8">
        <f>+'Simulation and  VaR'!G243/'Simulation and  VaR'!G242-1</f>
        <v>1.9627085377820208E-3</v>
      </c>
      <c r="H230" s="8">
        <f>+'Simulation and  VaR'!H243/'Simulation and  VaR'!H242-1</f>
        <v>-8.5435281094330739E-2</v>
      </c>
      <c r="I230" s="8">
        <f>+'Simulation and  VaR'!I243/'Simulation and  VaR'!I242-1</f>
        <v>9.9621035145096792E-2</v>
      </c>
      <c r="J230" s="8">
        <f>+'Simulation and  VaR'!J243/'Simulation and  VaR'!J242-1</f>
        <v>0.37629757785467133</v>
      </c>
      <c r="K230" s="8">
        <f>+'Simulation and  VaR'!K243/'Simulation and  VaR'!K242-1</f>
        <v>-2.768631140380351E-2</v>
      </c>
      <c r="L230" s="8">
        <f>+'Simulation and  VaR'!L243/'Simulation and  VaR'!L242-1</f>
        <v>-1.2939958592134149E-3</v>
      </c>
      <c r="N230" s="26">
        <f t="shared" si="33"/>
        <v>-6.2655576623480674E-2</v>
      </c>
      <c r="O230" s="26">
        <f t="shared" si="34"/>
        <v>3.6769181271567412E-2</v>
      </c>
      <c r="P230" s="26">
        <f t="shared" si="35"/>
        <v>1.7180873005300419E-2</v>
      </c>
      <c r="Q230" s="26">
        <f t="shared" si="36"/>
        <v>1.2955171388378966E-2</v>
      </c>
      <c r="R230" s="26">
        <f t="shared" si="37"/>
        <v>7.1453154590215371E-3</v>
      </c>
      <c r="S230" s="26">
        <f t="shared" si="38"/>
        <v>-2.1529343313958851E-4</v>
      </c>
      <c r="T230" s="26">
        <f t="shared" si="39"/>
        <v>-9.0778661139391148E-2</v>
      </c>
      <c r="U230" s="26">
        <f t="shared" si="40"/>
        <v>8.721926901605942E-2</v>
      </c>
      <c r="V230" s="26">
        <f t="shared" si="41"/>
        <v>0.36606837188302904</v>
      </c>
      <c r="W230" s="26">
        <f t="shared" si="42"/>
        <v>-2.6119396121932096E-2</v>
      </c>
      <c r="X230" s="26">
        <f t="shared" si="43"/>
        <v>2.2302392545422915E-3</v>
      </c>
    </row>
    <row r="231" spans="2:24" x14ac:dyDescent="0.2">
      <c r="B231" s="8">
        <f>+'Simulation and  VaR'!B244/'Simulation and  VaR'!B243-1</f>
        <v>-5.8162916717408031E-3</v>
      </c>
      <c r="C231" s="8">
        <f>+'Simulation and  VaR'!C244/'Simulation and  VaR'!C243-1</f>
        <v>-2.8501604955056825E-3</v>
      </c>
      <c r="D231" s="8">
        <f>+'Simulation and  VaR'!D244/'Simulation and  VaR'!D243-1</f>
        <v>-3.370786516854074E-3</v>
      </c>
      <c r="E231" s="8">
        <f>+'Simulation and  VaR'!E244/'Simulation and  VaR'!E243-1</f>
        <v>-3.2017075773744796E-3</v>
      </c>
      <c r="F231" s="8">
        <f>+'Simulation and  VaR'!F244/'Simulation and  VaR'!F243-1</f>
        <v>-1.0266940451745254E-3</v>
      </c>
      <c r="G231" s="8">
        <f>+'Simulation and  VaR'!G244/'Simulation and  VaR'!G243-1</f>
        <v>3.9177277179236469E-3</v>
      </c>
      <c r="H231" s="8">
        <f>+'Simulation and  VaR'!H244/'Simulation and  VaR'!H243-1</f>
        <v>5.4727013357541265E-2</v>
      </c>
      <c r="I231" s="8">
        <f>+'Simulation and  VaR'!I244/'Simulation and  VaR'!I243-1</f>
        <v>-5.4291379473137558E-2</v>
      </c>
      <c r="J231" s="8">
        <f>+'Simulation and  VaR'!J244/'Simulation and  VaR'!J243-1</f>
        <v>-4.0854808296668765E-2</v>
      </c>
      <c r="K231" s="8">
        <f>+'Simulation and  VaR'!K244/'Simulation and  VaR'!K243-1</f>
        <v>-2.8543783260764344E-2</v>
      </c>
      <c r="L231" s="8">
        <f>+'Simulation and  VaR'!L244/'Simulation and  VaR'!L243-1</f>
        <v>5.862917854366434E-2</v>
      </c>
      <c r="N231" s="26">
        <f t="shared" si="33"/>
        <v>-1.0337216164165856E-2</v>
      </c>
      <c r="O231" s="26">
        <f t="shared" si="34"/>
        <v>-5.3669305140822765E-3</v>
      </c>
      <c r="P231" s="26">
        <f t="shared" si="35"/>
        <v>-5.6629948403050176E-3</v>
      </c>
      <c r="Q231" s="26">
        <f t="shared" si="36"/>
        <v>-5.4144668498837985E-3</v>
      </c>
      <c r="R231" s="26">
        <f t="shared" si="37"/>
        <v>-3.2078034566192988E-3</v>
      </c>
      <c r="S231" s="26">
        <f t="shared" si="38"/>
        <v>1.7397257470020376E-3</v>
      </c>
      <c r="T231" s="26">
        <f t="shared" si="39"/>
        <v>4.9383633312480857E-2</v>
      </c>
      <c r="U231" s="26">
        <f t="shared" si="40"/>
        <v>-6.669314560217493E-2</v>
      </c>
      <c r="V231" s="26">
        <f t="shared" si="41"/>
        <v>-5.1084014268311051E-2</v>
      </c>
      <c r="W231" s="26">
        <f t="shared" si="42"/>
        <v>-2.697686797889293E-2</v>
      </c>
      <c r="X231" s="26">
        <f t="shared" si="43"/>
        <v>6.2153413657420047E-2</v>
      </c>
    </row>
    <row r="232" spans="2:24" x14ac:dyDescent="0.2">
      <c r="B232" s="8">
        <f>+'Simulation and  VaR'!B245/'Simulation and  VaR'!B244-1</f>
        <v>3.3217550755445746E-2</v>
      </c>
      <c r="C232" s="8">
        <f>+'Simulation and  VaR'!C245/'Simulation and  VaR'!C244-1</f>
        <v>-2.3641673457097001E-2</v>
      </c>
      <c r="D232" s="8">
        <f>+'Simulation and  VaR'!D245/'Simulation and  VaR'!D244-1</f>
        <v>-2.0293122886133053E-2</v>
      </c>
      <c r="E232" s="8">
        <f>+'Simulation and  VaR'!E245/'Simulation and  VaR'!E244-1</f>
        <v>-1.3918629550321304E-2</v>
      </c>
      <c r="F232" s="8">
        <f>+'Simulation and  VaR'!F245/'Simulation and  VaR'!F244-1</f>
        <v>-2.1582733812949728E-2</v>
      </c>
      <c r="G232" s="8">
        <f>+'Simulation and  VaR'!G245/'Simulation and  VaR'!G244-1</f>
        <v>-1.6585365853658551E-2</v>
      </c>
      <c r="H232" s="8">
        <f>+'Simulation and  VaR'!H245/'Simulation and  VaR'!H244-1</f>
        <v>2.1476290011885668E-2</v>
      </c>
      <c r="I232" s="8">
        <f>+'Simulation and  VaR'!I245/'Simulation and  VaR'!I244-1</f>
        <v>-2.8404552715654896E-2</v>
      </c>
      <c r="J232" s="8">
        <f>+'Simulation and  VaR'!J245/'Simulation and  VaR'!J244-1</f>
        <v>-3.6041939711664583E-2</v>
      </c>
      <c r="K232" s="8">
        <f>+'Simulation and  VaR'!K245/'Simulation and  VaR'!K244-1</f>
        <v>1.9920318725099584E-2</v>
      </c>
      <c r="L232" s="8">
        <f>+'Simulation and  VaR'!L245/'Simulation and  VaR'!L244-1</f>
        <v>-8.2614283091609897E-3</v>
      </c>
      <c r="N232" s="26">
        <f t="shared" si="33"/>
        <v>2.8696626263020691E-2</v>
      </c>
      <c r="O232" s="26">
        <f t="shared" si="34"/>
        <v>-2.6158443475673594E-2</v>
      </c>
      <c r="P232" s="26">
        <f t="shared" si="35"/>
        <v>-2.2585331209583996E-2</v>
      </c>
      <c r="Q232" s="26">
        <f t="shared" si="36"/>
        <v>-1.6131388822830623E-2</v>
      </c>
      <c r="R232" s="26">
        <f t="shared" si="37"/>
        <v>-2.3763843224394503E-2</v>
      </c>
      <c r="S232" s="26">
        <f t="shared" si="38"/>
        <v>-1.8763367824580161E-2</v>
      </c>
      <c r="T232" s="26">
        <f t="shared" si="39"/>
        <v>1.6132909966825263E-2</v>
      </c>
      <c r="U232" s="26">
        <f t="shared" si="40"/>
        <v>-4.0806318844692276E-2</v>
      </c>
      <c r="V232" s="26">
        <f t="shared" si="41"/>
        <v>-4.6271145683306869E-2</v>
      </c>
      <c r="W232" s="26">
        <f t="shared" si="42"/>
        <v>2.1487234006970998E-2</v>
      </c>
      <c r="X232" s="26">
        <f t="shared" si="43"/>
        <v>-4.7371931954052829E-3</v>
      </c>
    </row>
    <row r="233" spans="2:24" x14ac:dyDescent="0.2">
      <c r="B233" s="8">
        <f>+'Simulation and  VaR'!B246/'Simulation and  VaR'!B245-1</f>
        <v>3.3785429574751502E-2</v>
      </c>
      <c r="C233" s="8">
        <f>+'Simulation and  VaR'!C246/'Simulation and  VaR'!C245-1</f>
        <v>-1.8983159325004384E-2</v>
      </c>
      <c r="D233" s="8">
        <f>+'Simulation and  VaR'!D246/'Simulation and  VaR'!D245-1</f>
        <v>-2.1864211737629424E-2</v>
      </c>
      <c r="E233" s="8">
        <f>+'Simulation and  VaR'!E246/'Simulation and  VaR'!E245-1</f>
        <v>-1.9543973941368087E-2</v>
      </c>
      <c r="F233" s="8">
        <f>+'Simulation and  VaR'!F246/'Simulation and  VaR'!F245-1</f>
        <v>-1.0504201680672232E-2</v>
      </c>
      <c r="G233" s="8">
        <f>+'Simulation and  VaR'!G246/'Simulation and  VaR'!G245-1</f>
        <v>-9.9206349206348854E-3</v>
      </c>
      <c r="H233" s="8">
        <f>+'Simulation and  VaR'!H246/'Simulation and  VaR'!H245-1</f>
        <v>-2.8287124342976422E-2</v>
      </c>
      <c r="I233" s="8">
        <f>+'Simulation and  VaR'!I246/'Simulation and  VaR'!I245-1</f>
        <v>4.4957098083542313E-3</v>
      </c>
      <c r="J233" s="8">
        <f>+'Simulation and  VaR'!J246/'Simulation and  VaR'!J245-1</f>
        <v>3.7389530931339232E-2</v>
      </c>
      <c r="K233" s="8">
        <f>+'Simulation and  VaR'!K246/'Simulation and  VaR'!K245-1</f>
        <v>3.41796875E-2</v>
      </c>
      <c r="L233" s="8">
        <f>+'Simulation and  VaR'!L246/'Simulation and  VaR'!L245-1</f>
        <v>-2.3139577934098488E-2</v>
      </c>
      <c r="N233" s="26">
        <f t="shared" si="33"/>
        <v>2.9264505082326447E-2</v>
      </c>
      <c r="O233" s="26">
        <f t="shared" si="34"/>
        <v>-2.1499929343580977E-2</v>
      </c>
      <c r="P233" s="26">
        <f t="shared" si="35"/>
        <v>-2.4156420061080368E-2</v>
      </c>
      <c r="Q233" s="26">
        <f t="shared" si="36"/>
        <v>-2.1756733213877406E-2</v>
      </c>
      <c r="R233" s="26">
        <f t="shared" si="37"/>
        <v>-1.2685311092117004E-2</v>
      </c>
      <c r="S233" s="26">
        <f t="shared" si="38"/>
        <v>-1.2098636891556495E-2</v>
      </c>
      <c r="T233" s="26">
        <f t="shared" si="39"/>
        <v>-3.363050438803683E-2</v>
      </c>
      <c r="U233" s="26">
        <f t="shared" si="40"/>
        <v>-7.9060563206831483E-3</v>
      </c>
      <c r="V233" s="26">
        <f t="shared" si="41"/>
        <v>2.7160324959696946E-2</v>
      </c>
      <c r="W233" s="26">
        <f t="shared" si="42"/>
        <v>3.5746602781871417E-2</v>
      </c>
      <c r="X233" s="26">
        <f t="shared" si="43"/>
        <v>-1.9615342820342781E-2</v>
      </c>
    </row>
    <row r="234" spans="2:24" x14ac:dyDescent="0.2">
      <c r="B234" s="8">
        <f>+'Simulation and  VaR'!B247/'Simulation and  VaR'!B246-1</f>
        <v>-1.8522139492608281E-2</v>
      </c>
      <c r="C234" s="8">
        <f>+'Simulation and  VaR'!C247/'Simulation and  VaR'!C246-1</f>
        <v>-3.9629865947822251E-3</v>
      </c>
      <c r="D234" s="8">
        <f>+'Simulation and  VaR'!D247/'Simulation and  VaR'!D246-1</f>
        <v>-1.5294117647058902E-2</v>
      </c>
      <c r="E234" s="8">
        <f>+'Simulation and  VaR'!E247/'Simulation and  VaR'!E246-1</f>
        <v>-1.7718715393133966E-2</v>
      </c>
      <c r="F234" s="8">
        <f>+'Simulation and  VaR'!F247/'Simulation and  VaR'!F246-1</f>
        <v>-1.9108280254777066E-2</v>
      </c>
      <c r="G234" s="8">
        <f>+'Simulation and  VaR'!G247/'Simulation and  VaR'!G246-1</f>
        <v>-2.5050100200400771E-2</v>
      </c>
      <c r="H234" s="8">
        <f>+'Simulation and  VaR'!H247/'Simulation and  VaR'!H246-1</f>
        <v>0.13176149971095885</v>
      </c>
      <c r="I234" s="8">
        <f>+'Simulation and  VaR'!I247/'Simulation and  VaR'!I246-1</f>
        <v>3.4219073680979983E-2</v>
      </c>
      <c r="J234" s="8">
        <f>+'Simulation and  VaR'!J247/'Simulation and  VaR'!J246-1</f>
        <v>0.16055045871559637</v>
      </c>
      <c r="K234" s="8">
        <f>+'Simulation and  VaR'!K247/'Simulation and  VaR'!K246-1</f>
        <v>2.1246458923512845E-2</v>
      </c>
      <c r="L234" s="8">
        <f>+'Simulation and  VaR'!L247/'Simulation and  VaR'!L246-1</f>
        <v>-2.9372749668372222E-2</v>
      </c>
      <c r="N234" s="26">
        <f t="shared" si="33"/>
        <v>-2.3043063985033335E-2</v>
      </c>
      <c r="O234" s="26">
        <f t="shared" si="34"/>
        <v>-6.4797566133588192E-3</v>
      </c>
      <c r="P234" s="26">
        <f t="shared" si="35"/>
        <v>-1.7586325970509846E-2</v>
      </c>
      <c r="Q234" s="26">
        <f t="shared" si="36"/>
        <v>-1.9931474665643285E-2</v>
      </c>
      <c r="R234" s="26">
        <f t="shared" si="37"/>
        <v>-2.128938966622184E-2</v>
      </c>
      <c r="S234" s="26">
        <f t="shared" si="38"/>
        <v>-2.722810217132238E-2</v>
      </c>
      <c r="T234" s="26">
        <f t="shared" si="39"/>
        <v>0.12641811966589844</v>
      </c>
      <c r="U234" s="26">
        <f t="shared" si="40"/>
        <v>2.1817307551942604E-2</v>
      </c>
      <c r="V234" s="26">
        <f t="shared" si="41"/>
        <v>0.15032125274395408</v>
      </c>
      <c r="W234" s="26">
        <f t="shared" si="42"/>
        <v>2.2813374205384259E-2</v>
      </c>
      <c r="X234" s="26">
        <f t="shared" si="43"/>
        <v>-2.5848514554616515E-2</v>
      </c>
    </row>
    <row r="235" spans="2:24" x14ac:dyDescent="0.2">
      <c r="B235" s="8">
        <f>+'Simulation and  VaR'!B248/'Simulation and  VaR'!B247-1</f>
        <v>3.1098634985864626E-2</v>
      </c>
      <c r="C235" s="8">
        <f>+'Simulation and  VaR'!C248/'Simulation and  VaR'!C247-1</f>
        <v>2.3402116555077956E-2</v>
      </c>
      <c r="D235" s="8">
        <f>+'Simulation and  VaR'!D248/'Simulation and  VaR'!D247-1</f>
        <v>2.389486260454099E-3</v>
      </c>
      <c r="E235" s="8">
        <f>+'Simulation and  VaR'!E248/'Simulation and  VaR'!E247-1</f>
        <v>2.2547914317927464E-3</v>
      </c>
      <c r="F235" s="8">
        <f>+'Simulation and  VaR'!F248/'Simulation and  VaR'!F247-1</f>
        <v>-3.2467532467533866E-3</v>
      </c>
      <c r="G235" s="8">
        <f>+'Simulation and  VaR'!G248/'Simulation and  VaR'!G247-1</f>
        <v>-7.1942446043166131E-3</v>
      </c>
      <c r="H235" s="8">
        <f>+'Simulation and  VaR'!H248/'Simulation and  VaR'!H247-1</f>
        <v>3.6922178846364284E-2</v>
      </c>
      <c r="I235" s="8">
        <f>+'Simulation and  VaR'!I248/'Simulation and  VaR'!I247-1</f>
        <v>2.7696036004847269E-3</v>
      </c>
      <c r="J235" s="8">
        <f>+'Simulation and  VaR'!J248/'Simulation and  VaR'!J247-1</f>
        <v>4.7995482778091514E-2</v>
      </c>
      <c r="K235" s="8">
        <f>+'Simulation and  VaR'!K248/'Simulation and  VaR'!K247-1</f>
        <v>2.113466745921655E-2</v>
      </c>
      <c r="L235" s="8">
        <f>+'Simulation and  VaR'!L248/'Simulation and  VaR'!L247-1</f>
        <v>-2.4729923207080784E-3</v>
      </c>
      <c r="N235" s="26">
        <f t="shared" si="33"/>
        <v>2.6577710493439571E-2</v>
      </c>
      <c r="O235" s="26">
        <f t="shared" si="34"/>
        <v>2.0885346536501363E-2</v>
      </c>
      <c r="P235" s="26">
        <f t="shared" si="35"/>
        <v>9.7277937003154968E-5</v>
      </c>
      <c r="Q235" s="26">
        <f t="shared" si="36"/>
        <v>4.2032159283428034E-5</v>
      </c>
      <c r="R235" s="26">
        <f t="shared" si="37"/>
        <v>-5.4278626581981595E-3</v>
      </c>
      <c r="S235" s="26">
        <f t="shared" si="38"/>
        <v>-9.3722465752382224E-3</v>
      </c>
      <c r="T235" s="26">
        <f t="shared" si="39"/>
        <v>3.1578798801303876E-2</v>
      </c>
      <c r="U235" s="26">
        <f t="shared" si="40"/>
        <v>-9.6321625285526527E-3</v>
      </c>
      <c r="V235" s="26">
        <f t="shared" si="41"/>
        <v>3.7766276806449228E-2</v>
      </c>
      <c r="W235" s="26">
        <f t="shared" si="42"/>
        <v>2.2701582741087963E-2</v>
      </c>
      <c r="X235" s="26">
        <f t="shared" si="43"/>
        <v>1.051242793047628E-3</v>
      </c>
    </row>
    <row r="236" spans="2:24" x14ac:dyDescent="0.2">
      <c r="B236" s="8">
        <f>+'Simulation and  VaR'!B249/'Simulation and  VaR'!B248-1</f>
        <v>-3.4405283316851776E-4</v>
      </c>
      <c r="C236" s="8">
        <f>+'Simulation and  VaR'!C249/'Simulation and  VaR'!C248-1</f>
        <v>-2.603051373646359E-4</v>
      </c>
      <c r="D236" s="8">
        <f>+'Simulation and  VaR'!D249/'Simulation and  VaR'!D248-1</f>
        <v>-2.3837902264601807E-3</v>
      </c>
      <c r="E236" s="8">
        <f>+'Simulation and  VaR'!E249/'Simulation and  VaR'!E248-1</f>
        <v>-4.4994375703037992E-3</v>
      </c>
      <c r="F236" s="8">
        <f>+'Simulation and  VaR'!F249/'Simulation and  VaR'!F248-1</f>
        <v>-7.6004343105319228E-3</v>
      </c>
      <c r="G236" s="8">
        <f>+'Simulation and  VaR'!G249/'Simulation and  VaR'!G248-1</f>
        <v>-4.1407867494824835E-3</v>
      </c>
      <c r="H236" s="8">
        <f>+'Simulation and  VaR'!H249/'Simulation and  VaR'!H248-1</f>
        <v>2.6388937757292119E-2</v>
      </c>
      <c r="I236" s="8">
        <f>+'Simulation and  VaR'!I249/'Simulation and  VaR'!I248-1</f>
        <v>3.4524426031417255E-2</v>
      </c>
      <c r="J236" s="8">
        <f>+'Simulation and  VaR'!J249/'Simulation and  VaR'!J248-1</f>
        <v>-0.11045258620689657</v>
      </c>
      <c r="K236" s="8">
        <f>+'Simulation and  VaR'!K249/'Simulation and  VaR'!K248-1</f>
        <v>3.9454110342151294E-2</v>
      </c>
      <c r="L236" s="8">
        <f>+'Simulation and  VaR'!L249/'Simulation and  VaR'!L248-1</f>
        <v>-4.9517223382046005E-2</v>
      </c>
      <c r="N236" s="26">
        <f t="shared" si="33"/>
        <v>-4.8649773255935707E-3</v>
      </c>
      <c r="O236" s="26">
        <f t="shared" si="34"/>
        <v>-2.7770751559412299E-3</v>
      </c>
      <c r="P236" s="26">
        <f t="shared" si="35"/>
        <v>-4.6759985499111242E-3</v>
      </c>
      <c r="Q236" s="26">
        <f t="shared" si="36"/>
        <v>-6.712196842813118E-3</v>
      </c>
      <c r="R236" s="26">
        <f t="shared" si="37"/>
        <v>-9.7815437219766956E-3</v>
      </c>
      <c r="S236" s="26">
        <f t="shared" si="38"/>
        <v>-6.3187887204040928E-3</v>
      </c>
      <c r="T236" s="26">
        <f t="shared" si="39"/>
        <v>2.1045557712231714E-2</v>
      </c>
      <c r="U236" s="26">
        <f t="shared" si="40"/>
        <v>2.2122659902379875E-2</v>
      </c>
      <c r="V236" s="26">
        <f t="shared" si="41"/>
        <v>-0.12068179217853886</v>
      </c>
      <c r="W236" s="26">
        <f t="shared" si="42"/>
        <v>4.1021025624022711E-2</v>
      </c>
      <c r="X236" s="26">
        <f t="shared" si="43"/>
        <v>-4.5992988268290298E-2</v>
      </c>
    </row>
    <row r="237" spans="2:24" x14ac:dyDescent="0.2">
      <c r="B237" s="8">
        <f>+'Simulation and  VaR'!B250/'Simulation and  VaR'!B249-1</f>
        <v>8.0455979964582092E-3</v>
      </c>
      <c r="C237" s="8">
        <f>+'Simulation and  VaR'!C250/'Simulation and  VaR'!C249-1</f>
        <v>0.10666201480797377</v>
      </c>
      <c r="D237" s="8">
        <f>+'Simulation and  VaR'!D250/'Simulation and  VaR'!D249-1</f>
        <v>5.8542413381122982E-2</v>
      </c>
      <c r="E237" s="8">
        <f>+'Simulation and  VaR'!E250/'Simulation and  VaR'!E249-1</f>
        <v>3.5028248587570587E-2</v>
      </c>
      <c r="F237" s="8">
        <f>+'Simulation and  VaR'!F250/'Simulation and  VaR'!F249-1</f>
        <v>2.5164113785557829E-2</v>
      </c>
      <c r="G237" s="8">
        <f>+'Simulation and  VaR'!G250/'Simulation and  VaR'!G249-1</f>
        <v>4.4698544698544618E-2</v>
      </c>
      <c r="H237" s="8">
        <f>+'Simulation and  VaR'!H250/'Simulation and  VaR'!H249-1</f>
        <v>-1.1449727469061699E-2</v>
      </c>
      <c r="I237" s="8">
        <f>+'Simulation and  VaR'!I250/'Simulation and  VaR'!I249-1</f>
        <v>7.9259135658267921E-2</v>
      </c>
      <c r="J237" s="8">
        <f>+'Simulation and  VaR'!J250/'Simulation and  VaR'!J249-1</f>
        <v>0.13930950938824949</v>
      </c>
      <c r="K237" s="8">
        <f>+'Simulation and  VaR'!K250/'Simulation and  VaR'!K249-1</f>
        <v>3.3289776616265421E-2</v>
      </c>
      <c r="L237" s="8">
        <f>+'Simulation and  VaR'!L250/'Simulation and  VaR'!L249-1</f>
        <v>-3.4388084288557996E-2</v>
      </c>
      <c r="N237" s="26">
        <f t="shared" si="33"/>
        <v>3.5246735040331562E-3</v>
      </c>
      <c r="O237" s="26">
        <f t="shared" si="34"/>
        <v>0.10414524478939717</v>
      </c>
      <c r="P237" s="26">
        <f t="shared" si="35"/>
        <v>5.6250205057672038E-2</v>
      </c>
      <c r="Q237" s="26">
        <f t="shared" si="36"/>
        <v>3.2815489315061272E-2</v>
      </c>
      <c r="R237" s="26">
        <f t="shared" si="37"/>
        <v>2.2983004374113054E-2</v>
      </c>
      <c r="S237" s="26">
        <f t="shared" si="38"/>
        <v>4.2520542727623012E-2</v>
      </c>
      <c r="T237" s="26">
        <f t="shared" si="39"/>
        <v>-1.6793107514122104E-2</v>
      </c>
      <c r="U237" s="26">
        <f t="shared" si="40"/>
        <v>6.6857369529230548E-2</v>
      </c>
      <c r="V237" s="26">
        <f t="shared" si="41"/>
        <v>0.1290803034166072</v>
      </c>
      <c r="W237" s="26">
        <f t="shared" si="42"/>
        <v>3.4856691898136838E-2</v>
      </c>
      <c r="X237" s="26">
        <f t="shared" si="43"/>
        <v>-3.0863849174802289E-2</v>
      </c>
    </row>
    <row r="238" spans="2:24" x14ac:dyDescent="0.2">
      <c r="B238" s="8">
        <f>+'Simulation and  VaR'!B251/'Simulation and  VaR'!B250-1</f>
        <v>5.8896264404033616E-3</v>
      </c>
      <c r="C238" s="8">
        <f>+'Simulation and  VaR'!C251/'Simulation and  VaR'!C250-1</f>
        <v>7.3466121281841712E-2</v>
      </c>
      <c r="D238" s="8">
        <f>+'Simulation and  VaR'!D251/'Simulation and  VaR'!D250-1</f>
        <v>5.4176072234763062E-2</v>
      </c>
      <c r="E238" s="8">
        <f>+'Simulation and  VaR'!E251/'Simulation and  VaR'!E250-1</f>
        <v>4.8034934497816595E-2</v>
      </c>
      <c r="F238" s="8">
        <f>+'Simulation and  VaR'!F251/'Simulation and  VaR'!F250-1</f>
        <v>5.0160085378868846E-2</v>
      </c>
      <c r="G238" s="8">
        <f>+'Simulation and  VaR'!G251/'Simulation and  VaR'!G250-1</f>
        <v>4.6766169154228932E-2</v>
      </c>
      <c r="H238" s="8">
        <f>+'Simulation and  VaR'!H251/'Simulation and  VaR'!H250-1</f>
        <v>6.0339147622845424E-3</v>
      </c>
      <c r="I238" s="8">
        <f>+'Simulation and  VaR'!I251/'Simulation and  VaR'!I250-1</f>
        <v>-2.2086756780634875E-3</v>
      </c>
      <c r="J238" s="8">
        <f>+'Simulation and  VaR'!J251/'Simulation and  VaR'!J250-1</f>
        <v>2.6581605528974706E-3</v>
      </c>
      <c r="K238" s="8">
        <f>+'Simulation and  VaR'!K251/'Simulation and  VaR'!K250-1</f>
        <v>-1.8667951342888234E-2</v>
      </c>
      <c r="L238" s="8">
        <f>+'Simulation and  VaR'!L251/'Simulation and  VaR'!L250-1</f>
        <v>2.4381575206141592E-2</v>
      </c>
      <c r="N238" s="26">
        <f t="shared" si="33"/>
        <v>1.3687019479783086E-3</v>
      </c>
      <c r="O238" s="26">
        <f t="shared" si="34"/>
        <v>7.0949351263265112E-2</v>
      </c>
      <c r="P238" s="26">
        <f t="shared" si="35"/>
        <v>5.1883863911312118E-2</v>
      </c>
      <c r="Q238" s="26">
        <f t="shared" si="36"/>
        <v>4.5822175225307279E-2</v>
      </c>
      <c r="R238" s="26">
        <f t="shared" si="37"/>
        <v>4.7978975967424072E-2</v>
      </c>
      <c r="S238" s="26">
        <f t="shared" si="38"/>
        <v>4.4588167183307326E-2</v>
      </c>
      <c r="T238" s="26">
        <f t="shared" si="39"/>
        <v>6.9053471722413731E-4</v>
      </c>
      <c r="U238" s="26">
        <f t="shared" si="40"/>
        <v>-1.4610441807100867E-2</v>
      </c>
      <c r="V238" s="26">
        <f t="shared" si="41"/>
        <v>-7.5710454187448133E-3</v>
      </c>
      <c r="W238" s="26">
        <f t="shared" si="42"/>
        <v>-1.710103606101682E-2</v>
      </c>
      <c r="X238" s="26">
        <f t="shared" si="43"/>
        <v>2.7905810319897299E-2</v>
      </c>
    </row>
    <row r="239" spans="2:24" x14ac:dyDescent="0.2">
      <c r="B239" s="8">
        <f>+'Simulation and  VaR'!B252/'Simulation and  VaR'!B251-1</f>
        <v>-1.500462685747328E-4</v>
      </c>
      <c r="C239" s="8">
        <f>+'Simulation and  VaR'!C252/'Simulation and  VaR'!C251-1</f>
        <v>-2.4437814287370907E-2</v>
      </c>
      <c r="D239" s="8">
        <f>+'Simulation and  VaR'!D252/'Simulation and  VaR'!D251-1</f>
        <v>-1.0706638115631772E-3</v>
      </c>
      <c r="E239" s="8">
        <f>+'Simulation and  VaR'!E252/'Simulation and  VaR'!E251-1</f>
        <v>6.2500000000000888E-3</v>
      </c>
      <c r="F239" s="8">
        <f>+'Simulation and  VaR'!F252/'Simulation and  VaR'!F251-1</f>
        <v>1.5243902439024515E-2</v>
      </c>
      <c r="G239" s="8">
        <f>+'Simulation and  VaR'!G252/'Simulation and  VaR'!G251-1</f>
        <v>9.5057034220524805E-4</v>
      </c>
      <c r="H239" s="8">
        <f>+'Simulation and  VaR'!H252/'Simulation and  VaR'!H251-1</f>
        <v>4.7912860639067967E-2</v>
      </c>
      <c r="I239" s="8">
        <f>+'Simulation and  VaR'!I252/'Simulation and  VaR'!I251-1</f>
        <v>-1.106782362316272E-2</v>
      </c>
      <c r="J239" s="8">
        <f>+'Simulation and  VaR'!J252/'Simulation and  VaR'!J251-1</f>
        <v>3.9766702014846222E-2</v>
      </c>
      <c r="K239" s="8">
        <f>+'Simulation and  VaR'!K252/'Simulation and  VaR'!K251-1</f>
        <v>-1.0247913598429026E-2</v>
      </c>
      <c r="L239" s="8">
        <f>+'Simulation and  VaR'!L252/'Simulation and  VaR'!L251-1</f>
        <v>1.8735688016098928E-2</v>
      </c>
      <c r="N239" s="26">
        <f t="shared" si="33"/>
        <v>-4.6709707609997857E-3</v>
      </c>
      <c r="O239" s="26">
        <f t="shared" si="34"/>
        <v>-2.69545843059475E-2</v>
      </c>
      <c r="P239" s="26">
        <f t="shared" si="35"/>
        <v>-3.3628721350141212E-3</v>
      </c>
      <c r="Q239" s="26">
        <f t="shared" si="36"/>
        <v>4.03724072749077E-3</v>
      </c>
      <c r="R239" s="26">
        <f t="shared" si="37"/>
        <v>1.3062793027579742E-2</v>
      </c>
      <c r="S239" s="26">
        <f t="shared" si="38"/>
        <v>-1.2274316287163613E-3</v>
      </c>
      <c r="T239" s="26">
        <f t="shared" si="39"/>
        <v>4.2569480594007558E-2</v>
      </c>
      <c r="U239" s="26">
        <f t="shared" si="40"/>
        <v>-2.34695897522001E-2</v>
      </c>
      <c r="V239" s="26">
        <f t="shared" si="41"/>
        <v>2.9537496043203937E-2</v>
      </c>
      <c r="W239" s="26">
        <f t="shared" si="42"/>
        <v>-8.6809983165576123E-3</v>
      </c>
      <c r="X239" s="26">
        <f t="shared" si="43"/>
        <v>2.2259923129854635E-2</v>
      </c>
    </row>
    <row r="240" spans="2:24" x14ac:dyDescent="0.2">
      <c r="B240" s="8">
        <f>+'Simulation and  VaR'!B253/'Simulation and  VaR'!B252-1</f>
        <v>4.3108430695495414E-3</v>
      </c>
      <c r="C240" s="8">
        <f>+'Simulation and  VaR'!C253/'Simulation and  VaR'!C252-1</f>
        <v>5.2952936671808448E-3</v>
      </c>
      <c r="D240" s="8">
        <f>+'Simulation and  VaR'!D253/'Simulation and  VaR'!D252-1</f>
        <v>1.0718113612004254E-2</v>
      </c>
      <c r="E240" s="8">
        <f>+'Simulation and  VaR'!E253/'Simulation and  VaR'!E252-1</f>
        <v>-1.0351966873706209E-3</v>
      </c>
      <c r="F240" s="8">
        <f>+'Simulation and  VaR'!F253/'Simulation and  VaR'!F252-1</f>
        <v>2.0020020020019569E-3</v>
      </c>
      <c r="G240" s="8">
        <f>+'Simulation and  VaR'!G253/'Simulation and  VaR'!G252-1</f>
        <v>8.5470085470085166E-3</v>
      </c>
      <c r="H240" s="8">
        <f>+'Simulation and  VaR'!H253/'Simulation and  VaR'!H252-1</f>
        <v>4.8222097957304033E-2</v>
      </c>
      <c r="I240" s="8">
        <f>+'Simulation and  VaR'!I253/'Simulation and  VaR'!I252-1</f>
        <v>3.3575073865162564E-2</v>
      </c>
      <c r="J240" s="8">
        <f>+'Simulation and  VaR'!J253/'Simulation and  VaR'!J252-1</f>
        <v>4.8444671086180557E-2</v>
      </c>
      <c r="K240" s="8">
        <f>+'Simulation and  VaR'!K253/'Simulation and  VaR'!K252-1</f>
        <v>-1.3516027032054123E-2</v>
      </c>
      <c r="L240" s="8">
        <f>+'Simulation and  VaR'!L253/'Simulation and  VaR'!L252-1</f>
        <v>2.1115727811456875E-2</v>
      </c>
      <c r="N240" s="26">
        <f t="shared" si="33"/>
        <v>-2.100814228755115E-4</v>
      </c>
      <c r="O240" s="26">
        <f t="shared" si="34"/>
        <v>2.7785236486042508E-3</v>
      </c>
      <c r="P240" s="26">
        <f t="shared" si="35"/>
        <v>8.4259052885533106E-3</v>
      </c>
      <c r="Q240" s="26">
        <f t="shared" si="36"/>
        <v>-3.2479559598799393E-3</v>
      </c>
      <c r="R240" s="26">
        <f t="shared" si="37"/>
        <v>-1.7910740944281642E-4</v>
      </c>
      <c r="S240" s="26">
        <f t="shared" si="38"/>
        <v>6.3690065760869073E-3</v>
      </c>
      <c r="T240" s="26">
        <f t="shared" si="39"/>
        <v>4.2878717912243625E-2</v>
      </c>
      <c r="U240" s="26">
        <f t="shared" si="40"/>
        <v>2.1173307736125184E-2</v>
      </c>
      <c r="V240" s="26">
        <f t="shared" si="41"/>
        <v>3.8215465114538272E-2</v>
      </c>
      <c r="W240" s="26">
        <f t="shared" si="42"/>
        <v>-1.1949111750182709E-2</v>
      </c>
      <c r="X240" s="26">
        <f t="shared" si="43"/>
        <v>2.4639962925212582E-2</v>
      </c>
    </row>
    <row r="241" spans="1:24" x14ac:dyDescent="0.2">
      <c r="B241" s="8">
        <f>+'Simulation and  VaR'!B254/'Simulation and  VaR'!B253-1</f>
        <v>6.1239690527308488E-2</v>
      </c>
      <c r="C241" s="8">
        <f>+'Simulation and  VaR'!C254/'Simulation and  VaR'!C253-1</f>
        <v>3.7089364091014598E-2</v>
      </c>
      <c r="D241" s="8">
        <f>+'Simulation and  VaR'!D254/'Simulation and  VaR'!D253-1</f>
        <v>2.6511134676564074E-2</v>
      </c>
      <c r="E241" s="8">
        <f>+'Simulation and  VaR'!E254/'Simulation and  VaR'!E253-1</f>
        <v>2.2797927461139844E-2</v>
      </c>
      <c r="F241" s="8">
        <f>+'Simulation and  VaR'!F254/'Simulation and  VaR'!F253-1</f>
        <v>1.998001998001997E-2</v>
      </c>
      <c r="G241" s="8">
        <f>+'Simulation and  VaR'!G254/'Simulation and  VaR'!G253-1</f>
        <v>1.7890772128060339E-2</v>
      </c>
      <c r="H241" s="8">
        <f>+'Simulation and  VaR'!H254/'Simulation and  VaR'!H253-1</f>
        <v>3.4957793328521669E-2</v>
      </c>
      <c r="I241" s="8">
        <f>+'Simulation and  VaR'!I254/'Simulation and  VaR'!I253-1</f>
        <v>-1.7325017325017344E-2</v>
      </c>
      <c r="J241" s="8">
        <f>+'Simulation and  VaR'!J254/'Simulation and  VaR'!J253-1</f>
        <v>8.2684824902723664E-2</v>
      </c>
      <c r="K241" s="8">
        <f>+'Simulation and  VaR'!K254/'Simulation and  VaR'!K253-1</f>
        <v>2.6271133178304318E-2</v>
      </c>
      <c r="L241" s="8">
        <f>+'Simulation and  VaR'!L254/'Simulation and  VaR'!L253-1</f>
        <v>-5.4365952905076398E-2</v>
      </c>
      <c r="N241" s="26">
        <f t="shared" si="33"/>
        <v>5.6718766034883433E-2</v>
      </c>
      <c r="O241" s="26">
        <f t="shared" si="34"/>
        <v>3.4572594072438005E-2</v>
      </c>
      <c r="P241" s="26">
        <f t="shared" si="35"/>
        <v>2.4218926353113131E-2</v>
      </c>
      <c r="Q241" s="26">
        <f t="shared" si="36"/>
        <v>2.0585168188630525E-2</v>
      </c>
      <c r="R241" s="26">
        <f t="shared" si="37"/>
        <v>1.7798910568575195E-2</v>
      </c>
      <c r="S241" s="26">
        <f t="shared" si="38"/>
        <v>1.571277015713873E-2</v>
      </c>
      <c r="T241" s="26">
        <f t="shared" si="39"/>
        <v>2.9614413283461264E-2</v>
      </c>
      <c r="U241" s="26">
        <f t="shared" si="40"/>
        <v>-2.9726783454054724E-2</v>
      </c>
      <c r="V241" s="26">
        <f t="shared" si="41"/>
        <v>7.2455618931081378E-2</v>
      </c>
      <c r="W241" s="26">
        <f t="shared" si="42"/>
        <v>2.7838048460175732E-2</v>
      </c>
      <c r="X241" s="26">
        <f t="shared" si="43"/>
        <v>-5.0841717791320691E-2</v>
      </c>
    </row>
    <row r="242" spans="1:24" x14ac:dyDescent="0.2">
      <c r="B242" s="8">
        <f>+'Simulation and  VaR'!B255/'Simulation and  VaR'!B254-1</f>
        <v>6.0829932529742337E-2</v>
      </c>
      <c r="C242" s="8">
        <f>+'Simulation and  VaR'!C255/'Simulation and  VaR'!C254-1</f>
        <v>7.5415354552406777E-2</v>
      </c>
      <c r="D242" s="8">
        <f>+'Simulation and  VaR'!D255/'Simulation and  VaR'!D254-1</f>
        <v>5.2685950413223104E-2</v>
      </c>
      <c r="E242" s="8">
        <f>+'Simulation and  VaR'!E255/'Simulation and  VaR'!E254-1</f>
        <v>4.9645390070921946E-2</v>
      </c>
      <c r="F242" s="8">
        <f>+'Simulation and  VaR'!F255/'Simulation and  VaR'!F254-1</f>
        <v>5.0930460333006966E-2</v>
      </c>
      <c r="G242" s="8">
        <f>+'Simulation and  VaR'!G255/'Simulation and  VaR'!G254-1</f>
        <v>4.7178538390379332E-2</v>
      </c>
      <c r="H242" s="8">
        <f>+'Simulation and  VaR'!H255/'Simulation and  VaR'!H254-1</f>
        <v>-2.416542858009163E-2</v>
      </c>
      <c r="I242" s="8">
        <f>+'Simulation and  VaR'!I255/'Simulation and  VaR'!I254-1</f>
        <v>1.2120944992947802E-2</v>
      </c>
      <c r="J242" s="8">
        <f>+'Simulation and  VaR'!J255/'Simulation and  VaR'!J254-1</f>
        <v>-0.11859838274932621</v>
      </c>
      <c r="K242" s="8">
        <f>+'Simulation and  VaR'!K255/'Simulation and  VaR'!K254-1</f>
        <v>-4.8992589870783254E-3</v>
      </c>
      <c r="L242" s="8">
        <f>+'Simulation and  VaR'!L255/'Simulation and  VaR'!L254-1</f>
        <v>3.3577878103837389E-2</v>
      </c>
      <c r="N242" s="26">
        <f t="shared" si="33"/>
        <v>5.6309008037317282E-2</v>
      </c>
      <c r="O242" s="26">
        <f t="shared" si="34"/>
        <v>7.2898584533830177E-2</v>
      </c>
      <c r="P242" s="26">
        <f t="shared" si="35"/>
        <v>5.039374208977216E-2</v>
      </c>
      <c r="Q242" s="26">
        <f t="shared" si="36"/>
        <v>4.7432630798412631E-2</v>
      </c>
      <c r="R242" s="26">
        <f t="shared" si="37"/>
        <v>4.8749350921562191E-2</v>
      </c>
      <c r="S242" s="26">
        <f t="shared" si="38"/>
        <v>4.5000536419457726E-2</v>
      </c>
      <c r="T242" s="26">
        <f t="shared" si="39"/>
        <v>-2.9508808625152035E-2</v>
      </c>
      <c r="U242" s="26">
        <f t="shared" si="40"/>
        <v>-2.8082113608957765E-4</v>
      </c>
      <c r="V242" s="26">
        <f t="shared" si="41"/>
        <v>-0.1288275887209685</v>
      </c>
      <c r="W242" s="26">
        <f t="shared" si="42"/>
        <v>-3.3323437052069109E-3</v>
      </c>
      <c r="X242" s="26">
        <f t="shared" si="43"/>
        <v>3.7102113217593095E-2</v>
      </c>
    </row>
    <row r="243" spans="1:24" x14ac:dyDescent="0.2">
      <c r="B243" s="8">
        <f>+'Simulation and  VaR'!B256/'Simulation and  VaR'!B255-1</f>
        <v>-4.1753936961814064E-2</v>
      </c>
      <c r="C243" s="8">
        <f>+'Simulation and  VaR'!C256/'Simulation and  VaR'!C255-1</f>
        <v>1.0400363508250576E-2</v>
      </c>
      <c r="D243" s="8">
        <f>+'Simulation and  VaR'!D256/'Simulation and  VaR'!D255-1</f>
        <v>3.3366045142296352E-2</v>
      </c>
      <c r="E243" s="8">
        <f>+'Simulation and  VaR'!E256/'Simulation and  VaR'!E255-1</f>
        <v>3.7644787644787625E-2</v>
      </c>
      <c r="F243" s="8">
        <f>+'Simulation and  VaR'!F256/'Simulation and  VaR'!F255-1</f>
        <v>2.4231127679403608E-2</v>
      </c>
      <c r="G243" s="8">
        <f>+'Simulation and  VaR'!G256/'Simulation and  VaR'!G255-1</f>
        <v>2.7385159010600679E-2</v>
      </c>
      <c r="H243" s="8">
        <f>+'Simulation and  VaR'!H256/'Simulation and  VaR'!H255-1</f>
        <v>-0.21762366393238874</v>
      </c>
      <c r="I243" s="8">
        <f>+'Simulation and  VaR'!I256/'Simulation and  VaR'!I255-1</f>
        <v>1.850803466446016E-2</v>
      </c>
      <c r="J243" s="8">
        <f>+'Simulation and  VaR'!J256/'Simulation and  VaR'!J255-1</f>
        <v>0</v>
      </c>
      <c r="K243" s="8">
        <f>+'Simulation and  VaR'!K256/'Simulation and  VaR'!K255-1</f>
        <v>5.951135454489509E-2</v>
      </c>
      <c r="L243" s="8">
        <f>+'Simulation and  VaR'!L256/'Simulation and  VaR'!L255-1</f>
        <v>-5.5282555282555212E-2</v>
      </c>
      <c r="N243" s="26">
        <f t="shared" si="33"/>
        <v>-4.6274861454239119E-2</v>
      </c>
      <c r="O243" s="26">
        <f t="shared" si="34"/>
        <v>7.8835934896739832E-3</v>
      </c>
      <c r="P243" s="26">
        <f t="shared" si="35"/>
        <v>3.1073836818845409E-2</v>
      </c>
      <c r="Q243" s="26">
        <f t="shared" si="36"/>
        <v>3.543202837227831E-2</v>
      </c>
      <c r="R243" s="26">
        <f t="shared" si="37"/>
        <v>2.2050018267958833E-2</v>
      </c>
      <c r="S243" s="26">
        <f t="shared" si="38"/>
        <v>2.520715703967907E-2</v>
      </c>
      <c r="T243" s="26">
        <f t="shared" si="39"/>
        <v>-0.22296704397744915</v>
      </c>
      <c r="U243" s="26">
        <f t="shared" si="40"/>
        <v>6.1062685354227805E-3</v>
      </c>
      <c r="V243" s="26">
        <f t="shared" si="41"/>
        <v>-1.0229205971642284E-2</v>
      </c>
      <c r="W243" s="26">
        <f t="shared" si="42"/>
        <v>6.1078269826766507E-2</v>
      </c>
      <c r="X243" s="26">
        <f t="shared" si="43"/>
        <v>-5.1758320168799506E-2</v>
      </c>
    </row>
    <row r="244" spans="1:24" x14ac:dyDescent="0.2">
      <c r="B244" s="8">
        <f>+'Simulation and  VaR'!B257/'Simulation and  VaR'!B256-1</f>
        <v>-7.262776365697643E-2</v>
      </c>
      <c r="C244" s="8">
        <f>+'Simulation and  VaR'!C257/'Simulation and  VaR'!C256-1</f>
        <v>-6.9199757008717722E-2</v>
      </c>
      <c r="D244" s="8">
        <f>+'Simulation and  VaR'!D257/'Simulation and  VaR'!D256-1</f>
        <v>-4.8433048433048409E-2</v>
      </c>
      <c r="E244" s="8">
        <f>+'Simulation and  VaR'!E257/'Simulation and  VaR'!E256-1</f>
        <v>-4.3720930232558186E-2</v>
      </c>
      <c r="F244" s="8">
        <f>+'Simulation and  VaR'!F257/'Simulation and  VaR'!F256-1</f>
        <v>-3.1847133757961776E-2</v>
      </c>
      <c r="G244" s="8">
        <f>+'Simulation and  VaR'!G257/'Simulation and  VaR'!G256-1</f>
        <v>-3.3533963886500318E-2</v>
      </c>
      <c r="H244" s="8">
        <f>+'Simulation and  VaR'!H257/'Simulation and  VaR'!H256-1</f>
        <v>-8.5345512311358118E-2</v>
      </c>
      <c r="I244" s="8">
        <f>+'Simulation and  VaR'!I257/'Simulation and  VaR'!I256-1</f>
        <v>5.3189669916196225E-2</v>
      </c>
      <c r="J244" s="8">
        <f>+'Simulation and  VaR'!J257/'Simulation and  VaR'!J256-1</f>
        <v>2.0387359836899765E-3</v>
      </c>
      <c r="K244" s="8">
        <f>+'Simulation and  VaR'!K257/'Simulation and  VaR'!K256-1</f>
        <v>6.0467007434944264E-2</v>
      </c>
      <c r="L244" s="8">
        <f>+'Simulation and  VaR'!L257/'Simulation and  VaR'!L256-1</f>
        <v>-4.3274093339112918E-2</v>
      </c>
      <c r="N244" s="26">
        <f t="shared" si="33"/>
        <v>-7.7148688149401484E-2</v>
      </c>
      <c r="O244" s="26">
        <f t="shared" si="34"/>
        <v>-7.1716527027294322E-2</v>
      </c>
      <c r="P244" s="26">
        <f t="shared" si="35"/>
        <v>-5.0725256756499353E-2</v>
      </c>
      <c r="Q244" s="26">
        <f t="shared" si="36"/>
        <v>-4.5933689505067501E-2</v>
      </c>
      <c r="R244" s="26">
        <f t="shared" si="37"/>
        <v>-3.4028243169406551E-2</v>
      </c>
      <c r="S244" s="26">
        <f t="shared" si="38"/>
        <v>-3.5711965857421923E-2</v>
      </c>
      <c r="T244" s="26">
        <f t="shared" si="39"/>
        <v>-9.0688892356418527E-2</v>
      </c>
      <c r="U244" s="26">
        <f t="shared" si="40"/>
        <v>4.0787903787158845E-2</v>
      </c>
      <c r="V244" s="26">
        <f t="shared" si="41"/>
        <v>-8.1904699879523073E-3</v>
      </c>
      <c r="W244" s="26">
        <f t="shared" si="42"/>
        <v>6.2033922716815681E-2</v>
      </c>
      <c r="X244" s="26">
        <f t="shared" si="43"/>
        <v>-3.9749858225357211E-2</v>
      </c>
    </row>
    <row r="245" spans="1:24" x14ac:dyDescent="0.2">
      <c r="B245" s="8">
        <f>+'Simulation and  VaR'!B258/'Simulation and  VaR'!B257-1</f>
        <v>1.2984506753298319E-2</v>
      </c>
      <c r="C245" s="8">
        <f>+'Simulation and  VaR'!C258/'Simulation and  VaR'!C257-1</f>
        <v>1.4339730526861105E-2</v>
      </c>
      <c r="D245" s="8">
        <f>+'Simulation and  VaR'!D258/'Simulation and  VaR'!D257-1</f>
        <v>9.9800399201597223E-3</v>
      </c>
      <c r="E245" s="8">
        <f>+'Simulation and  VaR'!E258/'Simulation and  VaR'!E257-1</f>
        <v>5.8365758754863606E-3</v>
      </c>
      <c r="F245" s="8">
        <f>+'Simulation and  VaR'!F258/'Simulation and  VaR'!F257-1</f>
        <v>-9.3984962406035155E-4</v>
      </c>
      <c r="G245" s="8">
        <f>+'Simulation and  VaR'!G258/'Simulation and  VaR'!G257-1</f>
        <v>5.3380782918148739E-3</v>
      </c>
      <c r="H245" s="8">
        <f>+'Simulation and  VaR'!H258/'Simulation and  VaR'!H257-1</f>
        <v>7.2858321392905268E-2</v>
      </c>
      <c r="I245" s="8">
        <f>+'Simulation and  VaR'!I258/'Simulation and  VaR'!I257-1</f>
        <v>-1.2443163364728838E-2</v>
      </c>
      <c r="J245" s="8">
        <f>+'Simulation and  VaR'!J258/'Simulation and  VaR'!J257-1</f>
        <v>-6.1037639877924654E-2</v>
      </c>
      <c r="K245" s="8">
        <f>+'Simulation and  VaR'!K258/'Simulation and  VaR'!K257-1</f>
        <v>3.3083200964013848E-2</v>
      </c>
      <c r="L245" s="8">
        <f>+'Simulation and  VaR'!L258/'Simulation and  VaR'!L257-1</f>
        <v>-8.4346447179641904E-2</v>
      </c>
      <c r="N245" s="26">
        <f t="shared" si="33"/>
        <v>8.4635822608732664E-3</v>
      </c>
      <c r="O245" s="26">
        <f t="shared" si="34"/>
        <v>1.1822960508284512E-2</v>
      </c>
      <c r="P245" s="26">
        <f t="shared" si="35"/>
        <v>7.6878315967087787E-3</v>
      </c>
      <c r="Q245" s="26">
        <f t="shared" si="36"/>
        <v>3.6238166029770422E-3</v>
      </c>
      <c r="R245" s="26">
        <f t="shared" si="37"/>
        <v>-3.1209590355051249E-3</v>
      </c>
      <c r="S245" s="26">
        <f t="shared" si="38"/>
        <v>3.1600763208932646E-3</v>
      </c>
      <c r="T245" s="26">
        <f t="shared" si="39"/>
        <v>6.7514941347844859E-2</v>
      </c>
      <c r="U245" s="26">
        <f t="shared" si="40"/>
        <v>-2.4844929493766217E-2</v>
      </c>
      <c r="V245" s="26">
        <f t="shared" si="41"/>
        <v>-7.126684584956694E-2</v>
      </c>
      <c r="W245" s="26">
        <f t="shared" si="42"/>
        <v>3.4650116245885265E-2</v>
      </c>
      <c r="X245" s="26">
        <f t="shared" si="43"/>
        <v>-8.0822212065886204E-2</v>
      </c>
    </row>
    <row r="246" spans="1:24" x14ac:dyDescent="0.2">
      <c r="B246" s="8">
        <f>+'Simulation and  VaR'!B259/'Simulation and  VaR'!B258-1</f>
        <v>8.0623033858453486E-3</v>
      </c>
      <c r="C246" s="8">
        <f>+'Simulation and  VaR'!C259/'Simulation and  VaR'!C258-1</f>
        <v>-3.5779901906252909E-2</v>
      </c>
      <c r="D246" s="8">
        <f>+'Simulation and  VaR'!D259/'Simulation and  VaR'!D258-1</f>
        <v>-2.2727272727272596E-2</v>
      </c>
      <c r="E246" s="8">
        <f>+'Simulation and  VaR'!E259/'Simulation and  VaR'!E258-1</f>
        <v>-2.3210831721470093E-2</v>
      </c>
      <c r="F246" s="8">
        <f>+'Simulation and  VaR'!F259/'Simulation and  VaR'!F258-1</f>
        <v>-1.7873941674506066E-2</v>
      </c>
      <c r="G246" s="8">
        <f>+'Simulation and  VaR'!G259/'Simulation and  VaR'!G258-1</f>
        <v>-1.9469026548672441E-2</v>
      </c>
      <c r="H246" s="8">
        <f>+'Simulation and  VaR'!H259/'Simulation and  VaR'!H258-1</f>
        <v>4.043061232749201E-2</v>
      </c>
      <c r="I246" s="8">
        <f>+'Simulation and  VaR'!I259/'Simulation and  VaR'!I258-1</f>
        <v>-6.2177550307290663E-2</v>
      </c>
      <c r="J246" s="8">
        <f>+'Simulation and  VaR'!J259/'Simulation and  VaR'!J258-1</f>
        <v>-9.4257854821235054E-2</v>
      </c>
      <c r="K246" s="8">
        <f>+'Simulation and  VaR'!K259/'Simulation and  VaR'!K258-1</f>
        <v>-6.1979746566990124E-2</v>
      </c>
      <c r="L246" s="8">
        <f>+'Simulation and  VaR'!L259/'Simulation and  VaR'!L258-1</f>
        <v>5.360382648853701E-2</v>
      </c>
      <c r="N246" s="26">
        <f t="shared" si="33"/>
        <v>3.5413788934202956E-3</v>
      </c>
      <c r="O246" s="26">
        <f t="shared" si="34"/>
        <v>-3.8296671924829502E-2</v>
      </c>
      <c r="P246" s="26">
        <f t="shared" si="35"/>
        <v>-2.501948105072354E-2</v>
      </c>
      <c r="Q246" s="26">
        <f t="shared" si="36"/>
        <v>-2.5423590993979412E-2</v>
      </c>
      <c r="R246" s="26">
        <f t="shared" si="37"/>
        <v>-2.0055051085950841E-2</v>
      </c>
      <c r="S246" s="26">
        <f t="shared" si="38"/>
        <v>-2.1647028519594051E-2</v>
      </c>
      <c r="T246" s="26">
        <f t="shared" si="39"/>
        <v>3.5087232282431602E-2</v>
      </c>
      <c r="U246" s="26">
        <f t="shared" si="40"/>
        <v>-7.4579316436328036E-2</v>
      </c>
      <c r="V246" s="26">
        <f t="shared" si="41"/>
        <v>-0.10448706079287734</v>
      </c>
      <c r="W246" s="26">
        <f t="shared" si="42"/>
        <v>-6.0412831285118707E-2</v>
      </c>
      <c r="X246" s="26">
        <f t="shared" si="43"/>
        <v>5.7128061602292717E-2</v>
      </c>
    </row>
    <row r="247" spans="1:24" x14ac:dyDescent="0.2">
      <c r="B247" s="8">
        <f>+'Simulation and  VaR'!B260/'Simulation and  VaR'!B259-1</f>
        <v>-2.6684275056036766E-2</v>
      </c>
      <c r="C247" s="8">
        <f>+'Simulation and  VaR'!C260/'Simulation and  VaR'!C259-1</f>
        <v>-5.2305265703007198E-2</v>
      </c>
      <c r="D247" s="8">
        <f>+'Simulation and  VaR'!D260/'Simulation and  VaR'!D259-1</f>
        <v>-4.7522750252780632E-2</v>
      </c>
      <c r="E247" s="8">
        <f>+'Simulation and  VaR'!E260/'Simulation and  VaR'!E259-1</f>
        <v>-4.7524752475247567E-2</v>
      </c>
      <c r="F247" s="8">
        <f>+'Simulation and  VaR'!F260/'Simulation and  VaR'!F259-1</f>
        <v>-4.6934865900383205E-2</v>
      </c>
      <c r="G247" s="8">
        <f>+'Simulation and  VaR'!G260/'Simulation and  VaR'!G259-1</f>
        <v>-4.061371841155248E-2</v>
      </c>
      <c r="H247" s="8">
        <f>+'Simulation and  VaR'!H260/'Simulation and  VaR'!H259-1</f>
        <v>4.1815777189979864E-2</v>
      </c>
      <c r="I247" s="8">
        <f>+'Simulation and  VaR'!I260/'Simulation and  VaR'!I259-1</f>
        <v>-6.8469732170253872E-2</v>
      </c>
      <c r="J247" s="8">
        <f>+'Simulation and  VaR'!J260/'Simulation and  VaR'!J259-1</f>
        <v>5.9808612440190867E-3</v>
      </c>
      <c r="K247" s="8">
        <f>+'Simulation and  VaR'!K260/'Simulation and  VaR'!K259-1</f>
        <v>2.4869997739092042E-3</v>
      </c>
      <c r="L247" s="8">
        <f>+'Simulation and  VaR'!L260/'Simulation and  VaR'!L259-1</f>
        <v>5.4790231684407331E-3</v>
      </c>
      <c r="N247" s="26">
        <f t="shared" si="33"/>
        <v>-3.1205199548461821E-2</v>
      </c>
      <c r="O247" s="26">
        <f t="shared" si="34"/>
        <v>-5.4822035721583791E-2</v>
      </c>
      <c r="P247" s="26">
        <f t="shared" si="35"/>
        <v>-4.9814958576231576E-2</v>
      </c>
      <c r="Q247" s="26">
        <f t="shared" si="36"/>
        <v>-4.9737511747756882E-2</v>
      </c>
      <c r="R247" s="26">
        <f t="shared" si="37"/>
        <v>-4.9115975311827979E-2</v>
      </c>
      <c r="S247" s="26">
        <f t="shared" si="38"/>
        <v>-4.2791720382474085E-2</v>
      </c>
      <c r="T247" s="26">
        <f t="shared" si="39"/>
        <v>3.6472397144919455E-2</v>
      </c>
      <c r="U247" s="26">
        <f t="shared" si="40"/>
        <v>-8.0871498299291245E-2</v>
      </c>
      <c r="V247" s="26">
        <f t="shared" si="41"/>
        <v>-4.2483447276231972E-3</v>
      </c>
      <c r="W247" s="26">
        <f t="shared" si="42"/>
        <v>4.0539150557806188E-3</v>
      </c>
      <c r="X247" s="26">
        <f t="shared" si="43"/>
        <v>9.0032582821964399E-3</v>
      </c>
    </row>
    <row r="248" spans="1:24" x14ac:dyDescent="0.2">
      <c r="B248" s="8">
        <f>+'Simulation and  VaR'!B261/'Simulation and  VaR'!B260-1</f>
        <v>7.612329608114754E-3</v>
      </c>
      <c r="C248" s="8">
        <f>+'Simulation and  VaR'!C261/'Simulation and  VaR'!C260-1</f>
        <v>1.963977873996603E-2</v>
      </c>
      <c r="D248" s="8">
        <f>+'Simulation and  VaR'!D261/'Simulation and  VaR'!D260-1</f>
        <v>-2.1231422505307851E-3</v>
      </c>
      <c r="E248" s="8">
        <f>+'Simulation and  VaR'!E261/'Simulation and  VaR'!E260-1</f>
        <v>-2.0790020790020236E-3</v>
      </c>
      <c r="F248" s="8">
        <f>+'Simulation and  VaR'!F261/'Simulation and  VaR'!F260-1</f>
        <v>-5.0251256281406143E-3</v>
      </c>
      <c r="G248" s="8">
        <f>+'Simulation and  VaR'!G261/'Simulation and  VaR'!G260-1</f>
        <v>-4.7036688617120292E-3</v>
      </c>
      <c r="H248" s="8">
        <f>+'Simulation and  VaR'!H261/'Simulation and  VaR'!H260-1</f>
        <v>-3.3342045327259817E-2</v>
      </c>
      <c r="I248" s="8">
        <f>+'Simulation and  VaR'!I261/'Simulation and  VaR'!I260-1</f>
        <v>7.3502423415368723E-2</v>
      </c>
      <c r="J248" s="8">
        <f>+'Simulation and  VaR'!J261/'Simulation and  VaR'!J260-1</f>
        <v>-7.7288941736028627E-2</v>
      </c>
      <c r="K248" s="8">
        <f>+'Simulation and  VaR'!K261/'Simulation and  VaR'!K260-1</f>
        <v>6.371222372575569E-2</v>
      </c>
      <c r="L248" s="8">
        <f>+'Simulation and  VaR'!L261/'Simulation and  VaR'!L260-1</f>
        <v>-3.378483574653568E-2</v>
      </c>
      <c r="N248" s="26">
        <f t="shared" si="33"/>
        <v>3.0914051156897011E-3</v>
      </c>
      <c r="O248" s="26">
        <f t="shared" si="34"/>
        <v>1.7123008721389436E-2</v>
      </c>
      <c r="P248" s="26">
        <f t="shared" si="35"/>
        <v>-4.4153505739817286E-3</v>
      </c>
      <c r="Q248" s="26">
        <f t="shared" si="36"/>
        <v>-4.2917613515113424E-3</v>
      </c>
      <c r="R248" s="26">
        <f t="shared" si="37"/>
        <v>-7.2062350395853871E-3</v>
      </c>
      <c r="S248" s="26">
        <f t="shared" si="38"/>
        <v>-6.8816708326336386E-3</v>
      </c>
      <c r="T248" s="26">
        <f t="shared" si="39"/>
        <v>-3.8685425372320226E-2</v>
      </c>
      <c r="U248" s="26">
        <f t="shared" si="40"/>
        <v>6.1100657286331343E-2</v>
      </c>
      <c r="V248" s="26">
        <f t="shared" si="41"/>
        <v>-8.7518147707670912E-2</v>
      </c>
      <c r="W248" s="26">
        <f t="shared" si="42"/>
        <v>6.5279139007627107E-2</v>
      </c>
      <c r="X248" s="26">
        <f t="shared" si="43"/>
        <v>-3.0260600632779973E-2</v>
      </c>
    </row>
    <row r="249" spans="1:24" x14ac:dyDescent="0.2">
      <c r="B249" s="8">
        <f>+'Simulation and  VaR'!B262/'Simulation and  VaR'!B261-1</f>
        <v>3.6238587048687432E-2</v>
      </c>
      <c r="C249" s="8">
        <f>+'Simulation and  VaR'!C262/'Simulation and  VaR'!C261-1</f>
        <v>4.1154963186732951E-2</v>
      </c>
      <c r="D249" s="8">
        <f>+'Simulation and  VaR'!D262/'Simulation and  VaR'!D261-1</f>
        <v>2.9787234042553123E-2</v>
      </c>
      <c r="E249" s="8">
        <f>+'Simulation and  VaR'!E262/'Simulation and  VaR'!E261-1</f>
        <v>2.8124999999999956E-2</v>
      </c>
      <c r="F249" s="8">
        <f>+'Simulation and  VaR'!F262/'Simulation and  VaR'!F261-1</f>
        <v>2.8282828282828243E-2</v>
      </c>
      <c r="G249" s="8">
        <f>+'Simulation and  VaR'!G262/'Simulation and  VaR'!G261-1</f>
        <v>3.1190926275992403E-2</v>
      </c>
      <c r="H249" s="8">
        <f>+'Simulation and  VaR'!H262/'Simulation and  VaR'!H261-1</f>
        <v>9.4244882193896817E-3</v>
      </c>
      <c r="I249" s="8">
        <f>+'Simulation and  VaR'!I262/'Simulation and  VaR'!I261-1</f>
        <v>-1.5868145355718233E-2</v>
      </c>
      <c r="J249" s="8">
        <f>+'Simulation and  VaR'!J262/'Simulation and  VaR'!J261-1</f>
        <v>9.9226804123711432E-2</v>
      </c>
      <c r="K249" s="8">
        <f>+'Simulation and  VaR'!K262/'Simulation and  VaR'!K261-1</f>
        <v>-4.2404325241175433E-3</v>
      </c>
      <c r="L249" s="8">
        <f>+'Simulation and  VaR'!L262/'Simulation and  VaR'!L261-1</f>
        <v>6.5259426361585771E-3</v>
      </c>
      <c r="N249" s="26">
        <f t="shared" si="33"/>
        <v>3.1717662556262377E-2</v>
      </c>
      <c r="O249" s="26">
        <f t="shared" si="34"/>
        <v>3.8638193168156358E-2</v>
      </c>
      <c r="P249" s="26">
        <f t="shared" si="35"/>
        <v>2.749502571910218E-2</v>
      </c>
      <c r="Q249" s="26">
        <f t="shared" si="36"/>
        <v>2.5912240727490637E-2</v>
      </c>
      <c r="R249" s="26">
        <f t="shared" si="37"/>
        <v>2.6101718871383468E-2</v>
      </c>
      <c r="S249" s="26">
        <f t="shared" si="38"/>
        <v>2.9012924305070794E-2</v>
      </c>
      <c r="T249" s="26">
        <f t="shared" si="39"/>
        <v>4.0811081743292767E-3</v>
      </c>
      <c r="U249" s="26">
        <f t="shared" si="40"/>
        <v>-2.8269911484755612E-2</v>
      </c>
      <c r="V249" s="26">
        <f t="shared" si="41"/>
        <v>8.8997598152069146E-2</v>
      </c>
      <c r="W249" s="26">
        <f t="shared" si="42"/>
        <v>-2.6735172422461288E-3</v>
      </c>
      <c r="X249" s="26">
        <f t="shared" si="43"/>
        <v>1.0050177749914284E-2</v>
      </c>
    </row>
    <row r="250" spans="1:24" x14ac:dyDescent="0.2">
      <c r="B250" s="8">
        <f>+'Simulation and  VaR'!B263/'Simulation and  VaR'!B262-1</f>
        <v>6.0119613037395325E-2</v>
      </c>
      <c r="C250" s="8">
        <f>+'Simulation and  VaR'!C263/'Simulation and  VaR'!C262-1</f>
        <v>4.2452611445265465E-2</v>
      </c>
      <c r="D250" s="8">
        <f>+'Simulation and  VaR'!D263/'Simulation and  VaR'!D262-1</f>
        <v>2.4793388429751984E-2</v>
      </c>
      <c r="E250" s="8">
        <f>+'Simulation and  VaR'!E263/'Simulation and  VaR'!E262-1</f>
        <v>2.5329280648429542E-2</v>
      </c>
      <c r="F250" s="8">
        <f>+'Simulation and  VaR'!F263/'Simulation and  VaR'!F262-1</f>
        <v>2.3575638506876162E-2</v>
      </c>
      <c r="G250" s="8">
        <f>+'Simulation and  VaR'!G263/'Simulation and  VaR'!G262-1</f>
        <v>1.2832263978001635E-2</v>
      </c>
      <c r="H250" s="8">
        <f>+'Simulation and  VaR'!H263/'Simulation and  VaR'!H262-1</f>
        <v>3.1759393893013854E-3</v>
      </c>
      <c r="I250" s="8">
        <f>+'Simulation and  VaR'!I263/'Simulation and  VaR'!I262-1</f>
        <v>1.278339494900016E-2</v>
      </c>
      <c r="J250" s="8">
        <f>+'Simulation and  VaR'!J263/'Simulation and  VaR'!J262-1</f>
        <v>3.5169988276668729E-3</v>
      </c>
      <c r="K250" s="8">
        <f>+'Simulation and  VaR'!K263/'Simulation and  VaR'!K262-1</f>
        <v>-2.1452145214521434E-2</v>
      </c>
      <c r="L250" s="8">
        <f>+'Simulation and  VaR'!L263/'Simulation and  VaR'!L262-1</f>
        <v>1.5208516769391611E-3</v>
      </c>
      <c r="N250" s="26">
        <f t="shared" si="33"/>
        <v>5.5598688544970271E-2</v>
      </c>
      <c r="O250" s="26">
        <f t="shared" si="34"/>
        <v>3.9935841426688871E-2</v>
      </c>
      <c r="P250" s="26">
        <f t="shared" si="35"/>
        <v>2.250118010630104E-2</v>
      </c>
      <c r="Q250" s="26">
        <f t="shared" si="36"/>
        <v>2.3116521375920223E-2</v>
      </c>
      <c r="R250" s="26">
        <f t="shared" si="37"/>
        <v>2.1394529095431387E-2</v>
      </c>
      <c r="S250" s="26">
        <f t="shared" si="38"/>
        <v>1.0654262007080025E-2</v>
      </c>
      <c r="T250" s="26">
        <f t="shared" si="39"/>
        <v>-2.1674406557590196E-3</v>
      </c>
      <c r="U250" s="26">
        <f t="shared" si="40"/>
        <v>3.8162881996278014E-4</v>
      </c>
      <c r="V250" s="26">
        <f t="shared" si="41"/>
        <v>-6.712207143975411E-3</v>
      </c>
      <c r="W250" s="26">
        <f t="shared" si="42"/>
        <v>-1.9885229932650021E-2</v>
      </c>
      <c r="X250" s="26">
        <f t="shared" si="43"/>
        <v>5.0450867906948679E-3</v>
      </c>
    </row>
    <row r="251" spans="1:24" x14ac:dyDescent="0.2">
      <c r="B251" s="8">
        <f>+'Simulation and  VaR'!B264/'Simulation and  VaR'!B263-1</f>
        <v>3.2826212399730714E-2</v>
      </c>
      <c r="C251" s="8">
        <f>+'Simulation and  VaR'!C264/'Simulation and  VaR'!C263-1</f>
        <v>-1.842873997602279E-2</v>
      </c>
      <c r="D251" s="8">
        <f>+'Simulation and  VaR'!D264/'Simulation and  VaR'!D263-1</f>
        <v>-5.0403225806452401E-3</v>
      </c>
      <c r="E251" s="8">
        <f>+'Simulation and  VaR'!E264/'Simulation and  VaR'!E263-1</f>
        <v>1.9762845849804478E-3</v>
      </c>
      <c r="F251" s="8">
        <f>+'Simulation and  VaR'!F264/'Simulation and  VaR'!F263-1</f>
        <v>9.596928982724684E-4</v>
      </c>
      <c r="G251" s="8">
        <f>+'Simulation and  VaR'!G264/'Simulation and  VaR'!G263-1</f>
        <v>-2.7149321266968229E-3</v>
      </c>
      <c r="H251" s="8">
        <f>+'Simulation and  VaR'!H264/'Simulation and  VaR'!H263-1</f>
        <v>4.3254376930998761E-2</v>
      </c>
      <c r="I251" s="8">
        <f>+'Simulation and  VaR'!I264/'Simulation and  VaR'!I263-1</f>
        <v>-4.1780279707977819E-2</v>
      </c>
      <c r="J251" s="8">
        <f>+'Simulation and  VaR'!J264/'Simulation and  VaR'!J263-1</f>
        <v>2.9205607476635587E-2</v>
      </c>
      <c r="K251" s="8">
        <f>+'Simulation and  VaR'!K264/'Simulation and  VaR'!K263-1</f>
        <v>-7.0554316488059654E-2</v>
      </c>
      <c r="L251" s="8">
        <f>+'Simulation and  VaR'!L264/'Simulation and  VaR'!L263-1</f>
        <v>6.7295396419437159E-2</v>
      </c>
      <c r="N251" s="26">
        <f t="shared" si="33"/>
        <v>2.830528790730566E-2</v>
      </c>
      <c r="O251" s="26">
        <f t="shared" si="34"/>
        <v>-2.0945509994599383E-2</v>
      </c>
      <c r="P251" s="26">
        <f t="shared" si="35"/>
        <v>-7.3325309040961836E-3</v>
      </c>
      <c r="Q251" s="26">
        <f t="shared" si="36"/>
        <v>-2.3647468752887061E-4</v>
      </c>
      <c r="R251" s="26">
        <f t="shared" si="37"/>
        <v>-1.2214165131723049E-3</v>
      </c>
      <c r="S251" s="26">
        <f t="shared" si="38"/>
        <v>-4.8929340976184323E-3</v>
      </c>
      <c r="T251" s="26">
        <f t="shared" si="39"/>
        <v>3.7910996885938353E-2</v>
      </c>
      <c r="U251" s="26">
        <f t="shared" si="40"/>
        <v>-5.4182045837015198E-2</v>
      </c>
      <c r="V251" s="26">
        <f t="shared" si="41"/>
        <v>1.8976401504993301E-2</v>
      </c>
      <c r="W251" s="26">
        <f t="shared" si="42"/>
        <v>-6.8987401206188237E-2</v>
      </c>
      <c r="X251" s="26">
        <f t="shared" si="43"/>
        <v>7.0819631533192859E-2</v>
      </c>
    </row>
    <row r="252" spans="1:24" x14ac:dyDescent="0.2">
      <c r="B252" s="8">
        <f>+'Simulation and  VaR'!B265/'Simulation and  VaR'!B264-1</f>
        <v>3.4026326656395822E-2</v>
      </c>
      <c r="C252" s="8">
        <f>+'Simulation and  VaR'!C265/'Simulation and  VaR'!C264-1</f>
        <v>1.5074558497571999E-2</v>
      </c>
      <c r="D252" s="8">
        <f>+'Simulation and  VaR'!D265/'Simulation and  VaR'!D264-1</f>
        <v>1.0131712259372039E-2</v>
      </c>
      <c r="E252" s="8">
        <f>+'Simulation and  VaR'!E265/'Simulation and  VaR'!E264-1</f>
        <v>1.2820512820512775E-2</v>
      </c>
      <c r="F252" s="8">
        <f>+'Simulation and  VaR'!F265/'Simulation and  VaR'!F264-1</f>
        <v>1.2464046021092967E-2</v>
      </c>
      <c r="G252" s="8">
        <f>+'Simulation and  VaR'!G265/'Simulation and  VaR'!G264-1</f>
        <v>9.0744101633393193E-3</v>
      </c>
      <c r="H252" s="8">
        <f>+'Simulation and  VaR'!H265/'Simulation and  VaR'!H264-1</f>
        <v>-5.4111367043253589E-3</v>
      </c>
      <c r="I252" s="8">
        <f>+'Simulation and  VaR'!I265/'Simulation and  VaR'!I264-1</f>
        <v>0</v>
      </c>
      <c r="J252" s="8">
        <f>+'Simulation and  VaR'!J265/'Simulation and  VaR'!J264-1</f>
        <v>-0.15323496027241779</v>
      </c>
      <c r="K252" s="8">
        <f>+'Simulation and  VaR'!K265/'Simulation and  VaR'!K264-1</f>
        <v>9.3643918997998732E-4</v>
      </c>
      <c r="L252" s="8">
        <f>+'Simulation and  VaR'!L265/'Simulation and  VaR'!L264-1</f>
        <v>-3.5944286356147659E-3</v>
      </c>
      <c r="N252" s="26">
        <f t="shared" si="33"/>
        <v>2.9505402163970768E-2</v>
      </c>
      <c r="O252" s="26">
        <f t="shared" si="34"/>
        <v>1.2557788478995406E-2</v>
      </c>
      <c r="P252" s="26">
        <f t="shared" si="35"/>
        <v>7.8395039359210952E-3</v>
      </c>
      <c r="Q252" s="26">
        <f t="shared" si="36"/>
        <v>1.0607753548003456E-2</v>
      </c>
      <c r="R252" s="26">
        <f t="shared" si="37"/>
        <v>1.0282936609648194E-2</v>
      </c>
      <c r="S252" s="26">
        <f t="shared" si="38"/>
        <v>6.8964081924177099E-3</v>
      </c>
      <c r="T252" s="26">
        <f t="shared" si="39"/>
        <v>-1.0754516749385764E-2</v>
      </c>
      <c r="U252" s="26">
        <f t="shared" si="40"/>
        <v>-1.240176612903738E-2</v>
      </c>
      <c r="V252" s="26">
        <f t="shared" si="41"/>
        <v>-0.16346416624406007</v>
      </c>
      <c r="W252" s="26">
        <f t="shared" si="42"/>
        <v>2.5033544718514019E-3</v>
      </c>
      <c r="X252" s="26">
        <f t="shared" si="43"/>
        <v>-7.0193521859059516E-5</v>
      </c>
    </row>
    <row r="253" spans="1:24" x14ac:dyDescent="0.2">
      <c r="B253" s="8">
        <f>+'Simulation and  VaR'!B266/'Simulation and  VaR'!B265-1</f>
        <v>5.8872061230484718E-2</v>
      </c>
      <c r="C253" s="8">
        <f>+'Simulation and  VaR'!C266/'Simulation and  VaR'!C265-1</f>
        <v>2.2549612011912856E-2</v>
      </c>
      <c r="D253" s="8">
        <f>+'Simulation and  VaR'!D266/'Simulation and  VaR'!D265-1</f>
        <v>1.5045135406218435E-2</v>
      </c>
      <c r="E253" s="8">
        <f>+'Simulation and  VaR'!E266/'Simulation and  VaR'!E265-1</f>
        <v>1.0710808179162479E-2</v>
      </c>
      <c r="F253" s="8">
        <f>+'Simulation and  VaR'!F266/'Simulation and  VaR'!F265-1</f>
        <v>7.575757575757569E-3</v>
      </c>
      <c r="G253" s="8">
        <f>+'Simulation and  VaR'!G266/'Simulation and  VaR'!G265-1</f>
        <v>8.9928057553958496E-3</v>
      </c>
      <c r="H253" s="8">
        <f>+'Simulation and  VaR'!H266/'Simulation and  VaR'!H265-1</f>
        <v>-3.8598683968679937E-2</v>
      </c>
      <c r="I253" s="8">
        <f>+'Simulation and  VaR'!I266/'Simulation and  VaR'!I265-1</f>
        <v>-1.43427574811823E-2</v>
      </c>
      <c r="J253" s="8">
        <f>+'Simulation and  VaR'!J266/'Simulation and  VaR'!J265-1</f>
        <v>7.3726541554959946E-2</v>
      </c>
      <c r="K253" s="8">
        <f>+'Simulation and  VaR'!K266/'Simulation and  VaR'!K265-1</f>
        <v>-1.6138463337621256E-2</v>
      </c>
      <c r="L253" s="8">
        <f>+'Simulation and  VaR'!L266/'Simulation and  VaR'!L265-1</f>
        <v>2.6078460844731755E-2</v>
      </c>
      <c r="N253" s="26">
        <f t="shared" si="33"/>
        <v>5.4351136738059663E-2</v>
      </c>
      <c r="O253" s="26">
        <f t="shared" si="34"/>
        <v>2.0032841993336263E-2</v>
      </c>
      <c r="P253" s="26">
        <f t="shared" si="35"/>
        <v>1.2752927082767491E-2</v>
      </c>
      <c r="Q253" s="26">
        <f t="shared" si="36"/>
        <v>8.4980489066531599E-3</v>
      </c>
      <c r="R253" s="26">
        <f t="shared" si="37"/>
        <v>5.3946481643127962E-3</v>
      </c>
      <c r="S253" s="26">
        <f t="shared" si="38"/>
        <v>6.8148037844742403E-3</v>
      </c>
      <c r="T253" s="26">
        <f t="shared" si="39"/>
        <v>-4.3942064013740345E-2</v>
      </c>
      <c r="U253" s="26">
        <f t="shared" si="40"/>
        <v>-2.674452361021968E-2</v>
      </c>
      <c r="V253" s="26">
        <f t="shared" si="41"/>
        <v>6.349733558331766E-2</v>
      </c>
      <c r="W253" s="26">
        <f t="shared" si="42"/>
        <v>-1.4571548055749842E-2</v>
      </c>
      <c r="X253" s="26">
        <f t="shared" si="43"/>
        <v>2.9602695958487461E-2</v>
      </c>
    </row>
    <row r="254" spans="1:24" x14ac:dyDescent="0.2">
      <c r="B254" s="8">
        <f>+'Simulation and  VaR'!B267/'Simulation and  VaR'!B266-1</f>
        <v>2.5469269073109091E-2</v>
      </c>
      <c r="C254" s="8">
        <f>+'Simulation and  VaR'!C267/'Simulation and  VaR'!C266-1</f>
        <v>-3.0558644987695338E-2</v>
      </c>
      <c r="D254" s="8">
        <f>+'Simulation and  VaR'!D267/'Simulation and  VaR'!D266-1</f>
        <v>-2.8656126482213384E-2</v>
      </c>
      <c r="E254" s="8">
        <f>+'Simulation and  VaR'!E267/'Simulation and  VaR'!E266-1</f>
        <v>-2.9865125240847612E-2</v>
      </c>
      <c r="F254" s="8">
        <f>+'Simulation and  VaR'!F267/'Simulation and  VaR'!F266-1</f>
        <v>-2.7255639097744422E-2</v>
      </c>
      <c r="G254" s="8">
        <f>+'Simulation and  VaR'!G267/'Simulation and  VaR'!G266-1</f>
        <v>-2.673796791443861E-2</v>
      </c>
      <c r="H254" s="8">
        <f>+'Simulation and  VaR'!H267/'Simulation and  VaR'!H266-1</f>
        <v>3.9727755897985162E-2</v>
      </c>
      <c r="I254" s="8">
        <f>+'Simulation and  VaR'!I267/'Simulation and  VaR'!I266-1</f>
        <v>-8.0906148867313954E-2</v>
      </c>
      <c r="J254" s="8">
        <f>+'Simulation and  VaR'!J267/'Simulation and  VaR'!J266-1</f>
        <v>-5.9925093632958948E-2</v>
      </c>
      <c r="K254" s="8">
        <f>+'Simulation and  VaR'!K267/'Simulation and  VaR'!K266-1</f>
        <v>5.1111375252586022E-3</v>
      </c>
      <c r="L254" s="8">
        <f>+'Simulation and  VaR'!L267/'Simulation and  VaR'!L266-1</f>
        <v>-1.9189921628946061E-2</v>
      </c>
      <c r="N254" s="26">
        <f t="shared" si="33"/>
        <v>2.0948344580684036E-2</v>
      </c>
      <c r="O254" s="26">
        <f t="shared" si="34"/>
        <v>-3.3075415006271931E-2</v>
      </c>
      <c r="P254" s="26">
        <f t="shared" si="35"/>
        <v>-3.0948334805664328E-2</v>
      </c>
      <c r="Q254" s="26">
        <f t="shared" si="36"/>
        <v>-3.2077884513356927E-2</v>
      </c>
      <c r="R254" s="26">
        <f t="shared" si="37"/>
        <v>-2.9436748509189196E-2</v>
      </c>
      <c r="S254" s="26">
        <f t="shared" si="38"/>
        <v>-2.8915969885360219E-2</v>
      </c>
      <c r="T254" s="26">
        <f t="shared" si="39"/>
        <v>3.4384375852924753E-2</v>
      </c>
      <c r="U254" s="26">
        <f t="shared" si="40"/>
        <v>-9.3307914996351327E-2</v>
      </c>
      <c r="V254" s="26">
        <f t="shared" si="41"/>
        <v>-7.0154299604601233E-2</v>
      </c>
      <c r="W254" s="26">
        <f t="shared" si="42"/>
        <v>6.6780528071300168E-3</v>
      </c>
      <c r="X254" s="26">
        <f t="shared" si="43"/>
        <v>-1.5665686515190354E-2</v>
      </c>
    </row>
    <row r="255" spans="1:24" x14ac:dyDescent="0.2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24" x14ac:dyDescent="0.2">
      <c r="A256" s="25" t="s">
        <v>33</v>
      </c>
      <c r="B256" s="18">
        <f>AVERAGE(B5:B254)</f>
        <v>4.5209244924250529E-3</v>
      </c>
      <c r="C256" s="18">
        <f t="shared" ref="C256:L256" si="44">AVERAGE(C5:C254)</f>
        <v>2.516770018576594E-3</v>
      </c>
      <c r="D256" s="18">
        <f t="shared" si="44"/>
        <v>2.292208323450944E-3</v>
      </c>
      <c r="E256" s="18">
        <f t="shared" si="44"/>
        <v>2.2127592725093184E-3</v>
      </c>
      <c r="F256" s="18">
        <f t="shared" si="44"/>
        <v>2.1811094114447733E-3</v>
      </c>
      <c r="G256" s="18">
        <f t="shared" si="44"/>
        <v>2.1780019709216093E-3</v>
      </c>
      <c r="H256" s="18">
        <f t="shared" si="44"/>
        <v>5.3433800450604051E-3</v>
      </c>
      <c r="I256" s="18">
        <f t="shared" si="44"/>
        <v>1.240176612903738E-2</v>
      </c>
      <c r="J256" s="18">
        <f t="shared" si="44"/>
        <v>1.0229205971642284E-2</v>
      </c>
      <c r="K256" s="18">
        <f t="shared" si="44"/>
        <v>-1.5669152818714146E-3</v>
      </c>
      <c r="L256" s="18">
        <f t="shared" si="44"/>
        <v>-3.5242351137557064E-3</v>
      </c>
    </row>
    <row r="257" spans="1:12" x14ac:dyDescent="0.2">
      <c r="A257" s="25" t="s">
        <v>34</v>
      </c>
      <c r="B257" s="18">
        <f>STDEV(B5:B254)</f>
        <v>7.3599879892851619E-2</v>
      </c>
      <c r="C257" s="18">
        <f t="shared" ref="C257:L257" si="45">STDEV(C5:C254)</f>
        <v>3.8393651089741521E-2</v>
      </c>
      <c r="D257" s="18">
        <f t="shared" si="45"/>
        <v>2.7202528149577642E-2</v>
      </c>
      <c r="E257" s="18">
        <f t="shared" si="45"/>
        <v>2.4434758669712335E-2</v>
      </c>
      <c r="F257" s="18">
        <f t="shared" si="45"/>
        <v>2.3825411931591479E-2</v>
      </c>
      <c r="G257" s="18">
        <f t="shared" si="45"/>
        <v>2.2006590601605546E-2</v>
      </c>
      <c r="H257" s="18">
        <f t="shared" si="45"/>
        <v>4.6503495984036587E-2</v>
      </c>
      <c r="I257" s="18">
        <f t="shared" si="45"/>
        <v>7.4907816212061981E-2</v>
      </c>
      <c r="J257" s="18">
        <f t="shared" si="45"/>
        <v>0.10464112690663466</v>
      </c>
      <c r="K257" s="18">
        <f t="shared" si="45"/>
        <v>2.9133568089123391E-2</v>
      </c>
      <c r="L257" s="18">
        <f t="shared" si="45"/>
        <v>2.9729017075862747E-2</v>
      </c>
    </row>
    <row r="258" spans="1:12" x14ac:dyDescent="0.2">
      <c r="A258" s="24" t="s">
        <v>35</v>
      </c>
      <c r="B258" s="55">
        <f>VAR(B5:B254)</f>
        <v>5.4169423202421836E-3</v>
      </c>
      <c r="C258" s="55">
        <f t="shared" ref="C258:L258" si="46">VAR(C5:C254)</f>
        <v>1.4740724440008104E-3</v>
      </c>
      <c r="D258" s="55">
        <f t="shared" si="46"/>
        <v>7.399775377285641E-4</v>
      </c>
      <c r="E258" s="55">
        <f t="shared" si="46"/>
        <v>5.9705743124708211E-4</v>
      </c>
      <c r="F258" s="55">
        <f t="shared" si="46"/>
        <v>5.6765025371002158E-4</v>
      </c>
      <c r="G258" s="55">
        <f t="shared" si="46"/>
        <v>4.8429002990667351E-4</v>
      </c>
      <c r="H258" s="55">
        <f t="shared" si="46"/>
        <v>2.1625751387373067E-3</v>
      </c>
      <c r="I258" s="55">
        <f t="shared" si="46"/>
        <v>5.611180929660055E-3</v>
      </c>
      <c r="J258" s="55">
        <f t="shared" si="46"/>
        <v>1.0949765440290419E-2</v>
      </c>
      <c r="K258" s="55">
        <f t="shared" si="46"/>
        <v>8.4876478960358879E-4</v>
      </c>
      <c r="L258" s="55">
        <f t="shared" si="46"/>
        <v>8.8381445629693873E-4</v>
      </c>
    </row>
    <row r="259" spans="1:12" x14ac:dyDescent="0.2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2:12" x14ac:dyDescent="0.2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2:12" x14ac:dyDescent="0.2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2:12" x14ac:dyDescent="0.2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2:12" x14ac:dyDescent="0.2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2:12" x14ac:dyDescent="0.2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2:12" x14ac:dyDescent="0.2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2:12" x14ac:dyDescent="0.2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2:12" x14ac:dyDescent="0.2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2:12" x14ac:dyDescent="0.2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2:12" x14ac:dyDescent="0.2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2:12" x14ac:dyDescent="0.2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</sheetData>
  <mergeCells count="3">
    <mergeCell ref="B3:L3"/>
    <mergeCell ref="N3:X3"/>
    <mergeCell ref="AN4:AX4"/>
  </mergeCells>
  <hyperlinks>
    <hyperlink ref="AT3" r:id="rId1"/>
    <hyperlink ref="AT62" r:id="rId2" location="VBA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B260"/>
  <sheetViews>
    <sheetView tabSelected="1" topLeftCell="AM34" workbookViewId="0">
      <selection activeCell="AO55" sqref="AO55"/>
    </sheetView>
  </sheetViews>
  <sheetFormatPr baseColWidth="10" defaultRowHeight="16" x14ac:dyDescent="0.2"/>
  <cols>
    <col min="1" max="1" width="9.33203125" customWidth="1"/>
    <col min="2" max="12" width="7.83203125" customWidth="1"/>
    <col min="14" max="14" width="16.1640625" customWidth="1"/>
    <col min="42" max="42" width="11.5" customWidth="1"/>
  </cols>
  <sheetData>
    <row r="1" spans="1:53" ht="18" x14ac:dyDescent="0.2">
      <c r="B1" s="51" t="s">
        <v>60</v>
      </c>
      <c r="H1" s="53" t="s">
        <v>63</v>
      </c>
      <c r="I1" s="63" t="s">
        <v>64</v>
      </c>
    </row>
    <row r="2" spans="1:53" ht="18" x14ac:dyDescent="0.2">
      <c r="A2" s="45" t="s">
        <v>61</v>
      </c>
      <c r="O2" s="63" t="s">
        <v>64</v>
      </c>
      <c r="AO2" s="34" t="s">
        <v>66</v>
      </c>
      <c r="AP2" s="34"/>
      <c r="AQ2" s="34"/>
    </row>
    <row r="3" spans="1:53" x14ac:dyDescent="0.2">
      <c r="A3" s="1">
        <v>5</v>
      </c>
      <c r="B3" s="9" t="s">
        <v>23</v>
      </c>
    </row>
    <row r="4" spans="1:53" x14ac:dyDescent="0.2">
      <c r="A4" s="1">
        <v>6</v>
      </c>
      <c r="B4" s="1" t="s">
        <v>3</v>
      </c>
      <c r="O4" s="34" t="s">
        <v>65</v>
      </c>
      <c r="P4" s="34"/>
      <c r="Q4" s="34"/>
      <c r="AO4" t="s">
        <v>67</v>
      </c>
      <c r="AQ4">
        <f>COUNT(AM7:AM256)</f>
        <v>250</v>
      </c>
    </row>
    <row r="5" spans="1:53" ht="18" x14ac:dyDescent="0.2">
      <c r="A5" s="1"/>
      <c r="B5" s="1"/>
      <c r="M5" s="53" t="s">
        <v>63</v>
      </c>
      <c r="O5" s="43" t="s">
        <v>17</v>
      </c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B5" s="43" t="s">
        <v>36</v>
      </c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O5" s="36" t="s">
        <v>68</v>
      </c>
      <c r="AP5" s="34"/>
    </row>
    <row r="6" spans="1:53" x14ac:dyDescent="0.2">
      <c r="A6" s="1"/>
      <c r="B6" s="4" t="s">
        <v>6</v>
      </c>
      <c r="C6" s="4" t="s">
        <v>7</v>
      </c>
      <c r="D6" s="4" t="s">
        <v>8</v>
      </c>
      <c r="E6" s="4" t="s">
        <v>9</v>
      </c>
      <c r="F6" s="4" t="s">
        <v>10</v>
      </c>
      <c r="G6" s="4" t="s">
        <v>11</v>
      </c>
      <c r="H6" s="4" t="s">
        <v>12</v>
      </c>
      <c r="I6" s="4" t="s">
        <v>13</v>
      </c>
      <c r="J6" s="4" t="s">
        <v>14</v>
      </c>
      <c r="K6" s="4" t="s">
        <v>15</v>
      </c>
      <c r="L6" s="4" t="s">
        <v>16</v>
      </c>
      <c r="M6" s="52" t="s">
        <v>62</v>
      </c>
      <c r="O6" s="4" t="s">
        <v>6</v>
      </c>
      <c r="P6" s="4" t="s">
        <v>7</v>
      </c>
      <c r="Q6" s="4" t="s">
        <v>8</v>
      </c>
      <c r="R6" s="4" t="s">
        <v>9</v>
      </c>
      <c r="S6" s="4" t="s">
        <v>10</v>
      </c>
      <c r="T6" s="4" t="s">
        <v>11</v>
      </c>
      <c r="U6" s="4" t="s">
        <v>12</v>
      </c>
      <c r="V6" s="4" t="s">
        <v>13</v>
      </c>
      <c r="W6" s="4" t="s">
        <v>14</v>
      </c>
      <c r="X6" s="4" t="s">
        <v>15</v>
      </c>
      <c r="Y6" s="4" t="s">
        <v>16</v>
      </c>
      <c r="Z6" s="52" t="s">
        <v>62</v>
      </c>
      <c r="AB6" s="4" t="s">
        <v>6</v>
      </c>
      <c r="AC6" s="4" t="s">
        <v>7</v>
      </c>
      <c r="AD6" s="4" t="s">
        <v>8</v>
      </c>
      <c r="AE6" s="4" t="s">
        <v>9</v>
      </c>
      <c r="AF6" s="4" t="s">
        <v>10</v>
      </c>
      <c r="AG6" s="4" t="s">
        <v>11</v>
      </c>
      <c r="AH6" s="4" t="s">
        <v>12</v>
      </c>
      <c r="AI6" s="4" t="s">
        <v>13</v>
      </c>
      <c r="AJ6" s="4" t="s">
        <v>14</v>
      </c>
      <c r="AK6" s="4" t="s">
        <v>15</v>
      </c>
      <c r="AL6" s="4" t="s">
        <v>16</v>
      </c>
      <c r="AM6" s="52" t="s">
        <v>62</v>
      </c>
      <c r="AO6" s="27"/>
      <c r="AP6" s="20" t="s">
        <v>6</v>
      </c>
      <c r="AQ6" s="20" t="s">
        <v>7</v>
      </c>
      <c r="AR6" s="20" t="s">
        <v>8</v>
      </c>
      <c r="AS6" s="20" t="s">
        <v>9</v>
      </c>
      <c r="AT6" s="20" t="s">
        <v>10</v>
      </c>
      <c r="AU6" s="20" t="s">
        <v>11</v>
      </c>
      <c r="AV6" s="20" t="s">
        <v>12</v>
      </c>
      <c r="AW6" s="20" t="s">
        <v>13</v>
      </c>
      <c r="AX6" s="20" t="s">
        <v>14</v>
      </c>
      <c r="AY6" s="20" t="s">
        <v>15</v>
      </c>
      <c r="AZ6" s="20" t="s">
        <v>16</v>
      </c>
      <c r="BA6" s="56" t="s">
        <v>62</v>
      </c>
    </row>
    <row r="7" spans="1:53" x14ac:dyDescent="0.2">
      <c r="A7" s="5">
        <v>25537</v>
      </c>
      <c r="B7" s="6">
        <v>4.8533420071924809</v>
      </c>
      <c r="C7" s="7">
        <v>5.76</v>
      </c>
      <c r="D7" s="7">
        <v>6.08</v>
      </c>
      <c r="E7" s="1">
        <v>6.24</v>
      </c>
      <c r="F7" s="1">
        <v>6.4399999999999995</v>
      </c>
      <c r="G7" s="1">
        <v>6.7299999999999995</v>
      </c>
      <c r="H7" s="7">
        <v>94.01</v>
      </c>
      <c r="I7" s="7">
        <v>35.01</v>
      </c>
      <c r="J7" s="7">
        <v>3.0799999999999996</v>
      </c>
      <c r="K7" s="7">
        <v>278.28999999999996</v>
      </c>
      <c r="L7" s="7">
        <v>362.05337279600002</v>
      </c>
      <c r="M7">
        <f>2*I7</f>
        <v>70.02</v>
      </c>
      <c r="O7" s="8">
        <f>+B8/B7-1</f>
        <v>5.1386968087673734E-2</v>
      </c>
      <c r="P7" s="8">
        <f t="shared" ref="P7:V7" si="0">+C8/C7-1</f>
        <v>-8.6805555555555802E-3</v>
      </c>
      <c r="Q7" s="8">
        <f t="shared" si="0"/>
        <v>1.9736842105263275E-2</v>
      </c>
      <c r="R7" s="8">
        <f t="shared" si="0"/>
        <v>1.9230769230769162E-2</v>
      </c>
      <c r="S7" s="8">
        <f t="shared" si="0"/>
        <v>2.3291925465838581E-2</v>
      </c>
      <c r="T7" s="8">
        <f t="shared" si="0"/>
        <v>3.1203566121842385E-2</v>
      </c>
      <c r="U7" s="8">
        <f t="shared" si="0"/>
        <v>2.6273800659504243E-2</v>
      </c>
      <c r="V7" s="8">
        <f t="shared" si="0"/>
        <v>0</v>
      </c>
      <c r="W7" s="8">
        <f>+J8/J7-1</f>
        <v>0</v>
      </c>
      <c r="X7" s="8">
        <f t="shared" ref="X7" si="1">+K8/K7-1</f>
        <v>-0.13518272305867973</v>
      </c>
      <c r="Y7" s="8">
        <f t="shared" ref="Y7" si="2">+L8/L7-1</f>
        <v>-4.3425138892050352E-4</v>
      </c>
      <c r="Z7" s="8">
        <f t="shared" ref="Z7" si="3">+M8/M7-1</f>
        <v>0</v>
      </c>
      <c r="AB7" s="26">
        <f>O7-$O$258</f>
        <v>4.686604359524868E-2</v>
      </c>
      <c r="AC7" s="26">
        <f>P7-$P$258</f>
        <v>-1.1197325574132173E-2</v>
      </c>
      <c r="AD7" s="26">
        <f>Q7-$Q$258</f>
        <v>1.7444633781812331E-2</v>
      </c>
      <c r="AE7" s="26">
        <f>R7-$R$258</f>
        <v>1.7018009958259844E-2</v>
      </c>
      <c r="AF7" s="26">
        <f>S7-$S$258</f>
        <v>2.1110816054393806E-2</v>
      </c>
      <c r="AG7" s="26">
        <f>T7-$T$258</f>
        <v>2.9025564150920776E-2</v>
      </c>
      <c r="AH7" s="26">
        <f>U7-$U$258</f>
        <v>2.0930420614443838E-2</v>
      </c>
      <c r="AI7" s="26">
        <f>V7-$V$258</f>
        <v>-1.240176612903738E-2</v>
      </c>
      <c r="AJ7" s="26">
        <f>W7-$W$258</f>
        <v>-1.0229205971642284E-2</v>
      </c>
      <c r="AK7" s="26">
        <f>X7-$X$258</f>
        <v>-0.13361580777680832</v>
      </c>
      <c r="AL7" s="26">
        <f>Y7-$Y$258</f>
        <v>3.0899837248352028E-3</v>
      </c>
      <c r="AM7" s="26">
        <f>Z7-$Z$258</f>
        <v>-1.240176612903738E-2</v>
      </c>
      <c r="AO7" s="20" t="s">
        <v>6</v>
      </c>
      <c r="AP7" s="28">
        <f t="array" ref="AP7:BA18">MMULT(TRANSPOSE(AB7:AM256),AB7:AM256)/(AQ4-1)</f>
        <v>5.4169423202421844E-3</v>
      </c>
      <c r="AQ7" s="29">
        <v>1.7676737047775052E-3</v>
      </c>
      <c r="AR7" s="29">
        <v>1.1654514408621925E-3</v>
      </c>
      <c r="AS7" s="29">
        <v>1.0021186318558183E-3</v>
      </c>
      <c r="AT7" s="29">
        <v>9.2681128256068973E-4</v>
      </c>
      <c r="AU7" s="29">
        <v>8.3266864006789523E-4</v>
      </c>
      <c r="AV7" s="29">
        <v>-8.5525250221585997E-4</v>
      </c>
      <c r="AW7" s="29">
        <v>-6.0310956447181814E-4</v>
      </c>
      <c r="AX7" s="29">
        <v>3.9465515905971597E-4</v>
      </c>
      <c r="AY7" s="29">
        <v>-3.9259097383557989E-4</v>
      </c>
      <c r="AZ7" s="29">
        <v>3.5966247260960858E-4</v>
      </c>
      <c r="BA7" s="29">
        <v>-6.0310956447181814E-4</v>
      </c>
    </row>
    <row r="8" spans="1:53" x14ac:dyDescent="0.2">
      <c r="A8" s="5">
        <v>25568</v>
      </c>
      <c r="B8" s="6">
        <v>5.1027405380346478</v>
      </c>
      <c r="C8" s="7">
        <v>5.71</v>
      </c>
      <c r="D8" s="7">
        <v>6.2</v>
      </c>
      <c r="E8" s="1">
        <v>6.3599999999999994</v>
      </c>
      <c r="F8" s="1">
        <v>6.59</v>
      </c>
      <c r="G8" s="1">
        <v>6.9399999999999995</v>
      </c>
      <c r="H8" s="7">
        <v>96.48</v>
      </c>
      <c r="I8" s="7">
        <v>35.01</v>
      </c>
      <c r="J8" s="7">
        <v>3.0799999999999996</v>
      </c>
      <c r="K8" s="7">
        <v>240.67</v>
      </c>
      <c r="L8" s="7">
        <v>361.896150616</v>
      </c>
      <c r="M8">
        <f t="shared" ref="M8:M71" si="4">2*I8</f>
        <v>70.02</v>
      </c>
      <c r="O8" s="8">
        <f t="shared" ref="O8:O71" si="5">+B9/B8-1</f>
        <v>6.1136490755879791E-3</v>
      </c>
      <c r="P8" s="8">
        <f t="shared" ref="P8:P71" si="6">+C9/C8-1</f>
        <v>-2.9772329246935181E-2</v>
      </c>
      <c r="Q8" s="8">
        <f t="shared" ref="Q8:Q71" si="7">+D9/D8-1</f>
        <v>-3.225806451612967E-3</v>
      </c>
      <c r="R8" s="8">
        <f t="shared" ref="R8:R71" si="8">+E9/E8-1</f>
        <v>-9.4339622641508303E-3</v>
      </c>
      <c r="S8" s="8">
        <f t="shared" ref="S8:S71" si="9">+F9/F8-1</f>
        <v>-1.5174506828528056E-2</v>
      </c>
      <c r="T8" s="8">
        <f t="shared" ref="T8:T71" si="10">+G9/G8-1</f>
        <v>-1.2968299711815567E-2</v>
      </c>
      <c r="U8" s="8">
        <f t="shared" ref="U8:U71" si="11">+H9/H8-1</f>
        <v>-4.3843283582089554E-2</v>
      </c>
      <c r="V8" s="8">
        <f t="shared" ref="V8:V71" si="12">+I9/I8-1</f>
        <v>5.7126535275635604E-3</v>
      </c>
      <c r="W8" s="8">
        <f t="shared" ref="W8:W71" si="13">+J9/J8-1</f>
        <v>0</v>
      </c>
      <c r="X8" s="8">
        <f t="shared" ref="X8:X71" si="14">+K9/K8-1</f>
        <v>1.0803174471267774E-3</v>
      </c>
      <c r="Y8" s="8">
        <f t="shared" ref="Y8:Y71" si="15">+L9/L8-1</f>
        <v>7.6051788208153503E-4</v>
      </c>
      <c r="Z8" s="8">
        <f t="shared" ref="Z8:Z71" si="16">+M9/M8-1</f>
        <v>5.7126535275635604E-3</v>
      </c>
      <c r="AB8" s="26">
        <f t="shared" ref="AB8:AB71" si="17">O8-$O$258</f>
        <v>1.5927245831629262E-3</v>
      </c>
      <c r="AC8" s="26">
        <f t="shared" ref="AC8:AC71" si="18">P8-$P$258</f>
        <v>-3.2289099265511774E-2</v>
      </c>
      <c r="AD8" s="26">
        <f t="shared" ref="AD8:AD71" si="19">Q8-$Q$258</f>
        <v>-5.5180147750639105E-3</v>
      </c>
      <c r="AE8" s="26">
        <f t="shared" ref="AE8:AE71" si="20">R8-$R$258</f>
        <v>-1.1646721536660149E-2</v>
      </c>
      <c r="AF8" s="26">
        <f t="shared" ref="AF8:AF71" si="21">S8-$S$258</f>
        <v>-1.7355616239972831E-2</v>
      </c>
      <c r="AG8" s="26">
        <f t="shared" ref="AG8:AG71" si="22">T8-$T$258</f>
        <v>-1.5146301682737177E-2</v>
      </c>
      <c r="AH8" s="26">
        <f t="shared" ref="AH8:AH71" si="23">U8-$U$258</f>
        <v>-4.9186663627149962E-2</v>
      </c>
      <c r="AI8" s="26">
        <f t="shared" ref="AI8:AI71" si="24">V8-$V$258</f>
        <v>-6.6891126014738192E-3</v>
      </c>
      <c r="AJ8" s="26">
        <f t="shared" ref="AJ8:AJ71" si="25">W8-$W$258</f>
        <v>-1.0229205971642284E-2</v>
      </c>
      <c r="AK8" s="26">
        <f t="shared" ref="AK8:AK71" si="26">X8-$X$258</f>
        <v>2.6472327289981919E-3</v>
      </c>
      <c r="AL8" s="26">
        <f t="shared" ref="AL8:AL71" si="27">Y8-$Y$258</f>
        <v>4.2847529958372418E-3</v>
      </c>
      <c r="AM8" s="26">
        <f t="shared" ref="AM8:AM71" si="28">Z8-$Z$258</f>
        <v>-6.6891126014738192E-3</v>
      </c>
      <c r="AO8" s="20" t="s">
        <v>7</v>
      </c>
      <c r="AP8" s="29">
        <v>1.7676737047775052E-3</v>
      </c>
      <c r="AQ8" s="28">
        <v>1.4740724440008102E-3</v>
      </c>
      <c r="AR8" s="29">
        <v>8.9397421644477125E-4</v>
      </c>
      <c r="AS8" s="29">
        <v>7.5987654830825507E-4</v>
      </c>
      <c r="AT8" s="29">
        <v>6.8246403512442478E-4</v>
      </c>
      <c r="AU8" s="29">
        <v>6.3132001893478201E-4</v>
      </c>
      <c r="AV8" s="29">
        <v>-5.4845128947745181E-4</v>
      </c>
      <c r="AW8" s="29">
        <v>5.464191926476125E-5</v>
      </c>
      <c r="AX8" s="29">
        <v>6.7840116118763412E-4</v>
      </c>
      <c r="AY8" s="29">
        <v>-1.2314167192020405E-4</v>
      </c>
      <c r="AZ8" s="29">
        <v>2.315997541759787E-4</v>
      </c>
      <c r="BA8" s="29">
        <v>5.464191926476125E-5</v>
      </c>
    </row>
    <row r="9" spans="1:53" x14ac:dyDescent="0.2">
      <c r="A9" s="5">
        <v>25599</v>
      </c>
      <c r="B9" s="6">
        <v>5.1339369030079691</v>
      </c>
      <c r="C9" s="7">
        <v>5.54</v>
      </c>
      <c r="D9" s="7">
        <v>6.18</v>
      </c>
      <c r="E9" s="1">
        <v>6.3</v>
      </c>
      <c r="F9" s="1">
        <v>6.49</v>
      </c>
      <c r="G9" s="1">
        <v>6.85</v>
      </c>
      <c r="H9" s="7">
        <v>92.25</v>
      </c>
      <c r="I9" s="7">
        <v>35.21</v>
      </c>
      <c r="J9" s="7">
        <v>3.0799999999999996</v>
      </c>
      <c r="K9" s="7">
        <v>240.92999999999998</v>
      </c>
      <c r="L9" s="7">
        <v>362.17137910999998</v>
      </c>
      <c r="M9">
        <f t="shared" si="4"/>
        <v>70.42</v>
      </c>
      <c r="O9" s="8">
        <f t="shared" si="5"/>
        <v>-4.0511033631621673E-3</v>
      </c>
      <c r="P9" s="8">
        <f t="shared" si="6"/>
        <v>5.4151624548735011E-3</v>
      </c>
      <c r="Q9" s="8">
        <f t="shared" si="7"/>
        <v>-1.132686084142398E-2</v>
      </c>
      <c r="R9" s="8">
        <f t="shared" si="8"/>
        <v>-3.1746031746032743E-3</v>
      </c>
      <c r="S9" s="8">
        <f t="shared" si="9"/>
        <v>-1.0785824345146411E-2</v>
      </c>
      <c r="T9" s="8">
        <f t="shared" si="10"/>
        <v>-5.8394160583942201E-3</v>
      </c>
      <c r="U9" s="8">
        <f t="shared" si="11"/>
        <v>-3.1219512195121868E-2</v>
      </c>
      <c r="V9" s="8">
        <f t="shared" si="12"/>
        <v>0</v>
      </c>
      <c r="W9" s="8">
        <f t="shared" si="13"/>
        <v>0</v>
      </c>
      <c r="X9" s="8">
        <f t="shared" si="14"/>
        <v>4.1505831569477181E-5</v>
      </c>
      <c r="Y9" s="8">
        <f t="shared" si="15"/>
        <v>-1.448395677451364E-4</v>
      </c>
      <c r="Z9" s="8">
        <f t="shared" si="16"/>
        <v>0</v>
      </c>
      <c r="AB9" s="26">
        <f t="shared" si="17"/>
        <v>-8.5720278555872203E-3</v>
      </c>
      <c r="AC9" s="26">
        <f t="shared" si="18"/>
        <v>2.8983924362969071E-3</v>
      </c>
      <c r="AD9" s="26">
        <f t="shared" si="19"/>
        <v>-1.3619069164874924E-2</v>
      </c>
      <c r="AE9" s="26">
        <f t="shared" si="20"/>
        <v>-5.3873624471125932E-3</v>
      </c>
      <c r="AF9" s="26">
        <f t="shared" si="21"/>
        <v>-1.2966933756591184E-2</v>
      </c>
      <c r="AG9" s="26">
        <f t="shared" si="22"/>
        <v>-8.0174180293158294E-3</v>
      </c>
      <c r="AH9" s="26">
        <f t="shared" si="23"/>
        <v>-3.6562892240182276E-2</v>
      </c>
      <c r="AI9" s="26">
        <f t="shared" si="24"/>
        <v>-1.240176612903738E-2</v>
      </c>
      <c r="AJ9" s="26">
        <f t="shared" si="25"/>
        <v>-1.0229205971642284E-2</v>
      </c>
      <c r="AK9" s="26">
        <f t="shared" si="26"/>
        <v>1.6084211134408917E-3</v>
      </c>
      <c r="AL9" s="26">
        <f t="shared" si="27"/>
        <v>3.37939554601057E-3</v>
      </c>
      <c r="AM9" s="26">
        <f t="shared" si="28"/>
        <v>-1.240176612903738E-2</v>
      </c>
      <c r="AO9" s="20" t="s">
        <v>8</v>
      </c>
      <c r="AP9" s="29">
        <v>1.1654514408621925E-3</v>
      </c>
      <c r="AQ9" s="29">
        <v>8.9397421644477125E-4</v>
      </c>
      <c r="AR9" s="28">
        <v>7.3997753772856324E-4</v>
      </c>
      <c r="AS9" s="29">
        <v>6.3547098851785716E-4</v>
      </c>
      <c r="AT9" s="29">
        <v>5.8103634003881432E-4</v>
      </c>
      <c r="AU9" s="29">
        <v>5.2692407471868058E-4</v>
      </c>
      <c r="AV9" s="29">
        <v>-3.9208931959668395E-4</v>
      </c>
      <c r="AW9" s="29">
        <v>-4.1249695285012105E-5</v>
      </c>
      <c r="AX9" s="29">
        <v>4.4078302674869363E-4</v>
      </c>
      <c r="AY9" s="29">
        <v>-1.0450229778179507E-4</v>
      </c>
      <c r="AZ9" s="29">
        <v>1.8818633909618233E-4</v>
      </c>
      <c r="BA9" s="29">
        <v>-4.1249695285012105E-5</v>
      </c>
    </row>
    <row r="10" spans="1:53" x14ac:dyDescent="0.2">
      <c r="A10" s="5">
        <v>25627</v>
      </c>
      <c r="B10" s="6">
        <v>5.1131387939539312</v>
      </c>
      <c r="C10" s="7">
        <v>5.5699999999999994</v>
      </c>
      <c r="D10" s="7">
        <v>6.1099999999999994</v>
      </c>
      <c r="E10" s="1">
        <v>6.2799999999999994</v>
      </c>
      <c r="F10" s="1">
        <v>6.42</v>
      </c>
      <c r="G10" s="1">
        <v>6.81</v>
      </c>
      <c r="H10" s="7">
        <v>89.37</v>
      </c>
      <c r="I10" s="7">
        <v>35.21</v>
      </c>
      <c r="J10" s="7">
        <v>3.0799999999999996</v>
      </c>
      <c r="K10" s="7">
        <v>240.94</v>
      </c>
      <c r="L10" s="7">
        <v>362.11892236400001</v>
      </c>
      <c r="M10">
        <f t="shared" si="4"/>
        <v>70.42</v>
      </c>
      <c r="O10" s="8">
        <f t="shared" si="5"/>
        <v>3.8658849574693566E-2</v>
      </c>
      <c r="P10" s="8">
        <f t="shared" si="6"/>
        <v>3.2315978456014527E-2</v>
      </c>
      <c r="Q10" s="8">
        <f t="shared" si="7"/>
        <v>1.6366612111293755E-3</v>
      </c>
      <c r="R10" s="8">
        <f t="shared" si="8"/>
        <v>1.5923566878981443E-3</v>
      </c>
      <c r="S10" s="8">
        <f t="shared" si="9"/>
        <v>3.1152647975076775E-3</v>
      </c>
      <c r="T10" s="8">
        <f t="shared" si="10"/>
        <v>7.3421439060206151E-3</v>
      </c>
      <c r="U10" s="8">
        <f t="shared" si="11"/>
        <v>9.3991272239006829E-3</v>
      </c>
      <c r="V10" s="8">
        <f t="shared" si="12"/>
        <v>0.11928429423459241</v>
      </c>
      <c r="W10" s="8">
        <f t="shared" si="13"/>
        <v>0</v>
      </c>
      <c r="X10" s="8">
        <f t="shared" si="14"/>
        <v>-3.9013862372374586E-3</v>
      </c>
      <c r="Y10" s="8">
        <f t="shared" si="15"/>
        <v>-1.4481859345460979E-4</v>
      </c>
      <c r="Z10" s="8">
        <f t="shared" si="16"/>
        <v>0.11928429423459241</v>
      </c>
      <c r="AB10" s="26">
        <f t="shared" si="17"/>
        <v>3.4137925082268511E-2</v>
      </c>
      <c r="AC10" s="26">
        <f t="shared" si="18"/>
        <v>2.9799208437437934E-2</v>
      </c>
      <c r="AD10" s="26">
        <f t="shared" si="19"/>
        <v>-6.5554711232156853E-4</v>
      </c>
      <c r="AE10" s="26">
        <f t="shared" si="20"/>
        <v>-6.2040258461117407E-4</v>
      </c>
      <c r="AF10" s="26">
        <f t="shared" si="21"/>
        <v>9.3415538606290418E-4</v>
      </c>
      <c r="AG10" s="26">
        <f t="shared" si="22"/>
        <v>5.1641419350990057E-3</v>
      </c>
      <c r="AH10" s="26">
        <f t="shared" si="23"/>
        <v>4.0557471788402778E-3</v>
      </c>
      <c r="AI10" s="26">
        <f t="shared" si="24"/>
        <v>0.10688252810555504</v>
      </c>
      <c r="AJ10" s="26">
        <f t="shared" si="25"/>
        <v>-1.0229205971642284E-2</v>
      </c>
      <c r="AK10" s="26">
        <f t="shared" si="26"/>
        <v>-2.334470955366044E-3</v>
      </c>
      <c r="AL10" s="26">
        <f t="shared" si="27"/>
        <v>3.3794165203010966E-3</v>
      </c>
      <c r="AM10" s="26">
        <f t="shared" si="28"/>
        <v>0.10688252810555504</v>
      </c>
      <c r="AO10" s="20" t="s">
        <v>9</v>
      </c>
      <c r="AP10" s="29">
        <v>1.0021186318558183E-3</v>
      </c>
      <c r="AQ10" s="29">
        <v>7.5987654830825507E-4</v>
      </c>
      <c r="AR10" s="29">
        <v>6.3547098851785716E-4</v>
      </c>
      <c r="AS10" s="28">
        <v>5.9705743124708211E-4</v>
      </c>
      <c r="AT10" s="29">
        <v>5.4855392730570013E-4</v>
      </c>
      <c r="AU10" s="29">
        <v>4.9696129709805468E-4</v>
      </c>
      <c r="AV10" s="29">
        <v>-3.6646634720822037E-4</v>
      </c>
      <c r="AW10" s="29">
        <v>-9.8341161169294001E-5</v>
      </c>
      <c r="AX10" s="29">
        <v>3.5043998645975483E-4</v>
      </c>
      <c r="AY10" s="29">
        <v>-8.7300328497902959E-5</v>
      </c>
      <c r="AZ10" s="29">
        <v>1.6584699997137747E-4</v>
      </c>
      <c r="BA10" s="29">
        <v>-9.8341161169294001E-5</v>
      </c>
    </row>
    <row r="11" spans="1:53" x14ac:dyDescent="0.2">
      <c r="A11" s="5">
        <v>25658</v>
      </c>
      <c r="B11" s="6">
        <v>5.3108068574439269</v>
      </c>
      <c r="C11" s="7">
        <v>5.75</v>
      </c>
      <c r="D11" s="7">
        <v>6.12</v>
      </c>
      <c r="E11" s="1">
        <v>6.29</v>
      </c>
      <c r="F11" s="1">
        <v>6.4399999999999995</v>
      </c>
      <c r="G11" s="1">
        <v>6.8599999999999994</v>
      </c>
      <c r="H11" s="7">
        <v>90.210000000000008</v>
      </c>
      <c r="I11" s="7">
        <v>39.409999999999997</v>
      </c>
      <c r="J11" s="7">
        <v>3.0799999999999996</v>
      </c>
      <c r="K11" s="7">
        <v>240</v>
      </c>
      <c r="L11" s="7">
        <v>362.06648081099996</v>
      </c>
      <c r="M11">
        <f t="shared" si="4"/>
        <v>78.819999999999993</v>
      </c>
      <c r="O11" s="8">
        <f t="shared" si="5"/>
        <v>4.1180027160212296E-2</v>
      </c>
      <c r="P11" s="8">
        <f t="shared" si="6"/>
        <v>-1.7391304347826209E-2</v>
      </c>
      <c r="Q11" s="8">
        <f t="shared" si="7"/>
        <v>1.6339869281045694E-2</v>
      </c>
      <c r="R11" s="8">
        <f t="shared" si="8"/>
        <v>1.5898251192368873E-2</v>
      </c>
      <c r="S11" s="8">
        <f t="shared" si="9"/>
        <v>2.1739130434782705E-2</v>
      </c>
      <c r="T11" s="8">
        <f t="shared" si="10"/>
        <v>1.7492711370262315E-2</v>
      </c>
      <c r="U11" s="8">
        <f t="shared" si="11"/>
        <v>8.1919964527214173E-2</v>
      </c>
      <c r="V11" s="8">
        <f t="shared" si="12"/>
        <v>-7.6122811469169216E-3</v>
      </c>
      <c r="W11" s="8">
        <f t="shared" si="13"/>
        <v>0</v>
      </c>
      <c r="X11" s="8">
        <f t="shared" si="14"/>
        <v>7.4999999999980638E-4</v>
      </c>
      <c r="Y11" s="8">
        <f t="shared" si="15"/>
        <v>6.1585807253017322E-4</v>
      </c>
      <c r="Z11" s="8">
        <f t="shared" si="16"/>
        <v>-7.6122811469169216E-3</v>
      </c>
      <c r="AB11" s="26">
        <f t="shared" si="17"/>
        <v>3.6659102667787241E-2</v>
      </c>
      <c r="AC11" s="26">
        <f t="shared" si="18"/>
        <v>-1.9908074366402802E-2</v>
      </c>
      <c r="AD11" s="26">
        <f t="shared" si="19"/>
        <v>1.404766095759475E-2</v>
      </c>
      <c r="AE11" s="26">
        <f t="shared" si="20"/>
        <v>1.3685491919859554E-2</v>
      </c>
      <c r="AF11" s="26">
        <f t="shared" si="21"/>
        <v>1.9558021023337931E-2</v>
      </c>
      <c r="AG11" s="26">
        <f t="shared" si="22"/>
        <v>1.5314709399340706E-2</v>
      </c>
      <c r="AH11" s="26">
        <f t="shared" si="23"/>
        <v>7.6576584482153764E-2</v>
      </c>
      <c r="AI11" s="26">
        <f t="shared" si="24"/>
        <v>-2.0014047275954301E-2</v>
      </c>
      <c r="AJ11" s="26">
        <f t="shared" si="25"/>
        <v>-1.0229205971642284E-2</v>
      </c>
      <c r="AK11" s="26">
        <f t="shared" si="26"/>
        <v>2.3169152818712209E-3</v>
      </c>
      <c r="AL11" s="26">
        <f t="shared" si="27"/>
        <v>4.14009318628588E-3</v>
      </c>
      <c r="AM11" s="26">
        <f t="shared" si="28"/>
        <v>-2.0014047275954301E-2</v>
      </c>
      <c r="AO11" s="20" t="s">
        <v>10</v>
      </c>
      <c r="AP11" s="29">
        <v>9.2681128256068973E-4</v>
      </c>
      <c r="AQ11" s="29">
        <v>6.8246403512442478E-4</v>
      </c>
      <c r="AR11" s="29">
        <v>5.8103634003881432E-4</v>
      </c>
      <c r="AS11" s="29">
        <v>5.4855392730570013E-4</v>
      </c>
      <c r="AT11" s="28">
        <v>5.6765025371002191E-4</v>
      </c>
      <c r="AU11" s="29">
        <v>4.908174363610397E-4</v>
      </c>
      <c r="AV11" s="29">
        <v>-2.9885566713187573E-4</v>
      </c>
      <c r="AW11" s="29">
        <v>-8.7529881839739152E-5</v>
      </c>
      <c r="AX11" s="29">
        <v>2.7140792101243172E-4</v>
      </c>
      <c r="AY11" s="29">
        <v>-1.0297890423133819E-4</v>
      </c>
      <c r="AZ11" s="29">
        <v>1.7382607908494373E-4</v>
      </c>
      <c r="BA11" s="29">
        <v>-8.7529881839739152E-5</v>
      </c>
    </row>
    <row r="12" spans="1:53" x14ac:dyDescent="0.2">
      <c r="A12" s="5">
        <v>25688</v>
      </c>
      <c r="B12" s="6">
        <v>5.5295060280761099</v>
      </c>
      <c r="C12" s="7">
        <v>5.6499999999999995</v>
      </c>
      <c r="D12" s="7">
        <v>6.22</v>
      </c>
      <c r="E12" s="1">
        <v>6.39</v>
      </c>
      <c r="F12" s="1">
        <v>6.58</v>
      </c>
      <c r="G12" s="1">
        <v>6.9799999999999995</v>
      </c>
      <c r="H12" s="7">
        <v>97.600000000000009</v>
      </c>
      <c r="I12" s="7">
        <v>39.11</v>
      </c>
      <c r="J12" s="7">
        <v>3.0799999999999996</v>
      </c>
      <c r="K12" s="7">
        <v>240.17999999999998</v>
      </c>
      <c r="L12" s="7">
        <v>362.28946237600002</v>
      </c>
      <c r="M12">
        <f t="shared" si="4"/>
        <v>78.22</v>
      </c>
      <c r="O12" s="8">
        <f t="shared" si="5"/>
        <v>5.2801335848298825E-2</v>
      </c>
      <c r="P12" s="8">
        <f t="shared" si="6"/>
        <v>4.0707964601770064E-2</v>
      </c>
      <c r="Q12" s="8">
        <f t="shared" si="7"/>
        <v>9.6463022508037621E-3</v>
      </c>
      <c r="R12" s="8">
        <f t="shared" si="8"/>
        <v>1.5649452269170583E-2</v>
      </c>
      <c r="S12" s="8">
        <f t="shared" si="9"/>
        <v>7.5987841945288626E-3</v>
      </c>
      <c r="T12" s="8">
        <f t="shared" si="10"/>
        <v>8.5959885386819312E-3</v>
      </c>
      <c r="U12" s="8">
        <f t="shared" si="11"/>
        <v>1.1168032786885274E-2</v>
      </c>
      <c r="V12" s="8">
        <f t="shared" si="12"/>
        <v>5.625159805676283E-2</v>
      </c>
      <c r="W12" s="8">
        <f t="shared" si="13"/>
        <v>0</v>
      </c>
      <c r="X12" s="8">
        <f t="shared" si="14"/>
        <v>-5.2044300108252672E-3</v>
      </c>
      <c r="Y12" s="8">
        <f t="shared" si="15"/>
        <v>-3.6225632713549061E-5</v>
      </c>
      <c r="Z12" s="8">
        <f t="shared" si="16"/>
        <v>5.625159805676283E-2</v>
      </c>
      <c r="AB12" s="26">
        <f t="shared" si="17"/>
        <v>4.828041135587377E-2</v>
      </c>
      <c r="AC12" s="26">
        <f t="shared" si="18"/>
        <v>3.819119458319347E-2</v>
      </c>
      <c r="AD12" s="26">
        <f t="shared" si="19"/>
        <v>7.3540939273528186E-3</v>
      </c>
      <c r="AE12" s="26">
        <f t="shared" si="20"/>
        <v>1.3436692996661264E-2</v>
      </c>
      <c r="AF12" s="26">
        <f t="shared" si="21"/>
        <v>5.4176747830840897E-3</v>
      </c>
      <c r="AG12" s="26">
        <f t="shared" si="22"/>
        <v>6.4179865677603219E-3</v>
      </c>
      <c r="AH12" s="26">
        <f t="shared" si="23"/>
        <v>5.8246527418248685E-3</v>
      </c>
      <c r="AI12" s="26">
        <f t="shared" si="24"/>
        <v>4.3849831927725451E-2</v>
      </c>
      <c r="AJ12" s="26">
        <f t="shared" si="25"/>
        <v>-1.0229205971642284E-2</v>
      </c>
      <c r="AK12" s="26">
        <f t="shared" si="26"/>
        <v>-3.6375147289538527E-3</v>
      </c>
      <c r="AL12" s="26">
        <f t="shared" si="27"/>
        <v>3.4880094810421573E-3</v>
      </c>
      <c r="AM12" s="26">
        <f t="shared" si="28"/>
        <v>4.3849831927725451E-2</v>
      </c>
      <c r="AO12" s="20" t="s">
        <v>11</v>
      </c>
      <c r="AP12" s="29">
        <v>8.3266864006789523E-4</v>
      </c>
      <c r="AQ12" s="29">
        <v>6.3132001893478201E-4</v>
      </c>
      <c r="AR12" s="29">
        <v>5.2692407471868058E-4</v>
      </c>
      <c r="AS12" s="29">
        <v>4.9696129709805468E-4</v>
      </c>
      <c r="AT12" s="29">
        <v>4.908174363610397E-4</v>
      </c>
      <c r="AU12" s="28">
        <v>4.8429002990667345E-4</v>
      </c>
      <c r="AV12" s="29">
        <v>-2.9146849002284773E-4</v>
      </c>
      <c r="AW12" s="29">
        <v>-9.0539418893644471E-5</v>
      </c>
      <c r="AX12" s="29">
        <v>2.2708681846573427E-4</v>
      </c>
      <c r="AY12" s="29">
        <v>-6.8518759278536878E-5</v>
      </c>
      <c r="AZ12" s="29">
        <v>1.4439348117256936E-4</v>
      </c>
      <c r="BA12" s="29">
        <v>-9.0539418893644471E-5</v>
      </c>
    </row>
    <row r="13" spans="1:53" x14ac:dyDescent="0.2">
      <c r="A13" s="5">
        <v>25719</v>
      </c>
      <c r="B13" s="6">
        <v>5.8214713329397494</v>
      </c>
      <c r="C13" s="7">
        <v>5.88</v>
      </c>
      <c r="D13" s="7">
        <v>6.2799999999999994</v>
      </c>
      <c r="E13" s="1">
        <v>6.49</v>
      </c>
      <c r="F13" s="1">
        <v>6.63</v>
      </c>
      <c r="G13" s="1">
        <v>7.04</v>
      </c>
      <c r="H13" s="7">
        <v>98.690000000000012</v>
      </c>
      <c r="I13" s="7">
        <v>41.309999999999995</v>
      </c>
      <c r="J13" s="7">
        <v>3.0799999999999996</v>
      </c>
      <c r="K13" s="7">
        <v>238.92999999999998</v>
      </c>
      <c r="L13" s="7">
        <v>362.276338211</v>
      </c>
      <c r="M13">
        <f t="shared" si="4"/>
        <v>82.61999999999999</v>
      </c>
      <c r="O13" s="8">
        <f t="shared" si="5"/>
        <v>-2.3294359405268361E-2</v>
      </c>
      <c r="P13" s="8">
        <f t="shared" si="6"/>
        <v>-2.5510204081632737E-2</v>
      </c>
      <c r="Q13" s="8">
        <f t="shared" si="7"/>
        <v>1.5923566878981443E-3</v>
      </c>
      <c r="R13" s="8">
        <f t="shared" si="8"/>
        <v>3.0816640986131016E-3</v>
      </c>
      <c r="S13" s="8">
        <f t="shared" si="9"/>
        <v>4.5248868778280382E-3</v>
      </c>
      <c r="T13" s="8">
        <f t="shared" si="10"/>
        <v>5.6818181818181213E-3</v>
      </c>
      <c r="U13" s="8">
        <f t="shared" si="11"/>
        <v>9.1194649913870496E-3</v>
      </c>
      <c r="V13" s="8">
        <f t="shared" si="12"/>
        <v>-7.2621641249092095E-3</v>
      </c>
      <c r="W13" s="8">
        <f t="shared" si="13"/>
        <v>0</v>
      </c>
      <c r="X13" s="8">
        <f t="shared" si="14"/>
        <v>-1.8415435483195575E-3</v>
      </c>
      <c r="Y13" s="8">
        <f t="shared" si="15"/>
        <v>-1.1578780056998861E-3</v>
      </c>
      <c r="Z13" s="8">
        <f t="shared" si="16"/>
        <v>-7.2621641249092095E-3</v>
      </c>
      <c r="AB13" s="26">
        <f t="shared" si="17"/>
        <v>-2.7815283897693416E-2</v>
      </c>
      <c r="AC13" s="26">
        <f t="shared" si="18"/>
        <v>-2.802697410020933E-2</v>
      </c>
      <c r="AD13" s="26">
        <f t="shared" si="19"/>
        <v>-6.9985163555279966E-4</v>
      </c>
      <c r="AE13" s="26">
        <f t="shared" si="20"/>
        <v>8.6890482610378324E-4</v>
      </c>
      <c r="AF13" s="26">
        <f t="shared" si="21"/>
        <v>2.3437774663832649E-3</v>
      </c>
      <c r="AG13" s="26">
        <f t="shared" si="22"/>
        <v>3.5038162108965119E-3</v>
      </c>
      <c r="AH13" s="26">
        <f t="shared" si="23"/>
        <v>3.7760849463266445E-3</v>
      </c>
      <c r="AI13" s="26">
        <f t="shared" si="24"/>
        <v>-1.9663930253946589E-2</v>
      </c>
      <c r="AJ13" s="26">
        <f t="shared" si="25"/>
        <v>-1.0229205971642284E-2</v>
      </c>
      <c r="AK13" s="26">
        <f t="shared" si="26"/>
        <v>-2.7462826644814291E-4</v>
      </c>
      <c r="AL13" s="26">
        <f t="shared" si="27"/>
        <v>2.3663571080558203E-3</v>
      </c>
      <c r="AM13" s="26">
        <f t="shared" si="28"/>
        <v>-1.9663930253946589E-2</v>
      </c>
      <c r="AO13" s="20" t="s">
        <v>12</v>
      </c>
      <c r="AP13" s="29">
        <v>-8.5525250221585997E-4</v>
      </c>
      <c r="AQ13" s="29">
        <v>-5.4845128947745181E-4</v>
      </c>
      <c r="AR13" s="29">
        <v>-3.9208931959668395E-4</v>
      </c>
      <c r="AS13" s="29">
        <v>-3.6646634720822037E-4</v>
      </c>
      <c r="AT13" s="29">
        <v>-2.9885566713187573E-4</v>
      </c>
      <c r="AU13" s="29">
        <v>-2.9146849002284773E-4</v>
      </c>
      <c r="AV13" s="28">
        <v>2.162575138737308E-3</v>
      </c>
      <c r="AW13" s="29">
        <v>1.1137919489540159E-4</v>
      </c>
      <c r="AX13" s="29">
        <v>-2.7201402861004803E-4</v>
      </c>
      <c r="AY13" s="29">
        <v>-2.3682559368339155E-6</v>
      </c>
      <c r="AZ13" s="29">
        <v>-1.2826715940619476E-5</v>
      </c>
      <c r="BA13" s="29">
        <v>1.1137919489540159E-4</v>
      </c>
    </row>
    <row r="14" spans="1:53" x14ac:dyDescent="0.2">
      <c r="A14" s="5">
        <v>25749</v>
      </c>
      <c r="B14" s="6">
        <v>5.6858638874427845</v>
      </c>
      <c r="C14" s="7">
        <v>5.7299999999999995</v>
      </c>
      <c r="D14" s="7">
        <v>6.29</v>
      </c>
      <c r="E14" s="1">
        <v>6.51</v>
      </c>
      <c r="F14" s="1">
        <v>6.66</v>
      </c>
      <c r="G14" s="1">
        <v>7.08</v>
      </c>
      <c r="H14" s="7">
        <v>99.59</v>
      </c>
      <c r="I14" s="7">
        <v>41.01</v>
      </c>
      <c r="J14" s="7">
        <v>3.0799999999999996</v>
      </c>
      <c r="K14" s="7">
        <v>238.48999999999998</v>
      </c>
      <c r="L14" s="7">
        <v>361.85686640699998</v>
      </c>
      <c r="M14">
        <f t="shared" si="4"/>
        <v>82.02</v>
      </c>
      <c r="O14" s="8">
        <f t="shared" si="5"/>
        <v>-3.8493244961708029E-2</v>
      </c>
      <c r="P14" s="8">
        <f t="shared" si="6"/>
        <v>-3.839441535776611E-2</v>
      </c>
      <c r="Q14" s="8">
        <f t="shared" si="7"/>
        <v>-6.3593004769475492E-3</v>
      </c>
      <c r="R14" s="8">
        <f t="shared" si="8"/>
        <v>-7.6804915514592231E-3</v>
      </c>
      <c r="S14" s="8">
        <f t="shared" si="9"/>
        <v>-7.5075075075076159E-3</v>
      </c>
      <c r="T14" s="8">
        <f t="shared" si="10"/>
        <v>-1.2711864406779627E-2</v>
      </c>
      <c r="U14" s="8">
        <f t="shared" si="11"/>
        <v>-1.8475750577367278E-2</v>
      </c>
      <c r="V14" s="8">
        <f t="shared" si="12"/>
        <v>-5.4864667154352564E-2</v>
      </c>
      <c r="W14" s="8">
        <f t="shared" si="13"/>
        <v>0</v>
      </c>
      <c r="X14" s="8">
        <f t="shared" si="14"/>
        <v>2.1384544425344654E-3</v>
      </c>
      <c r="Y14" s="8">
        <f t="shared" si="15"/>
        <v>-3.7489951716825898E-3</v>
      </c>
      <c r="Z14" s="8">
        <f t="shared" si="16"/>
        <v>-5.4864667154352564E-2</v>
      </c>
      <c r="AB14" s="26">
        <f t="shared" si="17"/>
        <v>-4.3014169454133083E-2</v>
      </c>
      <c r="AC14" s="26">
        <f t="shared" si="18"/>
        <v>-4.0911185376342703E-2</v>
      </c>
      <c r="AD14" s="26">
        <f t="shared" si="19"/>
        <v>-8.6515088003984927E-3</v>
      </c>
      <c r="AE14" s="26">
        <f t="shared" si="20"/>
        <v>-9.893250823968542E-3</v>
      </c>
      <c r="AF14" s="26">
        <f t="shared" si="21"/>
        <v>-9.6886169189523887E-3</v>
      </c>
      <c r="AG14" s="26">
        <f t="shared" si="22"/>
        <v>-1.4889866377701236E-2</v>
      </c>
      <c r="AH14" s="26">
        <f t="shared" si="23"/>
        <v>-2.3819130622427683E-2</v>
      </c>
      <c r="AI14" s="26">
        <f t="shared" si="24"/>
        <v>-6.7266433283389937E-2</v>
      </c>
      <c r="AJ14" s="26">
        <f t="shared" si="25"/>
        <v>-1.0229205971642284E-2</v>
      </c>
      <c r="AK14" s="26">
        <f t="shared" si="26"/>
        <v>3.7053697244058799E-3</v>
      </c>
      <c r="AL14" s="26">
        <f t="shared" si="27"/>
        <v>-2.2476005792688341E-4</v>
      </c>
      <c r="AM14" s="26">
        <f t="shared" si="28"/>
        <v>-6.7266433283389937E-2</v>
      </c>
      <c r="AO14" s="20" t="s">
        <v>13</v>
      </c>
      <c r="AP14" s="29">
        <v>-6.0310956447181814E-4</v>
      </c>
      <c r="AQ14" s="29">
        <v>5.464191926476125E-5</v>
      </c>
      <c r="AR14" s="29">
        <v>-4.1249695285012105E-5</v>
      </c>
      <c r="AS14" s="29">
        <v>-9.8341161169294001E-5</v>
      </c>
      <c r="AT14" s="29">
        <v>-8.7529881839739152E-5</v>
      </c>
      <c r="AU14" s="29">
        <v>-9.0539418893644471E-5</v>
      </c>
      <c r="AV14" s="29">
        <v>1.1137919489540159E-4</v>
      </c>
      <c r="AW14" s="28">
        <v>5.6111809296600585E-3</v>
      </c>
      <c r="AX14" s="29">
        <v>1.586362189378795E-3</v>
      </c>
      <c r="AY14" s="29">
        <v>6.2831333403792333E-4</v>
      </c>
      <c r="AZ14" s="29">
        <v>-4.5965559518841115E-4</v>
      </c>
      <c r="BA14" s="29">
        <v>5.6111809296600585E-3</v>
      </c>
    </row>
    <row r="15" spans="1:53" x14ac:dyDescent="0.2">
      <c r="A15" s="5">
        <v>25780</v>
      </c>
      <c r="B15" s="6">
        <v>5.4669965360045198</v>
      </c>
      <c r="C15" s="7">
        <v>5.51</v>
      </c>
      <c r="D15" s="7">
        <v>6.25</v>
      </c>
      <c r="E15" s="1">
        <v>6.46</v>
      </c>
      <c r="F15" s="1">
        <v>6.6099999999999994</v>
      </c>
      <c r="G15" s="1">
        <v>6.99</v>
      </c>
      <c r="H15" s="7">
        <v>97.75</v>
      </c>
      <c r="I15" s="7">
        <v>38.76</v>
      </c>
      <c r="J15" s="7">
        <v>3.0799999999999996</v>
      </c>
      <c r="K15" s="7">
        <v>239</v>
      </c>
      <c r="L15" s="7">
        <v>360.50026676199997</v>
      </c>
      <c r="M15">
        <f t="shared" si="4"/>
        <v>77.52</v>
      </c>
      <c r="O15" s="8">
        <f t="shared" si="5"/>
        <v>-4.3797682790390535E-2</v>
      </c>
      <c r="P15" s="8">
        <f t="shared" si="6"/>
        <v>-1.4519056261342977E-2</v>
      </c>
      <c r="Q15" s="8">
        <f t="shared" si="7"/>
        <v>-3.520000000000012E-2</v>
      </c>
      <c r="R15" s="8">
        <f t="shared" si="8"/>
        <v>-3.0959752321981449E-2</v>
      </c>
      <c r="S15" s="8">
        <f t="shared" si="9"/>
        <v>-3.3282904689863835E-2</v>
      </c>
      <c r="T15" s="8">
        <f t="shared" si="10"/>
        <v>-2.2889842632331958E-2</v>
      </c>
      <c r="U15" s="8">
        <f t="shared" si="11"/>
        <v>1.1457800511508909E-2</v>
      </c>
      <c r="V15" s="8">
        <f t="shared" si="12"/>
        <v>2.9669762641898911E-2</v>
      </c>
      <c r="W15" s="8">
        <f t="shared" si="13"/>
        <v>0</v>
      </c>
      <c r="X15" s="8">
        <f t="shared" si="14"/>
        <v>5.4393305439326411E-4</v>
      </c>
      <c r="Y15" s="8">
        <f t="shared" si="15"/>
        <v>-2.2658796658789893E-3</v>
      </c>
      <c r="Z15" s="8">
        <f t="shared" si="16"/>
        <v>2.9669762641898911E-2</v>
      </c>
      <c r="AB15" s="26">
        <f t="shared" si="17"/>
        <v>-4.831860728281559E-2</v>
      </c>
      <c r="AC15" s="26">
        <f t="shared" si="18"/>
        <v>-1.7035826279919571E-2</v>
      </c>
      <c r="AD15" s="26">
        <f t="shared" si="19"/>
        <v>-3.7492208323451064E-2</v>
      </c>
      <c r="AE15" s="26">
        <f t="shared" si="20"/>
        <v>-3.3172511594490764E-2</v>
      </c>
      <c r="AF15" s="26">
        <f t="shared" si="21"/>
        <v>-3.5464014101308609E-2</v>
      </c>
      <c r="AG15" s="26">
        <f t="shared" si="22"/>
        <v>-2.5067844603253567E-2</v>
      </c>
      <c r="AH15" s="26">
        <f t="shared" si="23"/>
        <v>6.1144204664485037E-3</v>
      </c>
      <c r="AI15" s="26">
        <f t="shared" si="24"/>
        <v>1.7267996512861532E-2</v>
      </c>
      <c r="AJ15" s="26">
        <f t="shared" si="25"/>
        <v>-1.0229205971642284E-2</v>
      </c>
      <c r="AK15" s="26">
        <f t="shared" si="26"/>
        <v>2.1108483362646787E-3</v>
      </c>
      <c r="AL15" s="26">
        <f t="shared" si="27"/>
        <v>1.2583554478767171E-3</v>
      </c>
      <c r="AM15" s="26">
        <f t="shared" si="28"/>
        <v>1.7267996512861532E-2</v>
      </c>
      <c r="AO15" s="20" t="s">
        <v>14</v>
      </c>
      <c r="AP15" s="29">
        <v>3.9465515905971597E-4</v>
      </c>
      <c r="AQ15" s="29">
        <v>6.7840116118763412E-4</v>
      </c>
      <c r="AR15" s="29">
        <v>4.4078302674869363E-4</v>
      </c>
      <c r="AS15" s="29">
        <v>3.5043998645975483E-4</v>
      </c>
      <c r="AT15" s="29">
        <v>2.7140792101243172E-4</v>
      </c>
      <c r="AU15" s="29">
        <v>2.2708681846573427E-4</v>
      </c>
      <c r="AV15" s="29">
        <v>-2.7201402861004803E-4</v>
      </c>
      <c r="AW15" s="29">
        <v>1.586362189378795E-3</v>
      </c>
      <c r="AX15" s="28">
        <v>1.0949765440290428E-2</v>
      </c>
      <c r="AY15" s="29">
        <v>-1.2834525763443614E-4</v>
      </c>
      <c r="AZ15" s="29">
        <v>6.4581455485440622E-4</v>
      </c>
      <c r="BA15" s="29">
        <v>1.586362189378795E-3</v>
      </c>
    </row>
    <row r="16" spans="1:53" x14ac:dyDescent="0.2">
      <c r="A16" s="5">
        <v>25811</v>
      </c>
      <c r="B16" s="6">
        <v>5.2275547559044302</v>
      </c>
      <c r="C16" s="7">
        <v>5.43</v>
      </c>
      <c r="D16" s="7">
        <v>6.0299999999999994</v>
      </c>
      <c r="E16" s="1">
        <v>6.26</v>
      </c>
      <c r="F16" s="1">
        <v>6.39</v>
      </c>
      <c r="G16" s="1">
        <v>6.83</v>
      </c>
      <c r="H16" s="7">
        <v>98.87</v>
      </c>
      <c r="I16" s="7">
        <v>39.909999999999997</v>
      </c>
      <c r="J16" s="7">
        <v>3.0799999999999996</v>
      </c>
      <c r="K16" s="7">
        <v>239.13</v>
      </c>
      <c r="L16" s="7">
        <v>359.68341653800002</v>
      </c>
      <c r="M16">
        <f t="shared" si="4"/>
        <v>79.819999999999993</v>
      </c>
      <c r="O16" s="8">
        <f t="shared" si="5"/>
        <v>2.3890892183726642E-2</v>
      </c>
      <c r="P16" s="8">
        <f t="shared" si="6"/>
        <v>7.3664825046040328E-3</v>
      </c>
      <c r="Q16" s="8">
        <f t="shared" si="7"/>
        <v>-8.2918739635157168E-3</v>
      </c>
      <c r="R16" s="8">
        <f t="shared" si="8"/>
        <v>-3.1948881789136685E-3</v>
      </c>
      <c r="S16" s="8">
        <f t="shared" si="9"/>
        <v>1.5649452269170805E-3</v>
      </c>
      <c r="T16" s="8">
        <f t="shared" si="10"/>
        <v>-4.3923865300147247E-3</v>
      </c>
      <c r="U16" s="8">
        <f t="shared" si="11"/>
        <v>3.8535450591686171E-2</v>
      </c>
      <c r="V16" s="8">
        <f t="shared" si="12"/>
        <v>-3.3826108744675509E-2</v>
      </c>
      <c r="W16" s="8">
        <f t="shared" si="13"/>
        <v>0</v>
      </c>
      <c r="X16" s="8">
        <f t="shared" si="14"/>
        <v>-1.5054572826496138E-3</v>
      </c>
      <c r="Y16" s="8">
        <f t="shared" si="15"/>
        <v>-1.2931139430246708E-3</v>
      </c>
      <c r="Z16" s="8">
        <f t="shared" si="16"/>
        <v>-3.3826108744675509E-2</v>
      </c>
      <c r="AB16" s="26">
        <f t="shared" si="17"/>
        <v>1.9369967691301587E-2</v>
      </c>
      <c r="AC16" s="26">
        <f t="shared" si="18"/>
        <v>4.8497124860274387E-3</v>
      </c>
      <c r="AD16" s="26">
        <f t="shared" si="19"/>
        <v>-1.058408228696666E-2</v>
      </c>
      <c r="AE16" s="26">
        <f t="shared" si="20"/>
        <v>-5.4076474514229873E-3</v>
      </c>
      <c r="AF16" s="26">
        <f t="shared" si="21"/>
        <v>-6.1616418452769281E-4</v>
      </c>
      <c r="AG16" s="26">
        <f t="shared" si="22"/>
        <v>-6.570388500936334E-3</v>
      </c>
      <c r="AH16" s="26">
        <f t="shared" si="23"/>
        <v>3.3192070546625763E-2</v>
      </c>
      <c r="AI16" s="26">
        <f t="shared" si="24"/>
        <v>-4.6227874873712889E-2</v>
      </c>
      <c r="AJ16" s="26">
        <f t="shared" si="25"/>
        <v>-1.0229205971642284E-2</v>
      </c>
      <c r="AK16" s="26">
        <f t="shared" si="26"/>
        <v>6.1457999221800792E-5</v>
      </c>
      <c r="AL16" s="26">
        <f t="shared" si="27"/>
        <v>2.2311211707310356E-3</v>
      </c>
      <c r="AM16" s="26">
        <f t="shared" si="28"/>
        <v>-4.6227874873712889E-2</v>
      </c>
      <c r="AO16" s="20" t="s">
        <v>15</v>
      </c>
      <c r="AP16" s="29">
        <v>-3.9259097383557989E-4</v>
      </c>
      <c r="AQ16" s="29">
        <v>-1.2314167192020405E-4</v>
      </c>
      <c r="AR16" s="29">
        <v>-1.0450229778179507E-4</v>
      </c>
      <c r="AS16" s="29">
        <v>-8.7300328497902959E-5</v>
      </c>
      <c r="AT16" s="29">
        <v>-1.0297890423133819E-4</v>
      </c>
      <c r="AU16" s="29">
        <v>-6.8518759278536878E-5</v>
      </c>
      <c r="AV16" s="29">
        <v>-2.3682559368339155E-6</v>
      </c>
      <c r="AW16" s="29">
        <v>6.2831333403792333E-4</v>
      </c>
      <c r="AX16" s="29">
        <v>-1.2834525763443614E-4</v>
      </c>
      <c r="AY16" s="28">
        <v>8.4876478960358836E-4</v>
      </c>
      <c r="AZ16" s="29">
        <v>-4.2541335751584308E-4</v>
      </c>
      <c r="BA16" s="29">
        <v>6.2831333403792333E-4</v>
      </c>
    </row>
    <row r="17" spans="1:53" x14ac:dyDescent="0.2">
      <c r="A17" s="5">
        <v>25841</v>
      </c>
      <c r="B17" s="6">
        <v>5.352445702962271</v>
      </c>
      <c r="C17" s="7">
        <v>5.47</v>
      </c>
      <c r="D17" s="7">
        <v>5.9799999999999995</v>
      </c>
      <c r="E17" s="1">
        <v>6.24</v>
      </c>
      <c r="F17" s="1">
        <v>6.3999999999999995</v>
      </c>
      <c r="G17" s="1">
        <v>6.8</v>
      </c>
      <c r="H17" s="7">
        <v>102.68</v>
      </c>
      <c r="I17" s="7">
        <v>38.559999999999995</v>
      </c>
      <c r="J17" s="7">
        <v>3.0799999999999996</v>
      </c>
      <c r="K17" s="7">
        <v>238.76999999999998</v>
      </c>
      <c r="L17" s="7">
        <v>359.218304897</v>
      </c>
      <c r="M17">
        <f t="shared" si="4"/>
        <v>77.11999999999999</v>
      </c>
      <c r="O17" s="8">
        <f t="shared" si="5"/>
        <v>2.9186973720561005E-2</v>
      </c>
      <c r="P17" s="8">
        <f t="shared" si="6"/>
        <v>2.1937842778793515E-2</v>
      </c>
      <c r="Q17" s="8">
        <f t="shared" si="7"/>
        <v>2.006688963210701E-2</v>
      </c>
      <c r="R17" s="8">
        <f t="shared" si="8"/>
        <v>1.4423076923076872E-2</v>
      </c>
      <c r="S17" s="8">
        <f t="shared" si="9"/>
        <v>1.2499999999999956E-2</v>
      </c>
      <c r="T17" s="8">
        <f t="shared" si="10"/>
        <v>7.3529411764705621E-3</v>
      </c>
      <c r="U17" s="8">
        <f t="shared" si="11"/>
        <v>7.206856252434779E-3</v>
      </c>
      <c r="V17" s="8">
        <f t="shared" si="12"/>
        <v>2.4636929460581047E-2</v>
      </c>
      <c r="W17" s="8">
        <f t="shared" si="13"/>
        <v>0</v>
      </c>
      <c r="X17" s="8">
        <f t="shared" si="14"/>
        <v>9.632700925576998E-4</v>
      </c>
      <c r="Y17" s="8">
        <f t="shared" si="15"/>
        <v>-1.828561501587056E-3</v>
      </c>
      <c r="Z17" s="8">
        <f t="shared" si="16"/>
        <v>2.4636929460581047E-2</v>
      </c>
      <c r="AB17" s="26">
        <f t="shared" si="17"/>
        <v>2.466604922813595E-2</v>
      </c>
      <c r="AC17" s="26">
        <f t="shared" si="18"/>
        <v>1.9421072760216922E-2</v>
      </c>
      <c r="AD17" s="26">
        <f t="shared" si="19"/>
        <v>1.7774681308656066E-2</v>
      </c>
      <c r="AE17" s="26">
        <f t="shared" si="20"/>
        <v>1.2210317650567553E-2</v>
      </c>
      <c r="AF17" s="26">
        <f t="shared" si="21"/>
        <v>1.0318890588555183E-2</v>
      </c>
      <c r="AG17" s="26">
        <f t="shared" si="22"/>
        <v>5.1749392055489528E-3</v>
      </c>
      <c r="AH17" s="26">
        <f t="shared" si="23"/>
        <v>1.8634762073743739E-3</v>
      </c>
      <c r="AI17" s="26">
        <f t="shared" si="24"/>
        <v>1.2235163331543668E-2</v>
      </c>
      <c r="AJ17" s="26">
        <f t="shared" si="25"/>
        <v>-1.0229205971642284E-2</v>
      </c>
      <c r="AK17" s="26">
        <f t="shared" si="26"/>
        <v>2.5301853744291143E-3</v>
      </c>
      <c r="AL17" s="26">
        <f t="shared" si="27"/>
        <v>1.6956736121686504E-3</v>
      </c>
      <c r="AM17" s="26">
        <f t="shared" si="28"/>
        <v>1.2235163331543668E-2</v>
      </c>
      <c r="AO17" s="20" t="s">
        <v>16</v>
      </c>
      <c r="AP17" s="29">
        <v>3.5966247260960858E-4</v>
      </c>
      <c r="AQ17" s="29">
        <v>2.315997541759787E-4</v>
      </c>
      <c r="AR17" s="29">
        <v>1.8818633909618233E-4</v>
      </c>
      <c r="AS17" s="29">
        <v>1.6584699997137747E-4</v>
      </c>
      <c r="AT17" s="29">
        <v>1.7382607908494373E-4</v>
      </c>
      <c r="AU17" s="29">
        <v>1.4439348117256936E-4</v>
      </c>
      <c r="AV17" s="29">
        <v>-1.2826715940619476E-5</v>
      </c>
      <c r="AW17" s="29">
        <v>-4.5965559518841115E-4</v>
      </c>
      <c r="AX17" s="29">
        <v>6.4581455485440622E-4</v>
      </c>
      <c r="AY17" s="29">
        <v>-4.2541335751584308E-4</v>
      </c>
      <c r="AZ17" s="28">
        <v>8.8381445629693851E-4</v>
      </c>
      <c r="BA17" s="29">
        <v>-4.5965559518841115E-4</v>
      </c>
    </row>
    <row r="18" spans="1:53" x14ac:dyDescent="0.2">
      <c r="A18" s="5">
        <v>25872</v>
      </c>
      <c r="B18" s="6">
        <v>5.50866739503536</v>
      </c>
      <c r="C18" s="7">
        <v>5.59</v>
      </c>
      <c r="D18" s="7">
        <v>6.1</v>
      </c>
      <c r="E18" s="1">
        <v>6.33</v>
      </c>
      <c r="F18" s="1">
        <v>6.4799999999999995</v>
      </c>
      <c r="G18" s="1">
        <v>6.85</v>
      </c>
      <c r="H18" s="7">
        <v>103.42</v>
      </c>
      <c r="I18" s="7">
        <v>39.51</v>
      </c>
      <c r="J18" s="7">
        <v>3.0799999999999996</v>
      </c>
      <c r="K18" s="7">
        <v>239</v>
      </c>
      <c r="L18" s="7">
        <v>358.56145213399998</v>
      </c>
      <c r="M18">
        <f t="shared" si="4"/>
        <v>79.02</v>
      </c>
      <c r="O18" s="8">
        <f t="shared" si="5"/>
        <v>1.8918283176204476E-2</v>
      </c>
      <c r="P18" s="8">
        <f t="shared" si="6"/>
        <v>2.1466905187835339E-2</v>
      </c>
      <c r="Q18" s="8">
        <f t="shared" si="7"/>
        <v>1.6393442622950838E-2</v>
      </c>
      <c r="R18" s="8">
        <f t="shared" si="8"/>
        <v>2.0537124802527673E-2</v>
      </c>
      <c r="S18" s="8">
        <f t="shared" si="9"/>
        <v>1.8518518518518601E-2</v>
      </c>
      <c r="T18" s="8">
        <f t="shared" si="10"/>
        <v>2.481751824817513E-2</v>
      </c>
      <c r="U18" s="8">
        <f t="shared" si="11"/>
        <v>4.7959775672017146E-2</v>
      </c>
      <c r="V18" s="8">
        <f t="shared" si="12"/>
        <v>2.8347253859782207E-2</v>
      </c>
      <c r="W18" s="8">
        <f t="shared" si="13"/>
        <v>0</v>
      </c>
      <c r="X18" s="8">
        <f t="shared" si="14"/>
        <v>-1.0878661087866393E-3</v>
      </c>
      <c r="Y18" s="8">
        <f t="shared" si="15"/>
        <v>-1.2533222501343033E-3</v>
      </c>
      <c r="Z18" s="8">
        <f t="shared" si="16"/>
        <v>2.8347253859782207E-2</v>
      </c>
      <c r="AB18" s="26">
        <f t="shared" si="17"/>
        <v>1.4397358683779423E-2</v>
      </c>
      <c r="AC18" s="26">
        <f t="shared" si="18"/>
        <v>1.8950135169258746E-2</v>
      </c>
      <c r="AD18" s="26">
        <f t="shared" si="19"/>
        <v>1.4101234299499894E-2</v>
      </c>
      <c r="AE18" s="26">
        <f t="shared" si="20"/>
        <v>1.8324365530018354E-2</v>
      </c>
      <c r="AF18" s="26">
        <f t="shared" si="21"/>
        <v>1.6337409107073826E-2</v>
      </c>
      <c r="AG18" s="26">
        <f t="shared" si="22"/>
        <v>2.2639516277253521E-2</v>
      </c>
      <c r="AH18" s="26">
        <f t="shared" si="23"/>
        <v>4.2616395626956738E-2</v>
      </c>
      <c r="AI18" s="26">
        <f t="shared" si="24"/>
        <v>1.5945487730744827E-2</v>
      </c>
      <c r="AJ18" s="26">
        <f t="shared" si="25"/>
        <v>-1.0229205971642284E-2</v>
      </c>
      <c r="AK18" s="26">
        <f t="shared" si="26"/>
        <v>4.790491730847753E-4</v>
      </c>
      <c r="AL18" s="26">
        <f t="shared" si="27"/>
        <v>2.2709128636214031E-3</v>
      </c>
      <c r="AM18" s="26">
        <f t="shared" si="28"/>
        <v>1.5945487730744827E-2</v>
      </c>
      <c r="AO18" s="56" t="s">
        <v>62</v>
      </c>
      <c r="AP18" s="29">
        <v>-6.0310956447181814E-4</v>
      </c>
      <c r="AQ18" s="29">
        <v>5.464191926476125E-5</v>
      </c>
      <c r="AR18" s="29">
        <v>-4.1249695285012105E-5</v>
      </c>
      <c r="AS18" s="29">
        <v>-9.8341161169294001E-5</v>
      </c>
      <c r="AT18" s="29">
        <v>-8.7529881839739152E-5</v>
      </c>
      <c r="AU18" s="29">
        <v>-9.0539418893644471E-5</v>
      </c>
      <c r="AV18" s="29">
        <v>1.1137919489540159E-4</v>
      </c>
      <c r="AW18" s="29">
        <v>5.6111809296600585E-3</v>
      </c>
      <c r="AX18" s="29">
        <v>1.586362189378795E-3</v>
      </c>
      <c r="AY18" s="29">
        <v>6.2831333403792333E-4</v>
      </c>
      <c r="AZ18" s="29">
        <v>-4.5965559518841115E-4</v>
      </c>
      <c r="BA18" s="59">
        <v>5.6111809296600585E-3</v>
      </c>
    </row>
    <row r="19" spans="1:53" x14ac:dyDescent="0.2">
      <c r="A19" s="5">
        <v>25902</v>
      </c>
      <c r="B19" s="6">
        <v>5.6128819247381641</v>
      </c>
      <c r="C19" s="7">
        <v>5.71</v>
      </c>
      <c r="D19" s="7">
        <v>6.2</v>
      </c>
      <c r="E19" s="1">
        <v>6.46</v>
      </c>
      <c r="F19" s="1">
        <v>6.6</v>
      </c>
      <c r="G19" s="1">
        <v>7.02</v>
      </c>
      <c r="H19" s="7">
        <v>108.38000000000001</v>
      </c>
      <c r="I19" s="7">
        <v>40.629999999999995</v>
      </c>
      <c r="J19" s="7">
        <v>3.0799999999999996</v>
      </c>
      <c r="K19" s="7">
        <v>238.73999999999998</v>
      </c>
      <c r="L19" s="7">
        <v>358.11205908799997</v>
      </c>
      <c r="M19">
        <f t="shared" si="4"/>
        <v>81.259999999999991</v>
      </c>
      <c r="O19" s="8">
        <f t="shared" si="5"/>
        <v>9.1116184404472333E-2</v>
      </c>
      <c r="P19" s="8">
        <f t="shared" si="6"/>
        <v>5.7793345008756658E-2</v>
      </c>
      <c r="Q19" s="8">
        <f t="shared" si="7"/>
        <v>4.1935483870967794E-2</v>
      </c>
      <c r="R19" s="8">
        <f t="shared" si="8"/>
        <v>3.2507739938080427E-2</v>
      </c>
      <c r="S19" s="8">
        <f t="shared" si="9"/>
        <v>3.9393939393939315E-2</v>
      </c>
      <c r="T19" s="8">
        <f t="shared" si="10"/>
        <v>3.1339031339031376E-2</v>
      </c>
      <c r="U19" s="8">
        <f t="shared" si="11"/>
        <v>-4.1612843698099367E-2</v>
      </c>
      <c r="V19" s="8">
        <f t="shared" si="12"/>
        <v>2.7073590942653158E-2</v>
      </c>
      <c r="W19" s="8">
        <f t="shared" si="13"/>
        <v>0</v>
      </c>
      <c r="X19" s="8">
        <f t="shared" si="14"/>
        <v>-1.298483706123843E-3</v>
      </c>
      <c r="Y19" s="8">
        <f t="shared" si="15"/>
        <v>-5.3684972097711725E-4</v>
      </c>
      <c r="Z19" s="8">
        <f t="shared" si="16"/>
        <v>2.7073590942653158E-2</v>
      </c>
      <c r="AB19" s="26">
        <f t="shared" si="17"/>
        <v>8.6595259912047279E-2</v>
      </c>
      <c r="AC19" s="26">
        <f t="shared" si="18"/>
        <v>5.5276574990180065E-2</v>
      </c>
      <c r="AD19" s="26">
        <f t="shared" si="19"/>
        <v>3.964327554751685E-2</v>
      </c>
      <c r="AE19" s="26">
        <f t="shared" si="20"/>
        <v>3.0294980665571108E-2</v>
      </c>
      <c r="AF19" s="26">
        <f t="shared" si="21"/>
        <v>3.721282998249454E-2</v>
      </c>
      <c r="AG19" s="26">
        <f t="shared" si="22"/>
        <v>2.9161029368109766E-2</v>
      </c>
      <c r="AH19" s="26">
        <f t="shared" si="23"/>
        <v>-4.6956223743159775E-2</v>
      </c>
      <c r="AI19" s="26">
        <f t="shared" si="24"/>
        <v>1.4671824813615779E-2</v>
      </c>
      <c r="AJ19" s="26">
        <f t="shared" si="25"/>
        <v>-1.0229205971642284E-2</v>
      </c>
      <c r="AK19" s="26">
        <f t="shared" si="26"/>
        <v>2.6843157574757154E-4</v>
      </c>
      <c r="AL19" s="26">
        <f t="shared" si="27"/>
        <v>2.9873853927785891E-3</v>
      </c>
      <c r="AM19" s="26">
        <f t="shared" si="28"/>
        <v>1.4671824813615779E-2</v>
      </c>
    </row>
    <row r="20" spans="1:53" x14ac:dyDescent="0.2">
      <c r="A20" s="5">
        <v>25933</v>
      </c>
      <c r="B20" s="6">
        <v>6.1243063092331358</v>
      </c>
      <c r="C20" s="7">
        <v>6.04</v>
      </c>
      <c r="D20" s="7">
        <v>6.46</v>
      </c>
      <c r="E20" s="1">
        <v>6.67</v>
      </c>
      <c r="F20" s="1">
        <v>6.8599999999999994</v>
      </c>
      <c r="G20" s="1">
        <v>7.24</v>
      </c>
      <c r="H20" s="7">
        <v>103.87</v>
      </c>
      <c r="I20" s="7">
        <v>41.73</v>
      </c>
      <c r="J20" s="7">
        <v>3.0799999999999996</v>
      </c>
      <c r="K20" s="7">
        <v>238.42999999999998</v>
      </c>
      <c r="L20" s="7">
        <v>357.91980672900002</v>
      </c>
      <c r="M20">
        <f t="shared" si="4"/>
        <v>83.46</v>
      </c>
      <c r="O20" s="8">
        <f t="shared" si="5"/>
        <v>3.2436922282988556E-2</v>
      </c>
      <c r="P20" s="8">
        <f t="shared" si="6"/>
        <v>1.6556291390728006E-3</v>
      </c>
      <c r="Q20" s="8">
        <f t="shared" si="7"/>
        <v>2.1671826625387025E-2</v>
      </c>
      <c r="R20" s="8">
        <f t="shared" si="8"/>
        <v>1.0494752623688264E-2</v>
      </c>
      <c r="S20" s="8">
        <f t="shared" si="9"/>
        <v>1.1661807580174877E-2</v>
      </c>
      <c r="T20" s="8">
        <f t="shared" si="10"/>
        <v>1.2430939226519389E-2</v>
      </c>
      <c r="U20" s="8">
        <f t="shared" si="11"/>
        <v>-8.1833060556464332E-3</v>
      </c>
      <c r="V20" s="8">
        <f t="shared" si="12"/>
        <v>1.9170860292355707E-2</v>
      </c>
      <c r="W20" s="8">
        <f t="shared" si="13"/>
        <v>0</v>
      </c>
      <c r="X20" s="8">
        <f t="shared" si="14"/>
        <v>1.1743488654951673E-3</v>
      </c>
      <c r="Y20" s="8">
        <f t="shared" si="15"/>
        <v>2.1478601227054028E-4</v>
      </c>
      <c r="Z20" s="8">
        <f t="shared" si="16"/>
        <v>1.9170860292355707E-2</v>
      </c>
      <c r="AB20" s="26">
        <f t="shared" si="17"/>
        <v>2.7915997790563502E-2</v>
      </c>
      <c r="AC20" s="26">
        <f t="shared" si="18"/>
        <v>-8.611408795037934E-4</v>
      </c>
      <c r="AD20" s="26">
        <f t="shared" si="19"/>
        <v>1.9379618301936082E-2</v>
      </c>
      <c r="AE20" s="26">
        <f t="shared" si="20"/>
        <v>8.2819933511789449E-3</v>
      </c>
      <c r="AF20" s="26">
        <f t="shared" si="21"/>
        <v>9.4806981687301038E-3</v>
      </c>
      <c r="AG20" s="26">
        <f t="shared" si="22"/>
        <v>1.0252937255597779E-2</v>
      </c>
      <c r="AH20" s="26">
        <f t="shared" si="23"/>
        <v>-1.3526686100706838E-2</v>
      </c>
      <c r="AI20" s="26">
        <f t="shared" si="24"/>
        <v>6.7690941633183274E-3</v>
      </c>
      <c r="AJ20" s="26">
        <f t="shared" si="25"/>
        <v>-1.0229205971642284E-2</v>
      </c>
      <c r="AK20" s="26">
        <f t="shared" si="26"/>
        <v>2.7412641473665818E-3</v>
      </c>
      <c r="AL20" s="26">
        <f t="shared" si="27"/>
        <v>3.7390211260262467E-3</v>
      </c>
      <c r="AM20" s="26">
        <f t="shared" si="28"/>
        <v>6.7690941633183274E-3</v>
      </c>
      <c r="AO20" s="61" t="s">
        <v>69</v>
      </c>
      <c r="AP20" s="34"/>
      <c r="AR20" s="41" t="s">
        <v>55</v>
      </c>
      <c r="AU20" s="42" t="s">
        <v>56</v>
      </c>
    </row>
    <row r="21" spans="1:53" x14ac:dyDescent="0.2">
      <c r="A21" s="5">
        <v>25964</v>
      </c>
      <c r="B21" s="6">
        <v>6.3229599570229471</v>
      </c>
      <c r="C21" s="7">
        <v>6.05</v>
      </c>
      <c r="D21" s="7">
        <v>6.6</v>
      </c>
      <c r="E21" s="1">
        <v>6.74</v>
      </c>
      <c r="F21" s="1">
        <v>6.9399999999999995</v>
      </c>
      <c r="G21" s="1">
        <v>7.33</v>
      </c>
      <c r="H21" s="7">
        <v>103.02000000000001</v>
      </c>
      <c r="I21" s="7">
        <v>42.53</v>
      </c>
      <c r="J21" s="7">
        <v>3.0799999999999996</v>
      </c>
      <c r="K21" s="7">
        <v>238.70999999999998</v>
      </c>
      <c r="L21" s="7">
        <v>357.99668289699997</v>
      </c>
      <c r="M21">
        <f t="shared" si="4"/>
        <v>85.06</v>
      </c>
      <c r="O21" s="8">
        <f t="shared" si="5"/>
        <v>-1.6543339196827267E-3</v>
      </c>
      <c r="P21" s="8">
        <f t="shared" si="6"/>
        <v>2.4793388429752206E-2</v>
      </c>
      <c r="Q21" s="8">
        <f t="shared" si="7"/>
        <v>1.060606060606073E-2</v>
      </c>
      <c r="R21" s="8">
        <f t="shared" si="8"/>
        <v>5.9347181008901906E-3</v>
      </c>
      <c r="S21" s="8">
        <f t="shared" si="9"/>
        <v>5.7636887608070175E-3</v>
      </c>
      <c r="T21" s="8">
        <f t="shared" si="10"/>
        <v>-2.7285129604366354E-3</v>
      </c>
      <c r="U21" s="8">
        <f t="shared" si="11"/>
        <v>-4.7369442826635688E-2</v>
      </c>
      <c r="V21" s="8">
        <f t="shared" si="12"/>
        <v>4.2323066071008331E-3</v>
      </c>
      <c r="W21" s="8">
        <f t="shared" si="13"/>
        <v>0</v>
      </c>
      <c r="X21" s="8">
        <f t="shared" si="14"/>
        <v>1.8851325876587666E-3</v>
      </c>
      <c r="Y21" s="8">
        <f t="shared" si="15"/>
        <v>-3.9361935384329971E-4</v>
      </c>
      <c r="Z21" s="8">
        <f t="shared" si="16"/>
        <v>4.2323066071008331E-3</v>
      </c>
      <c r="AB21" s="26">
        <f t="shared" si="17"/>
        <v>-6.1752584121077796E-3</v>
      </c>
      <c r="AC21" s="26">
        <f t="shared" si="18"/>
        <v>2.2276618411175612E-2</v>
      </c>
      <c r="AD21" s="26">
        <f t="shared" si="19"/>
        <v>8.3138522826097863E-3</v>
      </c>
      <c r="AE21" s="26">
        <f t="shared" si="20"/>
        <v>3.7219588283808722E-3</v>
      </c>
      <c r="AF21" s="26">
        <f t="shared" si="21"/>
        <v>3.5825793493622442E-3</v>
      </c>
      <c r="AG21" s="26">
        <f t="shared" si="22"/>
        <v>-4.9065149313582447E-3</v>
      </c>
      <c r="AH21" s="26">
        <f t="shared" si="23"/>
        <v>-5.2712822871696097E-2</v>
      </c>
      <c r="AI21" s="26">
        <f t="shared" si="24"/>
        <v>-8.1694595219365465E-3</v>
      </c>
      <c r="AJ21" s="26">
        <f t="shared" si="25"/>
        <v>-1.0229205971642284E-2</v>
      </c>
      <c r="AK21" s="26">
        <f t="shared" si="26"/>
        <v>3.4520478695301811E-3</v>
      </c>
      <c r="AL21" s="26">
        <f t="shared" si="27"/>
        <v>3.1306157599124067E-3</v>
      </c>
      <c r="AM21" s="26">
        <f t="shared" si="28"/>
        <v>-8.1694595219365465E-3</v>
      </c>
    </row>
    <row r="22" spans="1:53" x14ac:dyDescent="0.2">
      <c r="A22" s="5">
        <v>25992</v>
      </c>
      <c r="B22" s="6">
        <v>6.3124996698932483</v>
      </c>
      <c r="C22" s="7">
        <v>6.2</v>
      </c>
      <c r="D22" s="7">
        <v>6.67</v>
      </c>
      <c r="E22" s="1">
        <v>6.7799999999999994</v>
      </c>
      <c r="F22" s="1">
        <v>6.9799999999999995</v>
      </c>
      <c r="G22" s="1">
        <v>7.31</v>
      </c>
      <c r="H22" s="7">
        <v>98.14</v>
      </c>
      <c r="I22" s="7">
        <v>42.71</v>
      </c>
      <c r="J22" s="7">
        <v>3.0799999999999996</v>
      </c>
      <c r="K22" s="7">
        <v>239.16</v>
      </c>
      <c r="L22" s="7">
        <v>357.855768474</v>
      </c>
      <c r="M22">
        <f t="shared" si="4"/>
        <v>85.42</v>
      </c>
      <c r="O22" s="8">
        <f t="shared" si="5"/>
        <v>-1.8222213629191963E-2</v>
      </c>
      <c r="P22" s="8">
        <f t="shared" si="6"/>
        <v>1.7741935483870819E-2</v>
      </c>
      <c r="Q22" s="8">
        <f t="shared" si="7"/>
        <v>2.8485757121439192E-2</v>
      </c>
      <c r="R22" s="8">
        <f t="shared" si="8"/>
        <v>2.6548672566371723E-2</v>
      </c>
      <c r="S22" s="8">
        <f t="shared" si="9"/>
        <v>2.2922636103151817E-2</v>
      </c>
      <c r="T22" s="8">
        <f t="shared" si="10"/>
        <v>2.8727770177838563E-2</v>
      </c>
      <c r="U22" s="8">
        <f t="shared" si="11"/>
        <v>3.4440595068270019E-2</v>
      </c>
      <c r="V22" s="8">
        <f t="shared" si="12"/>
        <v>1.6389604308124417E-2</v>
      </c>
      <c r="W22" s="8">
        <f t="shared" si="13"/>
        <v>5.8441558441558517E-2</v>
      </c>
      <c r="X22" s="8">
        <f t="shared" si="14"/>
        <v>1.2543903662809441E-4</v>
      </c>
      <c r="Y22" s="8">
        <f t="shared" si="15"/>
        <v>3.5796386221820242E-4</v>
      </c>
      <c r="Z22" s="8">
        <f t="shared" si="16"/>
        <v>1.6389604308124417E-2</v>
      </c>
      <c r="AB22" s="26">
        <f t="shared" si="17"/>
        <v>-2.2743138121617018E-2</v>
      </c>
      <c r="AC22" s="26">
        <f t="shared" si="18"/>
        <v>1.5225165465294226E-2</v>
      </c>
      <c r="AD22" s="26">
        <f t="shared" si="19"/>
        <v>2.6193548797988249E-2</v>
      </c>
      <c r="AE22" s="26">
        <f t="shared" si="20"/>
        <v>2.4335913293862404E-2</v>
      </c>
      <c r="AF22" s="26">
        <f t="shared" si="21"/>
        <v>2.0741526691707042E-2</v>
      </c>
      <c r="AG22" s="26">
        <f t="shared" si="22"/>
        <v>2.6549768206916954E-2</v>
      </c>
      <c r="AH22" s="26">
        <f t="shared" si="23"/>
        <v>2.9097215023209614E-2</v>
      </c>
      <c r="AI22" s="26">
        <f t="shared" si="24"/>
        <v>3.9878381790870374E-3</v>
      </c>
      <c r="AJ22" s="26">
        <f t="shared" si="25"/>
        <v>4.8212352469916231E-2</v>
      </c>
      <c r="AK22" s="26">
        <f t="shared" si="26"/>
        <v>1.692354318499509E-3</v>
      </c>
      <c r="AL22" s="26">
        <f t="shared" si="27"/>
        <v>3.8821989759739088E-3</v>
      </c>
      <c r="AM22" s="26">
        <f t="shared" si="28"/>
        <v>3.9878381790870374E-3</v>
      </c>
      <c r="AO22" s="27" t="e">
        <f t="array" ref="AO22:BA34">Cholesky(AP7:BA18)</f>
        <v>#VALUE!</v>
      </c>
      <c r="AP22" s="27" t="e">
        <v>#VALUE!</v>
      </c>
      <c r="AQ22" s="27" t="e">
        <v>#VALUE!</v>
      </c>
      <c r="AR22" s="27" t="e">
        <v>#VALUE!</v>
      </c>
      <c r="AS22" s="27" t="e">
        <v>#VALUE!</v>
      </c>
      <c r="AT22" s="27" t="e">
        <v>#VALUE!</v>
      </c>
      <c r="AU22" s="27" t="e">
        <v>#VALUE!</v>
      </c>
      <c r="AV22" s="27" t="e">
        <v>#VALUE!</v>
      </c>
      <c r="AW22" s="27" t="e">
        <v>#VALUE!</v>
      </c>
      <c r="AX22" s="27" t="e">
        <v>#VALUE!</v>
      </c>
      <c r="AY22" s="27" t="e">
        <v>#VALUE!</v>
      </c>
      <c r="AZ22" s="27" t="e">
        <v>#VALUE!</v>
      </c>
      <c r="BA22" s="27" t="e">
        <v>#VALUE!</v>
      </c>
    </row>
    <row r="23" spans="1:53" x14ac:dyDescent="0.2">
      <c r="A23" s="5">
        <v>26023</v>
      </c>
      <c r="B23" s="6">
        <v>6.1974719523742499</v>
      </c>
      <c r="C23" s="7">
        <v>6.31</v>
      </c>
      <c r="D23" s="7">
        <v>6.8599999999999994</v>
      </c>
      <c r="E23" s="1">
        <v>6.96</v>
      </c>
      <c r="F23" s="1">
        <v>7.14</v>
      </c>
      <c r="G23" s="1">
        <v>7.52</v>
      </c>
      <c r="H23" s="7">
        <v>101.52000000000001</v>
      </c>
      <c r="I23" s="7">
        <v>43.41</v>
      </c>
      <c r="J23" s="7">
        <v>3.26</v>
      </c>
      <c r="K23" s="7">
        <v>239.19</v>
      </c>
      <c r="L23" s="7">
        <v>357.98386790699999</v>
      </c>
      <c r="M23">
        <f t="shared" si="4"/>
        <v>86.82</v>
      </c>
      <c r="O23" s="8">
        <f t="shared" si="5"/>
        <v>1.6872681040622783E-2</v>
      </c>
      <c r="P23" s="8">
        <f t="shared" si="6"/>
        <v>-2.0602218700475405E-2</v>
      </c>
      <c r="Q23" s="8">
        <f t="shared" si="7"/>
        <v>5.8309037900874383E-3</v>
      </c>
      <c r="R23" s="8">
        <f t="shared" si="8"/>
        <v>1.0057471264367734E-2</v>
      </c>
      <c r="S23" s="8">
        <f t="shared" si="9"/>
        <v>1.1204481792717047E-2</v>
      </c>
      <c r="T23" s="8">
        <f t="shared" si="10"/>
        <v>3.9893617021276029E-3</v>
      </c>
      <c r="U23" s="8">
        <f t="shared" si="11"/>
        <v>2.1473601260835196E-2</v>
      </c>
      <c r="V23" s="8">
        <f t="shared" si="12"/>
        <v>4.6072333563695889E-3</v>
      </c>
      <c r="W23" s="8">
        <f t="shared" si="13"/>
        <v>3.0674846625766916E-2</v>
      </c>
      <c r="X23" s="8">
        <f t="shared" si="14"/>
        <v>5.8530875036577612E-4</v>
      </c>
      <c r="Y23" s="8">
        <f t="shared" si="15"/>
        <v>6.4475041389289167E-4</v>
      </c>
      <c r="Z23" s="8">
        <f t="shared" si="16"/>
        <v>4.6072333563695889E-3</v>
      </c>
      <c r="AB23" s="26">
        <f t="shared" si="17"/>
        <v>1.235175654819773E-2</v>
      </c>
      <c r="AC23" s="26">
        <f t="shared" si="18"/>
        <v>-2.3118988719051999E-2</v>
      </c>
      <c r="AD23" s="26">
        <f t="shared" si="19"/>
        <v>3.5386954666364943E-3</v>
      </c>
      <c r="AE23" s="26">
        <f t="shared" si="20"/>
        <v>7.8447119918584156E-3</v>
      </c>
      <c r="AF23" s="26">
        <f t="shared" si="21"/>
        <v>9.0233723812722742E-3</v>
      </c>
      <c r="AG23" s="26">
        <f t="shared" si="22"/>
        <v>1.8113597312059936E-3</v>
      </c>
      <c r="AH23" s="26">
        <f t="shared" si="23"/>
        <v>1.6130221215774791E-2</v>
      </c>
      <c r="AI23" s="26">
        <f t="shared" si="24"/>
        <v>-7.7945327726677907E-3</v>
      </c>
      <c r="AJ23" s="26">
        <f t="shared" si="25"/>
        <v>2.044564065412463E-2</v>
      </c>
      <c r="AK23" s="26">
        <f t="shared" si="26"/>
        <v>2.1522240322371907E-3</v>
      </c>
      <c r="AL23" s="26">
        <f t="shared" si="27"/>
        <v>4.1689855276485985E-3</v>
      </c>
      <c r="AM23" s="26">
        <f t="shared" si="28"/>
        <v>-7.7945327726677907E-3</v>
      </c>
      <c r="AO23" s="27" t="e">
        <v>#VALUE!</v>
      </c>
      <c r="AP23" s="27" t="e">
        <v>#VALUE!</v>
      </c>
      <c r="AQ23" s="27" t="e">
        <v>#VALUE!</v>
      </c>
      <c r="AR23" s="27" t="e">
        <v>#VALUE!</v>
      </c>
      <c r="AS23" s="27" t="e">
        <v>#VALUE!</v>
      </c>
      <c r="AT23" s="27" t="e">
        <v>#VALUE!</v>
      </c>
      <c r="AU23" s="27" t="e">
        <v>#VALUE!</v>
      </c>
      <c r="AV23" s="27" t="e">
        <v>#VALUE!</v>
      </c>
      <c r="AW23" s="27" t="e">
        <v>#VALUE!</v>
      </c>
      <c r="AX23" s="27" t="e">
        <v>#VALUE!</v>
      </c>
      <c r="AY23" s="27" t="e">
        <v>#VALUE!</v>
      </c>
      <c r="AZ23" s="27" t="e">
        <v>#VALUE!</v>
      </c>
      <c r="BA23" s="27" t="e">
        <v>#VALUE!</v>
      </c>
    </row>
    <row r="24" spans="1:53" x14ac:dyDescent="0.2">
      <c r="A24" s="5">
        <v>26053</v>
      </c>
      <c r="B24" s="6">
        <v>6.3020399198848667</v>
      </c>
      <c r="C24" s="7">
        <v>6.18</v>
      </c>
      <c r="D24" s="7">
        <v>6.8999999999999995</v>
      </c>
      <c r="E24" s="1">
        <v>7.0299999999999994</v>
      </c>
      <c r="F24" s="1">
        <v>7.22</v>
      </c>
      <c r="G24" s="1">
        <v>7.55</v>
      </c>
      <c r="H24" s="7">
        <v>103.7</v>
      </c>
      <c r="I24" s="7">
        <v>43.61</v>
      </c>
      <c r="J24" s="7">
        <v>3.36</v>
      </c>
      <c r="K24" s="7">
        <v>239.32999999999998</v>
      </c>
      <c r="L24" s="7">
        <v>358.21467815400001</v>
      </c>
      <c r="M24">
        <f t="shared" si="4"/>
        <v>87.22</v>
      </c>
      <c r="O24" s="8">
        <f t="shared" si="5"/>
        <v>-1.327485540025708E-2</v>
      </c>
      <c r="P24" s="8">
        <f t="shared" si="6"/>
        <v>2.4271844660194164E-2</v>
      </c>
      <c r="Q24" s="8">
        <f t="shared" si="7"/>
        <v>-1.4492753623188359E-2</v>
      </c>
      <c r="R24" s="8">
        <f t="shared" si="8"/>
        <v>-8.5348506401137225E-3</v>
      </c>
      <c r="S24" s="8">
        <f t="shared" si="9"/>
        <v>-1.2465373961218829E-2</v>
      </c>
      <c r="T24" s="8">
        <f t="shared" si="10"/>
        <v>-2.6490066225166586E-3</v>
      </c>
      <c r="U24" s="8">
        <f t="shared" si="11"/>
        <v>-2.2179363548698872E-3</v>
      </c>
      <c r="V24" s="8">
        <f t="shared" si="12"/>
        <v>-5.274019720247769E-3</v>
      </c>
      <c r="W24" s="8">
        <f t="shared" si="13"/>
        <v>0</v>
      </c>
      <c r="X24" s="8">
        <f t="shared" si="14"/>
        <v>-2.6741319516984108E-3</v>
      </c>
      <c r="Y24" s="8">
        <f t="shared" si="15"/>
        <v>6.4516639907363782E-4</v>
      </c>
      <c r="Z24" s="8">
        <f t="shared" si="16"/>
        <v>-5.274019720247769E-3</v>
      </c>
      <c r="AB24" s="26">
        <f t="shared" si="17"/>
        <v>-1.7795779892682134E-2</v>
      </c>
      <c r="AC24" s="26">
        <f t="shared" si="18"/>
        <v>2.1755074641617571E-2</v>
      </c>
      <c r="AD24" s="26">
        <f t="shared" si="19"/>
        <v>-1.6784961946639303E-2</v>
      </c>
      <c r="AE24" s="26">
        <f t="shared" si="20"/>
        <v>-1.0747609912623041E-2</v>
      </c>
      <c r="AF24" s="26">
        <f t="shared" si="21"/>
        <v>-1.4646483372663601E-2</v>
      </c>
      <c r="AG24" s="26">
        <f t="shared" si="22"/>
        <v>-4.827008593438268E-3</v>
      </c>
      <c r="AH24" s="26">
        <f t="shared" si="23"/>
        <v>-7.5613163999302922E-3</v>
      </c>
      <c r="AI24" s="26">
        <f t="shared" si="24"/>
        <v>-1.7675785849285149E-2</v>
      </c>
      <c r="AJ24" s="26">
        <f t="shared" si="25"/>
        <v>-1.0229205971642284E-2</v>
      </c>
      <c r="AK24" s="26">
        <f t="shared" si="26"/>
        <v>-1.1072166698269962E-3</v>
      </c>
      <c r="AL24" s="26">
        <f t="shared" si="27"/>
        <v>4.1694015128293446E-3</v>
      </c>
      <c r="AM24" s="26">
        <f t="shared" si="28"/>
        <v>-1.7675785849285149E-2</v>
      </c>
      <c r="AO24" s="27" t="e">
        <v>#VALUE!</v>
      </c>
      <c r="AP24" s="27" t="e">
        <v>#VALUE!</v>
      </c>
      <c r="AQ24" s="27" t="e">
        <v>#VALUE!</v>
      </c>
      <c r="AR24" s="27" t="e">
        <v>#VALUE!</v>
      </c>
      <c r="AS24" s="27" t="e">
        <v>#VALUE!</v>
      </c>
      <c r="AT24" s="27" t="e">
        <v>#VALUE!</v>
      </c>
      <c r="AU24" s="27" t="e">
        <v>#VALUE!</v>
      </c>
      <c r="AV24" s="27" t="e">
        <v>#VALUE!</v>
      </c>
      <c r="AW24" s="27" t="e">
        <v>#VALUE!</v>
      </c>
      <c r="AX24" s="27" t="e">
        <v>#VALUE!</v>
      </c>
      <c r="AY24" s="27" t="e">
        <v>#VALUE!</v>
      </c>
      <c r="AZ24" s="27" t="e">
        <v>#VALUE!</v>
      </c>
      <c r="BA24" s="27" t="e">
        <v>#VALUE!</v>
      </c>
    </row>
    <row r="25" spans="1:53" x14ac:dyDescent="0.2">
      <c r="A25" s="5">
        <v>26084</v>
      </c>
      <c r="B25" s="6">
        <v>6.2183812512217473</v>
      </c>
      <c r="C25" s="7">
        <v>6.33</v>
      </c>
      <c r="D25" s="7">
        <v>6.8</v>
      </c>
      <c r="E25" s="1">
        <v>6.97</v>
      </c>
      <c r="F25" s="1">
        <v>7.13</v>
      </c>
      <c r="G25" s="1">
        <v>7.5299999999999994</v>
      </c>
      <c r="H25" s="7">
        <v>103.47</v>
      </c>
      <c r="I25" s="7">
        <v>43.379999999999995</v>
      </c>
      <c r="J25" s="7">
        <v>3.36</v>
      </c>
      <c r="K25" s="7">
        <v>238.69</v>
      </c>
      <c r="L25" s="7">
        <v>358.44578622799997</v>
      </c>
      <c r="M25">
        <f t="shared" si="4"/>
        <v>86.759999999999991</v>
      </c>
      <c r="O25" s="8">
        <f t="shared" si="5"/>
        <v>6.7322550605810605E-2</v>
      </c>
      <c r="P25" s="8">
        <f t="shared" si="6"/>
        <v>3.9494470774091628E-2</v>
      </c>
      <c r="Q25" s="8">
        <f t="shared" si="7"/>
        <v>2.7941176470588358E-2</v>
      </c>
      <c r="R25" s="8">
        <f t="shared" si="8"/>
        <v>2.2955523672883782E-2</v>
      </c>
      <c r="S25" s="8">
        <f t="shared" si="9"/>
        <v>2.244039270687237E-2</v>
      </c>
      <c r="T25" s="8">
        <f t="shared" si="10"/>
        <v>2.3904382470119501E-2</v>
      </c>
      <c r="U25" s="8">
        <f t="shared" si="11"/>
        <v>-5.5571663284043726E-2</v>
      </c>
      <c r="V25" s="8">
        <f t="shared" si="12"/>
        <v>-5.6938681420009241E-2</v>
      </c>
      <c r="W25" s="8">
        <f t="shared" si="13"/>
        <v>0</v>
      </c>
      <c r="X25" s="8">
        <f t="shared" si="14"/>
        <v>1.2149650173864934E-3</v>
      </c>
      <c r="Y25" s="8">
        <f t="shared" si="15"/>
        <v>6.814730996576035E-4</v>
      </c>
      <c r="Z25" s="8">
        <f t="shared" si="16"/>
        <v>-5.6938681420009241E-2</v>
      </c>
      <c r="AB25" s="26">
        <f t="shared" si="17"/>
        <v>6.280162611338555E-2</v>
      </c>
      <c r="AC25" s="26">
        <f t="shared" si="18"/>
        <v>3.6977700755515035E-2</v>
      </c>
      <c r="AD25" s="26">
        <f t="shared" si="19"/>
        <v>2.5648968147137415E-2</v>
      </c>
      <c r="AE25" s="26">
        <f t="shared" si="20"/>
        <v>2.0742764400374463E-2</v>
      </c>
      <c r="AF25" s="26">
        <f t="shared" si="21"/>
        <v>2.0259283295427595E-2</v>
      </c>
      <c r="AG25" s="26">
        <f t="shared" si="22"/>
        <v>2.1726380499197891E-2</v>
      </c>
      <c r="AH25" s="26">
        <f t="shared" si="23"/>
        <v>-6.0915043329104135E-2</v>
      </c>
      <c r="AI25" s="26">
        <f t="shared" si="24"/>
        <v>-6.9340447549046613E-2</v>
      </c>
      <c r="AJ25" s="26">
        <f t="shared" si="25"/>
        <v>-1.0229205971642284E-2</v>
      </c>
      <c r="AK25" s="26">
        <f t="shared" si="26"/>
        <v>2.781880299257908E-3</v>
      </c>
      <c r="AL25" s="26">
        <f t="shared" si="27"/>
        <v>4.2057082134133103E-3</v>
      </c>
      <c r="AM25" s="26">
        <f t="shared" si="28"/>
        <v>-6.9340447549046613E-2</v>
      </c>
      <c r="AO25" s="27" t="e">
        <v>#VALUE!</v>
      </c>
      <c r="AP25" s="27" t="e">
        <v>#VALUE!</v>
      </c>
      <c r="AQ25" s="27" t="e">
        <v>#VALUE!</v>
      </c>
      <c r="AR25" s="27" t="e">
        <v>#VALUE!</v>
      </c>
      <c r="AS25" s="27" t="e">
        <v>#VALUE!</v>
      </c>
      <c r="AT25" s="27" t="e">
        <v>#VALUE!</v>
      </c>
      <c r="AU25" s="27" t="e">
        <v>#VALUE!</v>
      </c>
      <c r="AV25" s="27" t="e">
        <v>#VALUE!</v>
      </c>
      <c r="AW25" s="27" t="e">
        <v>#VALUE!</v>
      </c>
      <c r="AX25" s="27" t="e">
        <v>#VALUE!</v>
      </c>
      <c r="AY25" s="27" t="e">
        <v>#VALUE!</v>
      </c>
      <c r="AZ25" s="27" t="e">
        <v>#VALUE!</v>
      </c>
      <c r="BA25" s="27" t="e">
        <v>#VALUE!</v>
      </c>
    </row>
    <row r="26" spans="1:53" x14ac:dyDescent="0.2">
      <c r="A26" s="5">
        <v>26114</v>
      </c>
      <c r="B26" s="6">
        <v>6.637018537693347</v>
      </c>
      <c r="C26" s="7">
        <v>6.58</v>
      </c>
      <c r="D26" s="7">
        <v>6.99</v>
      </c>
      <c r="E26" s="1">
        <v>7.13</v>
      </c>
      <c r="F26" s="1">
        <v>7.29</v>
      </c>
      <c r="G26" s="1">
        <v>7.71</v>
      </c>
      <c r="H26" s="7">
        <v>97.72</v>
      </c>
      <c r="I26" s="7">
        <v>40.909999999999997</v>
      </c>
      <c r="J26" s="7">
        <v>3.36</v>
      </c>
      <c r="K26" s="7">
        <v>238.98</v>
      </c>
      <c r="L26" s="7">
        <v>358.690057389</v>
      </c>
      <c r="M26">
        <f t="shared" si="4"/>
        <v>81.819999999999993</v>
      </c>
      <c r="O26" s="8">
        <f t="shared" si="5"/>
        <v>8.6941658425222945E-2</v>
      </c>
      <c r="P26" s="8">
        <f t="shared" si="6"/>
        <v>2.2796352583586588E-2</v>
      </c>
      <c r="Q26" s="8">
        <f t="shared" si="7"/>
        <v>1.4306151645207432E-2</v>
      </c>
      <c r="R26" s="8">
        <f t="shared" si="8"/>
        <v>1.6830294530154388E-2</v>
      </c>
      <c r="S26" s="8">
        <f t="shared" si="9"/>
        <v>1.6460905349794164E-2</v>
      </c>
      <c r="T26" s="8">
        <f t="shared" si="10"/>
        <v>1.8158236057068677E-2</v>
      </c>
      <c r="U26" s="8">
        <f t="shared" si="11"/>
        <v>-6.017191977077363E-2</v>
      </c>
      <c r="V26" s="8">
        <f t="shared" si="12"/>
        <v>1.3933023710584136E-2</v>
      </c>
      <c r="W26" s="8">
        <f t="shared" si="13"/>
        <v>0</v>
      </c>
      <c r="X26" s="8">
        <f t="shared" si="14"/>
        <v>3.3475604653121493E-4</v>
      </c>
      <c r="Y26" s="8">
        <f t="shared" si="15"/>
        <v>2.5530591025186844E-3</v>
      </c>
      <c r="Z26" s="8">
        <f t="shared" si="16"/>
        <v>1.3933023710584136E-2</v>
      </c>
      <c r="AB26" s="26">
        <f t="shared" si="17"/>
        <v>8.2420733932797891E-2</v>
      </c>
      <c r="AC26" s="26">
        <f t="shared" si="18"/>
        <v>2.0279582565009995E-2</v>
      </c>
      <c r="AD26" s="26">
        <f t="shared" si="19"/>
        <v>1.2013943321756489E-2</v>
      </c>
      <c r="AE26" s="26">
        <f t="shared" si="20"/>
        <v>1.4617535257645069E-2</v>
      </c>
      <c r="AF26" s="26">
        <f t="shared" si="21"/>
        <v>1.4279795938349391E-2</v>
      </c>
      <c r="AG26" s="26">
        <f t="shared" si="22"/>
        <v>1.5980234086147068E-2</v>
      </c>
      <c r="AH26" s="26">
        <f t="shared" si="23"/>
        <v>-6.5515299815834038E-2</v>
      </c>
      <c r="AI26" s="26">
        <f t="shared" si="24"/>
        <v>1.5312575815467563E-3</v>
      </c>
      <c r="AJ26" s="26">
        <f t="shared" si="25"/>
        <v>-1.0229205971642284E-2</v>
      </c>
      <c r="AK26" s="26">
        <f t="shared" si="26"/>
        <v>1.9016713284026295E-3</v>
      </c>
      <c r="AL26" s="26">
        <f t="shared" si="27"/>
        <v>6.0772942162743912E-3</v>
      </c>
      <c r="AM26" s="26">
        <f t="shared" si="28"/>
        <v>1.5312575815467563E-3</v>
      </c>
      <c r="AO26" s="27" t="e">
        <v>#VALUE!</v>
      </c>
      <c r="AP26" s="27" t="e">
        <v>#VALUE!</v>
      </c>
      <c r="AQ26" s="27" t="e">
        <v>#VALUE!</v>
      </c>
      <c r="AR26" s="27" t="e">
        <v>#VALUE!</v>
      </c>
      <c r="AS26" s="27" t="e">
        <v>#VALUE!</v>
      </c>
      <c r="AT26" s="27" t="e">
        <v>#VALUE!</v>
      </c>
      <c r="AU26" s="27" t="e">
        <v>#VALUE!</v>
      </c>
      <c r="AV26" s="27" t="e">
        <v>#VALUE!</v>
      </c>
      <c r="AW26" s="27" t="e">
        <v>#VALUE!</v>
      </c>
      <c r="AX26" s="27" t="e">
        <v>#VALUE!</v>
      </c>
      <c r="AY26" s="27" t="e">
        <v>#VALUE!</v>
      </c>
      <c r="AZ26" s="27" t="e">
        <v>#VALUE!</v>
      </c>
      <c r="BA26" s="27" t="e">
        <v>#VALUE!</v>
      </c>
    </row>
    <row r="27" spans="1:53" x14ac:dyDescent="0.2">
      <c r="A27" s="5">
        <v>26145</v>
      </c>
      <c r="B27" s="6">
        <v>7.214051936359354</v>
      </c>
      <c r="C27" s="7">
        <v>6.7299999999999995</v>
      </c>
      <c r="D27" s="7">
        <v>7.09</v>
      </c>
      <c r="E27" s="1">
        <v>7.25</v>
      </c>
      <c r="F27" s="1">
        <v>7.41</v>
      </c>
      <c r="G27" s="1">
        <v>7.85</v>
      </c>
      <c r="H27" s="7">
        <v>91.84</v>
      </c>
      <c r="I27" s="7">
        <v>41.48</v>
      </c>
      <c r="J27" s="7">
        <v>3.36</v>
      </c>
      <c r="K27" s="7">
        <v>239.06</v>
      </c>
      <c r="L27" s="7">
        <v>359.60581430499997</v>
      </c>
      <c r="M27">
        <f t="shared" si="4"/>
        <v>82.96</v>
      </c>
      <c r="O27" s="8">
        <f t="shared" si="5"/>
        <v>-1.4563374635706561E-3</v>
      </c>
      <c r="P27" s="8">
        <f t="shared" si="6"/>
        <v>-4.4576523031202298E-3</v>
      </c>
      <c r="Q27" s="8">
        <f t="shared" si="7"/>
        <v>-1.5514809590973289E-2</v>
      </c>
      <c r="R27" s="8">
        <f t="shared" si="8"/>
        <v>-1.3793103448275223E-3</v>
      </c>
      <c r="S27" s="8">
        <f t="shared" si="9"/>
        <v>1.3495276653170407E-3</v>
      </c>
      <c r="T27" s="8">
        <f t="shared" si="10"/>
        <v>2.5477707006369421E-3</v>
      </c>
      <c r="U27" s="8">
        <f t="shared" si="11"/>
        <v>4.006968641114983E-2</v>
      </c>
      <c r="V27" s="8">
        <f t="shared" si="12"/>
        <v>-1.3259402121504227E-2</v>
      </c>
      <c r="W27" s="8">
        <f t="shared" si="13"/>
        <v>0</v>
      </c>
      <c r="X27" s="8">
        <f t="shared" si="14"/>
        <v>-2.133355642934931E-3</v>
      </c>
      <c r="Y27" s="8">
        <f t="shared" si="15"/>
        <v>-3.5957288468724258E-5</v>
      </c>
      <c r="Z27" s="8">
        <f t="shared" si="16"/>
        <v>-1.3259402121504227E-2</v>
      </c>
      <c r="AB27" s="26">
        <f t="shared" si="17"/>
        <v>-5.977261955995709E-3</v>
      </c>
      <c r="AC27" s="26">
        <f t="shared" si="18"/>
        <v>-6.9744223216968238E-3</v>
      </c>
      <c r="AD27" s="26">
        <f t="shared" si="19"/>
        <v>-1.7807017914424232E-2</v>
      </c>
      <c r="AE27" s="26">
        <f t="shared" si="20"/>
        <v>-3.5920696173368408E-3</v>
      </c>
      <c r="AF27" s="26">
        <f t="shared" si="21"/>
        <v>-8.3158174612773259E-4</v>
      </c>
      <c r="AG27" s="26">
        <f t="shared" si="22"/>
        <v>3.6976872971533278E-4</v>
      </c>
      <c r="AH27" s="26">
        <f t="shared" si="23"/>
        <v>3.4726306366089421E-2</v>
      </c>
      <c r="AI27" s="26">
        <f t="shared" si="24"/>
        <v>-2.5661168250541606E-2</v>
      </c>
      <c r="AJ27" s="26">
        <f t="shared" si="25"/>
        <v>-1.0229205971642284E-2</v>
      </c>
      <c r="AK27" s="26">
        <f t="shared" si="26"/>
        <v>-5.6644036106351641E-4</v>
      </c>
      <c r="AL27" s="26">
        <f t="shared" si="27"/>
        <v>3.4882778252869821E-3</v>
      </c>
      <c r="AM27" s="26">
        <f t="shared" si="28"/>
        <v>-2.5661168250541606E-2</v>
      </c>
      <c r="AO27" s="27" t="e">
        <v>#VALUE!</v>
      </c>
      <c r="AP27" s="27" t="e">
        <v>#VALUE!</v>
      </c>
      <c r="AQ27" s="27" t="e">
        <v>#VALUE!</v>
      </c>
      <c r="AR27" s="27" t="e">
        <v>#VALUE!</v>
      </c>
      <c r="AS27" s="27" t="e">
        <v>#VALUE!</v>
      </c>
      <c r="AT27" s="27" t="e">
        <v>#VALUE!</v>
      </c>
      <c r="AU27" s="27" t="e">
        <v>#VALUE!</v>
      </c>
      <c r="AV27" s="27" t="e">
        <v>#VALUE!</v>
      </c>
      <c r="AW27" s="27" t="e">
        <v>#VALUE!</v>
      </c>
      <c r="AX27" s="27" t="e">
        <v>#VALUE!</v>
      </c>
      <c r="AY27" s="27" t="e">
        <v>#VALUE!</v>
      </c>
      <c r="AZ27" s="27" t="e">
        <v>#VALUE!</v>
      </c>
      <c r="BA27" s="27" t="e">
        <v>#VALUE!</v>
      </c>
    </row>
    <row r="28" spans="1:53" x14ac:dyDescent="0.2">
      <c r="A28" s="5">
        <v>26176</v>
      </c>
      <c r="B28" s="6">
        <v>7.2035458422602892</v>
      </c>
      <c r="C28" s="7">
        <v>6.7</v>
      </c>
      <c r="D28" s="7">
        <v>6.9799999999999995</v>
      </c>
      <c r="E28" s="1">
        <v>7.24</v>
      </c>
      <c r="F28" s="1">
        <v>7.42</v>
      </c>
      <c r="G28" s="1">
        <v>7.87</v>
      </c>
      <c r="H28" s="7">
        <v>95.52000000000001</v>
      </c>
      <c r="I28" s="7">
        <v>40.93</v>
      </c>
      <c r="J28" s="7">
        <v>3.36</v>
      </c>
      <c r="K28" s="7">
        <v>238.54999999999998</v>
      </c>
      <c r="L28" s="7">
        <v>359.59288385499997</v>
      </c>
      <c r="M28">
        <f t="shared" si="4"/>
        <v>81.86</v>
      </c>
      <c r="O28" s="8">
        <f t="shared" si="5"/>
        <v>1.6047205464883252E-2</v>
      </c>
      <c r="P28" s="8">
        <f t="shared" si="6"/>
        <v>7.0149253731343286E-2</v>
      </c>
      <c r="Q28" s="8">
        <f t="shared" si="7"/>
        <v>2.4355300859598916E-2</v>
      </c>
      <c r="R28" s="8">
        <f t="shared" si="8"/>
        <v>1.7955801104972302E-2</v>
      </c>
      <c r="S28" s="8">
        <f t="shared" si="9"/>
        <v>2.0215633423180446E-2</v>
      </c>
      <c r="T28" s="8">
        <f t="shared" si="10"/>
        <v>2.414231257941557E-2</v>
      </c>
      <c r="U28" s="8">
        <f t="shared" si="11"/>
        <v>-2.5020938023450623E-2</v>
      </c>
      <c r="V28" s="8">
        <f t="shared" si="12"/>
        <v>-1.7102369899828496E-3</v>
      </c>
      <c r="W28" s="8">
        <f t="shared" si="13"/>
        <v>0</v>
      </c>
      <c r="X28" s="8">
        <f t="shared" si="14"/>
        <v>-5.4495912806540314E-4</v>
      </c>
      <c r="Y28" s="8">
        <f t="shared" si="15"/>
        <v>-3.5114402583926729E-3</v>
      </c>
      <c r="Z28" s="8">
        <f t="shared" si="16"/>
        <v>-1.7102369899828496E-3</v>
      </c>
      <c r="AB28" s="26">
        <f t="shared" si="17"/>
        <v>1.1526280972458199E-2</v>
      </c>
      <c r="AC28" s="26">
        <f t="shared" si="18"/>
        <v>6.7632483712766686E-2</v>
      </c>
      <c r="AD28" s="26">
        <f t="shared" si="19"/>
        <v>2.2063092536147973E-2</v>
      </c>
      <c r="AE28" s="26">
        <f t="shared" si="20"/>
        <v>1.5743041832462983E-2</v>
      </c>
      <c r="AF28" s="26">
        <f t="shared" si="21"/>
        <v>1.8034524011735671E-2</v>
      </c>
      <c r="AG28" s="26">
        <f t="shared" si="22"/>
        <v>2.1964310608493961E-2</v>
      </c>
      <c r="AH28" s="26">
        <f t="shared" si="23"/>
        <v>-3.0364318068511028E-2</v>
      </c>
      <c r="AI28" s="26">
        <f t="shared" si="24"/>
        <v>-1.4112003119020229E-2</v>
      </c>
      <c r="AJ28" s="26">
        <f t="shared" si="25"/>
        <v>-1.0229205971642284E-2</v>
      </c>
      <c r="AK28" s="26">
        <f t="shared" si="26"/>
        <v>1.0219561538060114E-3</v>
      </c>
      <c r="AL28" s="26">
        <f t="shared" si="27"/>
        <v>1.2794855363033441E-5</v>
      </c>
      <c r="AM28" s="26">
        <f t="shared" si="28"/>
        <v>-1.4112003119020229E-2</v>
      </c>
      <c r="AO28" s="27" t="e">
        <v>#VALUE!</v>
      </c>
      <c r="AP28" s="27" t="e">
        <v>#VALUE!</v>
      </c>
      <c r="AQ28" s="27" t="e">
        <v>#VALUE!</v>
      </c>
      <c r="AR28" s="27" t="e">
        <v>#VALUE!</v>
      </c>
      <c r="AS28" s="27" t="e">
        <v>#VALUE!</v>
      </c>
      <c r="AT28" s="27" t="e">
        <v>#VALUE!</v>
      </c>
      <c r="AU28" s="27" t="e">
        <v>#VALUE!</v>
      </c>
      <c r="AV28" s="27" t="e">
        <v>#VALUE!</v>
      </c>
      <c r="AW28" s="27" t="e">
        <v>#VALUE!</v>
      </c>
      <c r="AX28" s="27" t="e">
        <v>#VALUE!</v>
      </c>
      <c r="AY28" s="27" t="e">
        <v>#VALUE!</v>
      </c>
      <c r="AZ28" s="27" t="e">
        <v>#VALUE!</v>
      </c>
      <c r="BA28" s="27" t="e">
        <v>#VALUE!</v>
      </c>
    </row>
    <row r="29" spans="1:53" x14ac:dyDescent="0.2">
      <c r="A29" s="5">
        <v>26206</v>
      </c>
      <c r="B29" s="6">
        <v>7.319142622466746</v>
      </c>
      <c r="C29" s="7">
        <v>7.17</v>
      </c>
      <c r="D29" s="7">
        <v>7.1499999999999995</v>
      </c>
      <c r="E29" s="1">
        <v>7.37</v>
      </c>
      <c r="F29" s="1">
        <v>7.5699999999999994</v>
      </c>
      <c r="G29" s="1">
        <v>8.06</v>
      </c>
      <c r="H29" s="7">
        <v>93.13000000000001</v>
      </c>
      <c r="I29" s="7">
        <v>40.86</v>
      </c>
      <c r="J29" s="7">
        <v>3.36</v>
      </c>
      <c r="K29" s="7">
        <v>238.42</v>
      </c>
      <c r="L29" s="7">
        <v>358.33019492599999</v>
      </c>
      <c r="M29">
        <f t="shared" si="4"/>
        <v>81.72</v>
      </c>
      <c r="O29" s="8">
        <f t="shared" si="5"/>
        <v>-1.2922832111911475E-2</v>
      </c>
      <c r="P29" s="8">
        <f t="shared" si="6"/>
        <v>-8.3682008368201055E-3</v>
      </c>
      <c r="Q29" s="8">
        <f t="shared" si="7"/>
        <v>2.657342657342654E-2</v>
      </c>
      <c r="R29" s="8">
        <f t="shared" si="8"/>
        <v>2.3066485753052923E-2</v>
      </c>
      <c r="S29" s="8">
        <f t="shared" si="9"/>
        <v>3.0383091149273511E-2</v>
      </c>
      <c r="T29" s="8">
        <f t="shared" si="10"/>
        <v>2.1091811414392092E-2</v>
      </c>
      <c r="U29" s="8">
        <f t="shared" si="11"/>
        <v>4.4239235477289807E-2</v>
      </c>
      <c r="V29" s="8">
        <f t="shared" si="12"/>
        <v>-2.0802741067058261E-2</v>
      </c>
      <c r="W29" s="8">
        <f t="shared" si="13"/>
        <v>0</v>
      </c>
      <c r="X29" s="8">
        <f t="shared" si="14"/>
        <v>2.6004529821324063E-3</v>
      </c>
      <c r="Y29" s="8">
        <f t="shared" si="15"/>
        <v>-1.0748150322059669E-4</v>
      </c>
      <c r="Z29" s="8">
        <f t="shared" si="16"/>
        <v>-2.0802741067058261E-2</v>
      </c>
      <c r="AB29" s="26">
        <f t="shared" si="17"/>
        <v>-1.744375660433653E-2</v>
      </c>
      <c r="AC29" s="26">
        <f t="shared" si="18"/>
        <v>-1.0884970855396699E-2</v>
      </c>
      <c r="AD29" s="26">
        <f t="shared" si="19"/>
        <v>2.4281218249975596E-2</v>
      </c>
      <c r="AE29" s="26">
        <f t="shared" si="20"/>
        <v>2.0853726480543604E-2</v>
      </c>
      <c r="AF29" s="26">
        <f t="shared" si="21"/>
        <v>2.8201981737828737E-2</v>
      </c>
      <c r="AG29" s="26">
        <f t="shared" si="22"/>
        <v>1.8913809443470483E-2</v>
      </c>
      <c r="AH29" s="26">
        <f t="shared" si="23"/>
        <v>3.8895855432229398E-2</v>
      </c>
      <c r="AI29" s="26">
        <f t="shared" si="24"/>
        <v>-3.3204507196095641E-2</v>
      </c>
      <c r="AJ29" s="26">
        <f t="shared" si="25"/>
        <v>-1.0229205971642284E-2</v>
      </c>
      <c r="AK29" s="26">
        <f t="shared" si="26"/>
        <v>4.1673682640038208E-3</v>
      </c>
      <c r="AL29" s="26">
        <f t="shared" si="27"/>
        <v>3.4167536105351097E-3</v>
      </c>
      <c r="AM29" s="26">
        <f t="shared" si="28"/>
        <v>-3.3204507196095641E-2</v>
      </c>
      <c r="AO29" s="27" t="e">
        <v>#VALUE!</v>
      </c>
      <c r="AP29" s="27" t="e">
        <v>#VALUE!</v>
      </c>
      <c r="AQ29" s="27" t="e">
        <v>#VALUE!</v>
      </c>
      <c r="AR29" s="27" t="e">
        <v>#VALUE!</v>
      </c>
      <c r="AS29" s="27" t="e">
        <v>#VALUE!</v>
      </c>
      <c r="AT29" s="27" t="e">
        <v>#VALUE!</v>
      </c>
      <c r="AU29" s="27" t="e">
        <v>#VALUE!</v>
      </c>
      <c r="AV29" s="27" t="e">
        <v>#VALUE!</v>
      </c>
      <c r="AW29" s="27" t="e">
        <v>#VALUE!</v>
      </c>
      <c r="AX29" s="27" t="e">
        <v>#VALUE!</v>
      </c>
      <c r="AY29" s="27" t="e">
        <v>#VALUE!</v>
      </c>
      <c r="AZ29" s="27" t="e">
        <v>#VALUE!</v>
      </c>
      <c r="BA29" s="27" t="e">
        <v>#VALUE!</v>
      </c>
    </row>
    <row r="30" spans="1:53" x14ac:dyDescent="0.2">
      <c r="A30" s="5">
        <v>26237</v>
      </c>
      <c r="B30" s="6">
        <v>7.224558571153473</v>
      </c>
      <c r="C30" s="7">
        <v>7.1099999999999994</v>
      </c>
      <c r="D30" s="7">
        <v>7.34</v>
      </c>
      <c r="E30" s="1">
        <v>7.54</v>
      </c>
      <c r="F30" s="1">
        <v>7.8</v>
      </c>
      <c r="G30" s="1">
        <v>8.23</v>
      </c>
      <c r="H30" s="7">
        <v>97.25</v>
      </c>
      <c r="I30" s="7">
        <v>40.01</v>
      </c>
      <c r="J30" s="7">
        <v>3.36</v>
      </c>
      <c r="K30" s="7">
        <v>239.04</v>
      </c>
      <c r="L30" s="7">
        <v>358.29168105799999</v>
      </c>
      <c r="M30">
        <f t="shared" si="4"/>
        <v>80.02</v>
      </c>
      <c r="O30" s="8">
        <f t="shared" si="5"/>
        <v>3.6381699355868768E-2</v>
      </c>
      <c r="P30" s="8">
        <f t="shared" si="6"/>
        <v>5.6258790436005679E-3</v>
      </c>
      <c r="Q30" s="8">
        <f t="shared" si="7"/>
        <v>2.7247956403269047E-3</v>
      </c>
      <c r="R30" s="8">
        <f t="shared" si="8"/>
        <v>6.6312997347479641E-3</v>
      </c>
      <c r="S30" s="8">
        <f t="shared" si="9"/>
        <v>6.4102564102563875E-3</v>
      </c>
      <c r="T30" s="8">
        <f t="shared" si="10"/>
        <v>3.6452004860265674E-3</v>
      </c>
      <c r="U30" s="8">
        <f t="shared" si="11"/>
        <v>-3.5269922879177296E-2</v>
      </c>
      <c r="V30" s="8">
        <f t="shared" si="12"/>
        <v>-0.10997250687328164</v>
      </c>
      <c r="W30" s="8">
        <f t="shared" si="13"/>
        <v>0</v>
      </c>
      <c r="X30" s="8">
        <f t="shared" si="14"/>
        <v>2.5937081659972439E-3</v>
      </c>
      <c r="Y30" s="8">
        <f t="shared" si="15"/>
        <v>-1.4310358713492954E-3</v>
      </c>
      <c r="Z30" s="8">
        <f t="shared" si="16"/>
        <v>-0.10997250687328164</v>
      </c>
      <c r="AB30" s="26">
        <f t="shared" si="17"/>
        <v>3.1860774863443714E-2</v>
      </c>
      <c r="AC30" s="26">
        <f t="shared" si="18"/>
        <v>3.1091090250239739E-3</v>
      </c>
      <c r="AD30" s="26">
        <f t="shared" si="19"/>
        <v>4.325873168759607E-4</v>
      </c>
      <c r="AE30" s="26">
        <f t="shared" si="20"/>
        <v>4.4185404622386452E-3</v>
      </c>
      <c r="AF30" s="26">
        <f t="shared" si="21"/>
        <v>4.2291469988116146E-3</v>
      </c>
      <c r="AG30" s="26">
        <f t="shared" si="22"/>
        <v>1.4671985151049581E-3</v>
      </c>
      <c r="AH30" s="26">
        <f t="shared" si="23"/>
        <v>-4.0613302924237704E-2</v>
      </c>
      <c r="AI30" s="26">
        <f t="shared" si="24"/>
        <v>-0.12237427300231901</v>
      </c>
      <c r="AJ30" s="26">
        <f t="shared" si="25"/>
        <v>-1.0229205971642284E-2</v>
      </c>
      <c r="AK30" s="26">
        <f t="shared" si="26"/>
        <v>4.1606234478686584E-3</v>
      </c>
      <c r="AL30" s="26">
        <f t="shared" si="27"/>
        <v>2.0931992424064109E-3</v>
      </c>
      <c r="AM30" s="26">
        <f t="shared" si="28"/>
        <v>-0.12237427300231901</v>
      </c>
      <c r="AO30" s="27" t="e">
        <v>#VALUE!</v>
      </c>
      <c r="AP30" s="27" t="e">
        <v>#VALUE!</v>
      </c>
      <c r="AQ30" s="27" t="e">
        <v>#VALUE!</v>
      </c>
      <c r="AR30" s="27" t="e">
        <v>#VALUE!</v>
      </c>
      <c r="AS30" s="27" t="e">
        <v>#VALUE!</v>
      </c>
      <c r="AT30" s="27" t="e">
        <v>#VALUE!</v>
      </c>
      <c r="AU30" s="27" t="e">
        <v>#VALUE!</v>
      </c>
      <c r="AV30" s="27" t="e">
        <v>#VALUE!</v>
      </c>
      <c r="AW30" s="27" t="e">
        <v>#VALUE!</v>
      </c>
      <c r="AX30" s="27" t="e">
        <v>#VALUE!</v>
      </c>
      <c r="AY30" s="27" t="e">
        <v>#VALUE!</v>
      </c>
      <c r="AZ30" s="27" t="e">
        <v>#VALUE!</v>
      </c>
      <c r="BA30" s="27" t="e">
        <v>#VALUE!</v>
      </c>
    </row>
    <row r="31" spans="1:53" x14ac:dyDescent="0.2">
      <c r="A31" s="5">
        <v>26267</v>
      </c>
      <c r="B31" s="6">
        <v>7.4874002890680442</v>
      </c>
      <c r="C31" s="7">
        <v>7.1499999999999995</v>
      </c>
      <c r="D31" s="7">
        <v>7.3599999999999994</v>
      </c>
      <c r="E31" s="1">
        <v>7.59</v>
      </c>
      <c r="F31" s="1">
        <v>7.85</v>
      </c>
      <c r="G31" s="1">
        <v>8.26</v>
      </c>
      <c r="H31" s="7">
        <v>93.820000000000007</v>
      </c>
      <c r="I31" s="7">
        <v>35.61</v>
      </c>
      <c r="J31" s="7">
        <v>3.36</v>
      </c>
      <c r="K31" s="7">
        <v>239.66</v>
      </c>
      <c r="L31" s="7">
        <v>357.77895280999996</v>
      </c>
      <c r="M31">
        <f t="shared" si="4"/>
        <v>71.22</v>
      </c>
      <c r="O31" s="8">
        <f t="shared" si="5"/>
        <v>8.0207586461914948E-2</v>
      </c>
      <c r="P31" s="8">
        <f t="shared" si="6"/>
        <v>7.1328671328671378E-2</v>
      </c>
      <c r="Q31" s="8">
        <f t="shared" si="7"/>
        <v>5.0271739130434812E-2</v>
      </c>
      <c r="R31" s="8">
        <f t="shared" si="8"/>
        <v>4.6113306982872082E-2</v>
      </c>
      <c r="S31" s="8">
        <f t="shared" si="9"/>
        <v>4.7133757961783651E-2</v>
      </c>
      <c r="T31" s="8">
        <f t="shared" si="10"/>
        <v>4.8426150121065437E-2</v>
      </c>
      <c r="U31" s="8">
        <f t="shared" si="11"/>
        <v>-1.8652739287998266E-2</v>
      </c>
      <c r="V31" s="8">
        <f t="shared" si="12"/>
        <v>-1.2075259758494772E-2</v>
      </c>
      <c r="W31" s="8">
        <f t="shared" si="13"/>
        <v>0</v>
      </c>
      <c r="X31" s="8">
        <f t="shared" si="14"/>
        <v>3.3380622548606631E-4</v>
      </c>
      <c r="Y31" s="8">
        <f t="shared" si="15"/>
        <v>-7.154666812814181E-5</v>
      </c>
      <c r="Z31" s="8">
        <f t="shared" si="16"/>
        <v>-1.2075259758494772E-2</v>
      </c>
      <c r="AB31" s="26">
        <f t="shared" si="17"/>
        <v>7.5686661969489893E-2</v>
      </c>
      <c r="AC31" s="26">
        <f t="shared" si="18"/>
        <v>6.8811901310094778E-2</v>
      </c>
      <c r="AD31" s="26">
        <f t="shared" si="19"/>
        <v>4.7979530806983868E-2</v>
      </c>
      <c r="AE31" s="26">
        <f t="shared" si="20"/>
        <v>4.3900547710362767E-2</v>
      </c>
      <c r="AF31" s="26">
        <f t="shared" si="21"/>
        <v>4.4952648550338876E-2</v>
      </c>
      <c r="AG31" s="26">
        <f t="shared" si="22"/>
        <v>4.6248148150143831E-2</v>
      </c>
      <c r="AH31" s="26">
        <f t="shared" si="23"/>
        <v>-2.3996119333058671E-2</v>
      </c>
      <c r="AI31" s="26">
        <f t="shared" si="24"/>
        <v>-2.4477025887532151E-2</v>
      </c>
      <c r="AJ31" s="26">
        <f t="shared" si="25"/>
        <v>-1.0229205971642284E-2</v>
      </c>
      <c r="AK31" s="26">
        <f t="shared" si="26"/>
        <v>1.9007215073574809E-3</v>
      </c>
      <c r="AL31" s="26">
        <f t="shared" si="27"/>
        <v>3.4526884456275646E-3</v>
      </c>
      <c r="AM31" s="26">
        <f t="shared" si="28"/>
        <v>-2.4477025887532151E-2</v>
      </c>
      <c r="AO31" s="27" t="e">
        <v>#VALUE!</v>
      </c>
      <c r="AP31" s="27" t="e">
        <v>#VALUE!</v>
      </c>
      <c r="AQ31" s="27" t="e">
        <v>#VALUE!</v>
      </c>
      <c r="AR31" s="27" t="e">
        <v>#VALUE!</v>
      </c>
      <c r="AS31" s="27" t="e">
        <v>#VALUE!</v>
      </c>
      <c r="AT31" s="27" t="e">
        <v>#VALUE!</v>
      </c>
      <c r="AU31" s="27" t="e">
        <v>#VALUE!</v>
      </c>
      <c r="AV31" s="27" t="e">
        <v>#VALUE!</v>
      </c>
      <c r="AW31" s="27" t="e">
        <v>#VALUE!</v>
      </c>
      <c r="AX31" s="27" t="e">
        <v>#VALUE!</v>
      </c>
      <c r="AY31" s="27" t="e">
        <v>#VALUE!</v>
      </c>
      <c r="AZ31" s="27" t="e">
        <v>#VALUE!</v>
      </c>
      <c r="BA31" s="27" t="e">
        <v>#VALUE!</v>
      </c>
    </row>
    <row r="32" spans="1:53" x14ac:dyDescent="0.2">
      <c r="A32" s="5">
        <v>26298</v>
      </c>
      <c r="B32" s="6">
        <v>8.0879465951284359</v>
      </c>
      <c r="C32" s="7">
        <v>7.66</v>
      </c>
      <c r="D32" s="7">
        <v>7.7299999999999995</v>
      </c>
      <c r="E32" s="1">
        <v>7.9399999999999995</v>
      </c>
      <c r="F32" s="1">
        <v>8.2200000000000006</v>
      </c>
      <c r="G32" s="1">
        <v>8.66</v>
      </c>
      <c r="H32" s="7">
        <v>92.070000000000007</v>
      </c>
      <c r="I32" s="7">
        <v>35.18</v>
      </c>
      <c r="J32" s="7">
        <v>3.36</v>
      </c>
      <c r="K32" s="7">
        <v>239.73999999999998</v>
      </c>
      <c r="L32" s="7">
        <v>357.75335491800001</v>
      </c>
      <c r="M32">
        <f t="shared" si="4"/>
        <v>70.36</v>
      </c>
      <c r="O32" s="8">
        <f t="shared" si="5"/>
        <v>7.8287008659878587E-3</v>
      </c>
      <c r="P32" s="8">
        <f t="shared" si="6"/>
        <v>1.958224543080922E-2</v>
      </c>
      <c r="Q32" s="8">
        <f t="shared" si="7"/>
        <v>2.4579560155239433E-2</v>
      </c>
      <c r="R32" s="8">
        <f t="shared" si="8"/>
        <v>2.7707808564231717E-2</v>
      </c>
      <c r="S32" s="8">
        <f t="shared" si="9"/>
        <v>1.703163017031617E-2</v>
      </c>
      <c r="T32" s="8">
        <f t="shared" si="10"/>
        <v>2.4249422632794282E-2</v>
      </c>
      <c r="U32" s="8">
        <f t="shared" si="11"/>
        <v>-7.6463560334528169E-2</v>
      </c>
      <c r="V32" s="8">
        <f t="shared" si="12"/>
        <v>-9.6645821489483863E-3</v>
      </c>
      <c r="W32" s="8">
        <f t="shared" si="13"/>
        <v>0</v>
      </c>
      <c r="X32" s="8">
        <f t="shared" si="14"/>
        <v>1.334779344289716E-3</v>
      </c>
      <c r="Y32" s="8">
        <f t="shared" si="15"/>
        <v>1.7889868011056187E-4</v>
      </c>
      <c r="Z32" s="8">
        <f t="shared" si="16"/>
        <v>-9.6645821489483863E-3</v>
      </c>
      <c r="AB32" s="26">
        <f t="shared" si="17"/>
        <v>3.3077763735628058E-3</v>
      </c>
      <c r="AC32" s="26">
        <f t="shared" si="18"/>
        <v>1.7065475412232627E-2</v>
      </c>
      <c r="AD32" s="26">
        <f t="shared" si="19"/>
        <v>2.2287351831788489E-2</v>
      </c>
      <c r="AE32" s="26">
        <f t="shared" si="20"/>
        <v>2.5495049291722399E-2</v>
      </c>
      <c r="AF32" s="26">
        <f t="shared" si="21"/>
        <v>1.4850520758871397E-2</v>
      </c>
      <c r="AG32" s="26">
        <f t="shared" si="22"/>
        <v>2.2071420661872673E-2</v>
      </c>
      <c r="AH32" s="26">
        <f t="shared" si="23"/>
        <v>-8.1806940379588577E-2</v>
      </c>
      <c r="AI32" s="26">
        <f t="shared" si="24"/>
        <v>-2.2066348277985766E-2</v>
      </c>
      <c r="AJ32" s="26">
        <f t="shared" si="25"/>
        <v>-1.0229205971642284E-2</v>
      </c>
      <c r="AK32" s="26">
        <f t="shared" si="26"/>
        <v>2.9016946261611306E-3</v>
      </c>
      <c r="AL32" s="26">
        <f t="shared" si="27"/>
        <v>3.7031337938662682E-3</v>
      </c>
      <c r="AM32" s="26">
        <f t="shared" si="28"/>
        <v>-2.2066348277985766E-2</v>
      </c>
      <c r="AO32" s="27" t="e">
        <v>#VALUE!</v>
      </c>
      <c r="AP32" s="27" t="e">
        <v>#VALUE!</v>
      </c>
      <c r="AQ32" s="27" t="e">
        <v>#VALUE!</v>
      </c>
      <c r="AR32" s="27" t="e">
        <v>#VALUE!</v>
      </c>
      <c r="AS32" s="27" t="e">
        <v>#VALUE!</v>
      </c>
      <c r="AT32" s="27" t="e">
        <v>#VALUE!</v>
      </c>
      <c r="AU32" s="27" t="e">
        <v>#VALUE!</v>
      </c>
      <c r="AV32" s="27" t="e">
        <v>#VALUE!</v>
      </c>
      <c r="AW32" s="27" t="e">
        <v>#VALUE!</v>
      </c>
      <c r="AX32" s="27" t="e">
        <v>#VALUE!</v>
      </c>
      <c r="AY32" s="27" t="e">
        <v>#VALUE!</v>
      </c>
      <c r="AZ32" s="27" t="e">
        <v>#VALUE!</v>
      </c>
      <c r="BA32" s="27" t="e">
        <v>#VALUE!</v>
      </c>
    </row>
    <row r="33" spans="1:54" x14ac:dyDescent="0.2">
      <c r="A33" s="5">
        <v>26329</v>
      </c>
      <c r="B33" s="6">
        <v>8.1512647096417812</v>
      </c>
      <c r="C33" s="7">
        <v>7.81</v>
      </c>
      <c r="D33" s="7">
        <v>7.92</v>
      </c>
      <c r="E33" s="1">
        <v>8.16</v>
      </c>
      <c r="F33" s="1">
        <v>8.36</v>
      </c>
      <c r="G33" s="1">
        <v>8.8699999999999992</v>
      </c>
      <c r="H33" s="7">
        <v>85.03</v>
      </c>
      <c r="I33" s="7">
        <v>34.839999999999996</v>
      </c>
      <c r="J33" s="7">
        <v>3.36</v>
      </c>
      <c r="K33" s="7">
        <v>240.06</v>
      </c>
      <c r="L33" s="7">
        <v>357.81735652099997</v>
      </c>
      <c r="M33">
        <f t="shared" si="4"/>
        <v>69.679999999999993</v>
      </c>
      <c r="O33" s="8">
        <f t="shared" si="5"/>
        <v>-9.5636258025680765E-2</v>
      </c>
      <c r="P33" s="8">
        <f t="shared" si="6"/>
        <v>-7.1702944942381497E-2</v>
      </c>
      <c r="Q33" s="8">
        <f t="shared" si="7"/>
        <v>2.525252525252375E-3</v>
      </c>
      <c r="R33" s="8">
        <f t="shared" si="8"/>
        <v>-2.450980392156854E-3</v>
      </c>
      <c r="S33" s="8">
        <f t="shared" si="9"/>
        <v>-4.7846889952152249E-3</v>
      </c>
      <c r="T33" s="8">
        <f t="shared" si="10"/>
        <v>-9.0191657271702086E-3</v>
      </c>
      <c r="U33" s="8">
        <f t="shared" si="11"/>
        <v>5.2687286839938841E-2</v>
      </c>
      <c r="V33" s="8">
        <f t="shared" si="12"/>
        <v>3.7313432835821558E-3</v>
      </c>
      <c r="W33" s="8">
        <f t="shared" si="13"/>
        <v>0</v>
      </c>
      <c r="X33" s="8">
        <f t="shared" si="14"/>
        <v>1.7495626093475547E-3</v>
      </c>
      <c r="Y33" s="8">
        <f t="shared" si="15"/>
        <v>-7.1554357365166688E-5</v>
      </c>
      <c r="Z33" s="8">
        <f t="shared" si="16"/>
        <v>3.7313432835821558E-3</v>
      </c>
      <c r="AB33" s="26">
        <f t="shared" si="17"/>
        <v>-0.10015718251810582</v>
      </c>
      <c r="AC33" s="26">
        <f t="shared" si="18"/>
        <v>-7.4219714960958097E-2</v>
      </c>
      <c r="AD33" s="26">
        <f t="shared" si="19"/>
        <v>2.3304420180143099E-4</v>
      </c>
      <c r="AE33" s="26">
        <f t="shared" si="20"/>
        <v>-4.6637396646661729E-3</v>
      </c>
      <c r="AF33" s="26">
        <f t="shared" si="21"/>
        <v>-6.9657984066599978E-3</v>
      </c>
      <c r="AG33" s="26">
        <f t="shared" si="22"/>
        <v>-1.1197167698091818E-2</v>
      </c>
      <c r="AH33" s="26">
        <f t="shared" si="23"/>
        <v>4.7343906794878432E-2</v>
      </c>
      <c r="AI33" s="26">
        <f t="shared" si="24"/>
        <v>-8.6704228454552237E-3</v>
      </c>
      <c r="AJ33" s="26">
        <f t="shared" si="25"/>
        <v>-1.0229205971642284E-2</v>
      </c>
      <c r="AK33" s="26">
        <f t="shared" si="26"/>
        <v>3.3164778912189692E-3</v>
      </c>
      <c r="AL33" s="26">
        <f t="shared" si="27"/>
        <v>3.4526807563905397E-3</v>
      </c>
      <c r="AM33" s="26">
        <f t="shared" si="28"/>
        <v>-8.6704228454552237E-3</v>
      </c>
      <c r="AO33" s="27" t="e">
        <v>#VALUE!</v>
      </c>
      <c r="AP33" s="27" t="e">
        <v>#VALUE!</v>
      </c>
      <c r="AQ33" s="27" t="e">
        <v>#VALUE!</v>
      </c>
      <c r="AR33" s="27" t="e">
        <v>#VALUE!</v>
      </c>
      <c r="AS33" s="27" t="e">
        <v>#VALUE!</v>
      </c>
      <c r="AT33" s="27" t="e">
        <v>#VALUE!</v>
      </c>
      <c r="AU33" s="27" t="e">
        <v>#VALUE!</v>
      </c>
      <c r="AV33" s="27" t="e">
        <v>#VALUE!</v>
      </c>
      <c r="AW33" s="27" t="e">
        <v>#VALUE!</v>
      </c>
      <c r="AX33" s="27" t="e">
        <v>#VALUE!</v>
      </c>
      <c r="AY33" s="27" t="e">
        <v>#VALUE!</v>
      </c>
      <c r="AZ33" s="27" t="e">
        <v>#VALUE!</v>
      </c>
      <c r="BA33" s="27" t="e">
        <v>#VALUE!</v>
      </c>
    </row>
    <row r="34" spans="1:54" x14ac:dyDescent="0.2">
      <c r="A34" s="5">
        <v>26358</v>
      </c>
      <c r="B34" s="6">
        <v>7.3717082546348536</v>
      </c>
      <c r="C34" s="7">
        <v>7.25</v>
      </c>
      <c r="D34" s="7">
        <v>7.9399999999999995</v>
      </c>
      <c r="E34" s="1">
        <v>8.14</v>
      </c>
      <c r="F34" s="1">
        <v>8.32</v>
      </c>
      <c r="G34" s="1">
        <v>8.7899999999999991</v>
      </c>
      <c r="H34" s="7">
        <v>89.51</v>
      </c>
      <c r="I34" s="7">
        <v>34.97</v>
      </c>
      <c r="J34" s="7">
        <v>3.36</v>
      </c>
      <c r="K34" s="7">
        <v>240.48</v>
      </c>
      <c r="L34" s="7">
        <v>357.79175313000002</v>
      </c>
      <c r="M34">
        <f t="shared" si="4"/>
        <v>69.94</v>
      </c>
      <c r="O34" s="8">
        <f t="shared" si="5"/>
        <v>-7.1224766064812872E-2</v>
      </c>
      <c r="P34" s="8">
        <f t="shared" si="6"/>
        <v>-2.344827586206899E-2</v>
      </c>
      <c r="Q34" s="8">
        <f t="shared" si="7"/>
        <v>-1.133501259445846E-2</v>
      </c>
      <c r="R34" s="8">
        <f t="shared" si="8"/>
        <v>-8.5995085995086429E-3</v>
      </c>
      <c r="S34" s="8">
        <f t="shared" si="9"/>
        <v>-1.6826923076923128E-2</v>
      </c>
      <c r="T34" s="8">
        <f t="shared" si="10"/>
        <v>-1.7064846416382062E-2</v>
      </c>
      <c r="U34" s="8">
        <f t="shared" si="11"/>
        <v>1.4523516925482038E-3</v>
      </c>
      <c r="V34" s="8">
        <f t="shared" si="12"/>
        <v>4.0034315127253084E-3</v>
      </c>
      <c r="W34" s="8">
        <f t="shared" si="13"/>
        <v>0</v>
      </c>
      <c r="X34" s="8">
        <f t="shared" si="14"/>
        <v>4.9900199600805273E-4</v>
      </c>
      <c r="Y34" s="8">
        <f t="shared" si="15"/>
        <v>-4.6488705383773699E-4</v>
      </c>
      <c r="Z34" s="8">
        <f t="shared" si="16"/>
        <v>4.0034315127253084E-3</v>
      </c>
      <c r="AB34" s="26">
        <f t="shared" si="17"/>
        <v>-7.5745690557237927E-2</v>
      </c>
      <c r="AC34" s="26">
        <f t="shared" si="18"/>
        <v>-2.5965045880645583E-2</v>
      </c>
      <c r="AD34" s="26">
        <f t="shared" si="19"/>
        <v>-1.3627220917909404E-2</v>
      </c>
      <c r="AE34" s="26">
        <f t="shared" si="20"/>
        <v>-1.0812267872017962E-2</v>
      </c>
      <c r="AF34" s="26">
        <f t="shared" si="21"/>
        <v>-1.9008032488367903E-2</v>
      </c>
      <c r="AG34" s="26">
        <f t="shared" si="22"/>
        <v>-1.9242848387303672E-2</v>
      </c>
      <c r="AH34" s="26">
        <f t="shared" si="23"/>
        <v>-3.8910283525122012E-3</v>
      </c>
      <c r="AI34" s="26">
        <f t="shared" si="24"/>
        <v>-8.3983346163120712E-3</v>
      </c>
      <c r="AJ34" s="26">
        <f t="shared" si="25"/>
        <v>-1.0229205971642284E-2</v>
      </c>
      <c r="AK34" s="26">
        <f t="shared" si="26"/>
        <v>2.0659172778794673E-3</v>
      </c>
      <c r="AL34" s="26">
        <f t="shared" si="27"/>
        <v>3.0593480599179694E-3</v>
      </c>
      <c r="AM34" s="26">
        <f t="shared" si="28"/>
        <v>-8.3983346163120712E-3</v>
      </c>
      <c r="AO34" s="27" t="e">
        <v>#VALUE!</v>
      </c>
      <c r="AP34" s="27" t="e">
        <v>#VALUE!</v>
      </c>
      <c r="AQ34" s="27" t="e">
        <v>#VALUE!</v>
      </c>
      <c r="AR34" s="27" t="e">
        <v>#VALUE!</v>
      </c>
      <c r="AS34" s="27" t="e">
        <v>#VALUE!</v>
      </c>
      <c r="AT34" s="27" t="e">
        <v>#VALUE!</v>
      </c>
      <c r="AU34" s="27" t="e">
        <v>#VALUE!</v>
      </c>
      <c r="AV34" s="27" t="e">
        <v>#VALUE!</v>
      </c>
      <c r="AW34" s="27" t="e">
        <v>#VALUE!</v>
      </c>
      <c r="AX34" s="27" t="e">
        <v>#VALUE!</v>
      </c>
      <c r="AY34" s="27" t="e">
        <v>#VALUE!</v>
      </c>
      <c r="AZ34" s="27" t="e">
        <v>#VALUE!</v>
      </c>
      <c r="BA34" s="27" t="e">
        <v>#VALUE!</v>
      </c>
    </row>
    <row r="35" spans="1:54" x14ac:dyDescent="0.2">
      <c r="A35" s="5">
        <v>26389</v>
      </c>
      <c r="B35" s="6">
        <v>6.8466600587004365</v>
      </c>
      <c r="C35" s="7">
        <v>7.08</v>
      </c>
      <c r="D35" s="7">
        <v>7.85</v>
      </c>
      <c r="E35" s="1">
        <v>8.07</v>
      </c>
      <c r="F35" s="1">
        <v>8.18</v>
      </c>
      <c r="G35" s="1">
        <v>8.64</v>
      </c>
      <c r="H35" s="7">
        <v>89.64</v>
      </c>
      <c r="I35" s="7">
        <v>35.11</v>
      </c>
      <c r="J35" s="7">
        <v>3.36</v>
      </c>
      <c r="K35" s="7">
        <v>240.6</v>
      </c>
      <c r="L35" s="7">
        <v>357.62542037599997</v>
      </c>
      <c r="M35">
        <f t="shared" si="4"/>
        <v>70.22</v>
      </c>
      <c r="O35" s="8">
        <f t="shared" si="5"/>
        <v>-1.9906275754764335E-2</v>
      </c>
      <c r="P35" s="8">
        <f t="shared" si="6"/>
        <v>4.5197740112994156E-2</v>
      </c>
      <c r="Q35" s="8">
        <f t="shared" si="7"/>
        <v>-1.2738853503184711E-3</v>
      </c>
      <c r="R35" s="8">
        <f t="shared" si="8"/>
        <v>-3.7174721189592308E-3</v>
      </c>
      <c r="S35" s="8">
        <f t="shared" si="9"/>
        <v>6.1124694376528677E-3</v>
      </c>
      <c r="T35" s="8">
        <f t="shared" si="10"/>
        <v>8.101851851851638E-3</v>
      </c>
      <c r="U35" s="8">
        <f t="shared" si="11"/>
        <v>-9.0473003123605511E-2</v>
      </c>
      <c r="V35" s="8">
        <f t="shared" si="12"/>
        <v>2.4209626886926738E-2</v>
      </c>
      <c r="W35" s="8">
        <f t="shared" si="13"/>
        <v>0</v>
      </c>
      <c r="X35" s="8">
        <f t="shared" si="14"/>
        <v>1.6625103906897643E-4</v>
      </c>
      <c r="Y35" s="8">
        <f t="shared" si="15"/>
        <v>1.3248931312037637E-3</v>
      </c>
      <c r="Z35" s="8">
        <f t="shared" si="16"/>
        <v>2.4209626886926738E-2</v>
      </c>
      <c r="AB35" s="26">
        <f t="shared" si="17"/>
        <v>-2.442720024718939E-2</v>
      </c>
      <c r="AC35" s="26">
        <f t="shared" si="18"/>
        <v>4.2680970094417563E-2</v>
      </c>
      <c r="AD35" s="26">
        <f t="shared" si="19"/>
        <v>-3.566093673769415E-3</v>
      </c>
      <c r="AE35" s="26">
        <f t="shared" si="20"/>
        <v>-5.9302313914685496E-3</v>
      </c>
      <c r="AF35" s="26">
        <f t="shared" si="21"/>
        <v>3.9313600262080948E-3</v>
      </c>
      <c r="AG35" s="26">
        <f t="shared" si="22"/>
        <v>5.9238498809300287E-3</v>
      </c>
      <c r="AH35" s="26">
        <f t="shared" si="23"/>
        <v>-9.581638316866592E-2</v>
      </c>
      <c r="AI35" s="26">
        <f t="shared" si="24"/>
        <v>1.1807860757889359E-2</v>
      </c>
      <c r="AJ35" s="26">
        <f t="shared" si="25"/>
        <v>-1.0229205971642284E-2</v>
      </c>
      <c r="AK35" s="26">
        <f t="shared" si="26"/>
        <v>1.733166320940391E-3</v>
      </c>
      <c r="AL35" s="26">
        <f t="shared" si="27"/>
        <v>4.8491282449594705E-3</v>
      </c>
      <c r="AM35" s="26">
        <f t="shared" si="28"/>
        <v>1.1807860757889359E-2</v>
      </c>
    </row>
    <row r="36" spans="1:54" x14ac:dyDescent="0.2">
      <c r="A36" s="5">
        <v>26419</v>
      </c>
      <c r="B36" s="6">
        <v>6.7103685555728143</v>
      </c>
      <c r="C36" s="7">
        <v>7.3999999999999995</v>
      </c>
      <c r="D36" s="7">
        <v>7.84</v>
      </c>
      <c r="E36" s="1">
        <v>8.0399999999999991</v>
      </c>
      <c r="F36" s="1">
        <v>8.23</v>
      </c>
      <c r="G36" s="1">
        <v>8.7099999999999991</v>
      </c>
      <c r="H36" s="7">
        <v>81.53</v>
      </c>
      <c r="I36" s="7">
        <v>35.96</v>
      </c>
      <c r="J36" s="7">
        <v>3.36</v>
      </c>
      <c r="K36" s="7">
        <v>240.64</v>
      </c>
      <c r="L36" s="7">
        <v>358.09923583900002</v>
      </c>
      <c r="M36">
        <f t="shared" si="4"/>
        <v>71.92</v>
      </c>
      <c r="O36" s="8">
        <f t="shared" si="5"/>
        <v>5.1584159059188339E-2</v>
      </c>
      <c r="P36" s="8">
        <f t="shared" si="6"/>
        <v>7.0270270270270441E-2</v>
      </c>
      <c r="Q36" s="8">
        <f t="shared" si="7"/>
        <v>3.5714285714285587E-2</v>
      </c>
      <c r="R36" s="8">
        <f t="shared" si="8"/>
        <v>2.6119402985074647E-2</v>
      </c>
      <c r="S36" s="8">
        <f t="shared" si="9"/>
        <v>3.2806804374240439E-2</v>
      </c>
      <c r="T36" s="8">
        <f t="shared" si="10"/>
        <v>3.214695752009189E-2</v>
      </c>
      <c r="U36" s="8">
        <f t="shared" si="11"/>
        <v>-6.0959156138844617E-2</v>
      </c>
      <c r="V36" s="8">
        <f t="shared" si="12"/>
        <v>2.780867630700623E-4</v>
      </c>
      <c r="W36" s="8">
        <f t="shared" si="13"/>
        <v>0</v>
      </c>
      <c r="X36" s="8">
        <f t="shared" si="14"/>
        <v>-9.5578457446798826E-4</v>
      </c>
      <c r="Y36" s="8">
        <f t="shared" si="15"/>
        <v>2.2969712433840161E-3</v>
      </c>
      <c r="Z36" s="8">
        <f t="shared" si="16"/>
        <v>2.780867630700623E-4</v>
      </c>
      <c r="AB36" s="26">
        <f t="shared" si="17"/>
        <v>4.7063234566763285E-2</v>
      </c>
      <c r="AC36" s="26">
        <f t="shared" si="18"/>
        <v>6.7753500251693841E-2</v>
      </c>
      <c r="AD36" s="26">
        <f t="shared" si="19"/>
        <v>3.3422077390834644E-2</v>
      </c>
      <c r="AE36" s="26">
        <f t="shared" si="20"/>
        <v>2.3906643712565328E-2</v>
      </c>
      <c r="AF36" s="26">
        <f t="shared" si="21"/>
        <v>3.0625694962795665E-2</v>
      </c>
      <c r="AG36" s="26">
        <f t="shared" si="22"/>
        <v>2.9968955549170281E-2</v>
      </c>
      <c r="AH36" s="26">
        <f t="shared" si="23"/>
        <v>-6.6302536183905025E-2</v>
      </c>
      <c r="AI36" s="26">
        <f t="shared" si="24"/>
        <v>-1.2123679365967317E-2</v>
      </c>
      <c r="AJ36" s="26">
        <f t="shared" si="25"/>
        <v>-1.0229205971642284E-2</v>
      </c>
      <c r="AK36" s="26">
        <f t="shared" si="26"/>
        <v>6.1113070740342629E-4</v>
      </c>
      <c r="AL36" s="26">
        <f t="shared" si="27"/>
        <v>5.821206357139723E-3</v>
      </c>
      <c r="AM36" s="26">
        <f t="shared" si="28"/>
        <v>-1.2123679365967317E-2</v>
      </c>
      <c r="AO36" s="34" t="s">
        <v>70</v>
      </c>
      <c r="AP36" s="34"/>
      <c r="AR36" s="41" t="s">
        <v>51</v>
      </c>
      <c r="AS36" s="41"/>
      <c r="AT36" s="41"/>
      <c r="AU36" s="42" t="s">
        <v>52</v>
      </c>
      <c r="AV36" s="41"/>
    </row>
    <row r="37" spans="1:54" x14ac:dyDescent="0.2">
      <c r="A37" s="5">
        <v>26450</v>
      </c>
      <c r="B37" s="6">
        <v>7.0565172744892584</v>
      </c>
      <c r="C37" s="7">
        <v>7.92</v>
      </c>
      <c r="D37" s="7">
        <v>8.1199999999999992</v>
      </c>
      <c r="E37" s="1">
        <v>8.25</v>
      </c>
      <c r="F37" s="1">
        <v>8.5</v>
      </c>
      <c r="G37" s="1">
        <v>8.99</v>
      </c>
      <c r="H37" s="7">
        <v>76.56</v>
      </c>
      <c r="I37" s="7">
        <v>35.97</v>
      </c>
      <c r="J37" s="7">
        <v>3.36</v>
      </c>
      <c r="K37" s="7">
        <v>240.41</v>
      </c>
      <c r="L37" s="7">
        <v>358.92177948599999</v>
      </c>
      <c r="M37">
        <f t="shared" si="4"/>
        <v>71.94</v>
      </c>
      <c r="O37" s="8">
        <f t="shared" si="5"/>
        <v>-2.3794037813598679E-2</v>
      </c>
      <c r="P37" s="8">
        <f t="shared" si="6"/>
        <v>-8.8383838383838675E-3</v>
      </c>
      <c r="Q37" s="8">
        <f t="shared" si="7"/>
        <v>4.556650246305427E-2</v>
      </c>
      <c r="R37" s="8">
        <f t="shared" si="8"/>
        <v>4.1212121212121255E-2</v>
      </c>
      <c r="S37" s="8">
        <f t="shared" si="9"/>
        <v>3.1764705882352917E-2</v>
      </c>
      <c r="T37" s="8">
        <f t="shared" si="10"/>
        <v>3.0033370411568283E-2</v>
      </c>
      <c r="U37" s="8">
        <f t="shared" si="11"/>
        <v>-5.0026123301985304E-2</v>
      </c>
      <c r="V37" s="8">
        <f t="shared" si="12"/>
        <v>-1.5568529329997305E-2</v>
      </c>
      <c r="W37" s="8">
        <f t="shared" si="13"/>
        <v>0</v>
      </c>
      <c r="X37" s="8">
        <f t="shared" si="14"/>
        <v>-2.5789276652385951E-3</v>
      </c>
      <c r="Y37" s="8">
        <f t="shared" si="15"/>
        <v>-7.1775209732005685E-5</v>
      </c>
      <c r="Z37" s="8">
        <f t="shared" si="16"/>
        <v>-1.5568529329997305E-2</v>
      </c>
      <c r="AB37" s="26">
        <f t="shared" si="17"/>
        <v>-2.8314962306023733E-2</v>
      </c>
      <c r="AC37" s="26">
        <f t="shared" si="18"/>
        <v>-1.1355153856960461E-2</v>
      </c>
      <c r="AD37" s="26">
        <f t="shared" si="19"/>
        <v>4.3274294139603327E-2</v>
      </c>
      <c r="AE37" s="26">
        <f t="shared" si="20"/>
        <v>3.899936193961194E-2</v>
      </c>
      <c r="AF37" s="26">
        <f t="shared" si="21"/>
        <v>2.9583596470908143E-2</v>
      </c>
      <c r="AG37" s="26">
        <f t="shared" si="22"/>
        <v>2.7855368440646674E-2</v>
      </c>
      <c r="AH37" s="26">
        <f t="shared" si="23"/>
        <v>-5.5369503347045712E-2</v>
      </c>
      <c r="AI37" s="26">
        <f t="shared" si="24"/>
        <v>-2.7970295459034684E-2</v>
      </c>
      <c r="AJ37" s="26">
        <f t="shared" si="25"/>
        <v>-1.0229205971642284E-2</v>
      </c>
      <c r="AK37" s="26">
        <f t="shared" si="26"/>
        <v>-1.0120123833671805E-3</v>
      </c>
      <c r="AL37" s="26">
        <f t="shared" si="27"/>
        <v>3.4524599040237007E-3</v>
      </c>
      <c r="AM37" s="26">
        <f t="shared" si="28"/>
        <v>-2.7970295459034684E-2</v>
      </c>
    </row>
    <row r="38" spans="1:54" x14ac:dyDescent="0.2">
      <c r="A38" s="5">
        <v>26480</v>
      </c>
      <c r="B38" s="6">
        <v>6.8886142356277489</v>
      </c>
      <c r="C38" s="7">
        <v>7.85</v>
      </c>
      <c r="D38" s="7">
        <v>8.49</v>
      </c>
      <c r="E38" s="1">
        <v>8.59</v>
      </c>
      <c r="F38" s="1">
        <v>8.77</v>
      </c>
      <c r="G38" s="1">
        <v>9.26</v>
      </c>
      <c r="H38" s="7">
        <v>72.73</v>
      </c>
      <c r="I38" s="7">
        <v>35.409999999999997</v>
      </c>
      <c r="J38" s="7">
        <v>3.36</v>
      </c>
      <c r="K38" s="7">
        <v>239.79</v>
      </c>
      <c r="L38" s="7">
        <v>358.89601779999998</v>
      </c>
      <c r="M38">
        <f t="shared" si="4"/>
        <v>70.819999999999993</v>
      </c>
      <c r="O38" s="8">
        <f t="shared" si="5"/>
        <v>-3.3481515255718963E-2</v>
      </c>
      <c r="P38" s="8">
        <f t="shared" si="6"/>
        <v>-4.84076433121019E-2</v>
      </c>
      <c r="Q38" s="8">
        <f t="shared" si="7"/>
        <v>-4.7114252061249973E-3</v>
      </c>
      <c r="R38" s="8">
        <f t="shared" si="8"/>
        <v>6.9848661233993248E-3</v>
      </c>
      <c r="S38" s="8">
        <f t="shared" si="9"/>
        <v>1.8244013683010207E-2</v>
      </c>
      <c r="T38" s="8">
        <f t="shared" si="10"/>
        <v>1.6198704103671746E-2</v>
      </c>
      <c r="U38" s="8">
        <f t="shared" si="11"/>
        <v>7.3284751821806715E-2</v>
      </c>
      <c r="V38" s="8">
        <f t="shared" si="12"/>
        <v>-2.8240609997176591E-3</v>
      </c>
      <c r="W38" s="8">
        <f t="shared" si="13"/>
        <v>-1.1904761904761862E-2</v>
      </c>
      <c r="X38" s="8">
        <f t="shared" si="14"/>
        <v>-2.9609241419575882E-3</v>
      </c>
      <c r="Y38" s="8">
        <f t="shared" si="15"/>
        <v>1.3655912205554621E-3</v>
      </c>
      <c r="Z38" s="8">
        <f t="shared" si="16"/>
        <v>-2.8240609997176591E-3</v>
      </c>
      <c r="AB38" s="26">
        <f t="shared" si="17"/>
        <v>-3.8002439748144018E-2</v>
      </c>
      <c r="AC38" s="26">
        <f t="shared" si="18"/>
        <v>-5.0924413330678493E-2</v>
      </c>
      <c r="AD38" s="26">
        <f t="shared" si="19"/>
        <v>-7.0036335295759408E-3</v>
      </c>
      <c r="AE38" s="26">
        <f t="shared" si="20"/>
        <v>4.7721068508900059E-3</v>
      </c>
      <c r="AF38" s="26">
        <f t="shared" si="21"/>
        <v>1.6062904271565433E-2</v>
      </c>
      <c r="AG38" s="26">
        <f t="shared" si="22"/>
        <v>1.4020702132750137E-2</v>
      </c>
      <c r="AH38" s="26">
        <f t="shared" si="23"/>
        <v>6.7941371776746307E-2</v>
      </c>
      <c r="AI38" s="26">
        <f t="shared" si="24"/>
        <v>-1.5225827128755039E-2</v>
      </c>
      <c r="AJ38" s="26">
        <f t="shared" si="25"/>
        <v>-2.2133967876404148E-2</v>
      </c>
      <c r="AK38" s="26">
        <f t="shared" si="26"/>
        <v>-1.3940088600861737E-3</v>
      </c>
      <c r="AL38" s="26">
        <f t="shared" si="27"/>
        <v>4.8898263343111689E-3</v>
      </c>
      <c r="AM38" s="26">
        <f t="shared" si="28"/>
        <v>-1.5225827128755039E-2</v>
      </c>
      <c r="AO38" s="27">
        <f t="array" ref="AO38:BB49">EIGEN_JK(AP7:BA18)</f>
        <v>1.3400712228518673E-2</v>
      </c>
      <c r="AP38" s="27">
        <v>3.0275838017394391E-2</v>
      </c>
      <c r="AQ38" s="27">
        <v>0.39058893724101273</v>
      </c>
      <c r="AR38" s="27">
        <v>-0.6965684575631943</v>
      </c>
      <c r="AS38" s="27">
        <v>0.39286215573620581</v>
      </c>
      <c r="AT38" s="27">
        <v>0.44587529554477096</v>
      </c>
      <c r="AU38" s="27">
        <v>-1.7101278595913226E-2</v>
      </c>
      <c r="AV38" s="27">
        <v>-4.8532374414304982E-2</v>
      </c>
      <c r="AW38" s="27">
        <v>7.415860529342104E-2</v>
      </c>
      <c r="AX38" s="27">
        <v>-1.5186309503976189E-4</v>
      </c>
      <c r="AY38" s="27">
        <v>3.9342090060150298E-3</v>
      </c>
      <c r="AZ38" s="27">
        <v>2.7824856800076226E-3</v>
      </c>
      <c r="BA38" s="27">
        <v>-0.34311031212789445</v>
      </c>
      <c r="BB38" s="27" t="e">
        <v>#N/A</v>
      </c>
    </row>
    <row r="39" spans="1:54" x14ac:dyDescent="0.2">
      <c r="A39" s="5">
        <v>26511</v>
      </c>
      <c r="B39" s="6">
        <v>6.6579729930068154</v>
      </c>
      <c r="C39" s="7">
        <v>7.47</v>
      </c>
      <c r="D39" s="7">
        <v>8.4499999999999993</v>
      </c>
      <c r="E39" s="1">
        <v>8.65</v>
      </c>
      <c r="F39" s="1">
        <v>8.93</v>
      </c>
      <c r="G39" s="1">
        <v>9.41</v>
      </c>
      <c r="H39" s="7">
        <v>78.06</v>
      </c>
      <c r="I39" s="7">
        <v>35.309999999999995</v>
      </c>
      <c r="J39" s="7">
        <v>3.32</v>
      </c>
      <c r="K39" s="7">
        <v>239.07999999999998</v>
      </c>
      <c r="L39" s="7">
        <v>359.38612305099997</v>
      </c>
      <c r="M39">
        <f t="shared" si="4"/>
        <v>70.61999999999999</v>
      </c>
      <c r="O39" s="8">
        <f t="shared" si="5"/>
        <v>-6.2942215367065568E-3</v>
      </c>
      <c r="P39" s="8">
        <f t="shared" si="6"/>
        <v>9.3708165997323789E-3</v>
      </c>
      <c r="Q39" s="8">
        <f t="shared" si="7"/>
        <v>-3.6686390532544189E-2</v>
      </c>
      <c r="R39" s="8">
        <f t="shared" si="8"/>
        <v>-1.7341040462427793E-2</v>
      </c>
      <c r="S39" s="8">
        <f t="shared" si="9"/>
        <v>-7.838745800671898E-3</v>
      </c>
      <c r="T39" s="8">
        <f t="shared" si="10"/>
        <v>4.2507970244420878E-3</v>
      </c>
      <c r="U39" s="8">
        <f t="shared" si="11"/>
        <v>4.4452984883422975E-2</v>
      </c>
      <c r="V39" s="8">
        <f t="shared" si="12"/>
        <v>-1.4160294534125706E-3</v>
      </c>
      <c r="W39" s="8">
        <f t="shared" si="13"/>
        <v>0</v>
      </c>
      <c r="X39" s="8">
        <f t="shared" si="14"/>
        <v>-1.0875020913501121E-3</v>
      </c>
      <c r="Y39" s="8">
        <f t="shared" si="15"/>
        <v>-3.1881613326438796E-3</v>
      </c>
      <c r="Z39" s="8">
        <f t="shared" si="16"/>
        <v>-1.4160294534125706E-3</v>
      </c>
      <c r="AB39" s="26">
        <f t="shared" si="17"/>
        <v>-1.081514602913161E-2</v>
      </c>
      <c r="AC39" s="26">
        <f t="shared" si="18"/>
        <v>6.8540465811557849E-3</v>
      </c>
      <c r="AD39" s="26">
        <f t="shared" si="19"/>
        <v>-3.8978598855995132E-2</v>
      </c>
      <c r="AE39" s="26">
        <f t="shared" si="20"/>
        <v>-1.9553799734937111E-2</v>
      </c>
      <c r="AF39" s="26">
        <f t="shared" si="21"/>
        <v>-1.0019855212116671E-2</v>
      </c>
      <c r="AG39" s="26">
        <f t="shared" si="22"/>
        <v>2.0727950535204785E-3</v>
      </c>
      <c r="AH39" s="26">
        <f t="shared" si="23"/>
        <v>3.9109604838362566E-2</v>
      </c>
      <c r="AI39" s="26">
        <f t="shared" si="24"/>
        <v>-1.381779558244995E-2</v>
      </c>
      <c r="AJ39" s="26">
        <f t="shared" si="25"/>
        <v>-1.0229205971642284E-2</v>
      </c>
      <c r="AK39" s="26">
        <f t="shared" si="26"/>
        <v>4.7941319052130244E-4</v>
      </c>
      <c r="AL39" s="26">
        <f t="shared" si="27"/>
        <v>3.360737811118268E-4</v>
      </c>
      <c r="AM39" s="26">
        <f t="shared" si="28"/>
        <v>-1.381779558244995E-2</v>
      </c>
      <c r="AO39" s="27">
        <v>9.754263148573316E-3</v>
      </c>
      <c r="AP39" s="27">
        <v>-4.1952790498615507E-2</v>
      </c>
      <c r="AQ39" s="27">
        <v>0.18284233468699421</v>
      </c>
      <c r="AR39" s="27">
        <v>-0.30787145251064429</v>
      </c>
      <c r="AS39" s="27">
        <v>-0.11804052155829911</v>
      </c>
      <c r="AT39" s="27">
        <v>-0.38749714773608029</v>
      </c>
      <c r="AU39" s="27">
        <v>0.14718890350022015</v>
      </c>
      <c r="AV39" s="27">
        <v>7.3994361675717907E-2</v>
      </c>
      <c r="AW39" s="27">
        <v>-0.79791833980839766</v>
      </c>
      <c r="AX39" s="27">
        <v>0.19611047680750082</v>
      </c>
      <c r="AY39" s="27">
        <v>-5.4379224630044604E-2</v>
      </c>
      <c r="AZ39" s="27">
        <v>2.6577680306072379E-2</v>
      </c>
      <c r="BA39" s="27">
        <v>0.32411220562436382</v>
      </c>
      <c r="BB39" s="27" t="e">
        <v>#N/A</v>
      </c>
    </row>
    <row r="40" spans="1:54" x14ac:dyDescent="0.2">
      <c r="A40" s="5">
        <v>26542</v>
      </c>
      <c r="B40" s="6">
        <v>6.6160662360034213</v>
      </c>
      <c r="C40" s="7">
        <v>7.54</v>
      </c>
      <c r="D40" s="7">
        <v>8.14</v>
      </c>
      <c r="E40" s="1">
        <v>8.5</v>
      </c>
      <c r="F40" s="1">
        <v>8.86</v>
      </c>
      <c r="G40" s="1">
        <v>9.4499999999999993</v>
      </c>
      <c r="H40" s="7">
        <v>81.53</v>
      </c>
      <c r="I40" s="7">
        <v>35.26</v>
      </c>
      <c r="J40" s="7">
        <v>3.32</v>
      </c>
      <c r="K40" s="7">
        <v>238.82</v>
      </c>
      <c r="L40" s="7">
        <v>358.24034210999997</v>
      </c>
      <c r="M40">
        <f t="shared" si="4"/>
        <v>70.52</v>
      </c>
      <c r="O40" s="8">
        <f t="shared" si="5"/>
        <v>-4.5883241684948617E-2</v>
      </c>
      <c r="P40" s="8">
        <f t="shared" si="6"/>
        <v>-1.8567639257294544E-2</v>
      </c>
      <c r="Q40" s="8">
        <f t="shared" si="7"/>
        <v>-4.9140049140050657E-3</v>
      </c>
      <c r="R40" s="8">
        <f t="shared" si="8"/>
        <v>-2.3529411764705577E-3</v>
      </c>
      <c r="S40" s="8">
        <f t="shared" si="9"/>
        <v>-7.900677200902928E-3</v>
      </c>
      <c r="T40" s="8">
        <f t="shared" si="10"/>
        <v>-5.2910052910051242E-3</v>
      </c>
      <c r="U40" s="8">
        <f t="shared" si="11"/>
        <v>3.2993989942352586E-2</v>
      </c>
      <c r="V40" s="8">
        <f t="shared" si="12"/>
        <v>2.7793533749290944E-2</v>
      </c>
      <c r="W40" s="8">
        <f t="shared" si="13"/>
        <v>0</v>
      </c>
      <c r="X40" s="8">
        <f t="shared" si="14"/>
        <v>-1.1724311196716908E-3</v>
      </c>
      <c r="Y40" s="8">
        <f t="shared" si="15"/>
        <v>-7.1592775255113761E-4</v>
      </c>
      <c r="Z40" s="8">
        <f t="shared" si="16"/>
        <v>2.7793533749290944E-2</v>
      </c>
      <c r="AB40" s="26">
        <f t="shared" si="17"/>
        <v>-5.0404166177373672E-2</v>
      </c>
      <c r="AC40" s="26">
        <f t="shared" si="18"/>
        <v>-2.1084409275871137E-2</v>
      </c>
      <c r="AD40" s="26">
        <f t="shared" si="19"/>
        <v>-7.2062132374560092E-3</v>
      </c>
      <c r="AE40" s="26">
        <f t="shared" si="20"/>
        <v>-4.5657004489798765E-3</v>
      </c>
      <c r="AF40" s="26">
        <f t="shared" si="21"/>
        <v>-1.0081786612347701E-2</v>
      </c>
      <c r="AG40" s="26">
        <f t="shared" si="22"/>
        <v>-7.4690072619267335E-3</v>
      </c>
      <c r="AH40" s="26">
        <f t="shared" si="23"/>
        <v>2.7650609897292181E-2</v>
      </c>
      <c r="AI40" s="26">
        <f t="shared" si="24"/>
        <v>1.5391767620253564E-2</v>
      </c>
      <c r="AJ40" s="26">
        <f t="shared" si="25"/>
        <v>-1.0229205971642284E-2</v>
      </c>
      <c r="AK40" s="26">
        <f t="shared" si="26"/>
        <v>3.9448416219972377E-4</v>
      </c>
      <c r="AL40" s="26">
        <f t="shared" si="27"/>
        <v>2.8083073612045688E-3</v>
      </c>
      <c r="AM40" s="26">
        <f t="shared" si="28"/>
        <v>1.5391767620253564E-2</v>
      </c>
      <c r="AO40" s="27">
        <v>6.8145084016516489E-3</v>
      </c>
      <c r="AP40" s="27">
        <v>-2.1569303554460885E-2</v>
      </c>
      <c r="AQ40" s="27">
        <v>0.13239870675251941</v>
      </c>
      <c r="AR40" s="27">
        <v>-0.20911310069199404</v>
      </c>
      <c r="AS40" s="27">
        <v>-0.11382342684534509</v>
      </c>
      <c r="AT40" s="27">
        <v>-0.35069045096209434</v>
      </c>
      <c r="AU40" s="27">
        <v>0.10076406431279519</v>
      </c>
      <c r="AV40" s="27">
        <v>4.2371129371871721E-2</v>
      </c>
      <c r="AW40" s="27">
        <v>0.11499274852108093</v>
      </c>
      <c r="AX40" s="27">
        <v>-0.72331998612043724</v>
      </c>
      <c r="AY40" s="27">
        <v>0.20026646921881783</v>
      </c>
      <c r="AZ40" s="27">
        <v>-0.46245756652918335</v>
      </c>
      <c r="BA40" s="27">
        <v>0.40961321517707777</v>
      </c>
      <c r="BB40" s="27" t="e">
        <v>#N/A</v>
      </c>
    </row>
    <row r="41" spans="1:54" x14ac:dyDescent="0.2">
      <c r="A41" s="5">
        <v>26572</v>
      </c>
      <c r="B41" s="6">
        <v>6.3124996698932483</v>
      </c>
      <c r="C41" s="7">
        <v>7.3999999999999995</v>
      </c>
      <c r="D41" s="7">
        <v>8.1</v>
      </c>
      <c r="E41" s="1">
        <v>8.48</v>
      </c>
      <c r="F41" s="1">
        <v>8.7899999999999991</v>
      </c>
      <c r="G41" s="1">
        <v>9.4</v>
      </c>
      <c r="H41" s="7">
        <v>84.22</v>
      </c>
      <c r="I41" s="7">
        <v>36.239999999999995</v>
      </c>
      <c r="J41" s="7">
        <v>3.32</v>
      </c>
      <c r="K41" s="7">
        <v>238.54</v>
      </c>
      <c r="L41" s="7">
        <v>357.98386790699999</v>
      </c>
      <c r="M41">
        <f t="shared" si="4"/>
        <v>72.47999999999999</v>
      </c>
      <c r="O41" s="8">
        <f t="shared" si="5"/>
        <v>-3.6434140263821635E-2</v>
      </c>
      <c r="P41" s="8">
        <f t="shared" si="6"/>
        <v>-8.1081081081080253E-3</v>
      </c>
      <c r="Q41" s="8">
        <f t="shared" si="7"/>
        <v>-7.4074074074074181E-3</v>
      </c>
      <c r="R41" s="8">
        <f t="shared" si="8"/>
        <v>-3.5377358490567001E-3</v>
      </c>
      <c r="S41" s="8">
        <f t="shared" si="9"/>
        <v>-7.9635949943115403E-3</v>
      </c>
      <c r="T41" s="8">
        <f t="shared" si="10"/>
        <v>-6.38297872340432E-3</v>
      </c>
      <c r="U41" s="8">
        <f t="shared" si="11"/>
        <v>-1.1398717644264922E-2</v>
      </c>
      <c r="V41" s="8">
        <f t="shared" si="12"/>
        <v>4.8841059602649173E-2</v>
      </c>
      <c r="W41" s="8">
        <f t="shared" si="13"/>
        <v>0</v>
      </c>
      <c r="X41" s="8">
        <f t="shared" si="14"/>
        <v>8.8035549593357132E-4</v>
      </c>
      <c r="Y41" s="8">
        <f t="shared" si="15"/>
        <v>-4.6513656320201768E-4</v>
      </c>
      <c r="Z41" s="8">
        <f t="shared" si="16"/>
        <v>4.8841059602649173E-2</v>
      </c>
      <c r="AB41" s="26">
        <f t="shared" si="17"/>
        <v>-4.095506475624669E-2</v>
      </c>
      <c r="AC41" s="26">
        <f t="shared" si="18"/>
        <v>-1.0624878126684618E-2</v>
      </c>
      <c r="AD41" s="26">
        <f t="shared" si="19"/>
        <v>-9.6996157308583617E-3</v>
      </c>
      <c r="AE41" s="26">
        <f t="shared" si="20"/>
        <v>-5.750495121566019E-3</v>
      </c>
      <c r="AF41" s="26">
        <f t="shared" si="21"/>
        <v>-1.0144704405756313E-2</v>
      </c>
      <c r="AG41" s="26">
        <f t="shared" si="22"/>
        <v>-8.5609806943259294E-3</v>
      </c>
      <c r="AH41" s="26">
        <f t="shared" si="23"/>
        <v>-1.6742097689325327E-2</v>
      </c>
      <c r="AI41" s="26">
        <f t="shared" si="24"/>
        <v>3.6439293473611793E-2</v>
      </c>
      <c r="AJ41" s="26">
        <f t="shared" si="25"/>
        <v>-1.0229205971642284E-2</v>
      </c>
      <c r="AK41" s="26">
        <f t="shared" si="26"/>
        <v>2.4472707778049859E-3</v>
      </c>
      <c r="AL41" s="26">
        <f t="shared" si="27"/>
        <v>3.0590985505536887E-3</v>
      </c>
      <c r="AM41" s="26">
        <f t="shared" si="28"/>
        <v>3.6439293473611793E-2</v>
      </c>
      <c r="AO41" s="27">
        <v>2.016199746895818E-3</v>
      </c>
      <c r="AP41" s="27">
        <v>-1.2350034013368387E-2</v>
      </c>
      <c r="AQ41" s="27">
        <v>0.11906248616087126</v>
      </c>
      <c r="AR41" s="27">
        <v>-0.18081520801203455</v>
      </c>
      <c r="AS41" s="27">
        <v>-0.11893811714329044</v>
      </c>
      <c r="AT41" s="27">
        <v>-0.32326348681142325</v>
      </c>
      <c r="AU41" s="27">
        <v>9.9530169998611875E-2</v>
      </c>
      <c r="AV41" s="27">
        <v>2.5440017577421762E-2</v>
      </c>
      <c r="AW41" s="27">
        <v>0.26622082300431038</v>
      </c>
      <c r="AX41" s="27">
        <v>-0.24659887981570536</v>
      </c>
      <c r="AY41" s="27">
        <v>-9.2278076625955399E-2</v>
      </c>
      <c r="AZ41" s="27">
        <v>0.82678816427511459</v>
      </c>
      <c r="BA41" s="27">
        <v>0.23691789446268677</v>
      </c>
      <c r="BB41" s="27" t="e">
        <v>#N/A</v>
      </c>
    </row>
    <row r="42" spans="1:54" x14ac:dyDescent="0.2">
      <c r="A42" s="5">
        <v>26603</v>
      </c>
      <c r="B42" s="6">
        <v>6.0825091715050297</v>
      </c>
      <c r="C42" s="7">
        <v>7.34</v>
      </c>
      <c r="D42" s="7">
        <v>8.0399999999999991</v>
      </c>
      <c r="E42" s="1">
        <v>8.4499999999999993</v>
      </c>
      <c r="F42" s="1">
        <v>8.7200000000000006</v>
      </c>
      <c r="G42" s="1">
        <v>9.34</v>
      </c>
      <c r="H42" s="7">
        <v>83.26</v>
      </c>
      <c r="I42" s="7">
        <v>38.01</v>
      </c>
      <c r="J42" s="7">
        <v>3.32</v>
      </c>
      <c r="K42" s="7">
        <v>238.75</v>
      </c>
      <c r="L42" s="7">
        <v>357.81735652099997</v>
      </c>
      <c r="M42">
        <f t="shared" si="4"/>
        <v>76.02</v>
      </c>
      <c r="O42" s="8">
        <f t="shared" si="5"/>
        <v>-0.10633114667987198</v>
      </c>
      <c r="P42" s="8">
        <f t="shared" si="6"/>
        <v>-6.6757493188010941E-2</v>
      </c>
      <c r="Q42" s="8">
        <f t="shared" si="7"/>
        <v>2.4875621890549926E-3</v>
      </c>
      <c r="R42" s="8">
        <f t="shared" si="8"/>
        <v>-2.3668639053253671E-3</v>
      </c>
      <c r="S42" s="8">
        <f t="shared" si="9"/>
        <v>3.4403669724769603E-3</v>
      </c>
      <c r="T42" s="8">
        <f t="shared" si="10"/>
        <v>5.3533190578158862E-3</v>
      </c>
      <c r="U42" s="8">
        <f t="shared" si="11"/>
        <v>4.7441748738890288E-2</v>
      </c>
      <c r="V42" s="8">
        <f t="shared" si="12"/>
        <v>-1.1838989739542338E-2</v>
      </c>
      <c r="W42" s="8">
        <f t="shared" si="13"/>
        <v>0</v>
      </c>
      <c r="X42" s="8">
        <f t="shared" si="14"/>
        <v>1.2565445026178068E-3</v>
      </c>
      <c r="Y42" s="8">
        <f t="shared" si="15"/>
        <v>-2.8615598191084057E-4</v>
      </c>
      <c r="Z42" s="8">
        <f t="shared" si="16"/>
        <v>-1.1838989739542338E-2</v>
      </c>
      <c r="AB42" s="26">
        <f t="shared" si="17"/>
        <v>-0.11085207117229703</v>
      </c>
      <c r="AC42" s="26">
        <f t="shared" si="18"/>
        <v>-6.9274263206587541E-2</v>
      </c>
      <c r="AD42" s="26">
        <f t="shared" si="19"/>
        <v>1.9535386560404861E-4</v>
      </c>
      <c r="AE42" s="26">
        <f t="shared" si="20"/>
        <v>-4.5796231778346859E-3</v>
      </c>
      <c r="AF42" s="26">
        <f t="shared" si="21"/>
        <v>1.259257561032187E-3</v>
      </c>
      <c r="AG42" s="26">
        <f t="shared" si="22"/>
        <v>3.1753170868942769E-3</v>
      </c>
      <c r="AH42" s="26">
        <f t="shared" si="23"/>
        <v>4.209836869382988E-2</v>
      </c>
      <c r="AI42" s="26">
        <f t="shared" si="24"/>
        <v>-2.4240755868579718E-2</v>
      </c>
      <c r="AJ42" s="26">
        <f t="shared" si="25"/>
        <v>-1.0229205971642284E-2</v>
      </c>
      <c r="AK42" s="26">
        <f t="shared" si="26"/>
        <v>2.8234597844892214E-3</v>
      </c>
      <c r="AL42" s="26">
        <f t="shared" si="27"/>
        <v>3.2380791318448658E-3</v>
      </c>
      <c r="AM42" s="26">
        <f t="shared" si="28"/>
        <v>-2.4240755868579718E-2</v>
      </c>
      <c r="AO42" s="27">
        <v>1.4884379074349351E-3</v>
      </c>
      <c r="AP42" s="27">
        <v>-8.8875147914698298E-3</v>
      </c>
      <c r="AQ42" s="27">
        <v>0.1069237834140439</v>
      </c>
      <c r="AR42" s="27">
        <v>-0.17027547843201093</v>
      </c>
      <c r="AS42" s="27">
        <v>-9.3965030441189409E-2</v>
      </c>
      <c r="AT42" s="27">
        <v>-0.32874452918091568</v>
      </c>
      <c r="AU42" s="27">
        <v>7.0978770372160133E-2</v>
      </c>
      <c r="AV42" s="27">
        <v>2.3522234655323451E-2</v>
      </c>
      <c r="AW42" s="27">
        <v>0.39618707968533384</v>
      </c>
      <c r="AX42" s="27">
        <v>0.32552977092337421</v>
      </c>
      <c r="AY42" s="27">
        <v>-0.69061128555881579</v>
      </c>
      <c r="AZ42" s="27">
        <v>-0.31164582494949927</v>
      </c>
      <c r="BA42" s="27">
        <v>-7.9862290515108708E-2</v>
      </c>
      <c r="BB42" s="27" t="e">
        <v>#N/A</v>
      </c>
    </row>
    <row r="43" spans="1:54" x14ac:dyDescent="0.2">
      <c r="A43" s="5">
        <v>26633</v>
      </c>
      <c r="B43" s="6">
        <v>5.4357489966080621</v>
      </c>
      <c r="C43" s="7">
        <v>6.85</v>
      </c>
      <c r="D43" s="7">
        <v>8.06</v>
      </c>
      <c r="E43" s="1">
        <v>8.43</v>
      </c>
      <c r="F43" s="1">
        <v>8.75</v>
      </c>
      <c r="G43" s="1">
        <v>9.39</v>
      </c>
      <c r="H43" s="7">
        <v>87.210000000000008</v>
      </c>
      <c r="I43" s="7">
        <v>37.559999999999995</v>
      </c>
      <c r="J43" s="7">
        <v>3.32</v>
      </c>
      <c r="K43" s="7">
        <v>239.04999999999998</v>
      </c>
      <c r="L43" s="7">
        <v>357.71496494399997</v>
      </c>
      <c r="M43">
        <f t="shared" si="4"/>
        <v>75.11999999999999</v>
      </c>
      <c r="O43" s="8">
        <f t="shared" si="5"/>
        <v>-7.8474707209443051E-2</v>
      </c>
      <c r="P43" s="8">
        <f t="shared" si="6"/>
        <v>-6.5693430656934337E-2</v>
      </c>
      <c r="Q43" s="8">
        <f t="shared" si="7"/>
        <v>-5.0868486352357412E-2</v>
      </c>
      <c r="R43" s="8">
        <f t="shared" si="8"/>
        <v>-3.4400948991696212E-2</v>
      </c>
      <c r="S43" s="8">
        <f t="shared" si="9"/>
        <v>-2.9714285714285693E-2</v>
      </c>
      <c r="T43" s="8">
        <f t="shared" si="10"/>
        <v>-2.7689030883919274E-2</v>
      </c>
      <c r="U43" s="8">
        <f t="shared" si="11"/>
        <v>5.5039559683522477E-2</v>
      </c>
      <c r="V43" s="8">
        <f t="shared" si="12"/>
        <v>-3.9936102236420856E-3</v>
      </c>
      <c r="W43" s="8">
        <f t="shared" si="13"/>
        <v>7.5301204819277157E-2</v>
      </c>
      <c r="X43" s="8">
        <f t="shared" si="14"/>
        <v>1.2549675800044291E-4</v>
      </c>
      <c r="Y43" s="8">
        <f t="shared" si="15"/>
        <v>-1.072969731809037E-4</v>
      </c>
      <c r="Z43" s="8">
        <f t="shared" si="16"/>
        <v>-3.9936102236420856E-3</v>
      </c>
      <c r="AB43" s="26">
        <f t="shared" si="17"/>
        <v>-8.2995631701868106E-2</v>
      </c>
      <c r="AC43" s="26">
        <f t="shared" si="18"/>
        <v>-6.8210200675510937E-2</v>
      </c>
      <c r="AD43" s="26">
        <f t="shared" si="19"/>
        <v>-5.3160694675808355E-2</v>
      </c>
      <c r="AE43" s="26">
        <f t="shared" si="20"/>
        <v>-3.6613708264205527E-2</v>
      </c>
      <c r="AF43" s="26">
        <f t="shared" si="21"/>
        <v>-3.1895395125730468E-2</v>
      </c>
      <c r="AG43" s="26">
        <f t="shared" si="22"/>
        <v>-2.9867032854840884E-2</v>
      </c>
      <c r="AH43" s="26">
        <f t="shared" si="23"/>
        <v>4.9696179638462068E-2</v>
      </c>
      <c r="AI43" s="26">
        <f t="shared" si="24"/>
        <v>-1.6395376352679465E-2</v>
      </c>
      <c r="AJ43" s="26">
        <f t="shared" si="25"/>
        <v>6.5071998847634871E-2</v>
      </c>
      <c r="AK43" s="26">
        <f t="shared" si="26"/>
        <v>1.6924120398718575E-3</v>
      </c>
      <c r="AL43" s="26">
        <f t="shared" si="27"/>
        <v>3.4169381405748027E-3</v>
      </c>
      <c r="AM43" s="26">
        <f t="shared" si="28"/>
        <v>-1.6395376352679465E-2</v>
      </c>
      <c r="AO43" s="27">
        <v>1.0237693084921237E-3</v>
      </c>
      <c r="AP43" s="27">
        <v>-6.3919997510600854E-3</v>
      </c>
      <c r="AQ43" s="27">
        <v>9.6543101088042177E-2</v>
      </c>
      <c r="AR43" s="27">
        <v>-0.15524592441836374</v>
      </c>
      <c r="AS43" s="27">
        <v>-9.9114771448875968E-2</v>
      </c>
      <c r="AT43" s="27">
        <v>-0.29726808044935976</v>
      </c>
      <c r="AU43" s="27">
        <v>8.9905107534468717E-2</v>
      </c>
      <c r="AV43" s="27">
        <v>1.5389099924794114E-3</v>
      </c>
      <c r="AW43" s="27">
        <v>0.33715817953981775</v>
      </c>
      <c r="AX43" s="27">
        <v>0.52084137164140454</v>
      </c>
      <c r="AY43" s="27">
        <v>0.68626674591902947</v>
      </c>
      <c r="AZ43" s="27">
        <v>-6.5928079727344643E-2</v>
      </c>
      <c r="BA43" s="27">
        <v>0.61629552288694578</v>
      </c>
      <c r="BB43" s="27" t="e">
        <v>#N/A</v>
      </c>
    </row>
    <row r="44" spans="1:54" x14ac:dyDescent="0.2">
      <c r="A44" s="5">
        <v>26664</v>
      </c>
      <c r="B44" s="6">
        <v>5.0091801856352207</v>
      </c>
      <c r="C44" s="7">
        <v>6.3999999999999995</v>
      </c>
      <c r="D44" s="7">
        <v>7.6499999999999995</v>
      </c>
      <c r="E44" s="1">
        <v>8.14</v>
      </c>
      <c r="F44" s="1">
        <v>8.49</v>
      </c>
      <c r="G44" s="1">
        <v>9.129999999999999</v>
      </c>
      <c r="H44" s="7">
        <v>92.01</v>
      </c>
      <c r="I44" s="7">
        <v>37.409999999999997</v>
      </c>
      <c r="J44" s="7">
        <v>3.57</v>
      </c>
      <c r="K44" s="7">
        <v>239.07999999999998</v>
      </c>
      <c r="L44" s="7">
        <v>357.67658321099998</v>
      </c>
      <c r="M44">
        <f t="shared" si="4"/>
        <v>74.819999999999993</v>
      </c>
      <c r="O44" s="8">
        <f t="shared" si="5"/>
        <v>-8.9119639564739672E-2</v>
      </c>
      <c r="P44" s="8">
        <f t="shared" si="6"/>
        <v>-2.3437499999999889E-2</v>
      </c>
      <c r="Q44" s="8">
        <f t="shared" si="7"/>
        <v>-3.6601307189542354E-2</v>
      </c>
      <c r="R44" s="8">
        <f t="shared" si="8"/>
        <v>-2.825552825552835E-2</v>
      </c>
      <c r="S44" s="8">
        <f t="shared" si="9"/>
        <v>-3.8869257950530089E-2</v>
      </c>
      <c r="T44" s="8">
        <f t="shared" si="10"/>
        <v>-4.1621029572836643E-2</v>
      </c>
      <c r="U44" s="8">
        <f t="shared" si="11"/>
        <v>4.173459406586244E-2</v>
      </c>
      <c r="V44" s="8">
        <f t="shared" si="12"/>
        <v>1.7375033413525864E-2</v>
      </c>
      <c r="W44" s="8">
        <f t="shared" si="13"/>
        <v>0</v>
      </c>
      <c r="X44" s="8">
        <f t="shared" si="14"/>
        <v>6.1067425129663899E-3</v>
      </c>
      <c r="Y44" s="8">
        <f t="shared" si="15"/>
        <v>9.6660622816346908E-4</v>
      </c>
      <c r="Z44" s="8">
        <f t="shared" si="16"/>
        <v>1.7375033413525864E-2</v>
      </c>
      <c r="AB44" s="26">
        <f t="shared" si="17"/>
        <v>-9.3640564057164727E-2</v>
      </c>
      <c r="AC44" s="26">
        <f t="shared" si="18"/>
        <v>-2.5954270018576482E-2</v>
      </c>
      <c r="AD44" s="26">
        <f t="shared" si="19"/>
        <v>-3.8893515512993297E-2</v>
      </c>
      <c r="AE44" s="26">
        <f t="shared" si="20"/>
        <v>-3.0468287528037669E-2</v>
      </c>
      <c r="AF44" s="26">
        <f t="shared" si="21"/>
        <v>-4.1050367361974864E-2</v>
      </c>
      <c r="AG44" s="26">
        <f t="shared" si="22"/>
        <v>-4.3799031543758249E-2</v>
      </c>
      <c r="AH44" s="26">
        <f t="shared" si="23"/>
        <v>3.6391214020802032E-2</v>
      </c>
      <c r="AI44" s="26">
        <f t="shared" si="24"/>
        <v>4.9732672844884848E-3</v>
      </c>
      <c r="AJ44" s="26">
        <f t="shared" si="25"/>
        <v>-1.0229205971642284E-2</v>
      </c>
      <c r="AK44" s="26">
        <f t="shared" si="26"/>
        <v>7.6736577948378045E-3</v>
      </c>
      <c r="AL44" s="26">
        <f t="shared" si="27"/>
        <v>4.4908413419191759E-3</v>
      </c>
      <c r="AM44" s="26">
        <f t="shared" si="28"/>
        <v>4.9732672844884848E-3</v>
      </c>
      <c r="AO44" s="27">
        <v>4.1788193750691785E-4</v>
      </c>
      <c r="AP44" s="27">
        <v>7.5236382187278978E-3</v>
      </c>
      <c r="AQ44" s="27">
        <v>-0.11226863926623672</v>
      </c>
      <c r="AR44" s="27">
        <v>0.18347193134599404</v>
      </c>
      <c r="AS44" s="27">
        <v>0.87887788159466418</v>
      </c>
      <c r="AT44" s="27">
        <v>-0.3796654497973786</v>
      </c>
      <c r="AU44" s="27">
        <v>0.19120282157309573</v>
      </c>
      <c r="AV44" s="27">
        <v>1.6280501037268622E-2</v>
      </c>
      <c r="AW44" s="27">
        <v>-7.6253475831565684E-3</v>
      </c>
      <c r="AX44" s="27">
        <v>-7.6228521042205092E-3</v>
      </c>
      <c r="AY44" s="27">
        <v>5.409268699148307E-3</v>
      </c>
      <c r="AZ44" s="27">
        <v>1.1658709340424926E-2</v>
      </c>
      <c r="BA44" s="27">
        <v>0.36650543145355069</v>
      </c>
      <c r="BB44" s="27" t="e">
        <v>#N/A</v>
      </c>
    </row>
    <row r="45" spans="1:54" x14ac:dyDescent="0.2">
      <c r="A45" s="5">
        <v>26695</v>
      </c>
      <c r="B45" s="6">
        <v>4.5627638529765742</v>
      </c>
      <c r="C45" s="7">
        <v>6.25</v>
      </c>
      <c r="D45" s="7">
        <v>7.37</v>
      </c>
      <c r="E45" s="1">
        <v>7.91</v>
      </c>
      <c r="F45" s="1">
        <v>8.16</v>
      </c>
      <c r="G45" s="1">
        <v>8.75</v>
      </c>
      <c r="H45" s="7">
        <v>95.850000000000009</v>
      </c>
      <c r="I45" s="7">
        <v>38.059999999999995</v>
      </c>
      <c r="J45" s="7">
        <v>3.57</v>
      </c>
      <c r="K45" s="7">
        <v>240.54</v>
      </c>
      <c r="L45" s="7">
        <v>358.02231562399999</v>
      </c>
      <c r="M45">
        <f t="shared" si="4"/>
        <v>76.11999999999999</v>
      </c>
      <c r="O45" s="8">
        <f t="shared" si="5"/>
        <v>-0.17013564733210651</v>
      </c>
      <c r="P45" s="8">
        <f t="shared" si="6"/>
        <v>-2.079999999999993E-2</v>
      </c>
      <c r="Q45" s="8">
        <f t="shared" si="7"/>
        <v>-3.7991858887381325E-2</v>
      </c>
      <c r="R45" s="8">
        <f t="shared" si="8"/>
        <v>-2.9077117572692823E-2</v>
      </c>
      <c r="S45" s="8">
        <f t="shared" si="9"/>
        <v>-3.6764705882353033E-2</v>
      </c>
      <c r="T45" s="8">
        <f t="shared" si="10"/>
        <v>-3.9999999999999925E-2</v>
      </c>
      <c r="U45" s="8">
        <f t="shared" si="11"/>
        <v>9.4940010432966737E-3</v>
      </c>
      <c r="V45" s="8">
        <f t="shared" si="12"/>
        <v>1.8392012611665898E-2</v>
      </c>
      <c r="W45" s="8">
        <f t="shared" si="13"/>
        <v>0</v>
      </c>
      <c r="X45" s="8">
        <f t="shared" si="14"/>
        <v>5.3213602727197884E-3</v>
      </c>
      <c r="Y45" s="8">
        <f t="shared" si="15"/>
        <v>-1.3228562531766297E-3</v>
      </c>
      <c r="Z45" s="8">
        <f t="shared" si="16"/>
        <v>1.8392012611665898E-2</v>
      </c>
      <c r="AB45" s="26">
        <f t="shared" si="17"/>
        <v>-0.17465657182453156</v>
      </c>
      <c r="AC45" s="26">
        <f t="shared" si="18"/>
        <v>-2.3316770018576523E-2</v>
      </c>
      <c r="AD45" s="26">
        <f t="shared" si="19"/>
        <v>-4.0284067210832268E-2</v>
      </c>
      <c r="AE45" s="26">
        <f t="shared" si="20"/>
        <v>-3.1289876845202139E-2</v>
      </c>
      <c r="AF45" s="26">
        <f t="shared" si="21"/>
        <v>-3.8945815293797807E-2</v>
      </c>
      <c r="AG45" s="26">
        <f t="shared" si="22"/>
        <v>-4.217800197092153E-2</v>
      </c>
      <c r="AH45" s="26">
        <f t="shared" si="23"/>
        <v>4.1506209982362686E-3</v>
      </c>
      <c r="AI45" s="26">
        <f t="shared" si="24"/>
        <v>5.9902464826285182E-3</v>
      </c>
      <c r="AJ45" s="26">
        <f t="shared" si="25"/>
        <v>-1.0229205971642284E-2</v>
      </c>
      <c r="AK45" s="26">
        <f t="shared" si="26"/>
        <v>6.8882755545912029E-3</v>
      </c>
      <c r="AL45" s="26">
        <f t="shared" si="27"/>
        <v>2.2013788605790767E-3</v>
      </c>
      <c r="AM45" s="26">
        <f t="shared" si="28"/>
        <v>5.9902464826285182E-3</v>
      </c>
      <c r="AO45" s="27">
        <v>3.137273468849713E-4</v>
      </c>
      <c r="AP45" s="27">
        <v>-0.51610336501668108</v>
      </c>
      <c r="AQ45" s="27">
        <v>-0.40900487909404704</v>
      </c>
      <c r="AR45" s="27">
        <v>-0.24297778805534806</v>
      </c>
      <c r="AS45" s="27">
        <v>1.7778879877937828E-2</v>
      </c>
      <c r="AT45" s="27">
        <v>-6.8574229677547654E-3</v>
      </c>
      <c r="AU45" s="27">
        <v>-8.2120561764615907E-2</v>
      </c>
      <c r="AV45" s="27">
        <v>4.0756668317776723E-3</v>
      </c>
      <c r="AW45" s="27">
        <v>1.3168825639097534E-2</v>
      </c>
      <c r="AX45" s="27">
        <v>2.9385897663910165E-4</v>
      </c>
      <c r="AY45" s="27">
        <v>1.7776790361869943E-3</v>
      </c>
      <c r="AZ45" s="27">
        <v>3.7343009582013692E-3</v>
      </c>
      <c r="BA45" s="27">
        <v>-2.633126764791863E-2</v>
      </c>
      <c r="BB45" s="27" t="e">
        <v>#N/A</v>
      </c>
    </row>
    <row r="46" spans="1:54" x14ac:dyDescent="0.2">
      <c r="A46" s="5">
        <v>26723</v>
      </c>
      <c r="B46" s="6">
        <v>3.7864750712268682</v>
      </c>
      <c r="C46" s="7">
        <v>6.12</v>
      </c>
      <c r="D46" s="7">
        <v>7.09</v>
      </c>
      <c r="E46" s="1">
        <v>7.68</v>
      </c>
      <c r="F46" s="1">
        <v>7.8599999999999994</v>
      </c>
      <c r="G46" s="1">
        <v>8.4</v>
      </c>
      <c r="H46" s="7">
        <v>96.76</v>
      </c>
      <c r="I46" s="7">
        <v>38.76</v>
      </c>
      <c r="J46" s="7">
        <v>3.57</v>
      </c>
      <c r="K46" s="7">
        <v>241.82</v>
      </c>
      <c r="L46" s="7">
        <v>357.54870356499998</v>
      </c>
      <c r="M46">
        <f t="shared" si="4"/>
        <v>77.52</v>
      </c>
      <c r="O46" s="8">
        <f t="shared" si="5"/>
        <v>-8.4511022051649731E-2</v>
      </c>
      <c r="P46" s="8">
        <f t="shared" si="6"/>
        <v>-6.6993464052287566E-2</v>
      </c>
      <c r="Q46" s="8">
        <f t="shared" si="7"/>
        <v>1.833568406205921E-2</v>
      </c>
      <c r="R46" s="8">
        <f t="shared" si="8"/>
        <v>7.8125E-3</v>
      </c>
      <c r="S46" s="8">
        <f t="shared" si="9"/>
        <v>1.3994910941475869E-2</v>
      </c>
      <c r="T46" s="8">
        <f t="shared" si="10"/>
        <v>8.3333333333333037E-3</v>
      </c>
      <c r="U46" s="8">
        <f t="shared" si="11"/>
        <v>3.6792062835882655E-2</v>
      </c>
      <c r="V46" s="8">
        <f t="shared" si="12"/>
        <v>1.8059855521155299E-3</v>
      </c>
      <c r="W46" s="8">
        <f t="shared" si="13"/>
        <v>0</v>
      </c>
      <c r="X46" s="8">
        <f t="shared" si="14"/>
        <v>2.894715077330634E-4</v>
      </c>
      <c r="Y46" s="8">
        <f t="shared" si="15"/>
        <v>-7.1500631229071132E-5</v>
      </c>
      <c r="Z46" s="8">
        <f t="shared" si="16"/>
        <v>1.8059855521155299E-3</v>
      </c>
      <c r="AB46" s="26">
        <f t="shared" si="17"/>
        <v>-8.9031946544074786E-2</v>
      </c>
      <c r="AC46" s="26">
        <f t="shared" si="18"/>
        <v>-6.9510234070864166E-2</v>
      </c>
      <c r="AD46" s="26">
        <f t="shared" si="19"/>
        <v>1.6043475738608266E-2</v>
      </c>
      <c r="AE46" s="26">
        <f t="shared" si="20"/>
        <v>5.5997407274906812E-3</v>
      </c>
      <c r="AF46" s="26">
        <f t="shared" si="21"/>
        <v>1.1813801530031096E-2</v>
      </c>
      <c r="AG46" s="26">
        <f t="shared" si="22"/>
        <v>6.1553313624116944E-3</v>
      </c>
      <c r="AH46" s="26">
        <f t="shared" si="23"/>
        <v>3.1448682790822247E-2</v>
      </c>
      <c r="AI46" s="26">
        <f t="shared" si="24"/>
        <v>-1.059578057692185E-2</v>
      </c>
      <c r="AJ46" s="26">
        <f t="shared" si="25"/>
        <v>-1.0229205971642284E-2</v>
      </c>
      <c r="AK46" s="26">
        <f t="shared" si="26"/>
        <v>1.856386789604478E-3</v>
      </c>
      <c r="AL46" s="26">
        <f t="shared" si="27"/>
        <v>3.4527344825266352E-3</v>
      </c>
      <c r="AM46" s="26">
        <f t="shared" si="28"/>
        <v>-1.059578057692185E-2</v>
      </c>
      <c r="AO46" s="27">
        <v>6.6861317668431147E-5</v>
      </c>
      <c r="AP46" s="27">
        <v>-0.67953174471014499</v>
      </c>
      <c r="AQ46" s="27">
        <v>0.62457559077327107</v>
      </c>
      <c r="AR46" s="27">
        <v>0.37246424063605887</v>
      </c>
      <c r="AS46" s="27">
        <v>2.1988405459075152E-2</v>
      </c>
      <c r="AT46" s="27">
        <v>6.4225545317632735E-2</v>
      </c>
      <c r="AU46" s="27">
        <v>6.1163968136526185E-2</v>
      </c>
      <c r="AV46" s="27">
        <v>2.7653938363408702E-2</v>
      </c>
      <c r="AW46" s="27">
        <v>1.5995771962876455E-2</v>
      </c>
      <c r="AX46" s="27">
        <v>6.2318391015936852E-3</v>
      </c>
      <c r="AY46" s="27">
        <v>2.2026988788038942E-4</v>
      </c>
      <c r="AZ46" s="27">
        <v>-1.8433061333521807E-3</v>
      </c>
      <c r="BA46" s="27">
        <v>-2.4455498104736323E-2</v>
      </c>
      <c r="BB46" s="27" t="e">
        <v>#N/A</v>
      </c>
    </row>
    <row r="47" spans="1:54" x14ac:dyDescent="0.2">
      <c r="A47" s="5">
        <v>26754</v>
      </c>
      <c r="B47" s="6">
        <v>3.4664761929843926</v>
      </c>
      <c r="C47" s="7">
        <v>5.71</v>
      </c>
      <c r="D47" s="7">
        <v>7.22</v>
      </c>
      <c r="E47" s="1">
        <v>7.74</v>
      </c>
      <c r="F47" s="1">
        <v>7.97</v>
      </c>
      <c r="G47" s="1">
        <v>8.4700000000000006</v>
      </c>
      <c r="H47" s="7">
        <v>100.32000000000001</v>
      </c>
      <c r="I47" s="7">
        <v>38.83</v>
      </c>
      <c r="J47" s="7">
        <v>3.57</v>
      </c>
      <c r="K47" s="7">
        <v>241.89</v>
      </c>
      <c r="L47" s="7">
        <v>357.52313860699996</v>
      </c>
      <c r="M47">
        <f t="shared" si="4"/>
        <v>77.66</v>
      </c>
      <c r="O47" s="8">
        <f t="shared" si="5"/>
        <v>0.14001473284204491</v>
      </c>
      <c r="P47" s="8">
        <f t="shared" si="6"/>
        <v>2.2767075306479923E-2</v>
      </c>
      <c r="Q47" s="8">
        <f t="shared" si="7"/>
        <v>5.5401662049860967E-3</v>
      </c>
      <c r="R47" s="8">
        <f t="shared" si="8"/>
        <v>1.2919896640826156E-3</v>
      </c>
      <c r="S47" s="8">
        <f t="shared" si="9"/>
        <v>3.7641154328733606E-3</v>
      </c>
      <c r="T47" s="8">
        <f t="shared" si="10"/>
        <v>-1.1806375442741102E-3</v>
      </c>
      <c r="U47" s="8">
        <f t="shared" si="11"/>
        <v>3.5386762360446467E-2</v>
      </c>
      <c r="V47" s="8">
        <f t="shared" si="12"/>
        <v>9.7862477465877618E-3</v>
      </c>
      <c r="W47" s="8">
        <f t="shared" si="13"/>
        <v>0</v>
      </c>
      <c r="X47" s="8">
        <f t="shared" si="14"/>
        <v>-2.8938773822806407E-4</v>
      </c>
      <c r="Y47" s="8">
        <f t="shared" si="15"/>
        <v>-3.5749037250454307E-5</v>
      </c>
      <c r="Z47" s="8">
        <f t="shared" si="16"/>
        <v>9.7862477465877618E-3</v>
      </c>
      <c r="AB47" s="26">
        <f t="shared" si="17"/>
        <v>0.13549380834961985</v>
      </c>
      <c r="AC47" s="26">
        <f t="shared" si="18"/>
        <v>2.0250305287903329E-2</v>
      </c>
      <c r="AD47" s="26">
        <f t="shared" si="19"/>
        <v>3.2479578815351527E-3</v>
      </c>
      <c r="AE47" s="26">
        <f t="shared" si="20"/>
        <v>-9.2076960842670278E-4</v>
      </c>
      <c r="AF47" s="26">
        <f t="shared" si="21"/>
        <v>1.5830060214285873E-3</v>
      </c>
      <c r="AG47" s="26">
        <f t="shared" si="22"/>
        <v>-3.3586395151957195E-3</v>
      </c>
      <c r="AH47" s="26">
        <f t="shared" si="23"/>
        <v>3.0043382315386061E-2</v>
      </c>
      <c r="AI47" s="26">
        <f t="shared" si="24"/>
        <v>-2.6155183824496178E-3</v>
      </c>
      <c r="AJ47" s="26">
        <f t="shared" si="25"/>
        <v>-1.0229205971642284E-2</v>
      </c>
      <c r="AK47" s="26">
        <f t="shared" si="26"/>
        <v>1.2775275436433505E-3</v>
      </c>
      <c r="AL47" s="26">
        <f t="shared" si="27"/>
        <v>3.4884860765052521E-3</v>
      </c>
      <c r="AM47" s="26">
        <f t="shared" si="28"/>
        <v>-2.6155183824496178E-3</v>
      </c>
      <c r="AO47" s="27">
        <v>3.204570253572205E-5</v>
      </c>
      <c r="AP47" s="27">
        <v>-4.5012381342444154E-2</v>
      </c>
      <c r="AQ47" s="27">
        <v>-9.695912805508565E-2</v>
      </c>
      <c r="AR47" s="27">
        <v>3.7571341071014285E-3</v>
      </c>
      <c r="AS47" s="27">
        <v>-9.360336386502903E-2</v>
      </c>
      <c r="AT47" s="27">
        <v>0.12819032786395929</v>
      </c>
      <c r="AU47" s="27">
        <v>0.68632919836088258</v>
      </c>
      <c r="AV47" s="27">
        <v>-0.70108252366138457</v>
      </c>
      <c r="AW47" s="27">
        <v>-9.4826306893987331E-3</v>
      </c>
      <c r="AX47" s="27">
        <v>-9.7845873222458125E-3</v>
      </c>
      <c r="AY47" s="27">
        <v>-2.1380632949918564E-2</v>
      </c>
      <c r="AZ47" s="27">
        <v>-1.25333066389811E-2</v>
      </c>
      <c r="BA47" s="27">
        <v>0.16289767981045938</v>
      </c>
      <c r="BB47" s="27" t="e">
        <v>#N/A</v>
      </c>
    </row>
    <row r="48" spans="1:54" x14ac:dyDescent="0.2">
      <c r="A48" s="5">
        <v>26784</v>
      </c>
      <c r="B48" s="6">
        <v>3.9518339310484114</v>
      </c>
      <c r="C48" s="7">
        <v>5.84</v>
      </c>
      <c r="D48" s="7">
        <v>7.26</v>
      </c>
      <c r="E48" s="1">
        <v>7.75</v>
      </c>
      <c r="F48" s="1">
        <v>8</v>
      </c>
      <c r="G48" s="1">
        <v>8.4599999999999991</v>
      </c>
      <c r="H48" s="7">
        <v>103.87</v>
      </c>
      <c r="I48" s="7">
        <v>39.21</v>
      </c>
      <c r="J48" s="7">
        <v>3.57</v>
      </c>
      <c r="K48" s="7">
        <v>241.82</v>
      </c>
      <c r="L48" s="7">
        <v>357.51035749900001</v>
      </c>
      <c r="M48">
        <f t="shared" si="4"/>
        <v>78.42</v>
      </c>
      <c r="O48" s="8">
        <f t="shared" si="5"/>
        <v>7.3308559491667147E-2</v>
      </c>
      <c r="P48" s="8">
        <f t="shared" si="6"/>
        <v>9.5890410958904049E-2</v>
      </c>
      <c r="Q48" s="8">
        <f t="shared" si="7"/>
        <v>3.8567493112947604E-2</v>
      </c>
      <c r="R48" s="8">
        <f t="shared" si="8"/>
        <v>1.2903225806451646E-2</v>
      </c>
      <c r="S48" s="8">
        <f t="shared" si="9"/>
        <v>1.8750000000000044E-2</v>
      </c>
      <c r="T48" s="8">
        <f t="shared" si="10"/>
        <v>2.0094562647754222E-2</v>
      </c>
      <c r="U48" s="8">
        <f t="shared" si="11"/>
        <v>-4.0723981900452566E-2</v>
      </c>
      <c r="V48" s="8">
        <f t="shared" si="12"/>
        <v>4.3866360622290212E-2</v>
      </c>
      <c r="W48" s="8">
        <f t="shared" si="13"/>
        <v>0</v>
      </c>
      <c r="X48" s="8">
        <f t="shared" si="14"/>
        <v>2.894715077330634E-4</v>
      </c>
      <c r="Y48" s="8">
        <f t="shared" si="15"/>
        <v>-2.5018063987225503E-4</v>
      </c>
      <c r="Z48" s="8">
        <f t="shared" si="16"/>
        <v>4.3866360622290212E-2</v>
      </c>
      <c r="AB48" s="26">
        <f t="shared" si="17"/>
        <v>6.8787634999242092E-2</v>
      </c>
      <c r="AC48" s="26">
        <f t="shared" si="18"/>
        <v>9.3373640940327449E-2</v>
      </c>
      <c r="AD48" s="26">
        <f t="shared" si="19"/>
        <v>3.627528478949666E-2</v>
      </c>
      <c r="AE48" s="26">
        <f t="shared" si="20"/>
        <v>1.0690466533942327E-2</v>
      </c>
      <c r="AF48" s="26">
        <f t="shared" si="21"/>
        <v>1.656889058855527E-2</v>
      </c>
      <c r="AG48" s="26">
        <f t="shared" si="22"/>
        <v>1.7916560676832612E-2</v>
      </c>
      <c r="AH48" s="26">
        <f t="shared" si="23"/>
        <v>-4.6067361945512975E-2</v>
      </c>
      <c r="AI48" s="26">
        <f t="shared" si="24"/>
        <v>3.1464594493252833E-2</v>
      </c>
      <c r="AJ48" s="26">
        <f t="shared" si="25"/>
        <v>-1.0229205971642284E-2</v>
      </c>
      <c r="AK48" s="26">
        <f t="shared" si="26"/>
        <v>1.856386789604478E-3</v>
      </c>
      <c r="AL48" s="26">
        <f t="shared" si="27"/>
        <v>3.2740544738834513E-3</v>
      </c>
      <c r="AM48" s="26">
        <f t="shared" si="28"/>
        <v>3.1464594493252833E-2</v>
      </c>
      <c r="AO48" s="27">
        <v>1.8864654921120259E-5</v>
      </c>
      <c r="AP48" s="27">
        <v>3.7755513135106617E-3</v>
      </c>
      <c r="AQ48" s="27">
        <v>0.12198538048545456</v>
      </c>
      <c r="AR48" s="27">
        <v>2.8287004326075144E-3</v>
      </c>
      <c r="AS48" s="27">
        <v>6.0555438977239889E-2</v>
      </c>
      <c r="AT48" s="27">
        <v>-0.24963823184516556</v>
      </c>
      <c r="AU48" s="27">
        <v>-0.64809529818398681</v>
      </c>
      <c r="AV48" s="27">
        <v>-0.70469252165996854</v>
      </c>
      <c r="AW48" s="27">
        <v>-4.8366914683008667E-2</v>
      </c>
      <c r="AX48" s="27">
        <v>-9.9813454767940998E-3</v>
      </c>
      <c r="AY48" s="27">
        <v>2.6009721157653843E-3</v>
      </c>
      <c r="AZ48" s="27">
        <v>6.8034027446702674E-3</v>
      </c>
      <c r="BA48" s="27">
        <v>-6.5335534463505429E-2</v>
      </c>
      <c r="BB48" s="27" t="e">
        <v>#N/A</v>
      </c>
    </row>
    <row r="49" spans="1:54" x14ac:dyDescent="0.2">
      <c r="A49" s="5">
        <v>26815</v>
      </c>
      <c r="B49" s="6">
        <v>4.2415371838838629</v>
      </c>
      <c r="C49" s="7">
        <v>6.3999999999999995</v>
      </c>
      <c r="D49" s="7">
        <v>7.54</v>
      </c>
      <c r="E49" s="1">
        <v>7.85</v>
      </c>
      <c r="F49" s="1">
        <v>8.15</v>
      </c>
      <c r="G49" s="1">
        <v>8.629999999999999</v>
      </c>
      <c r="H49" s="7">
        <v>99.64</v>
      </c>
      <c r="I49" s="7">
        <v>40.93</v>
      </c>
      <c r="J49" s="7">
        <v>3.57</v>
      </c>
      <c r="K49" s="7">
        <v>241.89</v>
      </c>
      <c r="L49" s="7">
        <v>357.42091532899997</v>
      </c>
      <c r="M49">
        <f t="shared" si="4"/>
        <v>81.86</v>
      </c>
      <c r="O49" s="8">
        <f t="shared" si="5"/>
        <v>0.14913846297997768</v>
      </c>
      <c r="P49" s="8">
        <f t="shared" si="6"/>
        <v>2.0312499999999956E-2</v>
      </c>
      <c r="Q49" s="8">
        <f t="shared" si="7"/>
        <v>1.458885941644561E-2</v>
      </c>
      <c r="R49" s="8">
        <f t="shared" si="8"/>
        <v>1.5286624203821653E-2</v>
      </c>
      <c r="S49" s="8">
        <f t="shared" si="9"/>
        <v>7.3619631901837845E-3</v>
      </c>
      <c r="T49" s="8">
        <f t="shared" si="10"/>
        <v>1.5063731170336103E-2</v>
      </c>
      <c r="U49" s="8">
        <f t="shared" si="11"/>
        <v>7.0252910477730524E-4</v>
      </c>
      <c r="V49" s="8">
        <f t="shared" si="12"/>
        <v>-1.88126068898119E-2</v>
      </c>
      <c r="W49" s="8">
        <f t="shared" si="13"/>
        <v>0</v>
      </c>
      <c r="X49" s="8">
        <f t="shared" si="14"/>
        <v>8.2682210922335742E-5</v>
      </c>
      <c r="Y49" s="8">
        <f t="shared" si="15"/>
        <v>0</v>
      </c>
      <c r="Z49" s="8">
        <f t="shared" si="16"/>
        <v>-1.88126068898119E-2</v>
      </c>
      <c r="AB49" s="26">
        <f t="shared" si="17"/>
        <v>0.14461753848755263</v>
      </c>
      <c r="AC49" s="26">
        <f t="shared" si="18"/>
        <v>1.7795729981423362E-2</v>
      </c>
      <c r="AD49" s="26">
        <f t="shared" si="19"/>
        <v>1.2296651092994666E-2</v>
      </c>
      <c r="AE49" s="26">
        <f t="shared" si="20"/>
        <v>1.3073864931312334E-2</v>
      </c>
      <c r="AF49" s="26">
        <f t="shared" si="21"/>
        <v>5.1808537787390117E-3</v>
      </c>
      <c r="AG49" s="26">
        <f t="shared" si="22"/>
        <v>1.2885729199414494E-2</v>
      </c>
      <c r="AH49" s="26">
        <f t="shared" si="23"/>
        <v>-4.6408509402830998E-3</v>
      </c>
      <c r="AI49" s="26">
        <f t="shared" si="24"/>
        <v>-3.121437301884928E-2</v>
      </c>
      <c r="AJ49" s="26">
        <f t="shared" si="25"/>
        <v>-1.0229205971642284E-2</v>
      </c>
      <c r="AK49" s="26">
        <f t="shared" si="26"/>
        <v>1.6495974927937503E-3</v>
      </c>
      <c r="AL49" s="26">
        <f t="shared" si="27"/>
        <v>3.5242351137557064E-3</v>
      </c>
      <c r="AM49" s="26">
        <f t="shared" si="28"/>
        <v>-3.121437301884928E-2</v>
      </c>
      <c r="AO49" s="27">
        <v>7.4857554390940728E-11</v>
      </c>
      <c r="AP49" s="27">
        <v>-0.51610336501668108</v>
      </c>
      <c r="AQ49" s="27">
        <v>-0.40900487909404704</v>
      </c>
      <c r="AR49" s="27">
        <v>-0.24297778805534806</v>
      </c>
      <c r="AS49" s="27">
        <v>1.7778879877937828E-2</v>
      </c>
      <c r="AT49" s="27">
        <v>-6.8574229677547654E-3</v>
      </c>
      <c r="AU49" s="27">
        <v>-8.2120561764615907E-2</v>
      </c>
      <c r="AV49" s="27">
        <v>4.0756668317776723E-3</v>
      </c>
      <c r="AW49" s="27">
        <v>1.3168825639097534E-2</v>
      </c>
      <c r="AX49" s="27">
        <v>2.9385897663910165E-4</v>
      </c>
      <c r="AY49" s="27">
        <v>1.7776790361869943E-3</v>
      </c>
      <c r="AZ49" s="27">
        <v>3.7343009582013692E-3</v>
      </c>
      <c r="BA49" s="27">
        <v>-2.633126764791863E-2</v>
      </c>
      <c r="BB49" s="27" t="e">
        <v>#N/A</v>
      </c>
    </row>
    <row r="50" spans="1:54" x14ac:dyDescent="0.2">
      <c r="A50" s="5">
        <v>26845</v>
      </c>
      <c r="B50" s="6">
        <v>4.8741135201607255</v>
      </c>
      <c r="C50" s="7">
        <v>6.5299999999999994</v>
      </c>
      <c r="D50" s="7">
        <v>7.6499999999999995</v>
      </c>
      <c r="E50" s="1">
        <v>7.97</v>
      </c>
      <c r="F50" s="1">
        <v>8.2099999999999991</v>
      </c>
      <c r="G50" s="1">
        <v>8.76</v>
      </c>
      <c r="H50" s="7">
        <v>99.710000000000008</v>
      </c>
      <c r="I50" s="7">
        <v>40.159999999999997</v>
      </c>
      <c r="J50" s="7">
        <v>3.57</v>
      </c>
      <c r="K50" s="7">
        <v>241.91</v>
      </c>
      <c r="L50" s="7">
        <v>357.42091532899997</v>
      </c>
      <c r="M50">
        <f t="shared" si="4"/>
        <v>80.319999999999993</v>
      </c>
      <c r="O50" s="8">
        <f t="shared" si="5"/>
        <v>0.13873974709051007</v>
      </c>
      <c r="P50" s="8">
        <f t="shared" si="6"/>
        <v>3.2159264931087339E-2</v>
      </c>
      <c r="Q50" s="8">
        <f t="shared" si="7"/>
        <v>0</v>
      </c>
      <c r="R50" s="8">
        <f t="shared" si="8"/>
        <v>0</v>
      </c>
      <c r="S50" s="8">
        <f t="shared" si="9"/>
        <v>1.2180267965897773E-3</v>
      </c>
      <c r="T50" s="8">
        <f t="shared" si="10"/>
        <v>1.1415525114155667E-3</v>
      </c>
      <c r="U50" s="8">
        <f t="shared" si="11"/>
        <v>-4.1119245812857419E-2</v>
      </c>
      <c r="V50" s="8">
        <f t="shared" si="12"/>
        <v>6.8476095617529875E-2</v>
      </c>
      <c r="W50" s="8">
        <f t="shared" si="13"/>
        <v>0</v>
      </c>
      <c r="X50" s="8">
        <f t="shared" si="14"/>
        <v>-1.6535075027901414E-4</v>
      </c>
      <c r="Y50" s="8">
        <f t="shared" si="15"/>
        <v>-3.5738815083674602E-5</v>
      </c>
      <c r="Z50" s="8">
        <f t="shared" si="16"/>
        <v>6.8476095617529875E-2</v>
      </c>
      <c r="AB50" s="26">
        <f t="shared" si="17"/>
        <v>0.13421882259808501</v>
      </c>
      <c r="AC50" s="26">
        <f t="shared" si="18"/>
        <v>2.9642494912510746E-2</v>
      </c>
      <c r="AD50" s="26">
        <f t="shared" si="19"/>
        <v>-2.292208323450944E-3</v>
      </c>
      <c r="AE50" s="26">
        <f t="shared" si="20"/>
        <v>-2.2127592725093184E-3</v>
      </c>
      <c r="AF50" s="26">
        <f t="shared" si="21"/>
        <v>-9.63082614854996E-4</v>
      </c>
      <c r="AG50" s="26">
        <f t="shared" si="22"/>
        <v>-1.0364494595060426E-3</v>
      </c>
      <c r="AH50" s="26">
        <f t="shared" si="23"/>
        <v>-4.6462625857917828E-2</v>
      </c>
      <c r="AI50" s="26">
        <f t="shared" si="24"/>
        <v>5.6074329488492496E-2</v>
      </c>
      <c r="AJ50" s="26">
        <f t="shared" si="25"/>
        <v>-1.0229205971642284E-2</v>
      </c>
      <c r="AK50" s="26">
        <f t="shared" si="26"/>
        <v>1.4015645315924004E-3</v>
      </c>
      <c r="AL50" s="26">
        <f t="shared" si="27"/>
        <v>3.4884962986720318E-3</v>
      </c>
      <c r="AM50" s="26">
        <f t="shared" si="28"/>
        <v>5.6074329488492496E-2</v>
      </c>
    </row>
    <row r="51" spans="1:54" ht="20" x14ac:dyDescent="0.2">
      <c r="A51" s="5">
        <v>26876</v>
      </c>
      <c r="B51" s="6">
        <v>5.5503467972382605</v>
      </c>
      <c r="C51" s="7">
        <v>6.74</v>
      </c>
      <c r="D51" s="7">
        <v>7.6499999999999995</v>
      </c>
      <c r="E51" s="1">
        <v>7.97</v>
      </c>
      <c r="F51" s="1">
        <v>8.2200000000000006</v>
      </c>
      <c r="G51" s="1">
        <v>8.77</v>
      </c>
      <c r="H51" s="7">
        <v>95.61</v>
      </c>
      <c r="I51" s="7">
        <v>42.91</v>
      </c>
      <c r="J51" s="7">
        <v>3.57</v>
      </c>
      <c r="K51" s="7">
        <v>241.87</v>
      </c>
      <c r="L51" s="7">
        <v>357.40814152899998</v>
      </c>
      <c r="M51">
        <f t="shared" si="4"/>
        <v>85.82</v>
      </c>
      <c r="O51" s="8">
        <f t="shared" si="5"/>
        <v>-8.6264489501695518E-2</v>
      </c>
      <c r="P51" s="8">
        <f t="shared" si="6"/>
        <v>-2.2255192878338326E-2</v>
      </c>
      <c r="Q51" s="8">
        <f t="shared" si="7"/>
        <v>-6.5359477124182774E-3</v>
      </c>
      <c r="R51" s="8">
        <f t="shared" si="8"/>
        <v>-3.7641154328733606E-3</v>
      </c>
      <c r="S51" s="8">
        <f t="shared" si="9"/>
        <v>-1.2165450121656152E-3</v>
      </c>
      <c r="T51" s="8">
        <f t="shared" si="10"/>
        <v>0</v>
      </c>
      <c r="U51" s="8">
        <f t="shared" si="11"/>
        <v>3.58749084823764E-2</v>
      </c>
      <c r="V51" s="8">
        <f t="shared" si="12"/>
        <v>-1.1652295502213583E-3</v>
      </c>
      <c r="W51" s="8">
        <f t="shared" si="13"/>
        <v>0</v>
      </c>
      <c r="X51" s="8">
        <f t="shared" si="14"/>
        <v>1.2403357175339025E-4</v>
      </c>
      <c r="Y51" s="8">
        <f t="shared" si="15"/>
        <v>-4.7307750370952917E-3</v>
      </c>
      <c r="Z51" s="8">
        <f t="shared" si="16"/>
        <v>-1.1652295502213583E-3</v>
      </c>
      <c r="AB51" s="26">
        <f t="shared" si="17"/>
        <v>-9.0785413994120573E-2</v>
      </c>
      <c r="AC51" s="26">
        <f t="shared" si="18"/>
        <v>-2.4771962896914919E-2</v>
      </c>
      <c r="AD51" s="26">
        <f t="shared" si="19"/>
        <v>-8.828156035869221E-3</v>
      </c>
      <c r="AE51" s="26">
        <f t="shared" si="20"/>
        <v>-5.9768747053826794E-3</v>
      </c>
      <c r="AF51" s="26">
        <f t="shared" si="21"/>
        <v>-3.3976544236103885E-3</v>
      </c>
      <c r="AG51" s="26">
        <f t="shared" si="22"/>
        <v>-2.1780019709216093E-3</v>
      </c>
      <c r="AH51" s="26">
        <f t="shared" si="23"/>
        <v>3.0531528437315995E-2</v>
      </c>
      <c r="AI51" s="26">
        <f t="shared" si="24"/>
        <v>-1.3566995679258738E-2</v>
      </c>
      <c r="AJ51" s="26">
        <f t="shared" si="25"/>
        <v>-1.0229205971642284E-2</v>
      </c>
      <c r="AK51" s="26">
        <f t="shared" si="26"/>
        <v>1.6909488536248048E-3</v>
      </c>
      <c r="AL51" s="26">
        <f t="shared" si="27"/>
        <v>-1.2065399233395853E-3</v>
      </c>
      <c r="AM51" s="26">
        <f t="shared" si="28"/>
        <v>-1.3566995679258738E-2</v>
      </c>
      <c r="AO51" s="39" t="s">
        <v>71</v>
      </c>
      <c r="AP51" s="34"/>
    </row>
    <row r="52" spans="1:54" x14ac:dyDescent="0.2">
      <c r="A52" s="5">
        <v>26907</v>
      </c>
      <c r="B52" s="6">
        <v>5.071548964217131</v>
      </c>
      <c r="C52" s="7">
        <v>6.59</v>
      </c>
      <c r="D52" s="7">
        <v>7.6</v>
      </c>
      <c r="E52" s="1">
        <v>7.9399999999999995</v>
      </c>
      <c r="F52" s="1">
        <v>8.2099999999999991</v>
      </c>
      <c r="G52" s="1">
        <v>8.77</v>
      </c>
      <c r="H52" s="7">
        <v>99.04</v>
      </c>
      <c r="I52" s="7">
        <v>42.86</v>
      </c>
      <c r="J52" s="7">
        <v>3.57</v>
      </c>
      <c r="K52" s="7">
        <v>241.89999999999998</v>
      </c>
      <c r="L52" s="7">
        <v>355.71732401499997</v>
      </c>
      <c r="M52">
        <f t="shared" si="4"/>
        <v>85.72</v>
      </c>
      <c r="O52" s="8">
        <f t="shared" si="5"/>
        <v>-4.9168457814041777E-2</v>
      </c>
      <c r="P52" s="8">
        <f t="shared" si="6"/>
        <v>-6.6767830045523557E-2</v>
      </c>
      <c r="Q52" s="8">
        <f t="shared" si="7"/>
        <v>-1.9736842105263053E-2</v>
      </c>
      <c r="R52" s="8">
        <f t="shared" si="8"/>
        <v>-1.5113350125944613E-2</v>
      </c>
      <c r="S52" s="8">
        <f t="shared" si="9"/>
        <v>-1.948842874543244E-2</v>
      </c>
      <c r="T52" s="8">
        <f t="shared" si="10"/>
        <v>-1.9384264538198415E-2</v>
      </c>
      <c r="U52" s="8">
        <f t="shared" si="11"/>
        <v>-6.9668820678513432E-3</v>
      </c>
      <c r="V52" s="8">
        <f t="shared" si="12"/>
        <v>-4.6663555762950226E-3</v>
      </c>
      <c r="W52" s="8">
        <f t="shared" si="13"/>
        <v>0</v>
      </c>
      <c r="X52" s="8">
        <f t="shared" si="14"/>
        <v>2.1000413393964523E-2</v>
      </c>
      <c r="Y52" s="8">
        <f t="shared" si="15"/>
        <v>-4.9689303825569797E-2</v>
      </c>
      <c r="Z52" s="8">
        <f t="shared" si="16"/>
        <v>-4.6663555762950226E-3</v>
      </c>
      <c r="AB52" s="26">
        <f t="shared" si="17"/>
        <v>-5.3689382306466832E-2</v>
      </c>
      <c r="AC52" s="26">
        <f t="shared" si="18"/>
        <v>-6.9284600064100157E-2</v>
      </c>
      <c r="AD52" s="26">
        <f t="shared" si="19"/>
        <v>-2.2029050428713996E-2</v>
      </c>
      <c r="AE52" s="26">
        <f t="shared" si="20"/>
        <v>-1.7326109398453932E-2</v>
      </c>
      <c r="AF52" s="26">
        <f t="shared" si="21"/>
        <v>-2.1669538156877215E-2</v>
      </c>
      <c r="AG52" s="26">
        <f t="shared" si="22"/>
        <v>-2.1562266509120024E-2</v>
      </c>
      <c r="AH52" s="26">
        <f t="shared" si="23"/>
        <v>-1.2310262112911748E-2</v>
      </c>
      <c r="AI52" s="26">
        <f t="shared" si="24"/>
        <v>-1.7068121705332402E-2</v>
      </c>
      <c r="AJ52" s="26">
        <f t="shared" si="25"/>
        <v>-1.0229205971642284E-2</v>
      </c>
      <c r="AK52" s="26">
        <f t="shared" si="26"/>
        <v>2.2567328675835937E-2</v>
      </c>
      <c r="AL52" s="26">
        <f t="shared" si="27"/>
        <v>-4.616506871181409E-2</v>
      </c>
      <c r="AM52" s="26">
        <f t="shared" si="28"/>
        <v>-1.7068121705332402E-2</v>
      </c>
      <c r="AO52" t="s">
        <v>109</v>
      </c>
    </row>
    <row r="53" spans="1:54" x14ac:dyDescent="0.2">
      <c r="A53" s="5">
        <v>26937</v>
      </c>
      <c r="B53" s="6">
        <v>4.8221887229181739</v>
      </c>
      <c r="C53" s="7">
        <v>6.1499999999999995</v>
      </c>
      <c r="D53" s="7">
        <v>7.45</v>
      </c>
      <c r="E53" s="1">
        <v>7.8199999999999994</v>
      </c>
      <c r="F53" s="1">
        <v>8.0499999999999989</v>
      </c>
      <c r="G53" s="1">
        <v>8.6</v>
      </c>
      <c r="H53" s="7">
        <v>98.350000000000009</v>
      </c>
      <c r="I53" s="7">
        <v>42.66</v>
      </c>
      <c r="J53" s="7">
        <v>3.57</v>
      </c>
      <c r="K53" s="7">
        <v>246.98</v>
      </c>
      <c r="L53" s="7">
        <v>338.04197782599999</v>
      </c>
      <c r="M53">
        <f t="shared" si="4"/>
        <v>85.32</v>
      </c>
      <c r="O53" s="8">
        <f t="shared" si="5"/>
        <v>-4.9496835935569194E-2</v>
      </c>
      <c r="P53" s="8">
        <f t="shared" si="6"/>
        <v>-3.4146341463414664E-2</v>
      </c>
      <c r="Q53" s="8">
        <f t="shared" si="7"/>
        <v>-6.7114093959732557E-3</v>
      </c>
      <c r="R53" s="8">
        <f t="shared" si="8"/>
        <v>-1.5345268542199419E-2</v>
      </c>
      <c r="S53" s="8">
        <f t="shared" si="9"/>
        <v>-8.6956521739129933E-3</v>
      </c>
      <c r="T53" s="8">
        <f t="shared" si="10"/>
        <v>-1.2790697674418539E-2</v>
      </c>
      <c r="U53" s="8">
        <f t="shared" si="11"/>
        <v>-4.3213014743263889E-2</v>
      </c>
      <c r="V53" s="8">
        <f t="shared" si="12"/>
        <v>-3.5161744022502717E-3</v>
      </c>
      <c r="W53" s="8">
        <f t="shared" si="13"/>
        <v>0</v>
      </c>
      <c r="X53" s="8">
        <f t="shared" si="14"/>
        <v>8.5027127702648198E-3</v>
      </c>
      <c r="Y53" s="8">
        <f t="shared" si="15"/>
        <v>-2.0494725139036163E-2</v>
      </c>
      <c r="Z53" s="8">
        <f t="shared" si="16"/>
        <v>-3.5161744022502717E-3</v>
      </c>
      <c r="AB53" s="26">
        <f t="shared" si="17"/>
        <v>-5.4017760427994249E-2</v>
      </c>
      <c r="AC53" s="26">
        <f t="shared" si="18"/>
        <v>-3.6663111481991258E-2</v>
      </c>
      <c r="AD53" s="26">
        <f t="shared" si="19"/>
        <v>-9.0036177194241993E-3</v>
      </c>
      <c r="AE53" s="26">
        <f t="shared" si="20"/>
        <v>-1.7558027814708738E-2</v>
      </c>
      <c r="AF53" s="26">
        <f t="shared" si="21"/>
        <v>-1.0876761585357766E-2</v>
      </c>
      <c r="AG53" s="26">
        <f t="shared" si="22"/>
        <v>-1.4968699645340148E-2</v>
      </c>
      <c r="AH53" s="26">
        <f t="shared" si="23"/>
        <v>-4.8556394788324297E-2</v>
      </c>
      <c r="AI53" s="26">
        <f t="shared" si="24"/>
        <v>-1.5917940531287651E-2</v>
      </c>
      <c r="AJ53" s="26">
        <f t="shared" si="25"/>
        <v>-1.0229205971642284E-2</v>
      </c>
      <c r="AK53" s="26">
        <f t="shared" si="26"/>
        <v>1.0069628052136233E-2</v>
      </c>
      <c r="AL53" s="26">
        <f t="shared" si="27"/>
        <v>-1.6970490025280456E-2</v>
      </c>
      <c r="AM53" s="26">
        <f t="shared" si="28"/>
        <v>-1.5917940531287651E-2</v>
      </c>
      <c r="AO53" t="s">
        <v>72</v>
      </c>
    </row>
    <row r="54" spans="1:54" x14ac:dyDescent="0.2">
      <c r="A54" s="5">
        <v>26968</v>
      </c>
      <c r="B54" s="6">
        <v>4.583505638849541</v>
      </c>
      <c r="C54" s="7">
        <v>5.9399999999999995</v>
      </c>
      <c r="D54" s="7">
        <v>7.3999999999999995</v>
      </c>
      <c r="E54" s="1">
        <v>7.7</v>
      </c>
      <c r="F54" s="1">
        <v>7.9799999999999995</v>
      </c>
      <c r="G54" s="1">
        <v>8.49</v>
      </c>
      <c r="H54" s="7">
        <v>94.100000000000009</v>
      </c>
      <c r="I54" s="7">
        <v>42.51</v>
      </c>
      <c r="J54" s="7">
        <v>3.57</v>
      </c>
      <c r="K54" s="7">
        <v>249.07999999999998</v>
      </c>
      <c r="L54" s="7">
        <v>331.11390040499998</v>
      </c>
      <c r="M54">
        <f t="shared" si="4"/>
        <v>85.02</v>
      </c>
      <c r="O54" s="8">
        <f t="shared" si="5"/>
        <v>-5.4273200641998365E-2</v>
      </c>
      <c r="P54" s="8">
        <f t="shared" si="6"/>
        <v>-2.0202020202020221E-2</v>
      </c>
      <c r="Q54" s="8">
        <f t="shared" si="7"/>
        <v>-1.7567567567567499E-2</v>
      </c>
      <c r="R54" s="8">
        <f t="shared" si="8"/>
        <v>-1.6883116883116944E-2</v>
      </c>
      <c r="S54" s="8">
        <f t="shared" si="9"/>
        <v>-1.1278195488721776E-2</v>
      </c>
      <c r="T54" s="8">
        <f t="shared" si="10"/>
        <v>-1.1778563015312105E-2</v>
      </c>
      <c r="U54" s="8">
        <f t="shared" si="11"/>
        <v>-1.0626992561105775E-3</v>
      </c>
      <c r="V54" s="8">
        <f t="shared" si="12"/>
        <v>2.1171489061397208E-2</v>
      </c>
      <c r="W54" s="8">
        <f t="shared" si="13"/>
        <v>0</v>
      </c>
      <c r="X54" s="8">
        <f t="shared" si="14"/>
        <v>1.1241368235104243E-3</v>
      </c>
      <c r="Y54" s="8">
        <f t="shared" si="15"/>
        <v>-7.1008441238018527E-3</v>
      </c>
      <c r="Z54" s="8">
        <f t="shared" si="16"/>
        <v>2.1171489061397208E-2</v>
      </c>
      <c r="AB54" s="26">
        <f t="shared" si="17"/>
        <v>-5.8794125134423419E-2</v>
      </c>
      <c r="AC54" s="26">
        <f t="shared" si="18"/>
        <v>-2.2718790220596814E-2</v>
      </c>
      <c r="AD54" s="26">
        <f t="shared" si="19"/>
        <v>-1.9859775891018443E-2</v>
      </c>
      <c r="AE54" s="26">
        <f t="shared" si="20"/>
        <v>-1.9095876155626263E-2</v>
      </c>
      <c r="AF54" s="26">
        <f t="shared" si="21"/>
        <v>-1.3459304900166549E-2</v>
      </c>
      <c r="AG54" s="26">
        <f t="shared" si="22"/>
        <v>-1.3956564986233714E-2</v>
      </c>
      <c r="AH54" s="26">
        <f t="shared" si="23"/>
        <v>-6.4060793011709825E-3</v>
      </c>
      <c r="AI54" s="26">
        <f t="shared" si="24"/>
        <v>8.7697229323598289E-3</v>
      </c>
      <c r="AJ54" s="26">
        <f t="shared" si="25"/>
        <v>-1.0229205971642284E-2</v>
      </c>
      <c r="AK54" s="26">
        <f t="shared" si="26"/>
        <v>2.6910521053818389E-3</v>
      </c>
      <c r="AL54" s="26">
        <f t="shared" si="27"/>
        <v>-3.5766090100461463E-3</v>
      </c>
      <c r="AM54" s="26">
        <f t="shared" si="28"/>
        <v>8.7697229323598289E-3</v>
      </c>
      <c r="AO54" t="s">
        <v>110</v>
      </c>
    </row>
    <row r="55" spans="1:54" x14ac:dyDescent="0.2">
      <c r="A55" s="5">
        <v>26998</v>
      </c>
      <c r="B55" s="6">
        <v>4.3347441176685289</v>
      </c>
      <c r="C55" s="7">
        <v>5.8199999999999994</v>
      </c>
      <c r="D55" s="7">
        <v>7.27</v>
      </c>
      <c r="E55" s="1">
        <v>7.5699999999999994</v>
      </c>
      <c r="F55" s="1">
        <v>7.89</v>
      </c>
      <c r="G55" s="1">
        <v>8.39</v>
      </c>
      <c r="H55" s="7">
        <v>94</v>
      </c>
      <c r="I55" s="7">
        <v>43.41</v>
      </c>
      <c r="J55" s="7">
        <v>3.57</v>
      </c>
      <c r="K55" s="7">
        <v>249.35999999999999</v>
      </c>
      <c r="L55" s="7">
        <v>328.76271221100001</v>
      </c>
      <c r="M55">
        <f t="shared" si="4"/>
        <v>86.82</v>
      </c>
      <c r="O55" s="8">
        <f t="shared" si="5"/>
        <v>-5.0156639989847207E-2</v>
      </c>
      <c r="P55" s="8">
        <f t="shared" si="6"/>
        <v>2.0618556701030855E-2</v>
      </c>
      <c r="Q55" s="8">
        <f t="shared" si="7"/>
        <v>-1.3755158184318717E-3</v>
      </c>
      <c r="R55" s="8">
        <f t="shared" si="8"/>
        <v>1.3210039630120463E-3</v>
      </c>
      <c r="S55" s="8">
        <f t="shared" si="9"/>
        <v>-8.8719898605830183E-3</v>
      </c>
      <c r="T55" s="8">
        <f t="shared" si="10"/>
        <v>0</v>
      </c>
      <c r="U55" s="8">
        <f t="shared" si="11"/>
        <v>8.4680851063829943E-2</v>
      </c>
      <c r="V55" s="8">
        <f t="shared" si="12"/>
        <v>3.4554250172771361E-3</v>
      </c>
      <c r="W55" s="8">
        <f t="shared" si="13"/>
        <v>0</v>
      </c>
      <c r="X55" s="8">
        <f t="shared" si="14"/>
        <v>6.817452678858027E-3</v>
      </c>
      <c r="Y55" s="8">
        <f t="shared" si="15"/>
        <v>-2.6592042096881929E-2</v>
      </c>
      <c r="Z55" s="8">
        <f t="shared" si="16"/>
        <v>3.4554250172771361E-3</v>
      </c>
      <c r="AB55" s="26">
        <f t="shared" si="17"/>
        <v>-5.4677564482272262E-2</v>
      </c>
      <c r="AC55" s="26">
        <f t="shared" si="18"/>
        <v>1.8101786682454261E-2</v>
      </c>
      <c r="AD55" s="26">
        <f t="shared" si="19"/>
        <v>-3.6677241418828156E-3</v>
      </c>
      <c r="AE55" s="26">
        <f t="shared" si="20"/>
        <v>-8.9175530949727215E-4</v>
      </c>
      <c r="AF55" s="26">
        <f t="shared" si="21"/>
        <v>-1.1053099272027791E-2</v>
      </c>
      <c r="AG55" s="26">
        <f t="shared" si="22"/>
        <v>-2.1780019709216093E-3</v>
      </c>
      <c r="AH55" s="26">
        <f t="shared" si="23"/>
        <v>7.9337471018769534E-2</v>
      </c>
      <c r="AI55" s="26">
        <f t="shared" si="24"/>
        <v>-8.9463411117602434E-3</v>
      </c>
      <c r="AJ55" s="26">
        <f t="shared" si="25"/>
        <v>-1.0229205971642284E-2</v>
      </c>
      <c r="AK55" s="26">
        <f t="shared" si="26"/>
        <v>8.3843679607294407E-3</v>
      </c>
      <c r="AL55" s="26">
        <f t="shared" si="27"/>
        <v>-2.3067806983126223E-2</v>
      </c>
      <c r="AM55" s="26">
        <f t="shared" si="28"/>
        <v>-8.9463411117602434E-3</v>
      </c>
    </row>
    <row r="56" spans="1:54" x14ac:dyDescent="0.2">
      <c r="A56" s="5">
        <v>27029</v>
      </c>
      <c r="B56" s="6">
        <v>4.1173279175105204</v>
      </c>
      <c r="C56" s="7">
        <v>5.9399999999999995</v>
      </c>
      <c r="D56" s="7">
        <v>7.26</v>
      </c>
      <c r="E56" s="1">
        <v>7.58</v>
      </c>
      <c r="F56" s="1">
        <v>7.8199999999999994</v>
      </c>
      <c r="G56" s="1">
        <v>8.39</v>
      </c>
      <c r="H56" s="7">
        <v>101.96000000000001</v>
      </c>
      <c r="I56" s="7">
        <v>43.559999999999995</v>
      </c>
      <c r="J56" s="7">
        <v>3.57</v>
      </c>
      <c r="K56" s="7">
        <v>251.06</v>
      </c>
      <c r="L56" s="7">
        <v>320.020240328</v>
      </c>
      <c r="M56">
        <f t="shared" si="4"/>
        <v>87.11999999999999</v>
      </c>
      <c r="O56" s="8">
        <f t="shared" si="5"/>
        <v>-0.15807624205935378</v>
      </c>
      <c r="P56" s="8">
        <f t="shared" si="6"/>
        <v>3.3670033670034627E-3</v>
      </c>
      <c r="Q56" s="8">
        <f t="shared" si="7"/>
        <v>-8.2644628099173278E-3</v>
      </c>
      <c r="R56" s="8">
        <f t="shared" si="8"/>
        <v>-6.5963060686017316E-3</v>
      </c>
      <c r="S56" s="8">
        <f t="shared" si="9"/>
        <v>-1.4066496163682829E-2</v>
      </c>
      <c r="T56" s="8">
        <f t="shared" si="10"/>
        <v>-1.7878426698450522E-2</v>
      </c>
      <c r="U56" s="8">
        <f t="shared" si="11"/>
        <v>1.9517457826598639E-2</v>
      </c>
      <c r="V56" s="8">
        <f t="shared" si="12"/>
        <v>6.0835629017447435E-2</v>
      </c>
      <c r="W56" s="8">
        <f t="shared" si="13"/>
        <v>0</v>
      </c>
      <c r="X56" s="8">
        <f t="shared" si="14"/>
        <v>3.313948856846971E-2</v>
      </c>
      <c r="Y56" s="8">
        <f t="shared" si="15"/>
        <v>-2.953013321380582E-2</v>
      </c>
      <c r="Z56" s="8">
        <f t="shared" si="16"/>
        <v>6.0835629017447435E-2</v>
      </c>
      <c r="AB56" s="26">
        <f t="shared" si="17"/>
        <v>-0.16259716655177883</v>
      </c>
      <c r="AC56" s="26">
        <f t="shared" si="18"/>
        <v>8.5023334842686867E-4</v>
      </c>
      <c r="AD56" s="26">
        <f t="shared" si="19"/>
        <v>-1.0556671133368271E-2</v>
      </c>
      <c r="AE56" s="26">
        <f t="shared" si="20"/>
        <v>-8.8090653411110505E-3</v>
      </c>
      <c r="AF56" s="26">
        <f t="shared" si="21"/>
        <v>-1.6247605575127604E-2</v>
      </c>
      <c r="AG56" s="26">
        <f t="shared" si="22"/>
        <v>-2.0056428669372132E-2</v>
      </c>
      <c r="AH56" s="26">
        <f t="shared" si="23"/>
        <v>1.4174077781538234E-2</v>
      </c>
      <c r="AI56" s="26">
        <f t="shared" si="24"/>
        <v>4.8433862888410055E-2</v>
      </c>
      <c r="AJ56" s="26">
        <f t="shared" si="25"/>
        <v>-1.0229205971642284E-2</v>
      </c>
      <c r="AK56" s="26">
        <f t="shared" si="26"/>
        <v>3.4706403850341128E-2</v>
      </c>
      <c r="AL56" s="26">
        <f t="shared" si="27"/>
        <v>-2.6005898100050114E-2</v>
      </c>
      <c r="AM56" s="26">
        <f t="shared" si="28"/>
        <v>4.8433862888410055E-2</v>
      </c>
    </row>
    <row r="57" spans="1:54" x14ac:dyDescent="0.2">
      <c r="A57" s="5">
        <v>27060</v>
      </c>
      <c r="B57" s="14">
        <v>3.4664761929843926</v>
      </c>
      <c r="C57" s="14">
        <v>5.96</v>
      </c>
      <c r="D57" s="1">
        <v>7.2</v>
      </c>
      <c r="E57" s="1">
        <v>7.5299999999999994</v>
      </c>
      <c r="F57" s="1">
        <v>7.71</v>
      </c>
      <c r="G57" s="1">
        <v>8.24</v>
      </c>
      <c r="H57" s="1">
        <v>103.95</v>
      </c>
      <c r="I57" s="1">
        <v>46.21</v>
      </c>
      <c r="J57" s="1">
        <v>3.57</v>
      </c>
      <c r="K57" s="1">
        <v>259.38</v>
      </c>
      <c r="L57" s="1">
        <v>310.57</v>
      </c>
      <c r="M57">
        <f t="shared" si="4"/>
        <v>92.42</v>
      </c>
      <c r="O57" s="8">
        <f t="shared" si="5"/>
        <v>-5.3533840142821476E-2</v>
      </c>
      <c r="P57" s="8">
        <f t="shared" si="6"/>
        <v>2.1812080536912637E-2</v>
      </c>
      <c r="Q57" s="8">
        <f t="shared" si="7"/>
        <v>1.1111111111111072E-2</v>
      </c>
      <c r="R57" s="8">
        <f t="shared" si="8"/>
        <v>0</v>
      </c>
      <c r="S57" s="8">
        <f t="shared" si="9"/>
        <v>0</v>
      </c>
      <c r="T57" s="8">
        <f t="shared" si="10"/>
        <v>0</v>
      </c>
      <c r="U57" s="8">
        <f t="shared" si="11"/>
        <v>2.5300625300625157E-2</v>
      </c>
      <c r="V57" s="8">
        <f t="shared" si="12"/>
        <v>5.2802423717809965E-2</v>
      </c>
      <c r="W57" s="8">
        <f t="shared" si="13"/>
        <v>0</v>
      </c>
      <c r="X57" s="8">
        <f t="shared" si="14"/>
        <v>4.703523787493058E-3</v>
      </c>
      <c r="Y57" s="8">
        <f t="shared" si="15"/>
        <v>-2.3054383874810958E-2</v>
      </c>
      <c r="Z57" s="8">
        <f t="shared" si="16"/>
        <v>5.2802423717809965E-2</v>
      </c>
      <c r="AB57" s="26">
        <f t="shared" si="17"/>
        <v>-5.8054764635246531E-2</v>
      </c>
      <c r="AC57" s="26">
        <f t="shared" si="18"/>
        <v>1.9295310518336044E-2</v>
      </c>
      <c r="AD57" s="26">
        <f t="shared" si="19"/>
        <v>8.8189027876601281E-3</v>
      </c>
      <c r="AE57" s="26">
        <f t="shared" si="20"/>
        <v>-2.2127592725093184E-3</v>
      </c>
      <c r="AF57" s="26">
        <f t="shared" si="21"/>
        <v>-2.1811094114447733E-3</v>
      </c>
      <c r="AG57" s="26">
        <f t="shared" si="22"/>
        <v>-2.1780019709216093E-3</v>
      </c>
      <c r="AH57" s="26">
        <f t="shared" si="23"/>
        <v>1.9957245255564752E-2</v>
      </c>
      <c r="AI57" s="26">
        <f t="shared" si="24"/>
        <v>4.0400657588772586E-2</v>
      </c>
      <c r="AJ57" s="26">
        <f t="shared" si="25"/>
        <v>-1.0229205971642284E-2</v>
      </c>
      <c r="AK57" s="26">
        <f t="shared" si="26"/>
        <v>6.2704390693644725E-3</v>
      </c>
      <c r="AL57" s="26">
        <f t="shared" si="27"/>
        <v>-1.9530148761055251E-2</v>
      </c>
      <c r="AM57" s="26">
        <f t="shared" si="28"/>
        <v>4.0400657588772586E-2</v>
      </c>
    </row>
    <row r="58" spans="1:54" x14ac:dyDescent="0.2">
      <c r="A58" s="5">
        <v>27088</v>
      </c>
      <c r="B58" s="14">
        <v>3.2809024106102695</v>
      </c>
      <c r="C58" s="14">
        <v>6.09</v>
      </c>
      <c r="D58" s="1">
        <v>7.2799999999999994</v>
      </c>
      <c r="E58" s="1">
        <v>7.5299999999999994</v>
      </c>
      <c r="F58" s="1">
        <v>7.71</v>
      </c>
      <c r="G58" s="1">
        <v>8.24</v>
      </c>
      <c r="H58" s="1">
        <v>106.58</v>
      </c>
      <c r="I58" s="1">
        <v>48.65</v>
      </c>
      <c r="J58" s="1">
        <v>3.57</v>
      </c>
      <c r="K58" s="1">
        <v>260.59999999999997</v>
      </c>
      <c r="L58" s="1">
        <v>303.40999999999997</v>
      </c>
      <c r="M58">
        <f t="shared" si="4"/>
        <v>97.3</v>
      </c>
      <c r="O58" s="8">
        <f t="shared" si="5"/>
        <v>0.1666918573171654</v>
      </c>
      <c r="P58" s="8">
        <f t="shared" si="6"/>
        <v>-1.6420361247947435E-3</v>
      </c>
      <c r="Q58" s="8">
        <f t="shared" si="7"/>
        <v>-4.1208791208789952E-3</v>
      </c>
      <c r="R58" s="8">
        <f t="shared" si="8"/>
        <v>1.3280212483399723E-3</v>
      </c>
      <c r="S58" s="8">
        <f t="shared" si="9"/>
        <v>-5.188067444876765E-3</v>
      </c>
      <c r="T58" s="8">
        <f t="shared" si="10"/>
        <v>1.2135922330096527E-3</v>
      </c>
      <c r="U58" s="8">
        <f t="shared" si="11"/>
        <v>5.9110527303434246E-3</v>
      </c>
      <c r="V58" s="8">
        <f t="shared" si="12"/>
        <v>-4.9331963001028045E-3</v>
      </c>
      <c r="W58" s="8">
        <f t="shared" si="13"/>
        <v>0</v>
      </c>
      <c r="X58" s="8">
        <f t="shared" si="14"/>
        <v>3.9907904834997066E-3</v>
      </c>
      <c r="Y58" s="8">
        <f t="shared" si="15"/>
        <v>3.032200652582473E-3</v>
      </c>
      <c r="Z58" s="8">
        <f t="shared" si="16"/>
        <v>-4.9331963001028045E-3</v>
      </c>
      <c r="AB58" s="26">
        <f t="shared" si="17"/>
        <v>0.16217093282474035</v>
      </c>
      <c r="AC58" s="26">
        <f t="shared" si="18"/>
        <v>-4.1588061433713375E-3</v>
      </c>
      <c r="AD58" s="26">
        <f t="shared" si="19"/>
        <v>-6.4130874443299388E-3</v>
      </c>
      <c r="AE58" s="26">
        <f t="shared" si="20"/>
        <v>-8.8473802416934614E-4</v>
      </c>
      <c r="AF58" s="26">
        <f t="shared" si="21"/>
        <v>-7.3691768563215378E-3</v>
      </c>
      <c r="AG58" s="26">
        <f t="shared" si="22"/>
        <v>-9.6440973791195664E-4</v>
      </c>
      <c r="AH58" s="26">
        <f t="shared" si="23"/>
        <v>5.6767268528301953E-4</v>
      </c>
      <c r="AI58" s="26">
        <f t="shared" si="24"/>
        <v>-1.7334962429140184E-2</v>
      </c>
      <c r="AJ58" s="26">
        <f t="shared" si="25"/>
        <v>-1.0229205971642284E-2</v>
      </c>
      <c r="AK58" s="26">
        <f t="shared" si="26"/>
        <v>5.5577057653711211E-3</v>
      </c>
      <c r="AL58" s="26">
        <f t="shared" si="27"/>
        <v>6.5564357663381798E-3</v>
      </c>
      <c r="AM58" s="26">
        <f t="shared" si="28"/>
        <v>-1.7334962429140184E-2</v>
      </c>
    </row>
    <row r="59" spans="1:54" x14ac:dyDescent="0.2">
      <c r="A59" s="5">
        <v>27119</v>
      </c>
      <c r="B59" s="14">
        <v>3.8278021271112603</v>
      </c>
      <c r="C59" s="14">
        <v>6.08</v>
      </c>
      <c r="D59" s="1">
        <v>7.25</v>
      </c>
      <c r="E59" s="1">
        <v>7.54</v>
      </c>
      <c r="F59" s="1">
        <v>7.67</v>
      </c>
      <c r="G59" s="1">
        <v>8.25</v>
      </c>
      <c r="H59" s="1">
        <v>107.21000000000001</v>
      </c>
      <c r="I59" s="1">
        <v>48.41</v>
      </c>
      <c r="J59" s="1">
        <v>3.57</v>
      </c>
      <c r="K59" s="1">
        <v>261.64</v>
      </c>
      <c r="L59" s="1">
        <v>304.33</v>
      </c>
      <c r="M59">
        <f t="shared" si="4"/>
        <v>96.82</v>
      </c>
      <c r="O59" s="8">
        <f t="shared" si="5"/>
        <v>-5.3985503434353932E-3</v>
      </c>
      <c r="P59" s="8">
        <f t="shared" si="6"/>
        <v>1.9736842105263275E-2</v>
      </c>
      <c r="Q59" s="8">
        <f t="shared" si="7"/>
        <v>8.2758620689653561E-3</v>
      </c>
      <c r="R59" s="8">
        <f t="shared" si="8"/>
        <v>5.3050397877985045E-3</v>
      </c>
      <c r="S59" s="8">
        <f t="shared" si="9"/>
        <v>1.0430247718383301E-2</v>
      </c>
      <c r="T59" s="8">
        <f t="shared" si="10"/>
        <v>0</v>
      </c>
      <c r="U59" s="8">
        <f t="shared" si="11"/>
        <v>4.3839194105026458E-3</v>
      </c>
      <c r="V59" s="8">
        <f t="shared" si="12"/>
        <v>1.8591200165255062E-2</v>
      </c>
      <c r="W59" s="8">
        <f t="shared" si="13"/>
        <v>0</v>
      </c>
      <c r="X59" s="8">
        <f t="shared" si="14"/>
        <v>-2.0256841461548936E-3</v>
      </c>
      <c r="Y59" s="8">
        <f t="shared" si="15"/>
        <v>1.84010777774124E-3</v>
      </c>
      <c r="Z59" s="8">
        <f t="shared" si="16"/>
        <v>1.8591200165255062E-2</v>
      </c>
      <c r="AB59" s="26">
        <f t="shared" si="17"/>
        <v>-9.9194748358604461E-3</v>
      </c>
      <c r="AC59" s="26">
        <f t="shared" si="18"/>
        <v>1.7220072086686682E-2</v>
      </c>
      <c r="AD59" s="26">
        <f t="shared" si="19"/>
        <v>5.9836537455144126E-3</v>
      </c>
      <c r="AE59" s="26">
        <f t="shared" si="20"/>
        <v>3.0922805152891861E-3</v>
      </c>
      <c r="AF59" s="26">
        <f t="shared" si="21"/>
        <v>8.249138306938528E-3</v>
      </c>
      <c r="AG59" s="26">
        <f t="shared" si="22"/>
        <v>-2.1780019709216093E-3</v>
      </c>
      <c r="AH59" s="26">
        <f t="shared" si="23"/>
        <v>-9.5946063455775929E-4</v>
      </c>
      <c r="AI59" s="26">
        <f t="shared" si="24"/>
        <v>6.1894340362176822E-3</v>
      </c>
      <c r="AJ59" s="26">
        <f t="shared" si="25"/>
        <v>-1.0229205971642284E-2</v>
      </c>
      <c r="AK59" s="26">
        <f t="shared" si="26"/>
        <v>-4.5876886428347901E-4</v>
      </c>
      <c r="AL59" s="26">
        <f t="shared" si="27"/>
        <v>5.3643428914969468E-3</v>
      </c>
      <c r="AM59" s="26">
        <f t="shared" si="28"/>
        <v>6.1894340362176822E-3</v>
      </c>
    </row>
    <row r="60" spans="1:54" x14ac:dyDescent="0.2">
      <c r="A60" s="5">
        <v>27149</v>
      </c>
      <c r="B60" s="14">
        <v>3.8071375446233411</v>
      </c>
      <c r="C60" s="14">
        <v>6.2</v>
      </c>
      <c r="D60" s="1">
        <v>7.31</v>
      </c>
      <c r="E60" s="1">
        <v>7.58</v>
      </c>
      <c r="F60" s="1">
        <v>7.75</v>
      </c>
      <c r="G60" s="1">
        <v>8.25</v>
      </c>
      <c r="H60" s="1">
        <v>107.68</v>
      </c>
      <c r="I60" s="1">
        <v>49.309999999999995</v>
      </c>
      <c r="J60" s="1">
        <v>3.57</v>
      </c>
      <c r="K60" s="1">
        <v>261.11</v>
      </c>
      <c r="L60" s="1">
        <v>304.89</v>
      </c>
      <c r="M60">
        <f t="shared" si="4"/>
        <v>98.61999999999999</v>
      </c>
      <c r="O60" s="8">
        <f t="shared" si="5"/>
        <v>-5.4272988969504832E-3</v>
      </c>
      <c r="P60" s="8">
        <f t="shared" si="6"/>
        <v>-9.6774193548387899E-3</v>
      </c>
      <c r="Q60" s="8">
        <f t="shared" si="7"/>
        <v>0</v>
      </c>
      <c r="R60" s="8">
        <f t="shared" si="8"/>
        <v>-1.3192612137203907E-3</v>
      </c>
      <c r="S60" s="8">
        <f t="shared" si="9"/>
        <v>1.290322580645098E-3</v>
      </c>
      <c r="T60" s="8">
        <f t="shared" si="10"/>
        <v>-1.2121212121212199E-3</v>
      </c>
      <c r="U60" s="8">
        <f t="shared" si="11"/>
        <v>1.5601783060921193E-2</v>
      </c>
      <c r="V60" s="8">
        <f t="shared" si="12"/>
        <v>0.2048266071790712</v>
      </c>
      <c r="W60" s="8">
        <f t="shared" si="13"/>
        <v>0</v>
      </c>
      <c r="X60" s="8">
        <f t="shared" si="14"/>
        <v>7.6596070621581802E-4</v>
      </c>
      <c r="Y60" s="8">
        <f t="shared" si="15"/>
        <v>-6.2317557151758685E-4</v>
      </c>
      <c r="Z60" s="8">
        <f t="shared" si="16"/>
        <v>0.2048266071790712</v>
      </c>
      <c r="AB60" s="26">
        <f t="shared" si="17"/>
        <v>-9.9482233893755361E-3</v>
      </c>
      <c r="AC60" s="26">
        <f t="shared" si="18"/>
        <v>-1.2194189373415383E-2</v>
      </c>
      <c r="AD60" s="26">
        <f t="shared" si="19"/>
        <v>-2.292208323450944E-3</v>
      </c>
      <c r="AE60" s="26">
        <f t="shared" si="20"/>
        <v>-3.5320204862297091E-3</v>
      </c>
      <c r="AF60" s="26">
        <f t="shared" si="21"/>
        <v>-8.9078683079967533E-4</v>
      </c>
      <c r="AG60" s="26">
        <f t="shared" si="22"/>
        <v>-3.3901231830428293E-3</v>
      </c>
      <c r="AH60" s="26">
        <f t="shared" si="23"/>
        <v>1.0258403015860788E-2</v>
      </c>
      <c r="AI60" s="26">
        <f t="shared" si="24"/>
        <v>0.19242484105003382</v>
      </c>
      <c r="AJ60" s="26">
        <f t="shared" si="25"/>
        <v>-1.0229205971642284E-2</v>
      </c>
      <c r="AK60" s="26">
        <f t="shared" si="26"/>
        <v>2.3328759880872326E-3</v>
      </c>
      <c r="AL60" s="26">
        <f t="shared" si="27"/>
        <v>2.9010595422381195E-3</v>
      </c>
      <c r="AM60" s="26">
        <f t="shared" si="28"/>
        <v>0.19242484105003382</v>
      </c>
    </row>
    <row r="61" spans="1:54" x14ac:dyDescent="0.2">
      <c r="A61" s="5">
        <v>27180</v>
      </c>
      <c r="B61" s="14">
        <v>3.7864750712268682</v>
      </c>
      <c r="C61" s="14">
        <v>6.14</v>
      </c>
      <c r="D61" s="1">
        <v>7.31</v>
      </c>
      <c r="E61" s="1">
        <v>7.5699999999999994</v>
      </c>
      <c r="F61" s="1">
        <v>7.76</v>
      </c>
      <c r="G61" s="1">
        <v>8.24</v>
      </c>
      <c r="H61" s="1">
        <v>109.36</v>
      </c>
      <c r="I61" s="1">
        <v>59.41</v>
      </c>
      <c r="J61" s="1">
        <v>3.57</v>
      </c>
      <c r="K61" s="1">
        <v>261.31</v>
      </c>
      <c r="L61" s="1">
        <v>304.7</v>
      </c>
      <c r="M61">
        <f t="shared" si="4"/>
        <v>118.82</v>
      </c>
      <c r="O61" s="8">
        <f t="shared" si="5"/>
        <v>6.0056716714089298E-2</v>
      </c>
      <c r="P61" s="8">
        <f t="shared" si="6"/>
        <v>-3.2573289902279035E-3</v>
      </c>
      <c r="Q61" s="8">
        <f t="shared" si="7"/>
        <v>-9.5759233926128173E-3</v>
      </c>
      <c r="R61" s="8">
        <f t="shared" si="8"/>
        <v>-6.6050198150594541E-3</v>
      </c>
      <c r="S61" s="8">
        <f t="shared" si="9"/>
        <v>-7.7319587628865705E-3</v>
      </c>
      <c r="T61" s="8">
        <f t="shared" si="10"/>
        <v>-3.6407766990292911E-3</v>
      </c>
      <c r="U61" s="8">
        <f t="shared" si="11"/>
        <v>-2.0208485735186521E-2</v>
      </c>
      <c r="V61" s="8">
        <f t="shared" si="12"/>
        <v>7.7428042417101661E-2</v>
      </c>
      <c r="W61" s="8">
        <f t="shared" si="13"/>
        <v>0</v>
      </c>
      <c r="X61" s="8">
        <f t="shared" si="14"/>
        <v>-6.5822203513068889E-2</v>
      </c>
      <c r="Y61" s="8">
        <f t="shared" si="15"/>
        <v>-1.2340006563833272E-2</v>
      </c>
      <c r="Z61" s="8">
        <f t="shared" si="16"/>
        <v>7.7428042417101661E-2</v>
      </c>
      <c r="AB61" s="26">
        <f t="shared" si="17"/>
        <v>5.5535792221664243E-2</v>
      </c>
      <c r="AC61" s="26">
        <f t="shared" si="18"/>
        <v>-5.7740990088044975E-3</v>
      </c>
      <c r="AD61" s="26">
        <f t="shared" si="19"/>
        <v>-1.1868131716063761E-2</v>
      </c>
      <c r="AE61" s="26">
        <f t="shared" si="20"/>
        <v>-8.817779087568773E-3</v>
      </c>
      <c r="AF61" s="26">
        <f t="shared" si="21"/>
        <v>-9.9130681743313433E-3</v>
      </c>
      <c r="AG61" s="26">
        <f t="shared" si="22"/>
        <v>-5.8187786699509005E-3</v>
      </c>
      <c r="AH61" s="26">
        <f t="shared" si="23"/>
        <v>-2.5551865780246926E-2</v>
      </c>
      <c r="AI61" s="26">
        <f t="shared" si="24"/>
        <v>6.5026276288064289E-2</v>
      </c>
      <c r="AJ61" s="26">
        <f t="shared" si="25"/>
        <v>-1.0229205971642284E-2</v>
      </c>
      <c r="AK61" s="26">
        <f t="shared" si="26"/>
        <v>-6.4255288231197472E-2</v>
      </c>
      <c r="AL61" s="26">
        <f t="shared" si="27"/>
        <v>-8.8157714500775655E-3</v>
      </c>
      <c r="AM61" s="26">
        <f t="shared" si="28"/>
        <v>6.5026276288064289E-2</v>
      </c>
    </row>
    <row r="62" spans="1:54" x14ac:dyDescent="0.2">
      <c r="A62" s="5">
        <v>27210</v>
      </c>
      <c r="B62" s="14">
        <v>4.0138783319245013</v>
      </c>
      <c r="C62" s="14">
        <v>6.12</v>
      </c>
      <c r="D62" s="1">
        <v>7.24</v>
      </c>
      <c r="E62" s="1">
        <v>7.52</v>
      </c>
      <c r="F62" s="1">
        <v>7.7</v>
      </c>
      <c r="G62" s="1">
        <v>8.2099999999999991</v>
      </c>
      <c r="H62" s="1">
        <v>107.15</v>
      </c>
      <c r="I62" s="1">
        <v>64.010000000000005</v>
      </c>
      <c r="J62" s="1">
        <v>3.57</v>
      </c>
      <c r="K62" s="1">
        <v>244.10999999999999</v>
      </c>
      <c r="L62" s="1">
        <v>300.94</v>
      </c>
      <c r="M62">
        <f t="shared" si="4"/>
        <v>128.02000000000001</v>
      </c>
      <c r="O62" s="8">
        <f t="shared" si="5"/>
        <v>1.8039700425640737E-2</v>
      </c>
      <c r="P62" s="8">
        <f t="shared" si="6"/>
        <v>0</v>
      </c>
      <c r="Q62" s="8">
        <f t="shared" si="7"/>
        <v>-2.7624309392265678E-3</v>
      </c>
      <c r="R62" s="8">
        <f t="shared" si="8"/>
        <v>-1.3297872340425343E-3</v>
      </c>
      <c r="S62" s="8">
        <f t="shared" si="9"/>
        <v>2.5974025974024872E-3</v>
      </c>
      <c r="T62" s="8">
        <f t="shared" si="10"/>
        <v>3.6540803897686658E-3</v>
      </c>
      <c r="U62" s="8">
        <f t="shared" si="11"/>
        <v>2.3331777881474558E-3</v>
      </c>
      <c r="V62" s="8">
        <f t="shared" si="12"/>
        <v>3.9056397437900348E-2</v>
      </c>
      <c r="W62" s="8">
        <f t="shared" si="13"/>
        <v>0</v>
      </c>
      <c r="X62" s="8">
        <f t="shared" si="14"/>
        <v>3.6049322026954211E-3</v>
      </c>
      <c r="Y62" s="8">
        <f t="shared" si="15"/>
        <v>1.5285438957930442E-3</v>
      </c>
      <c r="Z62" s="8">
        <f t="shared" si="16"/>
        <v>3.9056397437900348E-2</v>
      </c>
      <c r="AB62" s="26">
        <f t="shared" si="17"/>
        <v>1.3518775933215684E-2</v>
      </c>
      <c r="AC62" s="26">
        <f t="shared" si="18"/>
        <v>-2.516770018576594E-3</v>
      </c>
      <c r="AD62" s="26">
        <f t="shared" si="19"/>
        <v>-5.0546392626775113E-3</v>
      </c>
      <c r="AE62" s="26">
        <f t="shared" si="20"/>
        <v>-3.5425465065518527E-3</v>
      </c>
      <c r="AF62" s="26">
        <f t="shared" si="21"/>
        <v>4.1629318595771394E-4</v>
      </c>
      <c r="AG62" s="26">
        <f t="shared" si="22"/>
        <v>1.4760784188470565E-3</v>
      </c>
      <c r="AH62" s="26">
        <f t="shared" si="23"/>
        <v>-3.0102022569129493E-3</v>
      </c>
      <c r="AI62" s="26">
        <f t="shared" si="24"/>
        <v>2.6654631308862968E-2</v>
      </c>
      <c r="AJ62" s="26">
        <f t="shared" si="25"/>
        <v>-1.0229205971642284E-2</v>
      </c>
      <c r="AK62" s="26">
        <f t="shared" si="26"/>
        <v>5.1718474845668357E-3</v>
      </c>
      <c r="AL62" s="26">
        <f t="shared" si="27"/>
        <v>5.052779009548751E-3</v>
      </c>
      <c r="AM62" s="26">
        <f t="shared" si="28"/>
        <v>2.6654631308862968E-2</v>
      </c>
    </row>
    <row r="63" spans="1:54" x14ac:dyDescent="0.2">
      <c r="A63" s="5">
        <v>27241</v>
      </c>
      <c r="B63" s="14">
        <v>4.0862874945773902</v>
      </c>
      <c r="C63" s="14">
        <v>6.12</v>
      </c>
      <c r="D63" s="1">
        <v>7.22</v>
      </c>
      <c r="E63" s="1">
        <v>7.51</v>
      </c>
      <c r="F63" s="1">
        <v>7.72</v>
      </c>
      <c r="G63" s="1">
        <v>8.24</v>
      </c>
      <c r="H63" s="1">
        <v>107.4</v>
      </c>
      <c r="I63" s="1">
        <v>66.510000000000005</v>
      </c>
      <c r="J63" s="1">
        <v>3.57</v>
      </c>
      <c r="K63" s="1">
        <v>244.98999999999998</v>
      </c>
      <c r="L63" s="1">
        <v>301.39999999999998</v>
      </c>
      <c r="M63">
        <f t="shared" si="4"/>
        <v>133.02000000000001</v>
      </c>
      <c r="O63" s="8">
        <f t="shared" si="5"/>
        <v>1.0128579437861163E-2</v>
      </c>
      <c r="P63" s="8">
        <f t="shared" si="6"/>
        <v>1.6339869281045694E-2</v>
      </c>
      <c r="Q63" s="8">
        <f t="shared" si="7"/>
        <v>-2.7700831024930483E-3</v>
      </c>
      <c r="R63" s="8">
        <f t="shared" si="8"/>
        <v>-9.320905459387574E-3</v>
      </c>
      <c r="S63" s="8">
        <f t="shared" si="9"/>
        <v>-9.0673575129534001E-3</v>
      </c>
      <c r="T63" s="8">
        <f t="shared" si="10"/>
        <v>-4.8543689320389438E-3</v>
      </c>
      <c r="U63" s="8">
        <f t="shared" si="11"/>
        <v>3.4450651769087459E-2</v>
      </c>
      <c r="V63" s="8">
        <f t="shared" si="12"/>
        <v>5.2623665614193182E-3</v>
      </c>
      <c r="W63" s="8">
        <f t="shared" si="13"/>
        <v>0</v>
      </c>
      <c r="X63" s="8">
        <f t="shared" si="14"/>
        <v>-6.1226988856677433E-4</v>
      </c>
      <c r="Y63" s="8">
        <f t="shared" si="15"/>
        <v>-9.2899800928991638E-4</v>
      </c>
      <c r="Z63" s="8">
        <f t="shared" si="16"/>
        <v>5.2623665614193182E-3</v>
      </c>
      <c r="AB63" s="26">
        <f t="shared" si="17"/>
        <v>5.6076549454361097E-3</v>
      </c>
      <c r="AC63" s="26">
        <f t="shared" si="18"/>
        <v>1.38230992624691E-2</v>
      </c>
      <c r="AD63" s="26">
        <f t="shared" si="19"/>
        <v>-5.0622914259439919E-3</v>
      </c>
      <c r="AE63" s="26">
        <f t="shared" si="20"/>
        <v>-1.1533664731896893E-2</v>
      </c>
      <c r="AF63" s="26">
        <f t="shared" si="21"/>
        <v>-1.1248466924398173E-2</v>
      </c>
      <c r="AG63" s="26">
        <f t="shared" si="22"/>
        <v>-7.0323709029605531E-3</v>
      </c>
      <c r="AH63" s="26">
        <f t="shared" si="23"/>
        <v>2.9107271724027054E-2</v>
      </c>
      <c r="AI63" s="26">
        <f t="shared" si="24"/>
        <v>-7.1393995676180613E-3</v>
      </c>
      <c r="AJ63" s="26">
        <f t="shared" si="25"/>
        <v>-1.0229205971642284E-2</v>
      </c>
      <c r="AK63" s="26">
        <f t="shared" si="26"/>
        <v>9.5464539330464022E-4</v>
      </c>
      <c r="AL63" s="26">
        <f t="shared" si="27"/>
        <v>2.59523710446579E-3</v>
      </c>
      <c r="AM63" s="26">
        <f t="shared" si="28"/>
        <v>-7.1393995676180613E-3</v>
      </c>
    </row>
    <row r="64" spans="1:54" x14ac:dyDescent="0.2">
      <c r="A64" s="5">
        <v>27272</v>
      </c>
      <c r="B64" s="14">
        <v>4.1276757820721564</v>
      </c>
      <c r="C64" s="14">
        <v>6.22</v>
      </c>
      <c r="D64" s="1">
        <v>7.2</v>
      </c>
      <c r="E64" s="1">
        <v>7.4399999999999995</v>
      </c>
      <c r="F64" s="1">
        <v>7.6499999999999995</v>
      </c>
      <c r="G64" s="1">
        <v>8.1999999999999993</v>
      </c>
      <c r="H64" s="1">
        <v>111.10000000000001</v>
      </c>
      <c r="I64" s="1">
        <v>66.86</v>
      </c>
      <c r="J64" s="1">
        <v>3.57</v>
      </c>
      <c r="K64" s="1">
        <v>244.84</v>
      </c>
      <c r="L64" s="1">
        <v>301.12</v>
      </c>
      <c r="M64">
        <f t="shared" si="4"/>
        <v>133.72</v>
      </c>
      <c r="O64" s="8">
        <f t="shared" si="5"/>
        <v>0.16071137192702789</v>
      </c>
      <c r="P64" s="8">
        <f t="shared" si="6"/>
        <v>5.4662379421221763E-2</v>
      </c>
      <c r="Q64" s="8">
        <f t="shared" si="7"/>
        <v>4.1666666666666519E-3</v>
      </c>
      <c r="R64" s="8">
        <f t="shared" si="8"/>
        <v>-2.6881720430107503E-3</v>
      </c>
      <c r="S64" s="8">
        <f t="shared" si="9"/>
        <v>0</v>
      </c>
      <c r="T64" s="8">
        <f t="shared" si="10"/>
        <v>-1.2195121951219523E-2</v>
      </c>
      <c r="U64" s="8">
        <f t="shared" si="11"/>
        <v>-4.8604860486048951E-3</v>
      </c>
      <c r="V64" s="8">
        <f t="shared" si="12"/>
        <v>2.8417588991923592E-2</v>
      </c>
      <c r="W64" s="8">
        <f t="shared" si="13"/>
        <v>0</v>
      </c>
      <c r="X64" s="8">
        <f t="shared" si="14"/>
        <v>-1.1762783858846659E-2</v>
      </c>
      <c r="Y64" s="8">
        <f t="shared" si="15"/>
        <v>0</v>
      </c>
      <c r="Z64" s="8">
        <f t="shared" si="16"/>
        <v>2.8417588991923592E-2</v>
      </c>
      <c r="AB64" s="26">
        <f t="shared" si="17"/>
        <v>0.15619044743460284</v>
      </c>
      <c r="AC64" s="26">
        <f t="shared" si="18"/>
        <v>5.214560940264517E-2</v>
      </c>
      <c r="AD64" s="26">
        <f t="shared" si="19"/>
        <v>1.8744583432157079E-3</v>
      </c>
      <c r="AE64" s="26">
        <f t="shared" si="20"/>
        <v>-4.9009313155200691E-3</v>
      </c>
      <c r="AF64" s="26">
        <f t="shared" si="21"/>
        <v>-2.1811094114447733E-3</v>
      </c>
      <c r="AG64" s="26">
        <f t="shared" si="22"/>
        <v>-1.4373123922141132E-2</v>
      </c>
      <c r="AH64" s="26">
        <f t="shared" si="23"/>
        <v>-1.02038660936653E-2</v>
      </c>
      <c r="AI64" s="26">
        <f t="shared" si="24"/>
        <v>1.6015822862886213E-2</v>
      </c>
      <c r="AJ64" s="26">
        <f t="shared" si="25"/>
        <v>-1.0229205971642284E-2</v>
      </c>
      <c r="AK64" s="26">
        <f t="shared" si="26"/>
        <v>-1.0195868576975246E-2</v>
      </c>
      <c r="AL64" s="26">
        <f t="shared" si="27"/>
        <v>3.5242351137557064E-3</v>
      </c>
      <c r="AM64" s="26">
        <f t="shared" si="28"/>
        <v>1.6015822862886213E-2</v>
      </c>
    </row>
    <row r="65" spans="1:39" x14ac:dyDescent="0.2">
      <c r="A65" s="5">
        <v>27302</v>
      </c>
      <c r="B65" s="14">
        <v>4.7910402198789406</v>
      </c>
      <c r="C65" s="14">
        <v>6.56</v>
      </c>
      <c r="D65" s="1">
        <v>7.2299999999999995</v>
      </c>
      <c r="E65" s="1">
        <v>7.42</v>
      </c>
      <c r="F65" s="1">
        <v>7.6499999999999995</v>
      </c>
      <c r="G65" s="1">
        <v>8.1</v>
      </c>
      <c r="H65" s="1">
        <v>110.56</v>
      </c>
      <c r="I65" s="1">
        <v>68.760000000000005</v>
      </c>
      <c r="J65" s="1">
        <v>3.57</v>
      </c>
      <c r="K65" s="1">
        <v>241.95999999999998</v>
      </c>
      <c r="L65" s="1">
        <v>301.12</v>
      </c>
      <c r="M65">
        <f t="shared" si="4"/>
        <v>137.52000000000001</v>
      </c>
      <c r="O65" s="8">
        <f t="shared" si="5"/>
        <v>1.7339303464224409E-2</v>
      </c>
      <c r="P65" s="8">
        <f t="shared" si="6"/>
        <v>-1.0670731707317027E-2</v>
      </c>
      <c r="Q65" s="8">
        <f t="shared" si="7"/>
        <v>-1.3831258644536604E-3</v>
      </c>
      <c r="R65" s="8">
        <f t="shared" si="8"/>
        <v>5.3908355795149188E-3</v>
      </c>
      <c r="S65" s="8">
        <f t="shared" si="9"/>
        <v>0</v>
      </c>
      <c r="T65" s="8">
        <f t="shared" si="10"/>
        <v>-3.7037037037036535E-3</v>
      </c>
      <c r="U65" s="8">
        <f t="shared" si="11"/>
        <v>9.3162083936324525E-3</v>
      </c>
      <c r="V65" s="8">
        <f t="shared" si="12"/>
        <v>-5.8173356602675974E-2</v>
      </c>
      <c r="W65" s="8">
        <f t="shared" si="13"/>
        <v>0</v>
      </c>
      <c r="X65" s="8">
        <f t="shared" si="14"/>
        <v>-3.2650024797487132E-2</v>
      </c>
      <c r="Y65" s="8">
        <f t="shared" si="15"/>
        <v>0</v>
      </c>
      <c r="Z65" s="8">
        <f t="shared" si="16"/>
        <v>-5.8173356602675974E-2</v>
      </c>
      <c r="AB65" s="26">
        <f t="shared" si="17"/>
        <v>1.2818378971799356E-2</v>
      </c>
      <c r="AC65" s="26">
        <f t="shared" si="18"/>
        <v>-1.318750172589362E-2</v>
      </c>
      <c r="AD65" s="26">
        <f t="shared" si="19"/>
        <v>-3.6753341879046044E-3</v>
      </c>
      <c r="AE65" s="26">
        <f t="shared" si="20"/>
        <v>3.1780763070056004E-3</v>
      </c>
      <c r="AF65" s="26">
        <f t="shared" si="21"/>
        <v>-2.1811094114447733E-3</v>
      </c>
      <c r="AG65" s="26">
        <f t="shared" si="22"/>
        <v>-5.8817056746252629E-3</v>
      </c>
      <c r="AH65" s="26">
        <f t="shared" si="23"/>
        <v>3.9728283485720474E-3</v>
      </c>
      <c r="AI65" s="26">
        <f t="shared" si="24"/>
        <v>-7.0575122731713347E-2</v>
      </c>
      <c r="AJ65" s="26">
        <f t="shared" si="25"/>
        <v>-1.0229205971642284E-2</v>
      </c>
      <c r="AK65" s="26">
        <f t="shared" si="26"/>
        <v>-3.1083109515615718E-2</v>
      </c>
      <c r="AL65" s="26">
        <f t="shared" si="27"/>
        <v>3.5242351137557064E-3</v>
      </c>
      <c r="AM65" s="26">
        <f t="shared" si="28"/>
        <v>-7.0575122731713347E-2</v>
      </c>
    </row>
    <row r="66" spans="1:39" x14ac:dyDescent="0.2">
      <c r="A66" s="5">
        <v>27333</v>
      </c>
      <c r="B66" s="14">
        <v>4.8741135201607255</v>
      </c>
      <c r="C66" s="14">
        <v>6.49</v>
      </c>
      <c r="D66" s="1">
        <v>7.22</v>
      </c>
      <c r="E66" s="1">
        <v>7.46</v>
      </c>
      <c r="F66" s="1">
        <v>7.6499999999999995</v>
      </c>
      <c r="G66" s="1">
        <v>8.07</v>
      </c>
      <c r="H66" s="1">
        <v>111.59</v>
      </c>
      <c r="I66" s="1">
        <v>64.760000000000005</v>
      </c>
      <c r="J66" s="1">
        <v>3.57</v>
      </c>
      <c r="K66" s="1">
        <v>234.06</v>
      </c>
      <c r="L66" s="1">
        <v>301.12</v>
      </c>
      <c r="M66">
        <f t="shared" si="4"/>
        <v>129.52000000000001</v>
      </c>
      <c r="O66" s="8">
        <f t="shared" si="5"/>
        <v>8.5245047161646159E-3</v>
      </c>
      <c r="P66" s="8">
        <f t="shared" si="6"/>
        <v>-3.0816640986132571E-2</v>
      </c>
      <c r="Q66" s="8">
        <f t="shared" si="7"/>
        <v>-1.2465373961218829E-2</v>
      </c>
      <c r="R66" s="8">
        <f t="shared" si="8"/>
        <v>-8.0428954423593657E-3</v>
      </c>
      <c r="S66" s="8">
        <f t="shared" si="9"/>
        <v>-7.8431372549019329E-3</v>
      </c>
      <c r="T66" s="8">
        <f t="shared" si="10"/>
        <v>-8.6741016109046498E-3</v>
      </c>
      <c r="U66" s="8">
        <f t="shared" si="11"/>
        <v>4.5613406219195296E-2</v>
      </c>
      <c r="V66" s="8">
        <f t="shared" si="12"/>
        <v>-1.8529956763434385E-2</v>
      </c>
      <c r="W66" s="8">
        <f t="shared" si="13"/>
        <v>0</v>
      </c>
      <c r="X66" s="8">
        <f t="shared" si="14"/>
        <v>4.9987182773647554E-3</v>
      </c>
      <c r="Y66" s="8">
        <f t="shared" si="15"/>
        <v>0</v>
      </c>
      <c r="Z66" s="8">
        <f t="shared" si="16"/>
        <v>-1.8529956763434385E-2</v>
      </c>
      <c r="AB66" s="26">
        <f t="shared" si="17"/>
        <v>4.003580223739563E-3</v>
      </c>
      <c r="AC66" s="26">
        <f t="shared" si="18"/>
        <v>-3.3333411004709164E-2</v>
      </c>
      <c r="AD66" s="26">
        <f t="shared" si="19"/>
        <v>-1.4757582284669772E-2</v>
      </c>
      <c r="AE66" s="26">
        <f t="shared" si="20"/>
        <v>-1.0255654714868685E-2</v>
      </c>
      <c r="AF66" s="26">
        <f t="shared" si="21"/>
        <v>-1.0024246666346706E-2</v>
      </c>
      <c r="AG66" s="26">
        <f t="shared" si="22"/>
        <v>-1.0852103581826259E-2</v>
      </c>
      <c r="AH66" s="26">
        <f t="shared" si="23"/>
        <v>4.0270026174134887E-2</v>
      </c>
      <c r="AI66" s="26">
        <f t="shared" si="24"/>
        <v>-3.0931722892471765E-2</v>
      </c>
      <c r="AJ66" s="26">
        <f t="shared" si="25"/>
        <v>-1.0229205971642284E-2</v>
      </c>
      <c r="AK66" s="26">
        <f t="shared" si="26"/>
        <v>6.5656335592361699E-3</v>
      </c>
      <c r="AL66" s="26">
        <f t="shared" si="27"/>
        <v>3.5242351137557064E-3</v>
      </c>
      <c r="AM66" s="26">
        <f t="shared" si="28"/>
        <v>-3.0931722892471765E-2</v>
      </c>
    </row>
    <row r="67" spans="1:39" x14ac:dyDescent="0.2">
      <c r="A67" s="5">
        <v>27363</v>
      </c>
      <c r="B67" s="14">
        <v>4.9156629238504577</v>
      </c>
      <c r="C67" s="14">
        <v>6.29</v>
      </c>
      <c r="D67" s="1">
        <v>7.13</v>
      </c>
      <c r="E67" s="1">
        <v>7.3999999999999995</v>
      </c>
      <c r="F67" s="1">
        <v>7.59</v>
      </c>
      <c r="G67" s="1">
        <v>8</v>
      </c>
      <c r="H67" s="1">
        <v>116.68</v>
      </c>
      <c r="I67" s="1">
        <v>63.559999999999995</v>
      </c>
      <c r="J67" s="1">
        <v>3.57</v>
      </c>
      <c r="K67" s="1">
        <v>235.23</v>
      </c>
      <c r="L67" s="1">
        <v>301.12</v>
      </c>
      <c r="M67">
        <f t="shared" si="4"/>
        <v>127.11999999999999</v>
      </c>
      <c r="O67" s="8">
        <f t="shared" si="5"/>
        <v>6.1332056784350053E-2</v>
      </c>
      <c r="P67" s="8">
        <f t="shared" si="6"/>
        <v>1.2718600953895098E-2</v>
      </c>
      <c r="Q67" s="8">
        <f t="shared" si="7"/>
        <v>-5.6100981767180924E-3</v>
      </c>
      <c r="R67" s="8">
        <f t="shared" si="8"/>
        <v>-4.0540540540540126E-3</v>
      </c>
      <c r="S67" s="8">
        <f t="shared" si="9"/>
        <v>-1.0540184453227908E-2</v>
      </c>
      <c r="T67" s="8">
        <f t="shared" si="10"/>
        <v>-7.5000000000000622E-3</v>
      </c>
      <c r="U67" s="8">
        <f t="shared" si="11"/>
        <v>1.1827219746314732E-2</v>
      </c>
      <c r="V67" s="8">
        <f t="shared" si="12"/>
        <v>2.2813089993706903E-2</v>
      </c>
      <c r="W67" s="8">
        <f t="shared" si="13"/>
        <v>0</v>
      </c>
      <c r="X67" s="8">
        <f t="shared" si="14"/>
        <v>-1.7854865450834811E-3</v>
      </c>
      <c r="Y67" s="8">
        <f t="shared" si="15"/>
        <v>1.8265143464399891E-3</v>
      </c>
      <c r="Z67" s="8">
        <f t="shared" si="16"/>
        <v>2.2813089993706903E-2</v>
      </c>
      <c r="AB67" s="26">
        <f t="shared" si="17"/>
        <v>5.6811132291924998E-2</v>
      </c>
      <c r="AC67" s="26">
        <f t="shared" si="18"/>
        <v>1.0201830935318505E-2</v>
      </c>
      <c r="AD67" s="26">
        <f t="shared" si="19"/>
        <v>-7.902306500169036E-3</v>
      </c>
      <c r="AE67" s="26">
        <f t="shared" si="20"/>
        <v>-6.2668133265633315E-3</v>
      </c>
      <c r="AF67" s="26">
        <f t="shared" si="21"/>
        <v>-1.2721293864672681E-2</v>
      </c>
      <c r="AG67" s="26">
        <f t="shared" si="22"/>
        <v>-9.6780019709216715E-3</v>
      </c>
      <c r="AH67" s="26">
        <f t="shared" si="23"/>
        <v>6.4838397012543271E-3</v>
      </c>
      <c r="AI67" s="26">
        <f t="shared" si="24"/>
        <v>1.0411323864669524E-2</v>
      </c>
      <c r="AJ67" s="26">
        <f t="shared" si="25"/>
        <v>-1.0229205971642284E-2</v>
      </c>
      <c r="AK67" s="26">
        <f t="shared" si="26"/>
        <v>-2.185712632120666E-4</v>
      </c>
      <c r="AL67" s="26">
        <f t="shared" si="27"/>
        <v>5.3507494601956959E-3</v>
      </c>
      <c r="AM67" s="26">
        <f t="shared" si="28"/>
        <v>1.0411323864669524E-2</v>
      </c>
    </row>
    <row r="68" spans="1:39" x14ac:dyDescent="0.2">
      <c r="A68" s="5">
        <v>27394</v>
      </c>
      <c r="B68" s="14">
        <v>5.2171506414287778</v>
      </c>
      <c r="C68" s="14">
        <v>6.37</v>
      </c>
      <c r="D68" s="1">
        <v>7.09</v>
      </c>
      <c r="E68" s="1">
        <v>7.37</v>
      </c>
      <c r="F68" s="1">
        <v>7.51</v>
      </c>
      <c r="G68" s="1">
        <v>7.9399999999999995</v>
      </c>
      <c r="H68" s="1">
        <v>118.06</v>
      </c>
      <c r="I68" s="1">
        <v>65.010000000000005</v>
      </c>
      <c r="J68" s="1">
        <v>3.57</v>
      </c>
      <c r="K68" s="1">
        <v>234.81</v>
      </c>
      <c r="L68" s="1">
        <v>301.67</v>
      </c>
      <c r="M68">
        <f t="shared" si="4"/>
        <v>130.02000000000001</v>
      </c>
      <c r="O68" s="8">
        <f t="shared" si="5"/>
        <v>6.7270163963505381E-2</v>
      </c>
      <c r="P68" s="8">
        <f t="shared" si="6"/>
        <v>1.6412159262166215E-2</v>
      </c>
      <c r="Q68" s="8">
        <f t="shared" si="7"/>
        <v>9.873060648801113E-3</v>
      </c>
      <c r="R68" s="8">
        <f t="shared" si="8"/>
        <v>1.3568521031206426E-3</v>
      </c>
      <c r="S68" s="8">
        <f t="shared" si="9"/>
        <v>3.9946737683089761E-3</v>
      </c>
      <c r="T68" s="8">
        <f t="shared" si="10"/>
        <v>-3.7783375314860423E-3</v>
      </c>
      <c r="U68" s="8">
        <f t="shared" si="11"/>
        <v>-1.710994409622224E-2</v>
      </c>
      <c r="V68" s="8">
        <f t="shared" si="12"/>
        <v>5.8452545762190278E-2</v>
      </c>
      <c r="W68" s="8">
        <f t="shared" si="13"/>
        <v>0</v>
      </c>
      <c r="X68" s="8">
        <f t="shared" si="14"/>
        <v>1.4352029300285229E-2</v>
      </c>
      <c r="Y68" s="8">
        <f t="shared" si="15"/>
        <v>-8.9501773461075906E-4</v>
      </c>
      <c r="Z68" s="8">
        <f t="shared" si="16"/>
        <v>5.8452545762190278E-2</v>
      </c>
      <c r="AB68" s="26">
        <f t="shared" si="17"/>
        <v>6.2749239471080326E-2</v>
      </c>
      <c r="AC68" s="26">
        <f t="shared" si="18"/>
        <v>1.3895389243589622E-2</v>
      </c>
      <c r="AD68" s="26">
        <f t="shared" si="19"/>
        <v>7.5808523253501695E-3</v>
      </c>
      <c r="AE68" s="26">
        <f t="shared" si="20"/>
        <v>-8.5590716938867576E-4</v>
      </c>
      <c r="AF68" s="26">
        <f t="shared" si="21"/>
        <v>1.8135643568642028E-3</v>
      </c>
      <c r="AG68" s="26">
        <f t="shared" si="22"/>
        <v>-5.9563395024076517E-3</v>
      </c>
      <c r="AH68" s="26">
        <f t="shared" si="23"/>
        <v>-2.2453324141282646E-2</v>
      </c>
      <c r="AI68" s="26">
        <f t="shared" si="24"/>
        <v>4.6050779633152898E-2</v>
      </c>
      <c r="AJ68" s="26">
        <f t="shared" si="25"/>
        <v>-1.0229205971642284E-2</v>
      </c>
      <c r="AK68" s="26">
        <f t="shared" si="26"/>
        <v>1.5918944582156643E-2</v>
      </c>
      <c r="AL68" s="26">
        <f t="shared" si="27"/>
        <v>2.6292173791449473E-3</v>
      </c>
      <c r="AM68" s="26">
        <f t="shared" si="28"/>
        <v>4.6050779633152898E-2</v>
      </c>
    </row>
    <row r="69" spans="1:39" x14ac:dyDescent="0.2">
      <c r="A69" s="5">
        <v>27425</v>
      </c>
      <c r="B69" s="14">
        <v>5.5681092204999993</v>
      </c>
      <c r="C69" s="14">
        <v>6.4745454544999994</v>
      </c>
      <c r="D69" s="1">
        <v>7.16</v>
      </c>
      <c r="E69" s="1">
        <v>7.38</v>
      </c>
      <c r="F69" s="1">
        <v>7.54</v>
      </c>
      <c r="G69" s="1">
        <v>7.91</v>
      </c>
      <c r="H69" s="1">
        <v>116.04</v>
      </c>
      <c r="I69" s="1">
        <v>68.81</v>
      </c>
      <c r="J69" s="1">
        <v>3.57</v>
      </c>
      <c r="K69" s="1">
        <v>238.17999999999998</v>
      </c>
      <c r="L69" s="1">
        <v>301.39999999999998</v>
      </c>
      <c r="M69">
        <f t="shared" si="4"/>
        <v>137.62</v>
      </c>
      <c r="O69" s="8">
        <f t="shared" si="5"/>
        <v>3.5877257860624567E-2</v>
      </c>
      <c r="P69" s="8">
        <f t="shared" si="6"/>
        <v>2.6412680566037849E-2</v>
      </c>
      <c r="Q69" s="8">
        <f t="shared" si="7"/>
        <v>9.7765363128490268E-3</v>
      </c>
      <c r="R69" s="8">
        <f t="shared" si="8"/>
        <v>1.3550135501354976E-2</v>
      </c>
      <c r="S69" s="8">
        <f t="shared" si="9"/>
        <v>9.2838196286471053E-3</v>
      </c>
      <c r="T69" s="8">
        <f t="shared" si="10"/>
        <v>8.8495575221239076E-3</v>
      </c>
      <c r="U69" s="8">
        <f t="shared" si="11"/>
        <v>-3.748707342295754E-2</v>
      </c>
      <c r="V69" s="8">
        <f t="shared" si="12"/>
        <v>0.19183258247347768</v>
      </c>
      <c r="W69" s="8">
        <f t="shared" si="13"/>
        <v>0</v>
      </c>
      <c r="X69" s="8">
        <f t="shared" si="14"/>
        <v>4.5469812746662175E-2</v>
      </c>
      <c r="Y69" s="8">
        <f t="shared" si="15"/>
        <v>-0.11851360318513593</v>
      </c>
      <c r="Z69" s="8">
        <f t="shared" si="16"/>
        <v>0.19183258247347768</v>
      </c>
      <c r="AB69" s="26">
        <f t="shared" si="17"/>
        <v>3.1356333368199513E-2</v>
      </c>
      <c r="AC69" s="26">
        <f t="shared" si="18"/>
        <v>2.3895910547461256E-2</v>
      </c>
      <c r="AD69" s="26">
        <f t="shared" si="19"/>
        <v>7.4843279893980832E-3</v>
      </c>
      <c r="AE69" s="26">
        <f t="shared" si="20"/>
        <v>1.1337376228845657E-2</v>
      </c>
      <c r="AF69" s="26">
        <f t="shared" si="21"/>
        <v>7.1027102172023324E-3</v>
      </c>
      <c r="AG69" s="26">
        <f t="shared" si="22"/>
        <v>6.6715555512022982E-3</v>
      </c>
      <c r="AH69" s="26">
        <f t="shared" si="23"/>
        <v>-4.2830453468017948E-2</v>
      </c>
      <c r="AI69" s="26">
        <f t="shared" si="24"/>
        <v>0.1794308163444403</v>
      </c>
      <c r="AJ69" s="26">
        <f t="shared" si="25"/>
        <v>-1.0229205971642284E-2</v>
      </c>
      <c r="AK69" s="26">
        <f t="shared" si="26"/>
        <v>4.7036728028533592E-2</v>
      </c>
      <c r="AL69" s="26">
        <f t="shared" si="27"/>
        <v>-0.11498936807138023</v>
      </c>
      <c r="AM69" s="26">
        <f t="shared" si="28"/>
        <v>0.1794308163444403</v>
      </c>
    </row>
    <row r="70" spans="1:39" x14ac:dyDescent="0.2">
      <c r="A70" s="5">
        <v>27453</v>
      </c>
      <c r="B70" s="14">
        <v>5.7678777107999997</v>
      </c>
      <c r="C70" s="14">
        <v>6.6455555553999996</v>
      </c>
      <c r="D70" s="1">
        <v>7.2299999999999995</v>
      </c>
      <c r="E70" s="1">
        <v>7.4799999999999995</v>
      </c>
      <c r="F70" s="1">
        <v>7.6099999999999994</v>
      </c>
      <c r="G70" s="1">
        <v>7.9799999999999995</v>
      </c>
      <c r="H70" s="1">
        <v>111.69000000000001</v>
      </c>
      <c r="I70" s="1">
        <v>82.01</v>
      </c>
      <c r="J70" s="1">
        <v>3.57</v>
      </c>
      <c r="K70" s="1">
        <v>249.01</v>
      </c>
      <c r="L70" s="1">
        <v>265.68</v>
      </c>
      <c r="M70">
        <f t="shared" si="4"/>
        <v>164.02</v>
      </c>
      <c r="O70" s="8">
        <f t="shared" si="5"/>
        <v>8.9477093426174381E-2</v>
      </c>
      <c r="P70" s="8">
        <f t="shared" si="6"/>
        <v>1.1065343294022645E-2</v>
      </c>
      <c r="Q70" s="8">
        <f t="shared" si="7"/>
        <v>9.6818810511756226E-3</v>
      </c>
      <c r="R70" s="8">
        <f t="shared" si="8"/>
        <v>2.673796791443861E-3</v>
      </c>
      <c r="S70" s="8">
        <f t="shared" si="9"/>
        <v>7.8843626806834877E-3</v>
      </c>
      <c r="T70" s="8">
        <f t="shared" si="10"/>
        <v>7.5187969924812581E-3</v>
      </c>
      <c r="U70" s="8">
        <f t="shared" si="11"/>
        <v>-1.4325364849137046E-3</v>
      </c>
      <c r="V70" s="8">
        <f t="shared" si="12"/>
        <v>0.10669430557249115</v>
      </c>
      <c r="W70" s="8">
        <f t="shared" si="13"/>
        <v>0</v>
      </c>
      <c r="X70" s="8">
        <f t="shared" si="14"/>
        <v>-5.8230593148869136E-3</v>
      </c>
      <c r="Y70" s="8">
        <f t="shared" si="15"/>
        <v>1.0915386931644733E-3</v>
      </c>
      <c r="Z70" s="8">
        <f t="shared" si="16"/>
        <v>0.10669430557249115</v>
      </c>
      <c r="AB70" s="26">
        <f t="shared" si="17"/>
        <v>8.4956168933749326E-2</v>
      </c>
      <c r="AC70" s="26">
        <f t="shared" si="18"/>
        <v>8.5485732754460517E-3</v>
      </c>
      <c r="AD70" s="26">
        <f t="shared" si="19"/>
        <v>7.389672727724679E-3</v>
      </c>
      <c r="AE70" s="26">
        <f t="shared" si="20"/>
        <v>4.6103751893454255E-4</v>
      </c>
      <c r="AF70" s="26">
        <f t="shared" si="21"/>
        <v>5.7032532692387148E-3</v>
      </c>
      <c r="AG70" s="26">
        <f t="shared" si="22"/>
        <v>5.3407950215596488E-3</v>
      </c>
      <c r="AH70" s="26">
        <f t="shared" si="23"/>
        <v>-6.7759165299741096E-3</v>
      </c>
      <c r="AI70" s="26">
        <f t="shared" si="24"/>
        <v>9.4292539443453782E-2</v>
      </c>
      <c r="AJ70" s="26">
        <f t="shared" si="25"/>
        <v>-1.0229205971642284E-2</v>
      </c>
      <c r="AK70" s="26">
        <f t="shared" si="26"/>
        <v>-4.2561440330154991E-3</v>
      </c>
      <c r="AL70" s="26">
        <f t="shared" si="27"/>
        <v>4.6157738069201801E-3</v>
      </c>
      <c r="AM70" s="26">
        <f t="shared" si="28"/>
        <v>9.4292539443453782E-2</v>
      </c>
    </row>
    <row r="71" spans="1:39" x14ac:dyDescent="0.2">
      <c r="A71" s="5">
        <v>27484</v>
      </c>
      <c r="B71" s="14">
        <v>6.2839706436</v>
      </c>
      <c r="C71" s="14">
        <v>6.7190909090000002</v>
      </c>
      <c r="D71" s="1">
        <v>7.3</v>
      </c>
      <c r="E71" s="1">
        <v>7.5</v>
      </c>
      <c r="F71" s="1">
        <v>7.67</v>
      </c>
      <c r="G71" s="1">
        <v>8.0399999999999991</v>
      </c>
      <c r="H71" s="1">
        <v>111.53</v>
      </c>
      <c r="I71" s="1">
        <v>90.76</v>
      </c>
      <c r="J71" s="1">
        <v>3.57</v>
      </c>
      <c r="K71" s="1">
        <v>247.56</v>
      </c>
      <c r="L71" s="1">
        <v>265.96999999999997</v>
      </c>
      <c r="M71">
        <f t="shared" si="4"/>
        <v>181.52</v>
      </c>
      <c r="O71" s="8">
        <f t="shared" si="5"/>
        <v>2.8177092930937508E-2</v>
      </c>
      <c r="P71" s="8">
        <f t="shared" si="6"/>
        <v>-6.0411310919502581E-3</v>
      </c>
      <c r="Q71" s="8">
        <f t="shared" si="7"/>
        <v>-4.109589041095929E-3</v>
      </c>
      <c r="R71" s="8">
        <f t="shared" si="8"/>
        <v>0</v>
      </c>
      <c r="S71" s="8">
        <f t="shared" si="9"/>
        <v>-2.6075619295958807E-3</v>
      </c>
      <c r="T71" s="8">
        <f t="shared" si="10"/>
        <v>7.4626865671643117E-3</v>
      </c>
      <c r="U71" s="8">
        <f t="shared" si="11"/>
        <v>-4.0796198332287203E-2</v>
      </c>
      <c r="V71" s="8">
        <f t="shared" si="12"/>
        <v>-5.5090348170994119E-4</v>
      </c>
      <c r="W71" s="8">
        <f t="shared" si="13"/>
        <v>0</v>
      </c>
      <c r="X71" s="8">
        <f t="shared" si="14"/>
        <v>5.4532234609792063E-3</v>
      </c>
      <c r="Y71" s="8">
        <f t="shared" si="15"/>
        <v>-1.6167236906418081E-3</v>
      </c>
      <c r="Z71" s="8">
        <f t="shared" si="16"/>
        <v>-5.5090348170994119E-4</v>
      </c>
      <c r="AB71" s="26">
        <f t="shared" si="17"/>
        <v>2.3656168438512454E-2</v>
      </c>
      <c r="AC71" s="26">
        <f t="shared" si="18"/>
        <v>-8.5579011105268513E-3</v>
      </c>
      <c r="AD71" s="26">
        <f t="shared" si="19"/>
        <v>-6.4017973645468726E-3</v>
      </c>
      <c r="AE71" s="26">
        <f t="shared" si="20"/>
        <v>-2.2127592725093184E-3</v>
      </c>
      <c r="AF71" s="26">
        <f t="shared" si="21"/>
        <v>-4.7886713410406536E-3</v>
      </c>
      <c r="AG71" s="26">
        <f t="shared" si="22"/>
        <v>5.2846845962427023E-3</v>
      </c>
      <c r="AH71" s="26">
        <f t="shared" si="23"/>
        <v>-4.6139578377347612E-2</v>
      </c>
      <c r="AI71" s="26">
        <f t="shared" si="24"/>
        <v>-1.2952669610747321E-2</v>
      </c>
      <c r="AJ71" s="26">
        <f t="shared" si="25"/>
        <v>-1.0229205971642284E-2</v>
      </c>
      <c r="AK71" s="26">
        <f t="shared" si="26"/>
        <v>7.0201387428506208E-3</v>
      </c>
      <c r="AL71" s="26">
        <f t="shared" si="27"/>
        <v>1.9075114231138983E-3</v>
      </c>
      <c r="AM71" s="26">
        <f t="shared" si="28"/>
        <v>-1.2952669610747321E-2</v>
      </c>
    </row>
    <row r="72" spans="1:39" x14ac:dyDescent="0.2">
      <c r="A72" s="5">
        <v>27514</v>
      </c>
      <c r="B72" s="14">
        <v>6.4610346684</v>
      </c>
      <c r="C72" s="14">
        <v>6.6784999999999997</v>
      </c>
      <c r="D72" s="1">
        <v>7.27</v>
      </c>
      <c r="E72" s="1">
        <v>7.5</v>
      </c>
      <c r="F72" s="1">
        <v>7.6499999999999995</v>
      </c>
      <c r="G72" s="1">
        <v>8.1</v>
      </c>
      <c r="H72" s="1">
        <v>106.98</v>
      </c>
      <c r="I72" s="1">
        <v>90.710000000000008</v>
      </c>
      <c r="J72" s="1">
        <v>3.57</v>
      </c>
      <c r="K72" s="1">
        <v>248.91</v>
      </c>
      <c r="L72" s="1">
        <v>265.53999999999996</v>
      </c>
      <c r="M72">
        <f t="shared" ref="M72:M135" si="29">2*I72</f>
        <v>181.42000000000002</v>
      </c>
      <c r="O72" s="8">
        <f t="shared" ref="O72:O135" si="30">+B73/B72-1</f>
        <v>1.5444931333995049E-2</v>
      </c>
      <c r="P72" s="8">
        <f t="shared" ref="P72:P135" si="31">+C73/C72-1</f>
        <v>2.6768395178558002E-2</v>
      </c>
      <c r="Q72" s="8">
        <f t="shared" ref="Q72:Q135" si="32">+D73/D72-1</f>
        <v>4.126547455295837E-3</v>
      </c>
      <c r="R72" s="8">
        <f t="shared" ref="R72:R135" si="33">+E73/E72-1</f>
        <v>0</v>
      </c>
      <c r="S72" s="8">
        <f t="shared" ref="S72:S135" si="34">+F73/F72-1</f>
        <v>0</v>
      </c>
      <c r="T72" s="8">
        <f t="shared" ref="T72:T135" si="35">+G73/G72-1</f>
        <v>-3.7037037037036535E-3</v>
      </c>
      <c r="U72" s="8">
        <f t="shared" ref="U72:U135" si="36">+H73/H72-1</f>
        <v>-1.8882034025051397E-2</v>
      </c>
      <c r="V72" s="8">
        <f t="shared" ref="V72:V135" si="37">+I73/I72-1</f>
        <v>0.38915224341307453</v>
      </c>
      <c r="W72" s="8">
        <f t="shared" ref="W72:W135" si="38">+J73/J72-1</f>
        <v>0</v>
      </c>
      <c r="X72" s="8">
        <f t="shared" ref="X72:X135" si="39">+K73/K72-1</f>
        <v>3.0975051223333772E-2</v>
      </c>
      <c r="Y72" s="8">
        <f t="shared" ref="Y72:Y135" si="40">+L73/L72-1</f>
        <v>-3.1633652180461658E-3</v>
      </c>
      <c r="Z72" s="8">
        <f t="shared" ref="Z72:Z135" si="41">+M73/M72-1</f>
        <v>0.38915224341307453</v>
      </c>
      <c r="AB72" s="26">
        <f t="shared" ref="AB72:AB135" si="42">O72-$O$258</f>
        <v>1.0924006841569996E-2</v>
      </c>
      <c r="AC72" s="26">
        <f t="shared" ref="AC72:AC135" si="43">P72-$P$258</f>
        <v>2.4251625159981409E-2</v>
      </c>
      <c r="AD72" s="26">
        <f t="shared" ref="AD72:AD135" si="44">Q72-$Q$258</f>
        <v>1.834339131844893E-3</v>
      </c>
      <c r="AE72" s="26">
        <f t="shared" ref="AE72:AE135" si="45">R72-$R$258</f>
        <v>-2.2127592725093184E-3</v>
      </c>
      <c r="AF72" s="26">
        <f t="shared" ref="AF72:AF135" si="46">S72-$S$258</f>
        <v>-2.1811094114447733E-3</v>
      </c>
      <c r="AG72" s="26">
        <f t="shared" ref="AG72:AG135" si="47">T72-$T$258</f>
        <v>-5.8817056746252629E-3</v>
      </c>
      <c r="AH72" s="26">
        <f t="shared" ref="AH72:AH135" si="48">U72-$U$258</f>
        <v>-2.4225414070111802E-2</v>
      </c>
      <c r="AI72" s="26">
        <f t="shared" ref="AI72:AI135" si="49">V72-$V$258</f>
        <v>0.37675047728403716</v>
      </c>
      <c r="AJ72" s="26">
        <f t="shared" ref="AJ72:AJ135" si="50">W72-$W$258</f>
        <v>-1.0229205971642284E-2</v>
      </c>
      <c r="AK72" s="26">
        <f t="shared" ref="AK72:AK135" si="51">X72-$X$258</f>
        <v>3.2541966505205189E-2</v>
      </c>
      <c r="AL72" s="26">
        <f t="shared" ref="AL72:AL135" si="52">Y72-$Y$258</f>
        <v>3.608698957095406E-4</v>
      </c>
      <c r="AM72" s="26">
        <f t="shared" ref="AM72:AM135" si="53">Z72-$Z$258</f>
        <v>0.37675047728403716</v>
      </c>
    </row>
    <row r="73" spans="1:39" x14ac:dyDescent="0.2">
      <c r="A73" s="5">
        <v>27545</v>
      </c>
      <c r="B73" s="14">
        <v>6.5608249051999996</v>
      </c>
      <c r="C73" s="14">
        <v>6.8572727271999998</v>
      </c>
      <c r="D73" s="1">
        <v>7.3</v>
      </c>
      <c r="E73" s="1">
        <v>7.5</v>
      </c>
      <c r="F73" s="1">
        <v>7.6499999999999995</v>
      </c>
      <c r="G73" s="1">
        <v>8.07</v>
      </c>
      <c r="H73" s="1">
        <v>104.96000000000001</v>
      </c>
      <c r="I73" s="1">
        <v>126.01</v>
      </c>
      <c r="J73" s="1">
        <v>3.57</v>
      </c>
      <c r="K73" s="1">
        <v>256.62</v>
      </c>
      <c r="L73" s="1">
        <v>264.7</v>
      </c>
      <c r="M73">
        <f t="shared" si="29"/>
        <v>252.02</v>
      </c>
      <c r="O73" s="8">
        <f t="shared" si="30"/>
        <v>0.13222481853043067</v>
      </c>
      <c r="P73" s="8">
        <f t="shared" si="31"/>
        <v>7.6892483203785389E-3</v>
      </c>
      <c r="Q73" s="8">
        <f t="shared" si="32"/>
        <v>1.0958904109588996E-2</v>
      </c>
      <c r="R73" s="8">
        <f t="shared" si="33"/>
        <v>8.0000000000000071E-3</v>
      </c>
      <c r="S73" s="8">
        <f t="shared" si="34"/>
        <v>9.1503267973855884E-3</v>
      </c>
      <c r="T73" s="8">
        <f t="shared" si="35"/>
        <v>8.6741016109046498E-3</v>
      </c>
      <c r="U73" s="8">
        <f t="shared" si="36"/>
        <v>-6.5739329268292845E-3</v>
      </c>
      <c r="V73" s="8">
        <f t="shared" si="37"/>
        <v>-3.1743512419649234E-2</v>
      </c>
      <c r="W73" s="8">
        <f t="shared" si="38"/>
        <v>0</v>
      </c>
      <c r="X73" s="8">
        <f t="shared" si="39"/>
        <v>5.8062504871014831E-3</v>
      </c>
      <c r="Y73" s="8">
        <f t="shared" si="40"/>
        <v>-5.7801284472986936E-3</v>
      </c>
      <c r="Z73" s="8">
        <f t="shared" si="41"/>
        <v>-3.1743512419649234E-2</v>
      </c>
      <c r="AB73" s="26">
        <f t="shared" si="42"/>
        <v>0.12770389403800561</v>
      </c>
      <c r="AC73" s="26">
        <f t="shared" si="43"/>
        <v>5.1724783018019449E-3</v>
      </c>
      <c r="AD73" s="26">
        <f t="shared" si="44"/>
        <v>8.6666957861380525E-3</v>
      </c>
      <c r="AE73" s="26">
        <f t="shared" si="45"/>
        <v>5.7872407274906883E-3</v>
      </c>
      <c r="AF73" s="26">
        <f t="shared" si="46"/>
        <v>6.9692173859408155E-3</v>
      </c>
      <c r="AG73" s="26">
        <f t="shared" si="47"/>
        <v>6.4960996399830405E-3</v>
      </c>
      <c r="AH73" s="26">
        <f t="shared" si="48"/>
        <v>-1.191731297188969E-2</v>
      </c>
      <c r="AI73" s="26">
        <f t="shared" si="49"/>
        <v>-4.4145278548686613E-2</v>
      </c>
      <c r="AJ73" s="26">
        <f t="shared" si="50"/>
        <v>-1.0229205971642284E-2</v>
      </c>
      <c r="AK73" s="26">
        <f t="shared" si="51"/>
        <v>7.3731657689728976E-3</v>
      </c>
      <c r="AL73" s="26">
        <f t="shared" si="52"/>
        <v>-2.2558933335429872E-3</v>
      </c>
      <c r="AM73" s="26">
        <f t="shared" si="53"/>
        <v>-4.4145278548686613E-2</v>
      </c>
    </row>
    <row r="74" spans="1:39" x14ac:dyDescent="0.2">
      <c r="A74" s="5">
        <v>27575</v>
      </c>
      <c r="B74" s="14">
        <v>7.4283287876999999</v>
      </c>
      <c r="C74" s="14">
        <v>6.91</v>
      </c>
      <c r="D74" s="1">
        <v>7.38</v>
      </c>
      <c r="E74" s="1">
        <v>7.56</v>
      </c>
      <c r="F74" s="1">
        <v>7.72</v>
      </c>
      <c r="G74" s="1">
        <v>8.14</v>
      </c>
      <c r="H74" s="1">
        <v>104.27000000000001</v>
      </c>
      <c r="I74" s="1">
        <v>122.01</v>
      </c>
      <c r="J74" s="1">
        <v>3.57</v>
      </c>
      <c r="K74" s="1">
        <v>258.11</v>
      </c>
      <c r="L74" s="1">
        <v>263.17</v>
      </c>
      <c r="M74">
        <f t="shared" si="29"/>
        <v>244.02</v>
      </c>
      <c r="O74" s="8">
        <f t="shared" si="30"/>
        <v>0.11691229232314271</v>
      </c>
      <c r="P74" s="8">
        <f t="shared" si="31"/>
        <v>3.3422920520983945E-2</v>
      </c>
      <c r="Q74" s="8">
        <f t="shared" si="32"/>
        <v>1.084010840108407E-2</v>
      </c>
      <c r="R74" s="8">
        <f t="shared" si="33"/>
        <v>1.1904761904761862E-2</v>
      </c>
      <c r="S74" s="8">
        <f t="shared" si="34"/>
        <v>1.9430051813471572E-2</v>
      </c>
      <c r="T74" s="8">
        <f t="shared" si="35"/>
        <v>1.3513513513513375E-2</v>
      </c>
      <c r="U74" s="8">
        <f t="shared" si="36"/>
        <v>3.8266040088232423E-2</v>
      </c>
      <c r="V74" s="8">
        <f t="shared" si="37"/>
        <v>-5.2454716826489722E-2</v>
      </c>
      <c r="W74" s="8">
        <f t="shared" si="38"/>
        <v>0</v>
      </c>
      <c r="X74" s="8">
        <f t="shared" si="39"/>
        <v>-3.1769400643136714E-2</v>
      </c>
      <c r="Y74" s="8">
        <f t="shared" si="40"/>
        <v>1.0639510582513001E-3</v>
      </c>
      <c r="Z74" s="8">
        <f t="shared" si="41"/>
        <v>-5.2454716826489722E-2</v>
      </c>
      <c r="AB74" s="26">
        <f t="shared" si="42"/>
        <v>0.11239136783071765</v>
      </c>
      <c r="AC74" s="26">
        <f t="shared" si="43"/>
        <v>3.0906150502407352E-2</v>
      </c>
      <c r="AD74" s="26">
        <f t="shared" si="44"/>
        <v>8.5479000776331263E-3</v>
      </c>
      <c r="AE74" s="26">
        <f t="shared" si="45"/>
        <v>9.6920026322525436E-3</v>
      </c>
      <c r="AF74" s="26">
        <f t="shared" si="46"/>
        <v>1.7248942402026797E-2</v>
      </c>
      <c r="AG74" s="26">
        <f t="shared" si="47"/>
        <v>1.1335511542591766E-2</v>
      </c>
      <c r="AH74" s="26">
        <f t="shared" si="48"/>
        <v>3.2922660043172014E-2</v>
      </c>
      <c r="AI74" s="26">
        <f t="shared" si="49"/>
        <v>-6.4856482955527095E-2</v>
      </c>
      <c r="AJ74" s="26">
        <f t="shared" si="50"/>
        <v>-1.0229205971642284E-2</v>
      </c>
      <c r="AK74" s="26">
        <f t="shared" si="51"/>
        <v>-3.02024853612653E-2</v>
      </c>
      <c r="AL74" s="26">
        <f t="shared" si="52"/>
        <v>4.5881861720070069E-3</v>
      </c>
      <c r="AM74" s="26">
        <f t="shared" si="53"/>
        <v>-6.4856482955527095E-2</v>
      </c>
    </row>
    <row r="75" spans="1:39" x14ac:dyDescent="0.2">
      <c r="A75" s="5">
        <v>27606</v>
      </c>
      <c r="B75" s="14">
        <v>8.2967917343999993</v>
      </c>
      <c r="C75" s="14">
        <v>7.1409523807999999</v>
      </c>
      <c r="D75" s="1">
        <v>7.46</v>
      </c>
      <c r="E75" s="1">
        <v>7.6499999999999995</v>
      </c>
      <c r="F75" s="1">
        <v>7.87</v>
      </c>
      <c r="G75" s="1">
        <v>8.25</v>
      </c>
      <c r="H75" s="1">
        <v>108.26</v>
      </c>
      <c r="I75" s="1">
        <v>115.61</v>
      </c>
      <c r="J75" s="1">
        <v>3.57</v>
      </c>
      <c r="K75" s="1">
        <v>249.91</v>
      </c>
      <c r="L75" s="1">
        <v>263.45</v>
      </c>
      <c r="M75">
        <f t="shared" si="29"/>
        <v>231.22</v>
      </c>
      <c r="O75" s="8">
        <f t="shared" si="30"/>
        <v>8.4633337846557355E-2</v>
      </c>
      <c r="P75" s="8">
        <f t="shared" si="31"/>
        <v>3.8346457614848672E-2</v>
      </c>
      <c r="Q75" s="8">
        <f t="shared" si="32"/>
        <v>3.0831099195710365E-2</v>
      </c>
      <c r="R75" s="8">
        <f t="shared" si="33"/>
        <v>2.6143790849673332E-2</v>
      </c>
      <c r="S75" s="8">
        <f t="shared" si="34"/>
        <v>3.1766200762388674E-2</v>
      </c>
      <c r="T75" s="8">
        <f t="shared" si="35"/>
        <v>3.5151515151515156E-2</v>
      </c>
      <c r="U75" s="8">
        <f t="shared" si="36"/>
        <v>-3.6948087936449325E-2</v>
      </c>
      <c r="V75" s="8">
        <f t="shared" si="37"/>
        <v>-9.0822593201280166E-2</v>
      </c>
      <c r="W75" s="8">
        <f t="shared" si="38"/>
        <v>0.2100840336134453</v>
      </c>
      <c r="X75" s="8">
        <f t="shared" si="39"/>
        <v>-1.6405906126205405E-2</v>
      </c>
      <c r="Y75" s="8">
        <f t="shared" si="40"/>
        <v>7.4017840197380114E-3</v>
      </c>
      <c r="Z75" s="8">
        <f t="shared" si="41"/>
        <v>-9.0822593201280166E-2</v>
      </c>
      <c r="AB75" s="26">
        <f t="shared" si="42"/>
        <v>8.01124133541323E-2</v>
      </c>
      <c r="AC75" s="26">
        <f t="shared" si="43"/>
        <v>3.5829687596272079E-2</v>
      </c>
      <c r="AD75" s="26">
        <f t="shared" si="44"/>
        <v>2.8538890872259422E-2</v>
      </c>
      <c r="AE75" s="26">
        <f t="shared" si="45"/>
        <v>2.3931031577164013E-2</v>
      </c>
      <c r="AF75" s="26">
        <f t="shared" si="46"/>
        <v>2.95850913509439E-2</v>
      </c>
      <c r="AG75" s="26">
        <f t="shared" si="47"/>
        <v>3.297351318059355E-2</v>
      </c>
      <c r="AH75" s="26">
        <f t="shared" si="48"/>
        <v>-4.2291467981509734E-2</v>
      </c>
      <c r="AI75" s="26">
        <f t="shared" si="49"/>
        <v>-0.10322435933031754</v>
      </c>
      <c r="AJ75" s="26">
        <f t="shared" si="50"/>
        <v>0.19985482764180301</v>
      </c>
      <c r="AK75" s="26">
        <f t="shared" si="51"/>
        <v>-1.4838990844333991E-2</v>
      </c>
      <c r="AL75" s="26">
        <f t="shared" si="52"/>
        <v>1.0926019133493718E-2</v>
      </c>
      <c r="AM75" s="26">
        <f t="shared" si="53"/>
        <v>-0.10322435933031754</v>
      </c>
    </row>
    <row r="76" spans="1:39" x14ac:dyDescent="0.2">
      <c r="A76" s="5">
        <v>27637</v>
      </c>
      <c r="B76" s="14">
        <v>8.9989769122999999</v>
      </c>
      <c r="C76" s="14">
        <v>7.4147826085999995</v>
      </c>
      <c r="D76" s="1">
        <v>7.6899999999999995</v>
      </c>
      <c r="E76" s="1">
        <v>7.85</v>
      </c>
      <c r="F76" s="1">
        <v>8.1199999999999992</v>
      </c>
      <c r="G76" s="1">
        <v>8.5399999999999991</v>
      </c>
      <c r="H76" s="1">
        <v>104.26</v>
      </c>
      <c r="I76" s="1">
        <v>105.11</v>
      </c>
      <c r="J76" s="1">
        <v>4.3199999999999994</v>
      </c>
      <c r="K76" s="1">
        <v>245.81</v>
      </c>
      <c r="L76" s="1">
        <v>265.39999999999998</v>
      </c>
      <c r="M76">
        <f t="shared" si="29"/>
        <v>210.22</v>
      </c>
      <c r="O76" s="8">
        <f t="shared" si="30"/>
        <v>-4.549717397767572E-2</v>
      </c>
      <c r="P76" s="8">
        <f t="shared" si="31"/>
        <v>-4.2382401398459169E-2</v>
      </c>
      <c r="Q76" s="8">
        <f t="shared" si="32"/>
        <v>-6.5019505851755532E-3</v>
      </c>
      <c r="R76" s="8">
        <f t="shared" si="33"/>
        <v>2.5477707006369421E-3</v>
      </c>
      <c r="S76" s="8">
        <f t="shared" si="34"/>
        <v>0</v>
      </c>
      <c r="T76" s="8">
        <f t="shared" si="35"/>
        <v>1.1709601873536535E-2</v>
      </c>
      <c r="U76" s="8">
        <f t="shared" si="36"/>
        <v>4.0092077498561363E-2</v>
      </c>
      <c r="V76" s="8">
        <f t="shared" si="37"/>
        <v>-6.9926743411663939E-2</v>
      </c>
      <c r="W76" s="8">
        <f t="shared" si="38"/>
        <v>0</v>
      </c>
      <c r="X76" s="8">
        <f t="shared" si="39"/>
        <v>-1.8103413205321273E-2</v>
      </c>
      <c r="Y76" s="8">
        <f t="shared" si="40"/>
        <v>7.9125847776961855E-4</v>
      </c>
      <c r="Z76" s="8">
        <f t="shared" si="41"/>
        <v>-6.9926743411663939E-2</v>
      </c>
      <c r="AB76" s="26">
        <f t="shared" si="42"/>
        <v>-5.0018098470100775E-2</v>
      </c>
      <c r="AC76" s="26">
        <f t="shared" si="43"/>
        <v>-4.4899171417035762E-2</v>
      </c>
      <c r="AD76" s="26">
        <f t="shared" si="44"/>
        <v>-8.7941589086264968E-3</v>
      </c>
      <c r="AE76" s="26">
        <f t="shared" si="45"/>
        <v>3.3501142812762371E-4</v>
      </c>
      <c r="AF76" s="26">
        <f t="shared" si="46"/>
        <v>-2.1811094114447733E-3</v>
      </c>
      <c r="AG76" s="26">
        <f t="shared" si="47"/>
        <v>9.5315999026149255E-3</v>
      </c>
      <c r="AH76" s="26">
        <f t="shared" si="48"/>
        <v>3.4748697453500954E-2</v>
      </c>
      <c r="AI76" s="26">
        <f t="shared" si="49"/>
        <v>-8.2328509540701311E-2</v>
      </c>
      <c r="AJ76" s="26">
        <f t="shared" si="50"/>
        <v>-1.0229205971642284E-2</v>
      </c>
      <c r="AK76" s="26">
        <f t="shared" si="51"/>
        <v>-1.6536497923449859E-2</v>
      </c>
      <c r="AL76" s="26">
        <f t="shared" si="52"/>
        <v>4.3154935915253254E-3</v>
      </c>
      <c r="AM76" s="26">
        <f t="shared" si="53"/>
        <v>-8.2328509540701311E-2</v>
      </c>
    </row>
    <row r="77" spans="1:39" x14ac:dyDescent="0.2">
      <c r="A77" s="5">
        <v>27667</v>
      </c>
      <c r="B77" s="14">
        <v>8.5895488941</v>
      </c>
      <c r="C77" s="14">
        <v>7.1005263157999998</v>
      </c>
      <c r="D77" s="1">
        <v>7.64</v>
      </c>
      <c r="E77" s="1">
        <v>7.87</v>
      </c>
      <c r="F77" s="1">
        <v>8.1199999999999992</v>
      </c>
      <c r="G77" s="1">
        <v>8.64</v>
      </c>
      <c r="H77" s="1">
        <v>108.44000000000001</v>
      </c>
      <c r="I77" s="1">
        <v>97.76</v>
      </c>
      <c r="J77" s="1">
        <v>4.3199999999999994</v>
      </c>
      <c r="K77" s="1">
        <v>241.35999999999999</v>
      </c>
      <c r="L77" s="1">
        <v>265.61</v>
      </c>
      <c r="M77">
        <f t="shared" si="29"/>
        <v>195.52</v>
      </c>
      <c r="O77" s="8">
        <f t="shared" si="30"/>
        <v>-0.13122181296088886</v>
      </c>
      <c r="P77" s="8">
        <f t="shared" si="31"/>
        <v>-4.1720935663714043E-2</v>
      </c>
      <c r="Q77" s="8">
        <f t="shared" si="32"/>
        <v>-3.9267015706806463E-3</v>
      </c>
      <c r="R77" s="8">
        <f t="shared" si="33"/>
        <v>-2.5412960609911828E-3</v>
      </c>
      <c r="S77" s="8">
        <f t="shared" si="34"/>
        <v>-1.6009852216748666E-2</v>
      </c>
      <c r="T77" s="8">
        <f t="shared" si="35"/>
        <v>-2.5462962962963021E-2</v>
      </c>
      <c r="U77" s="8">
        <f t="shared" si="36"/>
        <v>-1.2910365178900873E-3</v>
      </c>
      <c r="V77" s="8">
        <f t="shared" si="37"/>
        <v>2.5572831423894549E-3</v>
      </c>
      <c r="W77" s="8">
        <f t="shared" si="38"/>
        <v>0</v>
      </c>
      <c r="X77" s="8">
        <f t="shared" si="39"/>
        <v>1.0357971494862506E-2</v>
      </c>
      <c r="Y77" s="8">
        <f t="shared" si="40"/>
        <v>5.0826399608447925E-3</v>
      </c>
      <c r="Z77" s="8">
        <f t="shared" si="41"/>
        <v>2.5572831423894549E-3</v>
      </c>
      <c r="AB77" s="26">
        <f t="shared" si="42"/>
        <v>-0.13574273745331392</v>
      </c>
      <c r="AC77" s="26">
        <f t="shared" si="43"/>
        <v>-4.4237705682290636E-2</v>
      </c>
      <c r="AD77" s="26">
        <f t="shared" si="44"/>
        <v>-6.2189098941315898E-3</v>
      </c>
      <c r="AE77" s="26">
        <f t="shared" si="45"/>
        <v>-4.7540553335005016E-3</v>
      </c>
      <c r="AF77" s="26">
        <f t="shared" si="46"/>
        <v>-1.819096162819344E-2</v>
      </c>
      <c r="AG77" s="26">
        <f t="shared" si="47"/>
        <v>-2.764096493388463E-2</v>
      </c>
      <c r="AH77" s="26">
        <f t="shared" si="48"/>
        <v>-6.6344165629504924E-3</v>
      </c>
      <c r="AI77" s="26">
        <f t="shared" si="49"/>
        <v>-9.8444829866479247E-3</v>
      </c>
      <c r="AJ77" s="26">
        <f t="shared" si="50"/>
        <v>-1.0229205971642284E-2</v>
      </c>
      <c r="AK77" s="26">
        <f t="shared" si="51"/>
        <v>1.1924886776733919E-2</v>
      </c>
      <c r="AL77" s="26">
        <f t="shared" si="52"/>
        <v>8.6068750746004993E-3</v>
      </c>
      <c r="AM77" s="26">
        <f t="shared" si="53"/>
        <v>-9.8444829866479247E-3</v>
      </c>
    </row>
    <row r="78" spans="1:39" x14ac:dyDescent="0.2">
      <c r="A78" s="5">
        <v>27698</v>
      </c>
      <c r="B78" s="14">
        <v>7.4624127157000002</v>
      </c>
      <c r="C78" s="14">
        <v>6.8042857141999997</v>
      </c>
      <c r="D78" s="1">
        <v>7.6099999999999994</v>
      </c>
      <c r="E78" s="1">
        <v>7.85</v>
      </c>
      <c r="F78" s="1">
        <v>7.99</v>
      </c>
      <c r="G78" s="1">
        <v>8.42</v>
      </c>
      <c r="H78" s="1">
        <v>108.30000000000001</v>
      </c>
      <c r="I78" s="1">
        <v>98.01</v>
      </c>
      <c r="J78" s="1">
        <v>4.3199999999999994</v>
      </c>
      <c r="K78" s="1">
        <v>243.85999999999999</v>
      </c>
      <c r="L78" s="1">
        <v>266.95999999999998</v>
      </c>
      <c r="M78">
        <f t="shared" si="29"/>
        <v>196.02</v>
      </c>
      <c r="O78" s="8">
        <f t="shared" si="30"/>
        <v>8.6812965803544362E-2</v>
      </c>
      <c r="P78" s="8">
        <f t="shared" si="31"/>
        <v>-9.6682762839764846E-3</v>
      </c>
      <c r="Q78" s="8">
        <f t="shared" si="32"/>
        <v>9.1984231274639949E-3</v>
      </c>
      <c r="R78" s="8">
        <f t="shared" si="33"/>
        <v>7.6433121019108263E-3</v>
      </c>
      <c r="S78" s="8">
        <f t="shared" si="34"/>
        <v>1.126408010012514E-2</v>
      </c>
      <c r="T78" s="8">
        <f t="shared" si="35"/>
        <v>1.1876484560569001E-3</v>
      </c>
      <c r="U78" s="8">
        <f t="shared" si="36"/>
        <v>-0.11385041551246544</v>
      </c>
      <c r="V78" s="8">
        <f t="shared" si="37"/>
        <v>7.6522803795531003E-2</v>
      </c>
      <c r="W78" s="8">
        <f t="shared" si="38"/>
        <v>0</v>
      </c>
      <c r="X78" s="8">
        <f t="shared" si="39"/>
        <v>-3.9161814155663E-2</v>
      </c>
      <c r="Y78" s="8">
        <f t="shared" si="40"/>
        <v>4.929577464788748E-2</v>
      </c>
      <c r="Z78" s="8">
        <f t="shared" si="41"/>
        <v>7.6522803795531003E-2</v>
      </c>
      <c r="AB78" s="26">
        <f t="shared" si="42"/>
        <v>8.2292041311119307E-2</v>
      </c>
      <c r="AC78" s="26">
        <f t="shared" si="43"/>
        <v>-1.2185046302553078E-2</v>
      </c>
      <c r="AD78" s="26">
        <f t="shared" si="44"/>
        <v>6.9062148040130514E-3</v>
      </c>
      <c r="AE78" s="26">
        <f t="shared" si="45"/>
        <v>5.4305528294015075E-3</v>
      </c>
      <c r="AF78" s="26">
        <f t="shared" si="46"/>
        <v>9.0829706886803672E-3</v>
      </c>
      <c r="AG78" s="26">
        <f t="shared" si="47"/>
        <v>-9.9035351486470927E-4</v>
      </c>
      <c r="AH78" s="26">
        <f t="shared" si="48"/>
        <v>-0.11919379555752585</v>
      </c>
      <c r="AI78" s="26">
        <f t="shared" si="49"/>
        <v>6.412103766649363E-2</v>
      </c>
      <c r="AJ78" s="26">
        <f t="shared" si="50"/>
        <v>-1.0229205971642284E-2</v>
      </c>
      <c r="AK78" s="26">
        <f t="shared" si="51"/>
        <v>-3.7594898873791582E-2</v>
      </c>
      <c r="AL78" s="26">
        <f t="shared" si="52"/>
        <v>5.2820009761643187E-2</v>
      </c>
      <c r="AM78" s="26">
        <f t="shared" si="53"/>
        <v>6.412103766649363E-2</v>
      </c>
    </row>
    <row r="79" spans="1:39" x14ac:dyDescent="0.2">
      <c r="A79" s="5">
        <v>27728</v>
      </c>
      <c r="B79" s="14">
        <v>8.1102468955999996</v>
      </c>
      <c r="C79" s="14">
        <v>6.7385000000000002</v>
      </c>
      <c r="D79" s="1">
        <v>7.68</v>
      </c>
      <c r="E79" s="1">
        <v>7.91</v>
      </c>
      <c r="F79" s="1">
        <v>8.08</v>
      </c>
      <c r="G79" s="1">
        <v>8.43</v>
      </c>
      <c r="H79" s="1">
        <v>95.97</v>
      </c>
      <c r="I79" s="1">
        <v>105.51</v>
      </c>
      <c r="J79" s="1">
        <v>4.3199999999999994</v>
      </c>
      <c r="K79" s="1">
        <v>234.31</v>
      </c>
      <c r="L79" s="1">
        <v>280.12</v>
      </c>
      <c r="M79">
        <f t="shared" si="29"/>
        <v>211.02</v>
      </c>
      <c r="O79" s="8">
        <f t="shared" si="30"/>
        <v>-4.9325455556356923E-2</v>
      </c>
      <c r="P79" s="8">
        <f t="shared" si="31"/>
        <v>2.2533517251612789E-3</v>
      </c>
      <c r="Q79" s="8">
        <f t="shared" si="32"/>
        <v>1.3020833333332593E-3</v>
      </c>
      <c r="R79" s="8">
        <f t="shared" si="33"/>
        <v>2.5284450063209896E-3</v>
      </c>
      <c r="S79" s="8">
        <f t="shared" si="34"/>
        <v>4.9504950495049549E-3</v>
      </c>
      <c r="T79" s="8">
        <f t="shared" si="35"/>
        <v>7.1174377224199059E-3</v>
      </c>
      <c r="U79" s="8">
        <f t="shared" si="36"/>
        <v>1.6567677399187186E-2</v>
      </c>
      <c r="V79" s="8">
        <f t="shared" si="37"/>
        <v>5.9236091365747257E-2</v>
      </c>
      <c r="W79" s="8">
        <f t="shared" si="38"/>
        <v>0</v>
      </c>
      <c r="X79" s="8">
        <f t="shared" si="39"/>
        <v>-8.7490930818147072E-3</v>
      </c>
      <c r="Y79" s="8">
        <f t="shared" si="40"/>
        <v>5.7118377838061285E-4</v>
      </c>
      <c r="Z79" s="8">
        <f t="shared" si="41"/>
        <v>5.9236091365747257E-2</v>
      </c>
      <c r="AB79" s="26">
        <f t="shared" si="42"/>
        <v>-5.3846380048781978E-2</v>
      </c>
      <c r="AC79" s="26">
        <f t="shared" si="43"/>
        <v>-2.6341829341531512E-4</v>
      </c>
      <c r="AD79" s="26">
        <f t="shared" si="44"/>
        <v>-9.9012499011768467E-4</v>
      </c>
      <c r="AE79" s="26">
        <f t="shared" si="45"/>
        <v>3.1568573381167116E-4</v>
      </c>
      <c r="AF79" s="26">
        <f t="shared" si="46"/>
        <v>2.7693856380601816E-3</v>
      </c>
      <c r="AG79" s="26">
        <f t="shared" si="47"/>
        <v>4.9394357514982966E-3</v>
      </c>
      <c r="AH79" s="26">
        <f t="shared" si="48"/>
        <v>1.1224297354126781E-2</v>
      </c>
      <c r="AI79" s="26">
        <f t="shared" si="49"/>
        <v>4.6834325236709877E-2</v>
      </c>
      <c r="AJ79" s="26">
        <f t="shared" si="50"/>
        <v>-1.0229205971642284E-2</v>
      </c>
      <c r="AK79" s="26">
        <f t="shared" si="51"/>
        <v>-7.1821777999432927E-3</v>
      </c>
      <c r="AL79" s="26">
        <f t="shared" si="52"/>
        <v>4.0954188921363197E-3</v>
      </c>
      <c r="AM79" s="26">
        <f t="shared" si="53"/>
        <v>4.6834325236709877E-2</v>
      </c>
    </row>
    <row r="80" spans="1:39" x14ac:dyDescent="0.2">
      <c r="A80" s="5">
        <v>27759</v>
      </c>
      <c r="B80" s="14">
        <v>7.7102052727999997</v>
      </c>
      <c r="C80" s="14">
        <v>6.7536842105999995</v>
      </c>
      <c r="D80" s="1">
        <v>7.6899999999999995</v>
      </c>
      <c r="E80" s="1">
        <v>7.93</v>
      </c>
      <c r="F80" s="1">
        <v>8.1199999999999992</v>
      </c>
      <c r="G80" s="1">
        <v>8.49</v>
      </c>
      <c r="H80" s="1">
        <v>97.56</v>
      </c>
      <c r="I80" s="1">
        <v>111.76</v>
      </c>
      <c r="J80" s="1">
        <v>4.3199999999999994</v>
      </c>
      <c r="K80" s="1">
        <v>232.26</v>
      </c>
      <c r="L80" s="1">
        <v>280.27999999999997</v>
      </c>
      <c r="M80">
        <f t="shared" si="29"/>
        <v>223.52</v>
      </c>
      <c r="O80" s="8">
        <f t="shared" si="30"/>
        <v>4.330221121061717E-2</v>
      </c>
      <c r="P80" s="8">
        <f t="shared" si="31"/>
        <v>3.6269411681337571E-2</v>
      </c>
      <c r="Q80" s="8">
        <f t="shared" si="32"/>
        <v>1.950585175552666E-2</v>
      </c>
      <c r="R80" s="8">
        <f t="shared" si="33"/>
        <v>1.0088272383354413E-2</v>
      </c>
      <c r="S80" s="8">
        <f t="shared" si="34"/>
        <v>7.3891625615765122E-3</v>
      </c>
      <c r="T80" s="8">
        <f t="shared" si="35"/>
        <v>0</v>
      </c>
      <c r="U80" s="8">
        <f t="shared" si="36"/>
        <v>-1.0147601476014678E-2</v>
      </c>
      <c r="V80" s="8">
        <f t="shared" si="37"/>
        <v>0.23040443808160327</v>
      </c>
      <c r="W80" s="8">
        <f t="shared" si="38"/>
        <v>1.3425925925925926</v>
      </c>
      <c r="X80" s="8">
        <f t="shared" si="39"/>
        <v>-1.5715146818220949E-2</v>
      </c>
      <c r="Y80" s="8">
        <f t="shared" si="40"/>
        <v>6.6005423148280284E-2</v>
      </c>
      <c r="Z80" s="8">
        <f t="shared" si="41"/>
        <v>0.23040443808160327</v>
      </c>
      <c r="AB80" s="26">
        <f t="shared" si="42"/>
        <v>3.8781286718192115E-2</v>
      </c>
      <c r="AC80" s="26">
        <f t="shared" si="43"/>
        <v>3.3752641662760978E-2</v>
      </c>
      <c r="AD80" s="26">
        <f t="shared" si="44"/>
        <v>1.7213643432075716E-2</v>
      </c>
      <c r="AE80" s="26">
        <f t="shared" si="45"/>
        <v>7.8755131108450942E-3</v>
      </c>
      <c r="AF80" s="26">
        <f t="shared" si="46"/>
        <v>5.2080531501317393E-3</v>
      </c>
      <c r="AG80" s="26">
        <f t="shared" si="47"/>
        <v>-2.1780019709216093E-3</v>
      </c>
      <c r="AH80" s="26">
        <f t="shared" si="48"/>
        <v>-1.5490981521075083E-2</v>
      </c>
      <c r="AI80" s="26">
        <f t="shared" si="49"/>
        <v>0.2180026719525659</v>
      </c>
      <c r="AJ80" s="26">
        <f t="shared" si="50"/>
        <v>1.3323633866209503</v>
      </c>
      <c r="AK80" s="26">
        <f t="shared" si="51"/>
        <v>-1.4148231536349535E-2</v>
      </c>
      <c r="AL80" s="26">
        <f t="shared" si="52"/>
        <v>6.9529658262035984E-2</v>
      </c>
      <c r="AM80" s="26">
        <f t="shared" si="53"/>
        <v>0.2180026719525659</v>
      </c>
    </row>
    <row r="81" spans="1:39" x14ac:dyDescent="0.2">
      <c r="A81" s="5">
        <v>27790</v>
      </c>
      <c r="B81" s="14">
        <v>8.0440742099999998</v>
      </c>
      <c r="C81" s="14">
        <v>6.9986363636000002</v>
      </c>
      <c r="D81" s="1">
        <v>7.84</v>
      </c>
      <c r="E81" s="1">
        <v>8.01</v>
      </c>
      <c r="F81" s="1">
        <v>8.18</v>
      </c>
      <c r="G81" s="1">
        <v>8.49</v>
      </c>
      <c r="H81" s="1">
        <v>96.570000000000007</v>
      </c>
      <c r="I81" s="1">
        <v>137.51</v>
      </c>
      <c r="J81" s="1">
        <v>10.119999999999999</v>
      </c>
      <c r="K81" s="1">
        <v>228.60999999999999</v>
      </c>
      <c r="L81" s="1">
        <v>298.77999999999997</v>
      </c>
      <c r="M81">
        <f t="shared" si="29"/>
        <v>275.02</v>
      </c>
      <c r="O81" s="8">
        <f t="shared" si="30"/>
        <v>-8.463435830237076E-2</v>
      </c>
      <c r="P81" s="8">
        <f t="shared" si="31"/>
        <v>-4.4886089043553179E-3</v>
      </c>
      <c r="Q81" s="8">
        <f t="shared" si="32"/>
        <v>2.5510204081631294E-3</v>
      </c>
      <c r="R81" s="8">
        <f t="shared" si="33"/>
        <v>6.2421972534332237E-3</v>
      </c>
      <c r="S81" s="8">
        <f t="shared" si="34"/>
        <v>9.7799511002445438E-3</v>
      </c>
      <c r="T81" s="8">
        <f t="shared" si="35"/>
        <v>5.8892815076558858E-3</v>
      </c>
      <c r="U81" s="8">
        <f t="shared" si="36"/>
        <v>-3.5207621414518053E-3</v>
      </c>
      <c r="V81" s="8">
        <f t="shared" si="37"/>
        <v>0.27270743945894838</v>
      </c>
      <c r="W81" s="8">
        <f t="shared" si="38"/>
        <v>0</v>
      </c>
      <c r="X81" s="8">
        <f t="shared" si="39"/>
        <v>6.7801058571366202E-3</v>
      </c>
      <c r="Y81" s="8">
        <f t="shared" si="40"/>
        <v>-3.4607403440658602E-2</v>
      </c>
      <c r="Z81" s="8">
        <f t="shared" si="41"/>
        <v>0.27270743945894838</v>
      </c>
      <c r="AB81" s="26">
        <f t="shared" si="42"/>
        <v>-8.9155282794795815E-2</v>
      </c>
      <c r="AC81" s="26">
        <f t="shared" si="43"/>
        <v>-7.0053789229319119E-3</v>
      </c>
      <c r="AD81" s="26">
        <f t="shared" si="44"/>
        <v>2.5881208471218537E-4</v>
      </c>
      <c r="AE81" s="26">
        <f t="shared" si="45"/>
        <v>4.0294379809239049E-3</v>
      </c>
      <c r="AF81" s="26">
        <f t="shared" si="46"/>
        <v>7.598841688799771E-3</v>
      </c>
      <c r="AG81" s="26">
        <f t="shared" si="47"/>
        <v>3.7112795367342764E-3</v>
      </c>
      <c r="AH81" s="26">
        <f t="shared" si="48"/>
        <v>-8.8641421865122104E-3</v>
      </c>
      <c r="AI81" s="26">
        <f t="shared" si="49"/>
        <v>0.260305673329911</v>
      </c>
      <c r="AJ81" s="26">
        <f t="shared" si="50"/>
        <v>-1.0229205971642284E-2</v>
      </c>
      <c r="AK81" s="26">
        <f t="shared" si="51"/>
        <v>8.3470211390080339E-3</v>
      </c>
      <c r="AL81" s="26">
        <f t="shared" si="52"/>
        <v>-3.1083168326902895E-2</v>
      </c>
      <c r="AM81" s="26">
        <f t="shared" si="53"/>
        <v>0.260305673329911</v>
      </c>
    </row>
    <row r="82" spans="1:39" x14ac:dyDescent="0.2">
      <c r="A82" s="5">
        <v>27819</v>
      </c>
      <c r="B82" s="14">
        <v>7.3632691510999999</v>
      </c>
      <c r="C82" s="14">
        <v>6.9672222221000002</v>
      </c>
      <c r="D82" s="1">
        <v>7.8599999999999994</v>
      </c>
      <c r="E82" s="1">
        <v>8.06</v>
      </c>
      <c r="F82" s="1">
        <v>8.26</v>
      </c>
      <c r="G82" s="1">
        <v>8.5399999999999991</v>
      </c>
      <c r="H82" s="1">
        <v>96.23</v>
      </c>
      <c r="I82" s="1">
        <v>175.01</v>
      </c>
      <c r="J82" s="1">
        <v>10.119999999999999</v>
      </c>
      <c r="K82" s="1">
        <v>230.16</v>
      </c>
      <c r="L82" s="1">
        <v>288.44</v>
      </c>
      <c r="M82">
        <f t="shared" si="29"/>
        <v>350.02</v>
      </c>
      <c r="O82" s="8">
        <f t="shared" si="30"/>
        <v>0.11990053643063003</v>
      </c>
      <c r="P82" s="8">
        <f t="shared" si="31"/>
        <v>3.6144303823295587E-2</v>
      </c>
      <c r="Q82" s="8">
        <f t="shared" si="32"/>
        <v>2.0356234096692072E-2</v>
      </c>
      <c r="R82" s="8">
        <f t="shared" si="33"/>
        <v>1.6129032258064502E-2</v>
      </c>
      <c r="S82" s="8">
        <f t="shared" si="34"/>
        <v>8.4745762711864181E-3</v>
      </c>
      <c r="T82" s="8">
        <f t="shared" si="35"/>
        <v>1.053864168618257E-2</v>
      </c>
      <c r="U82" s="8">
        <f t="shared" si="36"/>
        <v>-2.3277564169177922E-2</v>
      </c>
      <c r="V82" s="8">
        <f t="shared" si="37"/>
        <v>-1.5713387806411072E-2</v>
      </c>
      <c r="W82" s="8">
        <f t="shared" si="38"/>
        <v>0</v>
      </c>
      <c r="X82" s="8">
        <f t="shared" si="39"/>
        <v>3.975495307612098E-2</v>
      </c>
      <c r="Y82" s="8">
        <f t="shared" si="40"/>
        <v>-4.2781861045624869E-2</v>
      </c>
      <c r="Z82" s="8">
        <f t="shared" si="41"/>
        <v>-1.5713387806411072E-2</v>
      </c>
      <c r="AB82" s="26">
        <f t="shared" si="42"/>
        <v>0.11537961193820498</v>
      </c>
      <c r="AC82" s="26">
        <f t="shared" si="43"/>
        <v>3.3627533804718994E-2</v>
      </c>
      <c r="AD82" s="26">
        <f t="shared" si="44"/>
        <v>1.8064025773241128E-2</v>
      </c>
      <c r="AE82" s="26">
        <f t="shared" si="45"/>
        <v>1.3916272985555183E-2</v>
      </c>
      <c r="AF82" s="26">
        <f t="shared" si="46"/>
        <v>6.2934668597416452E-3</v>
      </c>
      <c r="AG82" s="26">
        <f t="shared" si="47"/>
        <v>8.3606397152609611E-3</v>
      </c>
      <c r="AH82" s="26">
        <f t="shared" si="48"/>
        <v>-2.8620944214238327E-2</v>
      </c>
      <c r="AI82" s="26">
        <f t="shared" si="49"/>
        <v>-2.8115153935448452E-2</v>
      </c>
      <c r="AJ82" s="26">
        <f t="shared" si="50"/>
        <v>-1.0229205971642284E-2</v>
      </c>
      <c r="AK82" s="26">
        <f t="shared" si="51"/>
        <v>4.1321868357992397E-2</v>
      </c>
      <c r="AL82" s="26">
        <f t="shared" si="52"/>
        <v>-3.9257625931869163E-2</v>
      </c>
      <c r="AM82" s="26">
        <f t="shared" si="53"/>
        <v>-2.8115153935448452E-2</v>
      </c>
    </row>
    <row r="83" spans="1:39" x14ac:dyDescent="0.2">
      <c r="A83" s="5">
        <v>27850</v>
      </c>
      <c r="B83" s="14">
        <v>8.2461290722000005</v>
      </c>
      <c r="C83" s="14">
        <v>7.2190476188999995</v>
      </c>
      <c r="D83" s="1">
        <v>8.02</v>
      </c>
      <c r="E83" s="1">
        <v>8.19</v>
      </c>
      <c r="F83" s="1">
        <v>8.33</v>
      </c>
      <c r="G83" s="1">
        <v>8.629999999999999</v>
      </c>
      <c r="H83" s="1">
        <v>93.990000000000009</v>
      </c>
      <c r="I83" s="1">
        <v>172.26</v>
      </c>
      <c r="J83" s="1">
        <v>10.119999999999999</v>
      </c>
      <c r="K83" s="1">
        <v>239.31</v>
      </c>
      <c r="L83" s="1">
        <v>276.09999999999997</v>
      </c>
      <c r="M83">
        <f t="shared" si="29"/>
        <v>344.52</v>
      </c>
      <c r="O83" s="8">
        <f t="shared" si="30"/>
        <v>4.7839589793705617E-2</v>
      </c>
      <c r="P83" s="8">
        <f t="shared" si="31"/>
        <v>4.2018469680938475E-2</v>
      </c>
      <c r="Q83" s="8">
        <f t="shared" si="32"/>
        <v>2.9925187032419087E-2</v>
      </c>
      <c r="R83" s="8">
        <f t="shared" si="33"/>
        <v>3.0525030525030417E-2</v>
      </c>
      <c r="S83" s="8">
        <f t="shared" si="34"/>
        <v>3.4813925570227999E-2</v>
      </c>
      <c r="T83" s="8">
        <f t="shared" si="35"/>
        <v>2.8968713789107703E-2</v>
      </c>
      <c r="U83" s="8">
        <f t="shared" si="36"/>
        <v>-3.90467070964996E-2</v>
      </c>
      <c r="V83" s="8">
        <f t="shared" si="37"/>
        <v>1.4222686636479631E-2</v>
      </c>
      <c r="W83" s="8">
        <f t="shared" si="38"/>
        <v>0</v>
      </c>
      <c r="X83" s="8">
        <f t="shared" si="39"/>
        <v>1.2953909155488663E-2</v>
      </c>
      <c r="Y83" s="8">
        <f t="shared" si="40"/>
        <v>1.2857660268018822E-2</v>
      </c>
      <c r="Z83" s="8">
        <f t="shared" si="41"/>
        <v>1.4222686636479631E-2</v>
      </c>
      <c r="AB83" s="26">
        <f t="shared" si="42"/>
        <v>4.3318665301280562E-2</v>
      </c>
      <c r="AC83" s="26">
        <f t="shared" si="43"/>
        <v>3.9501699662361882E-2</v>
      </c>
      <c r="AD83" s="26">
        <f t="shared" si="44"/>
        <v>2.7632978708968144E-2</v>
      </c>
      <c r="AE83" s="26">
        <f t="shared" si="45"/>
        <v>2.8312271252521098E-2</v>
      </c>
      <c r="AF83" s="26">
        <f t="shared" si="46"/>
        <v>3.2632816158783225E-2</v>
      </c>
      <c r="AG83" s="26">
        <f t="shared" si="47"/>
        <v>2.6790711818186094E-2</v>
      </c>
      <c r="AH83" s="26">
        <f t="shared" si="48"/>
        <v>-4.4390087141560008E-2</v>
      </c>
      <c r="AI83" s="26">
        <f t="shared" si="49"/>
        <v>1.8209205074422516E-3</v>
      </c>
      <c r="AJ83" s="26">
        <f t="shared" si="50"/>
        <v>-1.0229205971642284E-2</v>
      </c>
      <c r="AK83" s="26">
        <f t="shared" si="51"/>
        <v>1.4520824437360077E-2</v>
      </c>
      <c r="AL83" s="26">
        <f t="shared" si="52"/>
        <v>1.6381895381774529E-2</v>
      </c>
      <c r="AM83" s="26">
        <f t="shared" si="53"/>
        <v>1.8209205074422516E-3</v>
      </c>
    </row>
    <row r="84" spans="1:39" x14ac:dyDescent="0.2">
      <c r="A84" s="5">
        <v>27880</v>
      </c>
      <c r="B84" s="14">
        <v>8.6406205043999993</v>
      </c>
      <c r="C84" s="14">
        <v>7.5223809523999998</v>
      </c>
      <c r="D84" s="1">
        <v>8.26</v>
      </c>
      <c r="E84" s="1">
        <v>8.44</v>
      </c>
      <c r="F84" s="1">
        <v>8.6199999999999992</v>
      </c>
      <c r="G84" s="1">
        <v>8.879999999999999</v>
      </c>
      <c r="H84" s="1">
        <v>90.320000000000007</v>
      </c>
      <c r="I84" s="1">
        <v>174.70999999999998</v>
      </c>
      <c r="J84" s="1">
        <v>10.119999999999999</v>
      </c>
      <c r="K84" s="1">
        <v>242.41</v>
      </c>
      <c r="L84" s="1">
        <v>279.64999999999998</v>
      </c>
      <c r="M84">
        <f t="shared" si="29"/>
        <v>349.41999999999996</v>
      </c>
      <c r="O84" s="8">
        <f t="shared" si="30"/>
        <v>-1.3303582646809198E-2</v>
      </c>
      <c r="P84" s="8">
        <f t="shared" si="31"/>
        <v>8.4452168803990091E-3</v>
      </c>
      <c r="Q84" s="8">
        <f t="shared" si="32"/>
        <v>1.4527845036319542E-2</v>
      </c>
      <c r="R84" s="8">
        <f t="shared" si="33"/>
        <v>1.7772511848341166E-2</v>
      </c>
      <c r="S84" s="8">
        <f t="shared" si="34"/>
        <v>2.5522041763341052E-2</v>
      </c>
      <c r="T84" s="8">
        <f t="shared" si="35"/>
        <v>2.0270270270270396E-2</v>
      </c>
      <c r="U84" s="8">
        <f t="shared" si="36"/>
        <v>-3.3547387068201928E-2</v>
      </c>
      <c r="V84" s="8">
        <f t="shared" si="37"/>
        <v>-0.11848205597847861</v>
      </c>
      <c r="W84" s="8">
        <f t="shared" si="38"/>
        <v>0</v>
      </c>
      <c r="X84" s="8">
        <f t="shared" si="39"/>
        <v>-1.1550678602367914E-2</v>
      </c>
      <c r="Y84" s="8">
        <f t="shared" si="40"/>
        <v>8.1888074378688724E-3</v>
      </c>
      <c r="Z84" s="8">
        <f t="shared" si="41"/>
        <v>-0.11848205597847861</v>
      </c>
      <c r="AB84" s="26">
        <f t="shared" si="42"/>
        <v>-1.7824507139234252E-2</v>
      </c>
      <c r="AC84" s="26">
        <f t="shared" si="43"/>
        <v>5.9284468618224151E-3</v>
      </c>
      <c r="AD84" s="26">
        <f t="shared" si="44"/>
        <v>1.2235636712868599E-2</v>
      </c>
      <c r="AE84" s="26">
        <f t="shared" si="45"/>
        <v>1.5559752575831847E-2</v>
      </c>
      <c r="AF84" s="26">
        <f t="shared" si="46"/>
        <v>2.3340932351896278E-2</v>
      </c>
      <c r="AG84" s="26">
        <f t="shared" si="47"/>
        <v>1.8092268299348787E-2</v>
      </c>
      <c r="AH84" s="26">
        <f t="shared" si="48"/>
        <v>-3.8890767113262337E-2</v>
      </c>
      <c r="AI84" s="26">
        <f t="shared" si="49"/>
        <v>-0.13088382210751598</v>
      </c>
      <c r="AJ84" s="26">
        <f t="shared" si="50"/>
        <v>-1.0229205971642284E-2</v>
      </c>
      <c r="AK84" s="26">
        <f t="shared" si="51"/>
        <v>-9.9837633204965005E-3</v>
      </c>
      <c r="AL84" s="26">
        <f t="shared" si="52"/>
        <v>1.1713042551624579E-2</v>
      </c>
      <c r="AM84" s="26">
        <f t="shared" si="53"/>
        <v>-0.13088382210751598</v>
      </c>
    </row>
    <row r="85" spans="1:39" x14ac:dyDescent="0.2">
      <c r="A85" s="5">
        <v>27911</v>
      </c>
      <c r="B85" s="14">
        <v>8.5256692954000002</v>
      </c>
      <c r="C85" s="14">
        <v>7.5859090909999995</v>
      </c>
      <c r="D85" s="1">
        <v>8.379999999999999</v>
      </c>
      <c r="E85" s="1">
        <v>8.59</v>
      </c>
      <c r="F85" s="1">
        <v>8.84</v>
      </c>
      <c r="G85" s="1">
        <v>9.06</v>
      </c>
      <c r="H85" s="1">
        <v>87.29</v>
      </c>
      <c r="I85" s="1">
        <v>154.01</v>
      </c>
      <c r="J85" s="1">
        <v>10.119999999999999</v>
      </c>
      <c r="K85" s="1">
        <v>239.60999999999999</v>
      </c>
      <c r="L85" s="1">
        <v>281.94</v>
      </c>
      <c r="M85">
        <f t="shared" si="29"/>
        <v>308.02</v>
      </c>
      <c r="O85" s="8">
        <f t="shared" si="30"/>
        <v>-4.0131478919151142E-2</v>
      </c>
      <c r="P85" s="8">
        <f t="shared" si="31"/>
        <v>-5.3268620168335223E-3</v>
      </c>
      <c r="Q85" s="8">
        <f t="shared" si="32"/>
        <v>1.1933174224343812E-2</v>
      </c>
      <c r="R85" s="8">
        <f t="shared" si="33"/>
        <v>1.9790454016298087E-2</v>
      </c>
      <c r="S85" s="8">
        <f t="shared" si="34"/>
        <v>2.7149321266968451E-2</v>
      </c>
      <c r="T85" s="8">
        <f t="shared" si="35"/>
        <v>2.4282560706401668E-2</v>
      </c>
      <c r="U85" s="8">
        <f t="shared" si="36"/>
        <v>-1.4663764463283324E-2</v>
      </c>
      <c r="V85" s="8">
        <f t="shared" si="37"/>
        <v>-2.7595610674631565E-2</v>
      </c>
      <c r="W85" s="8">
        <f t="shared" si="38"/>
        <v>0</v>
      </c>
      <c r="X85" s="8">
        <f t="shared" si="39"/>
        <v>-2.2953966862817587E-3</v>
      </c>
      <c r="Y85" s="8">
        <f t="shared" si="40"/>
        <v>8.2287011420869582E-3</v>
      </c>
      <c r="Z85" s="8">
        <f t="shared" si="41"/>
        <v>-2.7595610674631565E-2</v>
      </c>
      <c r="AB85" s="26">
        <f t="shared" si="42"/>
        <v>-4.4652403411576197E-2</v>
      </c>
      <c r="AC85" s="26">
        <f t="shared" si="43"/>
        <v>-7.8436320354101155E-3</v>
      </c>
      <c r="AD85" s="26">
        <f t="shared" si="44"/>
        <v>9.6409659008928686E-3</v>
      </c>
      <c r="AE85" s="26">
        <f t="shared" si="45"/>
        <v>1.7577694743788768E-2</v>
      </c>
      <c r="AF85" s="26">
        <f t="shared" si="46"/>
        <v>2.4968211855523677E-2</v>
      </c>
      <c r="AG85" s="26">
        <f t="shared" si="47"/>
        <v>2.2104558735480059E-2</v>
      </c>
      <c r="AH85" s="26">
        <f t="shared" si="48"/>
        <v>-2.0007144508343729E-2</v>
      </c>
      <c r="AI85" s="26">
        <f t="shared" si="49"/>
        <v>-3.9997376803668945E-2</v>
      </c>
      <c r="AJ85" s="26">
        <f t="shared" si="50"/>
        <v>-1.0229205971642284E-2</v>
      </c>
      <c r="AK85" s="26">
        <f t="shared" si="51"/>
        <v>-7.284814044103442E-4</v>
      </c>
      <c r="AL85" s="26">
        <f t="shared" si="52"/>
        <v>1.1752936255842665E-2</v>
      </c>
      <c r="AM85" s="26">
        <f t="shared" si="53"/>
        <v>-3.9997376803668945E-2</v>
      </c>
    </row>
    <row r="86" spans="1:39" x14ac:dyDescent="0.2">
      <c r="A86" s="5">
        <v>27941</v>
      </c>
      <c r="B86" s="14">
        <v>8.1835215778000006</v>
      </c>
      <c r="C86" s="14">
        <v>7.5454999999999997</v>
      </c>
      <c r="D86" s="1">
        <v>8.48</v>
      </c>
      <c r="E86" s="1">
        <v>8.76</v>
      </c>
      <c r="F86" s="1">
        <v>9.08</v>
      </c>
      <c r="G86" s="1">
        <v>9.2799999999999994</v>
      </c>
      <c r="H86" s="1">
        <v>86.01</v>
      </c>
      <c r="I86" s="1">
        <v>149.76</v>
      </c>
      <c r="J86" s="1">
        <v>10.119999999999999</v>
      </c>
      <c r="K86" s="1">
        <v>239.06</v>
      </c>
      <c r="L86" s="1">
        <v>284.26</v>
      </c>
      <c r="M86">
        <f t="shared" si="29"/>
        <v>299.52</v>
      </c>
      <c r="O86" s="8">
        <f t="shared" si="30"/>
        <v>-4.5781145908668663E-2</v>
      </c>
      <c r="P86" s="8">
        <f t="shared" si="31"/>
        <v>3.5716652309323527E-2</v>
      </c>
      <c r="Q86" s="8">
        <f t="shared" si="32"/>
        <v>2.9481132075471761E-2</v>
      </c>
      <c r="R86" s="8">
        <f t="shared" si="33"/>
        <v>2.9680365296803624E-2</v>
      </c>
      <c r="S86" s="8">
        <f t="shared" si="34"/>
        <v>3.6343612334801767E-2</v>
      </c>
      <c r="T86" s="8">
        <f t="shared" si="35"/>
        <v>2.2629310344827624E-2</v>
      </c>
      <c r="U86" s="8">
        <f t="shared" si="36"/>
        <v>-7.7781653296128295E-2</v>
      </c>
      <c r="V86" s="8">
        <f t="shared" si="37"/>
        <v>6.1765491452991483E-2</v>
      </c>
      <c r="W86" s="8">
        <f t="shared" si="38"/>
        <v>0</v>
      </c>
      <c r="X86" s="8">
        <f t="shared" si="39"/>
        <v>-1.4640675980925888E-3</v>
      </c>
      <c r="Y86" s="8">
        <f t="shared" si="40"/>
        <v>4.9215506930275099E-2</v>
      </c>
      <c r="Z86" s="8">
        <f t="shared" si="41"/>
        <v>6.1765491452991483E-2</v>
      </c>
      <c r="AB86" s="26">
        <f t="shared" si="42"/>
        <v>-5.0302070401093718E-2</v>
      </c>
      <c r="AC86" s="26">
        <f t="shared" si="43"/>
        <v>3.3199882290746933E-2</v>
      </c>
      <c r="AD86" s="26">
        <f t="shared" si="44"/>
        <v>2.7188923752020817E-2</v>
      </c>
      <c r="AE86" s="26">
        <f t="shared" si="45"/>
        <v>2.7467606024294305E-2</v>
      </c>
      <c r="AF86" s="26">
        <f t="shared" si="46"/>
        <v>3.4162502923356992E-2</v>
      </c>
      <c r="AG86" s="26">
        <f t="shared" si="47"/>
        <v>2.0451308373906015E-2</v>
      </c>
      <c r="AH86" s="26">
        <f t="shared" si="48"/>
        <v>-8.3125033341188703E-2</v>
      </c>
      <c r="AI86" s="26">
        <f t="shared" si="49"/>
        <v>4.9363725323954104E-2</v>
      </c>
      <c r="AJ86" s="26">
        <f t="shared" si="50"/>
        <v>-1.0229205971642284E-2</v>
      </c>
      <c r="AK86" s="26">
        <f t="shared" si="51"/>
        <v>1.0284768377882576E-4</v>
      </c>
      <c r="AL86" s="26">
        <f t="shared" si="52"/>
        <v>5.2739742044030806E-2</v>
      </c>
      <c r="AM86" s="26">
        <f t="shared" si="53"/>
        <v>4.9363725323954104E-2</v>
      </c>
    </row>
    <row r="87" spans="1:39" x14ac:dyDescent="0.2">
      <c r="A87" s="5">
        <v>27972</v>
      </c>
      <c r="B87" s="14">
        <v>7.8088705824</v>
      </c>
      <c r="C87" s="14">
        <v>7.8149999999999995</v>
      </c>
      <c r="D87" s="1">
        <v>8.73</v>
      </c>
      <c r="E87" s="1">
        <v>9.02</v>
      </c>
      <c r="F87" s="1">
        <v>9.41</v>
      </c>
      <c r="G87" s="1">
        <v>9.49</v>
      </c>
      <c r="H87" s="1">
        <v>79.320000000000007</v>
      </c>
      <c r="I87" s="1">
        <v>159.01</v>
      </c>
      <c r="J87" s="1">
        <v>10.119999999999999</v>
      </c>
      <c r="K87" s="1">
        <v>238.70999999999998</v>
      </c>
      <c r="L87" s="1">
        <v>298.25</v>
      </c>
      <c r="M87">
        <f t="shared" si="29"/>
        <v>318.02</v>
      </c>
      <c r="O87" s="8">
        <f t="shared" si="30"/>
        <v>0.1911118536992491</v>
      </c>
      <c r="P87" s="8">
        <f t="shared" si="31"/>
        <v>3.0593846321177232E-2</v>
      </c>
      <c r="Q87" s="8">
        <f t="shared" si="32"/>
        <v>3.2073310423825774E-2</v>
      </c>
      <c r="R87" s="8">
        <f t="shared" si="33"/>
        <v>2.9933481152993213E-2</v>
      </c>
      <c r="S87" s="8">
        <f t="shared" si="34"/>
        <v>2.8692879914983926E-2</v>
      </c>
      <c r="T87" s="8">
        <f t="shared" si="35"/>
        <v>3.0558482613276983E-2</v>
      </c>
      <c r="U87" s="8">
        <f t="shared" si="36"/>
        <v>-9.0141200201714677E-2</v>
      </c>
      <c r="V87" s="8">
        <f t="shared" si="37"/>
        <v>-4.0877932205521716E-2</v>
      </c>
      <c r="W87" s="8">
        <f t="shared" si="38"/>
        <v>0</v>
      </c>
      <c r="X87" s="8">
        <f t="shared" si="39"/>
        <v>-2.9659419379162943E-2</v>
      </c>
      <c r="Y87" s="8">
        <f t="shared" si="40"/>
        <v>1.5758591785414833E-2</v>
      </c>
      <c r="Z87" s="8">
        <f t="shared" si="41"/>
        <v>-4.0877932205521716E-2</v>
      </c>
      <c r="AB87" s="26">
        <f t="shared" si="42"/>
        <v>0.18659092920682405</v>
      </c>
      <c r="AC87" s="26">
        <f t="shared" si="43"/>
        <v>2.8077076302600638E-2</v>
      </c>
      <c r="AD87" s="26">
        <f t="shared" si="44"/>
        <v>2.978110210037483E-2</v>
      </c>
      <c r="AE87" s="26">
        <f t="shared" si="45"/>
        <v>2.7720721880483894E-2</v>
      </c>
      <c r="AF87" s="26">
        <f t="shared" si="46"/>
        <v>2.6511770503539152E-2</v>
      </c>
      <c r="AG87" s="26">
        <f t="shared" si="47"/>
        <v>2.8380480642355373E-2</v>
      </c>
      <c r="AH87" s="26">
        <f t="shared" si="48"/>
        <v>-9.5484580246775086E-2</v>
      </c>
      <c r="AI87" s="26">
        <f t="shared" si="49"/>
        <v>-5.3279698334559096E-2</v>
      </c>
      <c r="AJ87" s="26">
        <f t="shared" si="50"/>
        <v>-1.0229205971642284E-2</v>
      </c>
      <c r="AK87" s="26">
        <f t="shared" si="51"/>
        <v>-2.809250409729153E-2</v>
      </c>
      <c r="AL87" s="26">
        <f t="shared" si="52"/>
        <v>1.928282689917054E-2</v>
      </c>
      <c r="AM87" s="26">
        <f t="shared" si="53"/>
        <v>-5.3279698334559096E-2</v>
      </c>
    </row>
    <row r="88" spans="1:39" x14ac:dyDescent="0.2">
      <c r="A88" s="5">
        <v>28003</v>
      </c>
      <c r="B88" s="14">
        <v>9.3012383146999991</v>
      </c>
      <c r="C88" s="14">
        <v>8.0540909089999992</v>
      </c>
      <c r="D88" s="1">
        <v>9.01</v>
      </c>
      <c r="E88" s="1">
        <v>9.2899999999999991</v>
      </c>
      <c r="F88" s="1">
        <v>9.68</v>
      </c>
      <c r="G88" s="1">
        <v>9.7799999999999994</v>
      </c>
      <c r="H88" s="1">
        <v>72.17</v>
      </c>
      <c r="I88" s="1">
        <v>152.51</v>
      </c>
      <c r="J88" s="1">
        <v>10.119999999999999</v>
      </c>
      <c r="K88" s="1">
        <v>231.63</v>
      </c>
      <c r="L88" s="1">
        <v>302.95</v>
      </c>
      <c r="M88">
        <f t="shared" si="29"/>
        <v>305.02</v>
      </c>
      <c r="O88" s="8">
        <f t="shared" si="30"/>
        <v>-0.10166679633458031</v>
      </c>
      <c r="P88" s="8">
        <f t="shared" si="31"/>
        <v>-8.1833059428659816E-4</v>
      </c>
      <c r="Q88" s="8">
        <f t="shared" si="32"/>
        <v>2.6637069922308632E-2</v>
      </c>
      <c r="R88" s="8">
        <f t="shared" si="33"/>
        <v>4.0904198062432728E-2</v>
      </c>
      <c r="S88" s="8">
        <f t="shared" si="34"/>
        <v>3.8223140495867725E-2</v>
      </c>
      <c r="T88" s="8">
        <f t="shared" si="35"/>
        <v>4.1922290388548111E-2</v>
      </c>
      <c r="U88" s="8">
        <f t="shared" si="36"/>
        <v>-0.11930164888457817</v>
      </c>
      <c r="V88" s="8">
        <f t="shared" si="37"/>
        <v>-3.2784735427185074E-2</v>
      </c>
      <c r="W88" s="8">
        <f t="shared" si="38"/>
        <v>0</v>
      </c>
      <c r="X88" s="8">
        <f t="shared" si="39"/>
        <v>7.037085006259991E-3</v>
      </c>
      <c r="Y88" s="8">
        <f t="shared" si="40"/>
        <v>-1.5217032513616169E-2</v>
      </c>
      <c r="Z88" s="8">
        <f t="shared" si="41"/>
        <v>-3.2784735427185074E-2</v>
      </c>
      <c r="AB88" s="26">
        <f t="shared" si="42"/>
        <v>-0.10618772082700537</v>
      </c>
      <c r="AC88" s="26">
        <f t="shared" si="43"/>
        <v>-3.3351006128631922E-3</v>
      </c>
      <c r="AD88" s="26">
        <f t="shared" si="44"/>
        <v>2.4344861598857688E-2</v>
      </c>
      <c r="AE88" s="26">
        <f t="shared" si="45"/>
        <v>3.8691438789923413E-2</v>
      </c>
      <c r="AF88" s="26">
        <f t="shared" si="46"/>
        <v>3.604203108442295E-2</v>
      </c>
      <c r="AG88" s="26">
        <f t="shared" si="47"/>
        <v>3.9744288417626505E-2</v>
      </c>
      <c r="AH88" s="26">
        <f t="shared" si="48"/>
        <v>-0.12464502892963858</v>
      </c>
      <c r="AI88" s="26">
        <f t="shared" si="49"/>
        <v>-4.5186501556222454E-2</v>
      </c>
      <c r="AJ88" s="26">
        <f t="shared" si="50"/>
        <v>-1.0229205971642284E-2</v>
      </c>
      <c r="AK88" s="26">
        <f t="shared" si="51"/>
        <v>8.6040002881314047E-3</v>
      </c>
      <c r="AL88" s="26">
        <f t="shared" si="52"/>
        <v>-1.1692797399860462E-2</v>
      </c>
      <c r="AM88" s="26">
        <f t="shared" si="53"/>
        <v>-4.5186501556222454E-2</v>
      </c>
    </row>
    <row r="89" spans="1:39" x14ac:dyDescent="0.2">
      <c r="A89" s="5">
        <v>28033</v>
      </c>
      <c r="B89" s="14">
        <v>8.3556112132999996</v>
      </c>
      <c r="C89" s="14">
        <v>8.0474999999999994</v>
      </c>
      <c r="D89" s="1">
        <v>9.25</v>
      </c>
      <c r="E89" s="1">
        <v>9.67</v>
      </c>
      <c r="F89" s="1">
        <v>10.049999999999999</v>
      </c>
      <c r="G89" s="1">
        <v>10.19</v>
      </c>
      <c r="H89" s="1">
        <v>63.559999999999995</v>
      </c>
      <c r="I89" s="1">
        <v>147.51</v>
      </c>
      <c r="J89" s="1">
        <v>10.119999999999999</v>
      </c>
      <c r="K89" s="1">
        <v>233.26</v>
      </c>
      <c r="L89" s="1">
        <v>298.33999999999997</v>
      </c>
      <c r="M89">
        <f t="shared" si="29"/>
        <v>295.02</v>
      </c>
      <c r="O89" s="8">
        <f t="shared" si="30"/>
        <v>-7.6197968221231593E-2</v>
      </c>
      <c r="P89" s="8">
        <f t="shared" si="31"/>
        <v>-1.7481431276794024E-2</v>
      </c>
      <c r="Q89" s="8">
        <f t="shared" si="32"/>
        <v>3.2432432432432101E-3</v>
      </c>
      <c r="R89" s="8">
        <f t="shared" si="33"/>
        <v>-2.0682523267838704E-3</v>
      </c>
      <c r="S89" s="8">
        <f t="shared" si="34"/>
        <v>2.4875621890547261E-2</v>
      </c>
      <c r="T89" s="8">
        <f t="shared" si="35"/>
        <v>2.9440628066732089E-2</v>
      </c>
      <c r="U89" s="8">
        <f t="shared" si="36"/>
        <v>0.16299559471365654</v>
      </c>
      <c r="V89" s="8">
        <f t="shared" si="37"/>
        <v>0.14066842925903322</v>
      </c>
      <c r="W89" s="8">
        <f t="shared" si="38"/>
        <v>0.10375494071146263</v>
      </c>
      <c r="X89" s="8">
        <f t="shared" si="39"/>
        <v>1.286118494383981E-3</v>
      </c>
      <c r="Y89" s="8">
        <f t="shared" si="40"/>
        <v>5.3965274519005568E-3</v>
      </c>
      <c r="Z89" s="8">
        <f t="shared" si="41"/>
        <v>0.14066842925903322</v>
      </c>
      <c r="AB89" s="26">
        <f t="shared" si="42"/>
        <v>-8.0718892713656648E-2</v>
      </c>
      <c r="AC89" s="26">
        <f t="shared" si="43"/>
        <v>-1.9998201295370617E-2</v>
      </c>
      <c r="AD89" s="26">
        <f t="shared" si="44"/>
        <v>9.5103491979226613E-4</v>
      </c>
      <c r="AE89" s="26">
        <f t="shared" si="45"/>
        <v>-4.2810115992931892E-3</v>
      </c>
      <c r="AF89" s="26">
        <f t="shared" si="46"/>
        <v>2.2694512479102487E-2</v>
      </c>
      <c r="AG89" s="26">
        <f t="shared" si="47"/>
        <v>2.7262626095810479E-2</v>
      </c>
      <c r="AH89" s="26">
        <f t="shared" si="48"/>
        <v>0.15765221466859614</v>
      </c>
      <c r="AI89" s="26">
        <f t="shared" si="49"/>
        <v>0.12826666312999585</v>
      </c>
      <c r="AJ89" s="26">
        <f t="shared" si="50"/>
        <v>9.3525734739820343E-2</v>
      </c>
      <c r="AK89" s="26">
        <f t="shared" si="51"/>
        <v>2.8530337762553955E-3</v>
      </c>
      <c r="AL89" s="26">
        <f t="shared" si="52"/>
        <v>8.9207625656562636E-3</v>
      </c>
      <c r="AM89" s="26">
        <f t="shared" si="53"/>
        <v>0.12826666312999585</v>
      </c>
    </row>
    <row r="90" spans="1:39" x14ac:dyDescent="0.2">
      <c r="A90" s="5">
        <v>28064</v>
      </c>
      <c r="B90" s="14">
        <v>7.7189306155999997</v>
      </c>
      <c r="C90" s="14">
        <v>7.9068181817999994</v>
      </c>
      <c r="D90" s="1">
        <v>9.2799999999999994</v>
      </c>
      <c r="E90" s="1">
        <v>9.65</v>
      </c>
      <c r="F90" s="1">
        <v>10.299999999999999</v>
      </c>
      <c r="G90" s="1">
        <v>10.49</v>
      </c>
      <c r="H90" s="1">
        <v>73.92</v>
      </c>
      <c r="I90" s="1">
        <v>168.26</v>
      </c>
      <c r="J90" s="1">
        <v>11.17</v>
      </c>
      <c r="K90" s="1">
        <v>233.56</v>
      </c>
      <c r="L90" s="1">
        <v>299.95</v>
      </c>
      <c r="M90">
        <f t="shared" si="29"/>
        <v>336.52</v>
      </c>
      <c r="O90" s="8">
        <f t="shared" si="30"/>
        <v>1.7763164462560876E-3</v>
      </c>
      <c r="P90" s="8">
        <f t="shared" si="31"/>
        <v>-2.7281147199832767E-2</v>
      </c>
      <c r="Q90" s="8">
        <f t="shared" si="32"/>
        <v>-4.0948275862068839E-2</v>
      </c>
      <c r="R90" s="8">
        <f t="shared" si="33"/>
        <v>-3.1088082901554515E-2</v>
      </c>
      <c r="S90" s="8">
        <f t="shared" si="34"/>
        <v>-3.2038834951456097E-2</v>
      </c>
      <c r="T90" s="8">
        <f t="shared" si="35"/>
        <v>1.1439466158245981E-2</v>
      </c>
      <c r="U90" s="8">
        <f t="shared" si="36"/>
        <v>-5.3300865800865793E-2</v>
      </c>
      <c r="V90" s="8">
        <f t="shared" si="37"/>
        <v>0.10549150124806839</v>
      </c>
      <c r="W90" s="8">
        <f t="shared" si="38"/>
        <v>0</v>
      </c>
      <c r="X90" s="8">
        <f t="shared" si="39"/>
        <v>-4.2815550607980812E-3</v>
      </c>
      <c r="Y90" s="8">
        <f t="shared" si="40"/>
        <v>1.2002000333388718E-3</v>
      </c>
      <c r="Z90" s="8">
        <f t="shared" si="41"/>
        <v>0.10549150124806839</v>
      </c>
      <c r="AB90" s="26">
        <f t="shared" si="42"/>
        <v>-2.7446080461689653E-3</v>
      </c>
      <c r="AC90" s="26">
        <f t="shared" si="43"/>
        <v>-2.979791721840936E-2</v>
      </c>
      <c r="AD90" s="26">
        <f t="shared" si="44"/>
        <v>-4.3240484185519783E-2</v>
      </c>
      <c r="AE90" s="26">
        <f t="shared" si="45"/>
        <v>-3.330084217406383E-2</v>
      </c>
      <c r="AF90" s="26">
        <f t="shared" si="46"/>
        <v>-3.4219944362900871E-2</v>
      </c>
      <c r="AG90" s="26">
        <f t="shared" si="47"/>
        <v>9.2614641873243718E-3</v>
      </c>
      <c r="AH90" s="26">
        <f t="shared" si="48"/>
        <v>-5.8644245845926202E-2</v>
      </c>
      <c r="AI90" s="26">
        <f t="shared" si="49"/>
        <v>9.3089735119031014E-2</v>
      </c>
      <c r="AJ90" s="26">
        <f t="shared" si="50"/>
        <v>-1.0229205971642284E-2</v>
      </c>
      <c r="AK90" s="26">
        <f t="shared" si="51"/>
        <v>-2.7146397789266667E-3</v>
      </c>
      <c r="AL90" s="26">
        <f t="shared" si="52"/>
        <v>4.7244351470945786E-3</v>
      </c>
      <c r="AM90" s="26">
        <f t="shared" si="53"/>
        <v>9.3089735119031014E-2</v>
      </c>
    </row>
    <row r="91" spans="1:39" x14ac:dyDescent="0.2">
      <c r="A91" s="5">
        <v>28094</v>
      </c>
      <c r="B91" s="14">
        <v>7.732641879</v>
      </c>
      <c r="C91" s="14">
        <v>7.6911111110999997</v>
      </c>
      <c r="D91" s="1">
        <v>8.9</v>
      </c>
      <c r="E91" s="1">
        <v>9.35</v>
      </c>
      <c r="F91" s="1">
        <v>9.9700000000000006</v>
      </c>
      <c r="G91" s="1">
        <v>10.61</v>
      </c>
      <c r="H91" s="1">
        <v>69.98</v>
      </c>
      <c r="I91" s="1">
        <v>186.01</v>
      </c>
      <c r="J91" s="1">
        <v>11.17</v>
      </c>
      <c r="K91" s="1">
        <v>232.56</v>
      </c>
      <c r="L91" s="1">
        <v>300.31</v>
      </c>
      <c r="M91">
        <f t="shared" si="29"/>
        <v>372.02</v>
      </c>
      <c r="O91" s="8">
        <f t="shared" si="30"/>
        <v>-4.3939106338639844E-2</v>
      </c>
      <c r="P91" s="8">
        <f t="shared" si="31"/>
        <v>-3.2154208127755157E-2</v>
      </c>
      <c r="Q91" s="8">
        <f t="shared" si="32"/>
        <v>0</v>
      </c>
      <c r="R91" s="8">
        <f t="shared" si="33"/>
        <v>-1.4973262032085599E-2</v>
      </c>
      <c r="S91" s="8">
        <f t="shared" si="34"/>
        <v>-1.6048144433299938E-2</v>
      </c>
      <c r="T91" s="8">
        <f t="shared" si="35"/>
        <v>2.827521206409056E-3</v>
      </c>
      <c r="U91" s="8">
        <f t="shared" si="36"/>
        <v>-2.0148613889682698E-2</v>
      </c>
      <c r="V91" s="8">
        <f t="shared" si="37"/>
        <v>3.7632385355625964E-2</v>
      </c>
      <c r="W91" s="8">
        <f t="shared" si="38"/>
        <v>0</v>
      </c>
      <c r="X91" s="8">
        <f t="shared" si="39"/>
        <v>9.2449260405915723E-3</v>
      </c>
      <c r="Y91" s="8">
        <f t="shared" si="40"/>
        <v>2.3975225600212369E-3</v>
      </c>
      <c r="Z91" s="8">
        <f t="shared" si="41"/>
        <v>3.7632385355625964E-2</v>
      </c>
      <c r="AB91" s="26">
        <f t="shared" si="42"/>
        <v>-4.8460030831064899E-2</v>
      </c>
      <c r="AC91" s="26">
        <f t="shared" si="43"/>
        <v>-3.467097814633175E-2</v>
      </c>
      <c r="AD91" s="26">
        <f t="shared" si="44"/>
        <v>-2.292208323450944E-3</v>
      </c>
      <c r="AE91" s="26">
        <f t="shared" si="45"/>
        <v>-1.7186021304594918E-2</v>
      </c>
      <c r="AF91" s="26">
        <f t="shared" si="46"/>
        <v>-1.8229253844744712E-2</v>
      </c>
      <c r="AG91" s="26">
        <f t="shared" si="47"/>
        <v>6.4951923548744669E-4</v>
      </c>
      <c r="AH91" s="26">
        <f t="shared" si="48"/>
        <v>-2.5491993934743103E-2</v>
      </c>
      <c r="AI91" s="26">
        <f t="shared" si="49"/>
        <v>2.5230619226588584E-2</v>
      </c>
      <c r="AJ91" s="26">
        <f t="shared" si="50"/>
        <v>-1.0229205971642284E-2</v>
      </c>
      <c r="AK91" s="26">
        <f t="shared" si="51"/>
        <v>1.0811841322462986E-2</v>
      </c>
      <c r="AL91" s="26">
        <f t="shared" si="52"/>
        <v>5.9217576737769437E-3</v>
      </c>
      <c r="AM91" s="26">
        <f t="shared" si="53"/>
        <v>2.5230619226588584E-2</v>
      </c>
    </row>
    <row r="92" spans="1:39" x14ac:dyDescent="0.2">
      <c r="A92" s="5">
        <v>28125</v>
      </c>
      <c r="B92" s="14">
        <v>7.3928765051999994</v>
      </c>
      <c r="C92" s="14">
        <v>7.4438095236999997</v>
      </c>
      <c r="D92" s="1">
        <v>8.9</v>
      </c>
      <c r="E92" s="1">
        <v>9.2099999999999991</v>
      </c>
      <c r="F92" s="1">
        <v>9.81</v>
      </c>
      <c r="G92" s="1">
        <v>10.64</v>
      </c>
      <c r="H92" s="1">
        <v>68.570000000000007</v>
      </c>
      <c r="I92" s="1">
        <v>193.01</v>
      </c>
      <c r="J92" s="1">
        <v>11.17</v>
      </c>
      <c r="K92" s="1">
        <v>234.70999999999998</v>
      </c>
      <c r="L92" s="1">
        <v>301.02999999999997</v>
      </c>
      <c r="M92">
        <f t="shared" si="29"/>
        <v>386.02</v>
      </c>
      <c r="O92" s="8">
        <f t="shared" si="30"/>
        <v>-0.12691722851585985</v>
      </c>
      <c r="P92" s="8">
        <f t="shared" si="31"/>
        <v>9.0752070408193219E-3</v>
      </c>
      <c r="Q92" s="8">
        <f t="shared" si="32"/>
        <v>-6.741573033707926E-3</v>
      </c>
      <c r="R92" s="8">
        <f t="shared" si="33"/>
        <v>-7.6004343105319228E-3</v>
      </c>
      <c r="S92" s="8">
        <f t="shared" si="34"/>
        <v>1.0193679918450993E-3</v>
      </c>
      <c r="T92" s="8">
        <f t="shared" si="35"/>
        <v>1.6917293233082775E-2</v>
      </c>
      <c r="U92" s="8">
        <f t="shared" si="36"/>
        <v>0.12279422487968494</v>
      </c>
      <c r="V92" s="8">
        <f t="shared" si="37"/>
        <v>-8.5487798559660155E-2</v>
      </c>
      <c r="W92" s="8">
        <f t="shared" si="38"/>
        <v>0</v>
      </c>
      <c r="X92" s="8">
        <f t="shared" si="39"/>
        <v>1.5125047931489943E-2</v>
      </c>
      <c r="Y92" s="8">
        <f t="shared" si="40"/>
        <v>-1.0131880543467253E-2</v>
      </c>
      <c r="Z92" s="8">
        <f t="shared" si="41"/>
        <v>-8.5487798559660155E-2</v>
      </c>
      <c r="AB92" s="26">
        <f t="shared" si="42"/>
        <v>-0.1314381530082849</v>
      </c>
      <c r="AC92" s="26">
        <f t="shared" si="43"/>
        <v>6.5584370222427279E-3</v>
      </c>
      <c r="AD92" s="26">
        <f t="shared" si="44"/>
        <v>-9.0337813571588696E-3</v>
      </c>
      <c r="AE92" s="26">
        <f t="shared" si="45"/>
        <v>-9.8131935830412416E-3</v>
      </c>
      <c r="AF92" s="26">
        <f t="shared" si="46"/>
        <v>-1.161741419599674E-3</v>
      </c>
      <c r="AG92" s="26">
        <f t="shared" si="47"/>
        <v>1.4739291262161166E-2</v>
      </c>
      <c r="AH92" s="26">
        <f t="shared" si="48"/>
        <v>0.11745084483462453</v>
      </c>
      <c r="AI92" s="26">
        <f t="shared" si="49"/>
        <v>-9.7889564688697528E-2</v>
      </c>
      <c r="AJ92" s="26">
        <f t="shared" si="50"/>
        <v>-1.0229205971642284E-2</v>
      </c>
      <c r="AK92" s="26">
        <f t="shared" si="51"/>
        <v>1.6691963213361357E-2</v>
      </c>
      <c r="AL92" s="26">
        <f t="shared" si="52"/>
        <v>-6.6076454297115464E-3</v>
      </c>
      <c r="AM92" s="26">
        <f t="shared" si="53"/>
        <v>-9.7889564688697528E-2</v>
      </c>
    </row>
    <row r="93" spans="1:39" x14ac:dyDescent="0.2">
      <c r="A93" s="5">
        <v>28156</v>
      </c>
      <c r="B93" s="14">
        <v>6.4545931084000001</v>
      </c>
      <c r="C93" s="14">
        <v>7.5113636362999996</v>
      </c>
      <c r="D93" s="1">
        <v>8.84</v>
      </c>
      <c r="E93" s="1">
        <v>9.14</v>
      </c>
      <c r="F93" s="1">
        <v>9.82</v>
      </c>
      <c r="G93" s="1">
        <v>10.82</v>
      </c>
      <c r="H93" s="1">
        <v>76.990000000000009</v>
      </c>
      <c r="I93" s="1">
        <v>176.51</v>
      </c>
      <c r="J93" s="1">
        <v>11.17</v>
      </c>
      <c r="K93" s="1">
        <v>238.26</v>
      </c>
      <c r="L93" s="1">
        <v>297.98</v>
      </c>
      <c r="M93">
        <f t="shared" si="29"/>
        <v>353.02</v>
      </c>
      <c r="O93" s="8">
        <f t="shared" si="30"/>
        <v>-0.12245114965828141</v>
      </c>
      <c r="P93" s="8">
        <f t="shared" si="31"/>
        <v>-1.4530173132952129E-2</v>
      </c>
      <c r="Q93" s="8">
        <f t="shared" si="32"/>
        <v>-2.3755656108597423E-2</v>
      </c>
      <c r="R93" s="8">
        <f t="shared" si="33"/>
        <v>-2.4070021881838155E-2</v>
      </c>
      <c r="S93" s="8">
        <f t="shared" si="34"/>
        <v>-3.0549898167006151E-2</v>
      </c>
      <c r="T93" s="8">
        <f t="shared" si="35"/>
        <v>-1.4787430683918634E-2</v>
      </c>
      <c r="U93" s="8">
        <f t="shared" si="36"/>
        <v>5.9877906221587285E-2</v>
      </c>
      <c r="V93" s="8">
        <f t="shared" si="37"/>
        <v>4.8155911846354371E-2</v>
      </c>
      <c r="W93" s="8">
        <f t="shared" si="38"/>
        <v>0</v>
      </c>
      <c r="X93" s="8">
        <f t="shared" si="39"/>
        <v>1.9936204146730363E-2</v>
      </c>
      <c r="Y93" s="8">
        <f t="shared" si="40"/>
        <v>-3.8660312772669458E-2</v>
      </c>
      <c r="Z93" s="8">
        <f t="shared" si="41"/>
        <v>4.8155911846354371E-2</v>
      </c>
      <c r="AB93" s="26">
        <f t="shared" si="42"/>
        <v>-0.12697207415070647</v>
      </c>
      <c r="AC93" s="26">
        <f t="shared" si="43"/>
        <v>-1.7046943151528722E-2</v>
      </c>
      <c r="AD93" s="26">
        <f t="shared" si="44"/>
        <v>-2.6047864432048366E-2</v>
      </c>
      <c r="AE93" s="26">
        <f t="shared" si="45"/>
        <v>-2.6282781154347474E-2</v>
      </c>
      <c r="AF93" s="26">
        <f t="shared" si="46"/>
        <v>-3.2731007578450926E-2</v>
      </c>
      <c r="AG93" s="26">
        <f t="shared" si="47"/>
        <v>-1.6965432654840244E-2</v>
      </c>
      <c r="AH93" s="26">
        <f t="shared" si="48"/>
        <v>5.4534526176526876E-2</v>
      </c>
      <c r="AI93" s="26">
        <f t="shared" si="49"/>
        <v>3.5754145717316992E-2</v>
      </c>
      <c r="AJ93" s="26">
        <f t="shared" si="50"/>
        <v>-1.0229205971642284E-2</v>
      </c>
      <c r="AK93" s="26">
        <f t="shared" si="51"/>
        <v>2.1503119428601777E-2</v>
      </c>
      <c r="AL93" s="26">
        <f t="shared" si="52"/>
        <v>-3.5136077658913752E-2</v>
      </c>
      <c r="AM93" s="26">
        <f t="shared" si="53"/>
        <v>3.5754145717316992E-2</v>
      </c>
    </row>
    <row r="94" spans="1:39" x14ac:dyDescent="0.2">
      <c r="A94" s="5">
        <v>28184</v>
      </c>
      <c r="B94" s="14">
        <v>5.6642207617000002</v>
      </c>
      <c r="C94" s="14">
        <v>7.4022222221999998</v>
      </c>
      <c r="D94" s="1">
        <v>8.629999999999999</v>
      </c>
      <c r="E94" s="1">
        <v>8.92</v>
      </c>
      <c r="F94" s="1">
        <v>9.52</v>
      </c>
      <c r="G94" s="1">
        <v>10.66</v>
      </c>
      <c r="H94" s="1">
        <v>81.600000000000009</v>
      </c>
      <c r="I94" s="1">
        <v>185.01</v>
      </c>
      <c r="J94" s="1">
        <v>11.17</v>
      </c>
      <c r="K94" s="1">
        <v>243.01</v>
      </c>
      <c r="L94" s="1">
        <v>286.45999999999998</v>
      </c>
      <c r="M94">
        <f t="shared" si="29"/>
        <v>370.02</v>
      </c>
      <c r="O94" s="8">
        <f t="shared" si="30"/>
        <v>-1.3004609477454965E-3</v>
      </c>
      <c r="P94" s="8">
        <f t="shared" si="31"/>
        <v>4.5361753230397373E-2</v>
      </c>
      <c r="Q94" s="8">
        <f t="shared" si="32"/>
        <v>5.7937427578216294E-3</v>
      </c>
      <c r="R94" s="8">
        <f t="shared" si="33"/>
        <v>1.1210762331839152E-3</v>
      </c>
      <c r="S94" s="8">
        <f t="shared" si="34"/>
        <v>-1.4705882352941235E-2</v>
      </c>
      <c r="T94" s="8">
        <f t="shared" si="35"/>
        <v>-1.5947467166979368E-2</v>
      </c>
      <c r="U94" s="8">
        <f t="shared" si="36"/>
        <v>2.1691176470588269E-2</v>
      </c>
      <c r="V94" s="8">
        <f t="shared" si="37"/>
        <v>-4.45921842062591E-2</v>
      </c>
      <c r="W94" s="8">
        <f t="shared" si="38"/>
        <v>0</v>
      </c>
      <c r="X94" s="8">
        <f t="shared" si="39"/>
        <v>-9.8761367844945047E-3</v>
      </c>
      <c r="Y94" s="8">
        <f t="shared" si="40"/>
        <v>2.6460936954548542E-2</v>
      </c>
      <c r="Z94" s="8">
        <f t="shared" si="41"/>
        <v>-4.45921842062591E-2</v>
      </c>
      <c r="AB94" s="26">
        <f t="shared" si="42"/>
        <v>-5.8213854401705494E-3</v>
      </c>
      <c r="AC94" s="26">
        <f t="shared" si="43"/>
        <v>4.2844983211820779E-2</v>
      </c>
      <c r="AD94" s="26">
        <f t="shared" si="44"/>
        <v>3.5015344343706854E-3</v>
      </c>
      <c r="AE94" s="26">
        <f t="shared" si="45"/>
        <v>-1.0916830393254032E-3</v>
      </c>
      <c r="AF94" s="26">
        <f t="shared" si="46"/>
        <v>-1.688699176438601E-2</v>
      </c>
      <c r="AG94" s="26">
        <f t="shared" si="47"/>
        <v>-1.8125469137900977E-2</v>
      </c>
      <c r="AH94" s="26">
        <f t="shared" si="48"/>
        <v>1.6347796425527864E-2</v>
      </c>
      <c r="AI94" s="26">
        <f t="shared" si="49"/>
        <v>-5.699395033529648E-2</v>
      </c>
      <c r="AJ94" s="26">
        <f t="shared" si="50"/>
        <v>-1.0229205971642284E-2</v>
      </c>
      <c r="AK94" s="26">
        <f t="shared" si="51"/>
        <v>-8.309221502623091E-3</v>
      </c>
      <c r="AL94" s="26">
        <f t="shared" si="52"/>
        <v>2.9985172068304249E-2</v>
      </c>
      <c r="AM94" s="26">
        <f t="shared" si="53"/>
        <v>-5.699395033529648E-2</v>
      </c>
    </row>
    <row r="95" spans="1:39" x14ac:dyDescent="0.2">
      <c r="A95" s="5">
        <v>28215</v>
      </c>
      <c r="B95" s="14">
        <v>5.6568546637999999</v>
      </c>
      <c r="C95" s="14">
        <v>7.7379999999999995</v>
      </c>
      <c r="D95" s="1">
        <v>8.68</v>
      </c>
      <c r="E95" s="1">
        <v>8.93</v>
      </c>
      <c r="F95" s="1">
        <v>9.379999999999999</v>
      </c>
      <c r="G95" s="1">
        <v>10.49</v>
      </c>
      <c r="H95" s="1">
        <v>83.37</v>
      </c>
      <c r="I95" s="1">
        <v>176.76</v>
      </c>
      <c r="J95" s="1">
        <v>11.17</v>
      </c>
      <c r="K95" s="1">
        <v>240.60999999999999</v>
      </c>
      <c r="L95" s="1">
        <v>294.03999999999996</v>
      </c>
      <c r="M95">
        <f t="shared" si="29"/>
        <v>353.52</v>
      </c>
      <c r="O95" s="8">
        <f t="shared" si="30"/>
        <v>2.1737743482594052E-2</v>
      </c>
      <c r="P95" s="8">
        <f t="shared" si="31"/>
        <v>6.4463450749547846E-2</v>
      </c>
      <c r="Q95" s="8">
        <f t="shared" si="32"/>
        <v>3.2258064516129004E-2</v>
      </c>
      <c r="R95" s="8">
        <f t="shared" si="33"/>
        <v>3.0235162374020019E-2</v>
      </c>
      <c r="S95" s="8">
        <f t="shared" si="34"/>
        <v>2.6652452025586415E-2</v>
      </c>
      <c r="T95" s="8">
        <f t="shared" si="35"/>
        <v>9.5328884652048362E-3</v>
      </c>
      <c r="U95" s="8">
        <f t="shared" si="36"/>
        <v>4.7259205949382155E-2</v>
      </c>
      <c r="V95" s="8">
        <f t="shared" si="37"/>
        <v>-5.4876668929622063E-2</v>
      </c>
      <c r="W95" s="8">
        <f t="shared" si="38"/>
        <v>0</v>
      </c>
      <c r="X95" s="8">
        <f t="shared" si="39"/>
        <v>-2.285856780682427E-2</v>
      </c>
      <c r="Y95" s="8">
        <f t="shared" si="40"/>
        <v>-6.1216161066519614E-3</v>
      </c>
      <c r="Z95" s="8">
        <f t="shared" si="41"/>
        <v>-5.4876668929622063E-2</v>
      </c>
      <c r="AB95" s="26">
        <f t="shared" si="42"/>
        <v>1.7216818990168997E-2</v>
      </c>
      <c r="AC95" s="26">
        <f t="shared" si="43"/>
        <v>6.1946680730971253E-2</v>
      </c>
      <c r="AD95" s="26">
        <f t="shared" si="44"/>
        <v>2.996585619267806E-2</v>
      </c>
      <c r="AE95" s="26">
        <f t="shared" si="45"/>
        <v>2.80224031015107E-2</v>
      </c>
      <c r="AF95" s="26">
        <f t="shared" si="46"/>
        <v>2.447134261414164E-2</v>
      </c>
      <c r="AG95" s="26">
        <f t="shared" si="47"/>
        <v>7.3548864942832269E-3</v>
      </c>
      <c r="AH95" s="26">
        <f t="shared" si="48"/>
        <v>4.1915825904321746E-2</v>
      </c>
      <c r="AI95" s="26">
        <f t="shared" si="49"/>
        <v>-6.7278435058659436E-2</v>
      </c>
      <c r="AJ95" s="26">
        <f t="shared" si="50"/>
        <v>-1.0229205971642284E-2</v>
      </c>
      <c r="AK95" s="26">
        <f t="shared" si="51"/>
        <v>-2.1291652524952857E-2</v>
      </c>
      <c r="AL95" s="26">
        <f t="shared" si="52"/>
        <v>-2.5973809928962551E-3</v>
      </c>
      <c r="AM95" s="26">
        <f t="shared" si="53"/>
        <v>-6.7278435058659436E-2</v>
      </c>
    </row>
    <row r="96" spans="1:39" x14ac:dyDescent="0.2">
      <c r="A96" s="5">
        <v>28245</v>
      </c>
      <c r="B96" s="14">
        <v>5.7798219193999998</v>
      </c>
      <c r="C96" s="14">
        <v>8.2368181819000004</v>
      </c>
      <c r="D96" s="1">
        <v>8.9599999999999991</v>
      </c>
      <c r="E96" s="1">
        <v>9.1999999999999993</v>
      </c>
      <c r="F96" s="1">
        <v>9.629999999999999</v>
      </c>
      <c r="G96" s="1">
        <v>10.59</v>
      </c>
      <c r="H96" s="1">
        <v>87.31</v>
      </c>
      <c r="I96" s="1">
        <v>167.06</v>
      </c>
      <c r="J96" s="1">
        <v>11.17</v>
      </c>
      <c r="K96" s="1">
        <v>235.10999999999999</v>
      </c>
      <c r="L96" s="1">
        <v>292.24</v>
      </c>
      <c r="M96">
        <f t="shared" si="29"/>
        <v>334.12</v>
      </c>
      <c r="O96" s="8">
        <f t="shared" si="30"/>
        <v>-6.9179330380045312E-2</v>
      </c>
      <c r="P96" s="8">
        <f t="shared" si="31"/>
        <v>-2.0310557864154588E-2</v>
      </c>
      <c r="Q96" s="8">
        <f t="shared" si="32"/>
        <v>-5.5803571428569843E-3</v>
      </c>
      <c r="R96" s="8">
        <f t="shared" si="33"/>
        <v>5.4347826086957873E-3</v>
      </c>
      <c r="S96" s="8">
        <f t="shared" si="34"/>
        <v>1.7653167185877505E-2</v>
      </c>
      <c r="T96" s="8">
        <f t="shared" si="35"/>
        <v>1.0387157695939564E-2</v>
      </c>
      <c r="U96" s="8">
        <f t="shared" si="36"/>
        <v>4.4210285190699805E-2</v>
      </c>
      <c r="V96" s="8">
        <f t="shared" si="37"/>
        <v>2.9630073027654635E-2</v>
      </c>
      <c r="W96" s="8">
        <f t="shared" si="38"/>
        <v>0</v>
      </c>
      <c r="X96" s="8">
        <f t="shared" si="39"/>
        <v>-1.4886648802688085E-2</v>
      </c>
      <c r="Y96" s="8">
        <f t="shared" si="40"/>
        <v>-2.3268546400219137E-3</v>
      </c>
      <c r="Z96" s="8">
        <f t="shared" si="41"/>
        <v>2.9630073027654635E-2</v>
      </c>
      <c r="AB96" s="26">
        <f t="shared" si="42"/>
        <v>-7.3700254872470367E-2</v>
      </c>
      <c r="AC96" s="26">
        <f t="shared" si="43"/>
        <v>-2.2827327882731181E-2</v>
      </c>
      <c r="AD96" s="26">
        <f t="shared" si="44"/>
        <v>-7.8725654663079278E-3</v>
      </c>
      <c r="AE96" s="26">
        <f t="shared" si="45"/>
        <v>3.2220233361864689E-3</v>
      </c>
      <c r="AF96" s="26">
        <f t="shared" si="46"/>
        <v>1.5472057774432732E-2</v>
      </c>
      <c r="AG96" s="26">
        <f t="shared" si="47"/>
        <v>8.2091557250179546E-3</v>
      </c>
      <c r="AH96" s="26">
        <f t="shared" si="48"/>
        <v>3.8866905145639397E-2</v>
      </c>
      <c r="AI96" s="26">
        <f t="shared" si="49"/>
        <v>1.7228306898617256E-2</v>
      </c>
      <c r="AJ96" s="26">
        <f t="shared" si="50"/>
        <v>-1.0229205971642284E-2</v>
      </c>
      <c r="AK96" s="26">
        <f t="shared" si="51"/>
        <v>-1.3319733520816671E-2</v>
      </c>
      <c r="AL96" s="26">
        <f t="shared" si="52"/>
        <v>1.1973804737337927E-3</v>
      </c>
      <c r="AM96" s="26">
        <f t="shared" si="53"/>
        <v>1.7228306898617256E-2</v>
      </c>
    </row>
    <row r="97" spans="1:39" x14ac:dyDescent="0.2">
      <c r="A97" s="5">
        <v>28276</v>
      </c>
      <c r="B97" s="14">
        <v>5.3799777092999994</v>
      </c>
      <c r="C97" s="14">
        <v>8.0695238095999997</v>
      </c>
      <c r="D97" s="1">
        <v>8.91</v>
      </c>
      <c r="E97" s="1">
        <v>9.25</v>
      </c>
      <c r="F97" s="1">
        <v>9.7999999999999989</v>
      </c>
      <c r="G97" s="1">
        <v>10.7</v>
      </c>
      <c r="H97" s="1">
        <v>91.17</v>
      </c>
      <c r="I97" s="1">
        <v>172.01</v>
      </c>
      <c r="J97" s="1">
        <v>11.17</v>
      </c>
      <c r="K97" s="1">
        <v>231.60999999999999</v>
      </c>
      <c r="L97" s="1">
        <v>291.56</v>
      </c>
      <c r="M97">
        <f t="shared" si="29"/>
        <v>344.02</v>
      </c>
      <c r="O97" s="8">
        <f t="shared" si="30"/>
        <v>2.2350410250239872E-2</v>
      </c>
      <c r="P97" s="8">
        <f t="shared" si="31"/>
        <v>-2.4607577012632054E-2</v>
      </c>
      <c r="Q97" s="8">
        <f t="shared" si="32"/>
        <v>-1.4590347923681302E-2</v>
      </c>
      <c r="R97" s="8">
        <f t="shared" si="33"/>
        <v>-1.1891891891891881E-2</v>
      </c>
      <c r="S97" s="8">
        <f t="shared" si="34"/>
        <v>-1.2244897959183598E-2</v>
      </c>
      <c r="T97" s="8">
        <f t="shared" si="35"/>
        <v>-6.5420560747664336E-3</v>
      </c>
      <c r="U97" s="8">
        <f t="shared" si="36"/>
        <v>4.4203136996819214E-2</v>
      </c>
      <c r="V97" s="8">
        <f t="shared" si="37"/>
        <v>-5.5810708679727927E-2</v>
      </c>
      <c r="W97" s="8">
        <f t="shared" si="38"/>
        <v>0</v>
      </c>
      <c r="X97" s="8">
        <f t="shared" si="39"/>
        <v>-5.2890635119381746E-2</v>
      </c>
      <c r="Y97" s="8">
        <f t="shared" si="40"/>
        <v>1.4165180408835187E-2</v>
      </c>
      <c r="Z97" s="8">
        <f t="shared" si="41"/>
        <v>-5.5810708679727927E-2</v>
      </c>
      <c r="AB97" s="26">
        <f t="shared" si="42"/>
        <v>1.7829485757814817E-2</v>
      </c>
      <c r="AC97" s="26">
        <f t="shared" si="43"/>
        <v>-2.7124347031208647E-2</v>
      </c>
      <c r="AD97" s="26">
        <f t="shared" si="44"/>
        <v>-1.6882556247132245E-2</v>
      </c>
      <c r="AE97" s="26">
        <f t="shared" si="45"/>
        <v>-1.41046511644012E-2</v>
      </c>
      <c r="AF97" s="26">
        <f t="shared" si="46"/>
        <v>-1.4426007370628371E-2</v>
      </c>
      <c r="AG97" s="26">
        <f t="shared" si="47"/>
        <v>-8.7200580456880429E-3</v>
      </c>
      <c r="AH97" s="26">
        <f t="shared" si="48"/>
        <v>3.8859756951758806E-2</v>
      </c>
      <c r="AI97" s="26">
        <f t="shared" si="49"/>
        <v>-6.82124748087653E-2</v>
      </c>
      <c r="AJ97" s="26">
        <f t="shared" si="50"/>
        <v>-1.0229205971642284E-2</v>
      </c>
      <c r="AK97" s="26">
        <f t="shared" si="51"/>
        <v>-5.1323719837510329E-2</v>
      </c>
      <c r="AL97" s="26">
        <f t="shared" si="52"/>
        <v>1.7689415522590894E-2</v>
      </c>
      <c r="AM97" s="26">
        <f t="shared" si="53"/>
        <v>-6.82124748087653E-2</v>
      </c>
    </row>
    <row r="98" spans="1:39" x14ac:dyDescent="0.2">
      <c r="A98" s="5">
        <v>28306</v>
      </c>
      <c r="B98" s="14">
        <v>5.5002224182399999</v>
      </c>
      <c r="C98" s="14">
        <v>7.8709523809999995</v>
      </c>
      <c r="D98" s="1">
        <v>8.7799999999999994</v>
      </c>
      <c r="E98" s="1">
        <v>9.14</v>
      </c>
      <c r="F98" s="1">
        <v>9.68</v>
      </c>
      <c r="G98" s="1">
        <v>10.629999999999999</v>
      </c>
      <c r="H98" s="1">
        <v>95.2</v>
      </c>
      <c r="I98" s="1">
        <v>162.41</v>
      </c>
      <c r="J98" s="1">
        <v>11.17</v>
      </c>
      <c r="K98" s="1">
        <v>219.35999999999999</v>
      </c>
      <c r="L98" s="1">
        <v>295.69</v>
      </c>
      <c r="M98">
        <f t="shared" si="29"/>
        <v>324.82</v>
      </c>
      <c r="O98" s="8">
        <f t="shared" si="30"/>
        <v>0.15008207664884665</v>
      </c>
      <c r="P98" s="8">
        <f t="shared" si="31"/>
        <v>2.5462135418806486E-2</v>
      </c>
      <c r="Q98" s="8">
        <f t="shared" si="32"/>
        <v>7.9726651480638289E-3</v>
      </c>
      <c r="R98" s="8">
        <f t="shared" si="33"/>
        <v>0</v>
      </c>
      <c r="S98" s="8">
        <f t="shared" si="34"/>
        <v>-6.1983471074380514E-3</v>
      </c>
      <c r="T98" s="8">
        <f t="shared" si="35"/>
        <v>-6.5851364063967965E-3</v>
      </c>
      <c r="U98" s="8">
        <f t="shared" si="36"/>
        <v>-6.7647058823529393E-2</v>
      </c>
      <c r="V98" s="8">
        <f t="shared" si="37"/>
        <v>3.6943537959485351E-2</v>
      </c>
      <c r="W98" s="8">
        <f t="shared" si="38"/>
        <v>0</v>
      </c>
      <c r="X98" s="8">
        <f t="shared" si="39"/>
        <v>-1.8006929248723491E-2</v>
      </c>
      <c r="Y98" s="8">
        <f t="shared" si="40"/>
        <v>6.8652981162702353E-3</v>
      </c>
      <c r="Z98" s="8">
        <f t="shared" si="41"/>
        <v>3.6943537959485351E-2</v>
      </c>
      <c r="AB98" s="26">
        <f t="shared" si="42"/>
        <v>0.1455611521564216</v>
      </c>
      <c r="AC98" s="26">
        <f t="shared" si="43"/>
        <v>2.2945365400229893E-2</v>
      </c>
      <c r="AD98" s="26">
        <f t="shared" si="44"/>
        <v>5.6804568246128853E-3</v>
      </c>
      <c r="AE98" s="26">
        <f t="shared" si="45"/>
        <v>-2.2127592725093184E-3</v>
      </c>
      <c r="AF98" s="26">
        <f t="shared" si="46"/>
        <v>-8.3794565188828243E-3</v>
      </c>
      <c r="AG98" s="26">
        <f t="shared" si="47"/>
        <v>-8.7631383773184059E-3</v>
      </c>
      <c r="AH98" s="26">
        <f t="shared" si="48"/>
        <v>-7.2990438868589802E-2</v>
      </c>
      <c r="AI98" s="26">
        <f t="shared" si="49"/>
        <v>2.4541771830447971E-2</v>
      </c>
      <c r="AJ98" s="26">
        <f t="shared" si="50"/>
        <v>-1.0229205971642284E-2</v>
      </c>
      <c r="AK98" s="26">
        <f t="shared" si="51"/>
        <v>-1.6440013966852077E-2</v>
      </c>
      <c r="AL98" s="26">
        <f t="shared" si="52"/>
        <v>1.0389533230025942E-2</v>
      </c>
      <c r="AM98" s="26">
        <f t="shared" si="53"/>
        <v>2.4541771830447971E-2</v>
      </c>
    </row>
    <row r="99" spans="1:39" x14ac:dyDescent="0.2">
      <c r="A99" s="5">
        <v>28337</v>
      </c>
      <c r="B99" s="14">
        <v>6.3257072208</v>
      </c>
      <c r="C99" s="14">
        <v>8.0713636363999992</v>
      </c>
      <c r="D99" s="1">
        <v>8.85</v>
      </c>
      <c r="E99" s="1">
        <v>9.14</v>
      </c>
      <c r="F99" s="1">
        <v>9.6199999999999992</v>
      </c>
      <c r="G99" s="1">
        <v>10.56</v>
      </c>
      <c r="H99" s="1">
        <v>88.76</v>
      </c>
      <c r="I99" s="1">
        <v>168.41</v>
      </c>
      <c r="J99" s="1">
        <v>11.17</v>
      </c>
      <c r="K99" s="1">
        <v>215.41</v>
      </c>
      <c r="L99" s="1">
        <v>297.71999999999997</v>
      </c>
      <c r="M99">
        <f t="shared" si="29"/>
        <v>336.82</v>
      </c>
      <c r="O99" s="8">
        <f t="shared" si="30"/>
        <v>5.0995903215261817E-2</v>
      </c>
      <c r="P99" s="8">
        <f t="shared" si="31"/>
        <v>4.1660297608642649E-2</v>
      </c>
      <c r="Q99" s="8">
        <f t="shared" si="32"/>
        <v>1.2429378531073398E-2</v>
      </c>
      <c r="R99" s="8">
        <f t="shared" si="33"/>
        <v>1.0940919037199182E-2</v>
      </c>
      <c r="S99" s="8">
        <f t="shared" si="34"/>
        <v>7.2765072765073047E-3</v>
      </c>
      <c r="T99" s="8">
        <f t="shared" si="35"/>
        <v>3.7878787878786735E-3</v>
      </c>
      <c r="U99" s="8">
        <f t="shared" si="36"/>
        <v>-2.1068048670572326E-2</v>
      </c>
      <c r="V99" s="8">
        <f t="shared" si="37"/>
        <v>-3.8893177364764608E-2</v>
      </c>
      <c r="W99" s="8">
        <f t="shared" si="38"/>
        <v>0</v>
      </c>
      <c r="X99" s="8">
        <f t="shared" si="39"/>
        <v>-2.0426164059235918E-2</v>
      </c>
      <c r="Y99" s="8">
        <f t="shared" si="40"/>
        <v>8.7330377535965731E-4</v>
      </c>
      <c r="Z99" s="8">
        <f t="shared" si="41"/>
        <v>-3.8893177364764608E-2</v>
      </c>
      <c r="AB99" s="26">
        <f t="shared" si="42"/>
        <v>4.6474978722836763E-2</v>
      </c>
      <c r="AC99" s="26">
        <f t="shared" si="43"/>
        <v>3.9143527590066056E-2</v>
      </c>
      <c r="AD99" s="26">
        <f t="shared" si="44"/>
        <v>1.0137170207622455E-2</v>
      </c>
      <c r="AE99" s="26">
        <f t="shared" si="45"/>
        <v>8.7281597646898627E-3</v>
      </c>
      <c r="AF99" s="26">
        <f t="shared" si="46"/>
        <v>5.0953978650625318E-3</v>
      </c>
      <c r="AG99" s="26">
        <f t="shared" si="47"/>
        <v>1.6098768169570642E-3</v>
      </c>
      <c r="AH99" s="26">
        <f t="shared" si="48"/>
        <v>-2.6411428715632731E-2</v>
      </c>
      <c r="AI99" s="26">
        <f t="shared" si="49"/>
        <v>-5.1294943493801988E-2</v>
      </c>
      <c r="AJ99" s="26">
        <f t="shared" si="50"/>
        <v>-1.0229205971642284E-2</v>
      </c>
      <c r="AK99" s="26">
        <f t="shared" si="51"/>
        <v>-1.8859248777364505E-2</v>
      </c>
      <c r="AL99" s="26">
        <f t="shared" si="52"/>
        <v>4.3975388891153641E-3</v>
      </c>
      <c r="AM99" s="26">
        <f t="shared" si="53"/>
        <v>-5.1294943493801988E-2</v>
      </c>
    </row>
    <row r="100" spans="1:39" x14ac:dyDescent="0.2">
      <c r="A100" s="5">
        <v>28368</v>
      </c>
      <c r="B100" s="14">
        <v>6.6482923739999995</v>
      </c>
      <c r="C100" s="14">
        <v>8.407619047599999</v>
      </c>
      <c r="D100" s="1">
        <v>8.9599999999999991</v>
      </c>
      <c r="E100" s="1">
        <v>9.24</v>
      </c>
      <c r="F100" s="1">
        <v>9.69</v>
      </c>
      <c r="G100" s="1">
        <v>10.6</v>
      </c>
      <c r="H100" s="1">
        <v>86.89</v>
      </c>
      <c r="I100" s="1">
        <v>161.85999999999999</v>
      </c>
      <c r="J100" s="1">
        <v>11.17</v>
      </c>
      <c r="K100" s="1">
        <v>211.01</v>
      </c>
      <c r="L100" s="1">
        <v>297.98</v>
      </c>
      <c r="M100">
        <f t="shared" si="29"/>
        <v>323.71999999999997</v>
      </c>
      <c r="O100" s="8">
        <f t="shared" si="30"/>
        <v>-3.6004142798548022E-3</v>
      </c>
      <c r="P100" s="8">
        <f t="shared" si="31"/>
        <v>3.4549161820423002E-3</v>
      </c>
      <c r="Q100" s="8">
        <f t="shared" si="32"/>
        <v>0</v>
      </c>
      <c r="R100" s="8">
        <f t="shared" si="33"/>
        <v>1.298701298701288E-2</v>
      </c>
      <c r="S100" s="8">
        <f t="shared" si="34"/>
        <v>6.1919504643963563E-3</v>
      </c>
      <c r="T100" s="8">
        <f t="shared" si="35"/>
        <v>1.8867924528300772E-3</v>
      </c>
      <c r="U100" s="8">
        <f t="shared" si="36"/>
        <v>-3.4526412705719878E-2</v>
      </c>
      <c r="V100" s="8">
        <f t="shared" si="37"/>
        <v>-0.20449771407389095</v>
      </c>
      <c r="W100" s="8">
        <f t="shared" si="38"/>
        <v>0</v>
      </c>
      <c r="X100" s="8">
        <f t="shared" si="39"/>
        <v>-3.1752049665892512E-2</v>
      </c>
      <c r="Y100" s="8">
        <f t="shared" si="40"/>
        <v>1.6376938049533551E-2</v>
      </c>
      <c r="Z100" s="8">
        <f t="shared" si="41"/>
        <v>-0.20449771407389095</v>
      </c>
      <c r="AB100" s="26">
        <f t="shared" si="42"/>
        <v>-8.1213387722798552E-3</v>
      </c>
      <c r="AC100" s="26">
        <f t="shared" si="43"/>
        <v>9.3814616346570619E-4</v>
      </c>
      <c r="AD100" s="26">
        <f t="shared" si="44"/>
        <v>-2.292208323450944E-3</v>
      </c>
      <c r="AE100" s="26">
        <f t="shared" si="45"/>
        <v>1.0774253714503561E-2</v>
      </c>
      <c r="AF100" s="26">
        <f t="shared" si="46"/>
        <v>4.0108410529515835E-3</v>
      </c>
      <c r="AG100" s="26">
        <f t="shared" si="47"/>
        <v>-2.9120951809153209E-4</v>
      </c>
      <c r="AH100" s="26">
        <f t="shared" si="48"/>
        <v>-3.9869792750780286E-2</v>
      </c>
      <c r="AI100" s="26">
        <f t="shared" si="49"/>
        <v>-0.21689948020292832</v>
      </c>
      <c r="AJ100" s="26">
        <f t="shared" si="50"/>
        <v>-1.0229205971642284E-2</v>
      </c>
      <c r="AK100" s="26">
        <f t="shared" si="51"/>
        <v>-3.0185134384021099E-2</v>
      </c>
      <c r="AL100" s="26">
        <f t="shared" si="52"/>
        <v>1.9901173163289258E-2</v>
      </c>
      <c r="AM100" s="26">
        <f t="shared" si="53"/>
        <v>-0.21689948020292832</v>
      </c>
    </row>
    <row r="101" spans="1:39" x14ac:dyDescent="0.2">
      <c r="A101" s="5">
        <v>28398</v>
      </c>
      <c r="B101" s="14">
        <v>6.6243557672</v>
      </c>
      <c r="C101" s="14">
        <v>8.436666666699999</v>
      </c>
      <c r="D101" s="1">
        <v>8.9599999999999991</v>
      </c>
      <c r="E101" s="1">
        <v>9.36</v>
      </c>
      <c r="F101" s="1">
        <v>9.75</v>
      </c>
      <c r="G101" s="1">
        <v>10.62</v>
      </c>
      <c r="H101" s="1">
        <v>83.89</v>
      </c>
      <c r="I101" s="1">
        <v>128.76</v>
      </c>
      <c r="J101" s="1">
        <v>11.17</v>
      </c>
      <c r="K101" s="1">
        <v>204.31</v>
      </c>
      <c r="L101" s="1">
        <v>302.86</v>
      </c>
      <c r="M101">
        <f t="shared" si="29"/>
        <v>257.52</v>
      </c>
      <c r="O101" s="8">
        <f t="shared" si="30"/>
        <v>-7.2948398543554616E-2</v>
      </c>
      <c r="P101" s="8">
        <f t="shared" si="31"/>
        <v>-3.4248051430129434E-2</v>
      </c>
      <c r="Q101" s="8">
        <f t="shared" si="32"/>
        <v>-1.0044642857142794E-2</v>
      </c>
      <c r="R101" s="8">
        <f t="shared" si="33"/>
        <v>-3.2051282051280827E-3</v>
      </c>
      <c r="S101" s="8">
        <f t="shared" si="34"/>
        <v>-2.0512820512820218E-3</v>
      </c>
      <c r="T101" s="8">
        <f t="shared" si="35"/>
        <v>9.416195856872811E-4</v>
      </c>
      <c r="U101" s="8">
        <f t="shared" si="36"/>
        <v>6.1628322803671587E-2</v>
      </c>
      <c r="V101" s="8">
        <f t="shared" si="37"/>
        <v>0.10834109972040995</v>
      </c>
      <c r="W101" s="8">
        <f t="shared" si="38"/>
        <v>0</v>
      </c>
      <c r="X101" s="8">
        <f t="shared" si="39"/>
        <v>1.7130830600557978E-2</v>
      </c>
      <c r="Y101" s="8">
        <f t="shared" si="40"/>
        <v>-3.6320412071585428E-3</v>
      </c>
      <c r="Z101" s="8">
        <f t="shared" si="41"/>
        <v>0.10834109972040995</v>
      </c>
      <c r="AB101" s="26">
        <f t="shared" si="42"/>
        <v>-7.746932303597967E-2</v>
      </c>
      <c r="AC101" s="26">
        <f t="shared" si="43"/>
        <v>-3.6764821448706027E-2</v>
      </c>
      <c r="AD101" s="26">
        <f t="shared" si="44"/>
        <v>-1.2336851180593737E-2</v>
      </c>
      <c r="AE101" s="26">
        <f t="shared" si="45"/>
        <v>-5.4178874776374016E-3</v>
      </c>
      <c r="AF101" s="26">
        <f t="shared" si="46"/>
        <v>-4.2323914627267947E-3</v>
      </c>
      <c r="AG101" s="26">
        <f t="shared" si="47"/>
        <v>-1.2363823852343282E-3</v>
      </c>
      <c r="AH101" s="26">
        <f t="shared" si="48"/>
        <v>5.6284942758611178E-2</v>
      </c>
      <c r="AI101" s="26">
        <f t="shared" si="49"/>
        <v>9.5939333591372578E-2</v>
      </c>
      <c r="AJ101" s="26">
        <f t="shared" si="50"/>
        <v>-1.0229205971642284E-2</v>
      </c>
      <c r="AK101" s="26">
        <f t="shared" si="51"/>
        <v>1.8697745882429392E-2</v>
      </c>
      <c r="AL101" s="26">
        <f t="shared" si="52"/>
        <v>-1.0780609340283647E-4</v>
      </c>
      <c r="AM101" s="26">
        <f t="shared" si="53"/>
        <v>9.5939333591372578E-2</v>
      </c>
    </row>
    <row r="102" spans="1:39" x14ac:dyDescent="0.2">
      <c r="A102" s="5">
        <v>28429</v>
      </c>
      <c r="B102" s="14">
        <v>6.1411196225999998</v>
      </c>
      <c r="C102" s="14">
        <v>8.1477272727999992</v>
      </c>
      <c r="D102" s="1">
        <v>8.8699999999999992</v>
      </c>
      <c r="E102" s="1">
        <v>9.33</v>
      </c>
      <c r="F102" s="1">
        <v>9.73</v>
      </c>
      <c r="G102" s="1">
        <v>10.629999999999999</v>
      </c>
      <c r="H102" s="1">
        <v>89.06</v>
      </c>
      <c r="I102" s="1">
        <v>142.70999999999998</v>
      </c>
      <c r="J102" s="1">
        <v>11.17</v>
      </c>
      <c r="K102" s="1">
        <v>207.81</v>
      </c>
      <c r="L102" s="1">
        <v>301.76</v>
      </c>
      <c r="M102">
        <f t="shared" si="29"/>
        <v>285.41999999999996</v>
      </c>
      <c r="O102" s="8">
        <f t="shared" si="30"/>
        <v>-8.1761382851457953E-2</v>
      </c>
      <c r="P102" s="8">
        <f t="shared" si="31"/>
        <v>-1.0406103869363248E-2</v>
      </c>
      <c r="Q102" s="8">
        <f t="shared" si="32"/>
        <v>-9.0191657271702086E-3</v>
      </c>
      <c r="R102" s="8">
        <f t="shared" si="33"/>
        <v>-9.6463022508038732E-3</v>
      </c>
      <c r="S102" s="8">
        <f t="shared" si="34"/>
        <v>-8.2219938335046372E-3</v>
      </c>
      <c r="T102" s="8">
        <f t="shared" si="35"/>
        <v>-5.6444026340544129E-3</v>
      </c>
      <c r="U102" s="8">
        <f t="shared" si="36"/>
        <v>2.4477880080844505E-2</v>
      </c>
      <c r="V102" s="8">
        <f t="shared" si="37"/>
        <v>-9.1093826641439613E-3</v>
      </c>
      <c r="W102" s="8">
        <f t="shared" si="38"/>
        <v>0</v>
      </c>
      <c r="X102" s="8">
        <f t="shared" si="39"/>
        <v>-2.7910110196814442E-2</v>
      </c>
      <c r="Y102" s="8">
        <f t="shared" si="40"/>
        <v>4.5400318133617112E-3</v>
      </c>
      <c r="Z102" s="8">
        <f t="shared" si="41"/>
        <v>-9.1093826641439613E-3</v>
      </c>
      <c r="AB102" s="26">
        <f t="shared" si="42"/>
        <v>-8.6282307343883008E-2</v>
      </c>
      <c r="AC102" s="26">
        <f t="shared" si="43"/>
        <v>-1.2922873887939841E-2</v>
      </c>
      <c r="AD102" s="26">
        <f t="shared" si="44"/>
        <v>-1.1311374050621152E-2</v>
      </c>
      <c r="AE102" s="26">
        <f t="shared" si="45"/>
        <v>-1.1859061523313192E-2</v>
      </c>
      <c r="AF102" s="26">
        <f t="shared" si="46"/>
        <v>-1.040310324494941E-2</v>
      </c>
      <c r="AG102" s="26">
        <f t="shared" si="47"/>
        <v>-7.8224046049760222E-3</v>
      </c>
      <c r="AH102" s="26">
        <f t="shared" si="48"/>
        <v>1.91345000357841E-2</v>
      </c>
      <c r="AI102" s="26">
        <f t="shared" si="49"/>
        <v>-2.1511148793181341E-2</v>
      </c>
      <c r="AJ102" s="26">
        <f t="shared" si="50"/>
        <v>-1.0229205971642284E-2</v>
      </c>
      <c r="AK102" s="26">
        <f t="shared" si="51"/>
        <v>-2.6343194914943028E-2</v>
      </c>
      <c r="AL102" s="26">
        <f t="shared" si="52"/>
        <v>8.064266927117418E-3</v>
      </c>
      <c r="AM102" s="26">
        <f t="shared" si="53"/>
        <v>-2.1511148793181341E-2</v>
      </c>
    </row>
    <row r="103" spans="1:39" x14ac:dyDescent="0.2">
      <c r="A103" s="5">
        <v>28459</v>
      </c>
      <c r="B103" s="14">
        <v>5.63901319</v>
      </c>
      <c r="C103" s="14">
        <v>8.062941176499999</v>
      </c>
      <c r="D103" s="1">
        <v>8.7899999999999991</v>
      </c>
      <c r="E103" s="1">
        <v>9.24</v>
      </c>
      <c r="F103" s="1">
        <v>9.65</v>
      </c>
      <c r="G103" s="1">
        <v>10.57</v>
      </c>
      <c r="H103" s="1">
        <v>91.240000000000009</v>
      </c>
      <c r="I103" s="1">
        <v>141.41</v>
      </c>
      <c r="J103" s="1">
        <v>11.17</v>
      </c>
      <c r="K103" s="1">
        <v>202.01</v>
      </c>
      <c r="L103" s="1">
        <v>303.13</v>
      </c>
      <c r="M103">
        <f t="shared" si="29"/>
        <v>282.82</v>
      </c>
      <c r="O103" s="8">
        <f t="shared" si="30"/>
        <v>-6.0339365866957095E-3</v>
      </c>
      <c r="P103" s="8">
        <f t="shared" si="31"/>
        <v>-6.9606106966988435E-3</v>
      </c>
      <c r="Q103" s="8">
        <f t="shared" si="32"/>
        <v>1.1376564277587597E-3</v>
      </c>
      <c r="R103" s="8">
        <f t="shared" si="33"/>
        <v>2.1645021645020357E-3</v>
      </c>
      <c r="S103" s="8">
        <f t="shared" si="34"/>
        <v>3.1088082901553626E-3</v>
      </c>
      <c r="T103" s="8">
        <f t="shared" si="35"/>
        <v>0</v>
      </c>
      <c r="U103" s="8">
        <f t="shared" si="36"/>
        <v>-1.1398509425690539E-2</v>
      </c>
      <c r="V103" s="8">
        <f t="shared" si="37"/>
        <v>-4.5965631850647393E-3</v>
      </c>
      <c r="W103" s="8">
        <f t="shared" si="38"/>
        <v>0</v>
      </c>
      <c r="X103" s="8">
        <f t="shared" si="39"/>
        <v>1.7325874956684029E-3</v>
      </c>
      <c r="Y103" s="8">
        <f t="shared" si="40"/>
        <v>6.7297859004389338E-3</v>
      </c>
      <c r="Z103" s="8">
        <f t="shared" si="41"/>
        <v>-4.5965631850647393E-3</v>
      </c>
      <c r="AB103" s="26">
        <f t="shared" si="42"/>
        <v>-1.0554861079120762E-2</v>
      </c>
      <c r="AC103" s="26">
        <f t="shared" si="43"/>
        <v>-9.4773807152754366E-3</v>
      </c>
      <c r="AD103" s="26">
        <f t="shared" si="44"/>
        <v>-1.1545518956921842E-3</v>
      </c>
      <c r="AE103" s="26">
        <f t="shared" si="45"/>
        <v>-4.8257108007282706E-5</v>
      </c>
      <c r="AF103" s="26">
        <f t="shared" si="46"/>
        <v>9.2769887871058934E-4</v>
      </c>
      <c r="AG103" s="26">
        <f t="shared" si="47"/>
        <v>-2.1780019709216093E-3</v>
      </c>
      <c r="AH103" s="26">
        <f t="shared" si="48"/>
        <v>-1.6741889470750945E-2</v>
      </c>
      <c r="AI103" s="26">
        <f t="shared" si="49"/>
        <v>-1.6998329314102119E-2</v>
      </c>
      <c r="AJ103" s="26">
        <f t="shared" si="50"/>
        <v>-1.0229205971642284E-2</v>
      </c>
      <c r="AK103" s="26">
        <f t="shared" si="51"/>
        <v>3.2995027775398174E-3</v>
      </c>
      <c r="AL103" s="26">
        <f t="shared" si="52"/>
        <v>1.0254021014194641E-2</v>
      </c>
      <c r="AM103" s="26">
        <f t="shared" si="53"/>
        <v>-1.6998329314102119E-2</v>
      </c>
    </row>
    <row r="104" spans="1:39" x14ac:dyDescent="0.2">
      <c r="A104" s="5">
        <v>28490</v>
      </c>
      <c r="B104" s="14">
        <v>5.6049877419999996</v>
      </c>
      <c r="C104" s="14">
        <v>8.0068181818999999</v>
      </c>
      <c r="D104" s="1">
        <v>8.7999999999999989</v>
      </c>
      <c r="E104" s="1">
        <v>9.26</v>
      </c>
      <c r="F104" s="1">
        <v>9.68</v>
      </c>
      <c r="G104" s="1">
        <v>10.57</v>
      </c>
      <c r="H104" s="1">
        <v>90.2</v>
      </c>
      <c r="I104" s="1">
        <v>140.76</v>
      </c>
      <c r="J104" s="1">
        <v>11.17</v>
      </c>
      <c r="K104" s="1">
        <v>202.35999999999999</v>
      </c>
      <c r="L104" s="1">
        <v>305.17</v>
      </c>
      <c r="M104">
        <f t="shared" si="29"/>
        <v>281.52</v>
      </c>
      <c r="O104" s="8">
        <f t="shared" si="30"/>
        <v>-0.1066741617095226</v>
      </c>
      <c r="P104" s="8">
        <f t="shared" si="31"/>
        <v>-3.1777570530472921E-2</v>
      </c>
      <c r="Q104" s="8">
        <f t="shared" si="32"/>
        <v>-2.1590909090908994E-2</v>
      </c>
      <c r="R104" s="8">
        <f t="shared" si="33"/>
        <v>-1.295896328293733E-2</v>
      </c>
      <c r="S104" s="8">
        <f t="shared" si="34"/>
        <v>-1.3429752066115741E-2</v>
      </c>
      <c r="T104" s="8">
        <f t="shared" si="35"/>
        <v>-1.4191106906338735E-2</v>
      </c>
      <c r="U104" s="8">
        <f t="shared" si="36"/>
        <v>0.11829268292682937</v>
      </c>
      <c r="V104" s="8">
        <f t="shared" si="37"/>
        <v>-0.10301221938050575</v>
      </c>
      <c r="W104" s="8">
        <f t="shared" si="38"/>
        <v>0</v>
      </c>
      <c r="X104" s="8">
        <f t="shared" si="39"/>
        <v>2.9650128483889038E-3</v>
      </c>
      <c r="Y104" s="8">
        <f t="shared" si="40"/>
        <v>-4.8825244945440716E-3</v>
      </c>
      <c r="Z104" s="8">
        <f t="shared" si="41"/>
        <v>-0.10301221938050575</v>
      </c>
      <c r="AB104" s="26">
        <f t="shared" si="42"/>
        <v>-0.11119508620194765</v>
      </c>
      <c r="AC104" s="26">
        <f t="shared" si="43"/>
        <v>-3.4294340549049514E-2</v>
      </c>
      <c r="AD104" s="26">
        <f t="shared" si="44"/>
        <v>-2.3883117414359938E-2</v>
      </c>
      <c r="AE104" s="26">
        <f t="shared" si="45"/>
        <v>-1.5171722555446649E-2</v>
      </c>
      <c r="AF104" s="26">
        <f t="shared" si="46"/>
        <v>-1.5610861477560514E-2</v>
      </c>
      <c r="AG104" s="26">
        <f t="shared" si="47"/>
        <v>-1.6369108877260344E-2</v>
      </c>
      <c r="AH104" s="26">
        <f t="shared" si="48"/>
        <v>0.11294930288176896</v>
      </c>
      <c r="AI104" s="26">
        <f t="shared" si="49"/>
        <v>-0.11541398550954313</v>
      </c>
      <c r="AJ104" s="26">
        <f t="shared" si="50"/>
        <v>-1.0229205971642284E-2</v>
      </c>
      <c r="AK104" s="26">
        <f t="shared" si="51"/>
        <v>4.5319281302603183E-3</v>
      </c>
      <c r="AL104" s="26">
        <f t="shared" si="52"/>
        <v>-1.3582893807883652E-3</v>
      </c>
      <c r="AM104" s="26">
        <f t="shared" si="53"/>
        <v>-0.11541398550954313</v>
      </c>
    </row>
    <row r="105" spans="1:39" x14ac:dyDescent="0.2">
      <c r="A105" s="5">
        <v>28521</v>
      </c>
      <c r="B105" s="14">
        <v>5.00708037323</v>
      </c>
      <c r="C105" s="14">
        <v>7.7523809523999994</v>
      </c>
      <c r="D105" s="1">
        <v>8.61</v>
      </c>
      <c r="E105" s="1">
        <v>9.14</v>
      </c>
      <c r="F105" s="1">
        <v>9.5499999999999989</v>
      </c>
      <c r="G105" s="1">
        <v>10.42</v>
      </c>
      <c r="H105" s="1">
        <v>100.87</v>
      </c>
      <c r="I105" s="1">
        <v>126.26</v>
      </c>
      <c r="J105" s="1">
        <v>11.17</v>
      </c>
      <c r="K105" s="1">
        <v>202.95999999999998</v>
      </c>
      <c r="L105" s="1">
        <v>303.68</v>
      </c>
      <c r="M105">
        <f t="shared" si="29"/>
        <v>252.52</v>
      </c>
      <c r="O105" s="8">
        <f t="shared" si="30"/>
        <v>2.5896843915920176E-3</v>
      </c>
      <c r="P105" s="8">
        <f t="shared" si="31"/>
        <v>6.5008190012125766E-3</v>
      </c>
      <c r="Q105" s="8">
        <f t="shared" si="32"/>
        <v>-5.8072009291519899E-3</v>
      </c>
      <c r="R105" s="8">
        <f t="shared" si="33"/>
        <v>-1.2035010940919189E-2</v>
      </c>
      <c r="S105" s="8">
        <f t="shared" si="34"/>
        <v>-1.1518324607329822E-2</v>
      </c>
      <c r="T105" s="8">
        <f t="shared" si="35"/>
        <v>-1.6314779270633406E-2</v>
      </c>
      <c r="U105" s="8">
        <f t="shared" si="36"/>
        <v>-1.1499950431248074E-2</v>
      </c>
      <c r="V105" s="8">
        <f t="shared" si="37"/>
        <v>4.9105021384444614E-2</v>
      </c>
      <c r="W105" s="8">
        <f t="shared" si="38"/>
        <v>7.7887197851387535E-2</v>
      </c>
      <c r="X105" s="8">
        <f t="shared" si="39"/>
        <v>-2.1186440677964935E-3</v>
      </c>
      <c r="Y105" s="8">
        <f t="shared" si="40"/>
        <v>-5.136986301369828E-3</v>
      </c>
      <c r="Z105" s="8">
        <f t="shared" si="41"/>
        <v>4.9105021384444614E-2</v>
      </c>
      <c r="AB105" s="26">
        <f t="shared" si="42"/>
        <v>-1.9312401008330354E-3</v>
      </c>
      <c r="AC105" s="26">
        <f t="shared" si="43"/>
        <v>3.9840489826359826E-3</v>
      </c>
      <c r="AD105" s="26">
        <f t="shared" si="44"/>
        <v>-8.0994092526029335E-3</v>
      </c>
      <c r="AE105" s="26">
        <f t="shared" si="45"/>
        <v>-1.4247770213428507E-2</v>
      </c>
      <c r="AF105" s="26">
        <f t="shared" si="46"/>
        <v>-1.3699434018774595E-2</v>
      </c>
      <c r="AG105" s="26">
        <f t="shared" si="47"/>
        <v>-1.8492781241555015E-2</v>
      </c>
      <c r="AH105" s="26">
        <f t="shared" si="48"/>
        <v>-1.6843330476308479E-2</v>
      </c>
      <c r="AI105" s="26">
        <f t="shared" si="49"/>
        <v>3.6703255255407234E-2</v>
      </c>
      <c r="AJ105" s="26">
        <f t="shared" si="50"/>
        <v>6.765799187974525E-2</v>
      </c>
      <c r="AK105" s="26">
        <f t="shared" si="51"/>
        <v>-5.5172878592507895E-4</v>
      </c>
      <c r="AL105" s="26">
        <f t="shared" si="52"/>
        <v>-1.6127511876141217E-3</v>
      </c>
      <c r="AM105" s="26">
        <f t="shared" si="53"/>
        <v>3.6703255255407234E-2</v>
      </c>
    </row>
    <row r="106" spans="1:39" x14ac:dyDescent="0.2">
      <c r="A106" s="5">
        <v>28549</v>
      </c>
      <c r="B106" s="14">
        <v>5.0200471311200001</v>
      </c>
      <c r="C106" s="14">
        <v>7.8027777777999994</v>
      </c>
      <c r="D106" s="1">
        <v>8.56</v>
      </c>
      <c r="E106" s="1">
        <v>9.0299999999999994</v>
      </c>
      <c r="F106" s="1">
        <v>9.44</v>
      </c>
      <c r="G106" s="1">
        <v>10.25</v>
      </c>
      <c r="H106" s="1">
        <v>99.710000000000008</v>
      </c>
      <c r="I106" s="1">
        <v>132.45999999999998</v>
      </c>
      <c r="J106" s="1">
        <v>12.04</v>
      </c>
      <c r="K106" s="1">
        <v>202.53</v>
      </c>
      <c r="L106" s="1">
        <v>302.12</v>
      </c>
      <c r="M106">
        <f t="shared" si="29"/>
        <v>264.91999999999996</v>
      </c>
      <c r="O106" s="8">
        <f t="shared" si="30"/>
        <v>2.4802399608591097E-2</v>
      </c>
      <c r="P106" s="8">
        <f t="shared" si="31"/>
        <v>-7.4883526692559599E-3</v>
      </c>
      <c r="Q106" s="8">
        <f t="shared" si="32"/>
        <v>-3.5046728971963592E-3</v>
      </c>
      <c r="R106" s="8">
        <f t="shared" si="33"/>
        <v>-1.1074197120708451E-3</v>
      </c>
      <c r="S106" s="8">
        <f t="shared" si="34"/>
        <v>-3.1779661016948513E-3</v>
      </c>
      <c r="T106" s="8">
        <f t="shared" si="35"/>
        <v>-1.1707317073170853E-2</v>
      </c>
      <c r="U106" s="8">
        <f t="shared" si="36"/>
        <v>3.078928893791999E-2</v>
      </c>
      <c r="V106" s="8">
        <f t="shared" si="37"/>
        <v>-2.8310433338366359E-2</v>
      </c>
      <c r="W106" s="8">
        <f t="shared" si="38"/>
        <v>5.8139534883721034E-3</v>
      </c>
      <c r="X106" s="8">
        <f t="shared" si="39"/>
        <v>-5.3967313484422075E-2</v>
      </c>
      <c r="Y106" s="8">
        <f t="shared" si="40"/>
        <v>-8.3741559645175156E-3</v>
      </c>
      <c r="Z106" s="8">
        <f t="shared" si="41"/>
        <v>-2.8310433338366359E-2</v>
      </c>
      <c r="AB106" s="26">
        <f t="shared" si="42"/>
        <v>2.0281475116166042E-2</v>
      </c>
      <c r="AC106" s="26">
        <f t="shared" si="43"/>
        <v>-1.0005122687832553E-2</v>
      </c>
      <c r="AD106" s="26">
        <f t="shared" si="44"/>
        <v>-5.7968812206473028E-3</v>
      </c>
      <c r="AE106" s="26">
        <f t="shared" si="45"/>
        <v>-3.3201789845801635E-3</v>
      </c>
      <c r="AF106" s="26">
        <f t="shared" si="46"/>
        <v>-5.3590755131396241E-3</v>
      </c>
      <c r="AG106" s="26">
        <f t="shared" si="47"/>
        <v>-1.3885319044092462E-2</v>
      </c>
      <c r="AH106" s="26">
        <f t="shared" si="48"/>
        <v>2.5445908892859585E-2</v>
      </c>
      <c r="AI106" s="26">
        <f t="shared" si="49"/>
        <v>-4.0712199467403738E-2</v>
      </c>
      <c r="AJ106" s="26">
        <f t="shared" si="50"/>
        <v>-4.4152524832701805E-3</v>
      </c>
      <c r="AK106" s="26">
        <f t="shared" si="51"/>
        <v>-5.2400398202550658E-2</v>
      </c>
      <c r="AL106" s="26">
        <f t="shared" si="52"/>
        <v>-4.8499208507618088E-3</v>
      </c>
      <c r="AM106" s="26">
        <f t="shared" si="53"/>
        <v>-4.0712199467403738E-2</v>
      </c>
    </row>
    <row r="107" spans="1:39" x14ac:dyDescent="0.2">
      <c r="A107" s="5">
        <v>28580</v>
      </c>
      <c r="B107" s="14">
        <v>5.1445563461199999</v>
      </c>
      <c r="C107" s="14">
        <v>7.7443478259999994</v>
      </c>
      <c r="D107" s="1">
        <v>8.5299999999999994</v>
      </c>
      <c r="E107" s="1">
        <v>9.02</v>
      </c>
      <c r="F107" s="1">
        <v>9.41</v>
      </c>
      <c r="G107" s="1">
        <v>10.129999999999999</v>
      </c>
      <c r="H107" s="1">
        <v>102.78</v>
      </c>
      <c r="I107" s="1">
        <v>128.70999999999998</v>
      </c>
      <c r="J107" s="1">
        <v>12.11</v>
      </c>
      <c r="K107" s="1">
        <v>191.6</v>
      </c>
      <c r="L107" s="1">
        <v>299.58999999999997</v>
      </c>
      <c r="M107">
        <f t="shared" si="29"/>
        <v>257.41999999999996</v>
      </c>
      <c r="O107" s="8">
        <f t="shared" si="30"/>
        <v>-2.9137153298564256E-2</v>
      </c>
      <c r="P107" s="8">
        <f t="shared" si="31"/>
        <v>-2.1959513663507235E-2</v>
      </c>
      <c r="Q107" s="8">
        <f t="shared" si="32"/>
        <v>-1.4067995310668158E-2</v>
      </c>
      <c r="R107" s="8">
        <f t="shared" si="33"/>
        <v>-1.3303769401330268E-2</v>
      </c>
      <c r="S107" s="8">
        <f t="shared" si="34"/>
        <v>-1.4877789585547307E-2</v>
      </c>
      <c r="T107" s="8">
        <f t="shared" si="35"/>
        <v>-1.7769002961500413E-2</v>
      </c>
      <c r="U107" s="8">
        <f t="shared" si="36"/>
        <v>-1.0994356878770151E-2</v>
      </c>
      <c r="V107" s="8">
        <f t="shared" si="37"/>
        <v>0</v>
      </c>
      <c r="W107" s="8">
        <f t="shared" si="38"/>
        <v>5.7803468208093012E-3</v>
      </c>
      <c r="X107" s="8">
        <f t="shared" si="39"/>
        <v>-3.961377870563676E-2</v>
      </c>
      <c r="Y107" s="8">
        <f t="shared" si="40"/>
        <v>-1.8024633666009482E-3</v>
      </c>
      <c r="Z107" s="8">
        <f t="shared" si="41"/>
        <v>0</v>
      </c>
      <c r="AB107" s="26">
        <f t="shared" si="42"/>
        <v>-3.365807779098931E-2</v>
      </c>
      <c r="AC107" s="26">
        <f t="shared" si="43"/>
        <v>-2.4476283682083828E-2</v>
      </c>
      <c r="AD107" s="26">
        <f t="shared" si="44"/>
        <v>-1.6360203634119101E-2</v>
      </c>
      <c r="AE107" s="26">
        <f t="shared" si="45"/>
        <v>-1.5516528673839586E-2</v>
      </c>
      <c r="AF107" s="26">
        <f t="shared" si="46"/>
        <v>-1.7058898996992082E-2</v>
      </c>
      <c r="AG107" s="26">
        <f t="shared" si="47"/>
        <v>-1.9947004932422022E-2</v>
      </c>
      <c r="AH107" s="26">
        <f t="shared" si="48"/>
        <v>-1.6337736923830556E-2</v>
      </c>
      <c r="AI107" s="26">
        <f t="shared" si="49"/>
        <v>-1.240176612903738E-2</v>
      </c>
      <c r="AJ107" s="26">
        <f t="shared" si="50"/>
        <v>-4.4488591508329827E-3</v>
      </c>
      <c r="AK107" s="26">
        <f t="shared" si="51"/>
        <v>-3.8046863423765342E-2</v>
      </c>
      <c r="AL107" s="26">
        <f t="shared" si="52"/>
        <v>1.7217717471547582E-3</v>
      </c>
      <c r="AM107" s="26">
        <f t="shared" si="53"/>
        <v>-1.240176612903738E-2</v>
      </c>
    </row>
    <row r="108" spans="1:39" x14ac:dyDescent="0.2">
      <c r="A108" s="5">
        <v>28610</v>
      </c>
      <c r="B108" s="14">
        <v>4.99465861921</v>
      </c>
      <c r="C108" s="14">
        <v>7.5742857141000002</v>
      </c>
      <c r="D108" s="1">
        <v>8.41</v>
      </c>
      <c r="E108" s="1">
        <v>8.9</v>
      </c>
      <c r="F108" s="1">
        <v>9.27</v>
      </c>
      <c r="G108" s="1">
        <v>9.9499999999999993</v>
      </c>
      <c r="H108" s="1">
        <v>101.65</v>
      </c>
      <c r="I108" s="1">
        <v>128.70999999999998</v>
      </c>
      <c r="J108" s="1">
        <v>12.18</v>
      </c>
      <c r="K108" s="1">
        <v>184.01</v>
      </c>
      <c r="L108" s="1">
        <v>299.05</v>
      </c>
      <c r="M108">
        <f t="shared" si="29"/>
        <v>257.41999999999996</v>
      </c>
      <c r="O108" s="8">
        <f t="shared" si="30"/>
        <v>7.2128212149358273E-2</v>
      </c>
      <c r="P108" s="8">
        <f t="shared" si="31"/>
        <v>4.3662768792092743E-2</v>
      </c>
      <c r="Q108" s="8">
        <f t="shared" si="32"/>
        <v>2.1403091557669507E-2</v>
      </c>
      <c r="R108" s="8">
        <f t="shared" si="33"/>
        <v>3.370786516853963E-3</v>
      </c>
      <c r="S108" s="8">
        <f t="shared" si="34"/>
        <v>2.1574973031284195E-3</v>
      </c>
      <c r="T108" s="8">
        <f t="shared" si="35"/>
        <v>-8.040201005025116E-3</v>
      </c>
      <c r="U108" s="8">
        <f t="shared" si="36"/>
        <v>-1.4264633546483108E-2</v>
      </c>
      <c r="V108" s="8">
        <f t="shared" si="37"/>
        <v>-3.2631497164167356E-2</v>
      </c>
      <c r="W108" s="8">
        <f t="shared" si="38"/>
        <v>0</v>
      </c>
      <c r="X108" s="8">
        <f t="shared" si="39"/>
        <v>-4.3747622411825504E-2</v>
      </c>
      <c r="Y108" s="8">
        <f t="shared" si="40"/>
        <v>3.3104831967896153E-3</v>
      </c>
      <c r="Z108" s="8">
        <f t="shared" si="41"/>
        <v>-3.2631497164167356E-2</v>
      </c>
      <c r="AB108" s="26">
        <f t="shared" si="42"/>
        <v>6.7607287656933218E-2</v>
      </c>
      <c r="AC108" s="26">
        <f t="shared" si="43"/>
        <v>4.114599877351615E-2</v>
      </c>
      <c r="AD108" s="26">
        <f t="shared" si="44"/>
        <v>1.9110883234218563E-2</v>
      </c>
      <c r="AE108" s="26">
        <f t="shared" si="45"/>
        <v>1.1580272443446446E-3</v>
      </c>
      <c r="AF108" s="26">
        <f t="shared" si="46"/>
        <v>-2.3612108316353828E-5</v>
      </c>
      <c r="AG108" s="26">
        <f t="shared" si="47"/>
        <v>-1.0218202975946725E-2</v>
      </c>
      <c r="AH108" s="26">
        <f t="shared" si="48"/>
        <v>-1.9608013591543513E-2</v>
      </c>
      <c r="AI108" s="26">
        <f t="shared" si="49"/>
        <v>-4.5033263293204735E-2</v>
      </c>
      <c r="AJ108" s="26">
        <f t="shared" si="50"/>
        <v>-1.0229205971642284E-2</v>
      </c>
      <c r="AK108" s="26">
        <f t="shared" si="51"/>
        <v>-4.2180707129954087E-2</v>
      </c>
      <c r="AL108" s="26">
        <f t="shared" si="52"/>
        <v>6.8347183105453221E-3</v>
      </c>
      <c r="AM108" s="26">
        <f t="shared" si="53"/>
        <v>-4.5033263293204735E-2</v>
      </c>
    </row>
    <row r="109" spans="1:39" x14ac:dyDescent="0.2">
      <c r="A109" s="5">
        <v>28641</v>
      </c>
      <c r="B109" s="14">
        <v>5.3549144157099997</v>
      </c>
      <c r="C109" s="14">
        <v>7.9049999999999994</v>
      </c>
      <c r="D109" s="1">
        <v>8.59</v>
      </c>
      <c r="E109" s="1">
        <v>8.93</v>
      </c>
      <c r="F109" s="1">
        <v>9.2899999999999991</v>
      </c>
      <c r="G109" s="1">
        <v>9.8699999999999992</v>
      </c>
      <c r="H109" s="1">
        <v>100.2</v>
      </c>
      <c r="I109" s="1">
        <v>124.51</v>
      </c>
      <c r="J109" s="1">
        <v>12.18</v>
      </c>
      <c r="K109" s="1">
        <v>175.95999999999998</v>
      </c>
      <c r="L109" s="1">
        <v>300.03999999999996</v>
      </c>
      <c r="M109">
        <f t="shared" si="29"/>
        <v>249.02</v>
      </c>
      <c r="O109" s="8">
        <f t="shared" si="30"/>
        <v>3.9790192139186553E-2</v>
      </c>
      <c r="P109" s="8">
        <f t="shared" si="31"/>
        <v>-4.2550744592029233E-3</v>
      </c>
      <c r="Q109" s="8">
        <f t="shared" si="32"/>
        <v>4.6565774155993278E-3</v>
      </c>
      <c r="R109" s="8">
        <f t="shared" si="33"/>
        <v>-3.3594624860021627E-3</v>
      </c>
      <c r="S109" s="8">
        <f t="shared" si="34"/>
        <v>-4.3057050592033574E-3</v>
      </c>
      <c r="T109" s="8">
        <f t="shared" si="35"/>
        <v>3.0395136778116338E-3</v>
      </c>
      <c r="U109" s="8">
        <f t="shared" si="36"/>
        <v>4.0818363273453118E-2</v>
      </c>
      <c r="V109" s="8">
        <f t="shared" si="37"/>
        <v>-6.4251867319893297E-3</v>
      </c>
      <c r="W109" s="8">
        <f t="shared" si="38"/>
        <v>0</v>
      </c>
      <c r="X109" s="8">
        <f t="shared" si="39"/>
        <v>1.4491929984087326E-2</v>
      </c>
      <c r="Y109" s="8">
        <f t="shared" si="40"/>
        <v>-6.8657512331686821E-3</v>
      </c>
      <c r="Z109" s="8">
        <f t="shared" si="41"/>
        <v>-6.4251867319893297E-3</v>
      </c>
      <c r="AB109" s="26">
        <f t="shared" si="42"/>
        <v>3.5269267646761499E-2</v>
      </c>
      <c r="AC109" s="26">
        <f t="shared" si="43"/>
        <v>-6.7718444777795173E-3</v>
      </c>
      <c r="AD109" s="26">
        <f t="shared" si="44"/>
        <v>2.3643690921483838E-3</v>
      </c>
      <c r="AE109" s="26">
        <f t="shared" si="45"/>
        <v>-5.5722217585114815E-3</v>
      </c>
      <c r="AF109" s="26">
        <f t="shared" si="46"/>
        <v>-6.4868144706481303E-3</v>
      </c>
      <c r="AG109" s="26">
        <f t="shared" si="47"/>
        <v>8.6151170689002451E-4</v>
      </c>
      <c r="AH109" s="26">
        <f t="shared" si="48"/>
        <v>3.5474983228392709E-2</v>
      </c>
      <c r="AI109" s="26">
        <f t="shared" si="49"/>
        <v>-1.8826952861026709E-2</v>
      </c>
      <c r="AJ109" s="26">
        <f t="shared" si="50"/>
        <v>-1.0229205971642284E-2</v>
      </c>
      <c r="AK109" s="26">
        <f t="shared" si="51"/>
        <v>1.605884526595874E-2</v>
      </c>
      <c r="AL109" s="26">
        <f t="shared" si="52"/>
        <v>-3.3415161194129757E-3</v>
      </c>
      <c r="AM109" s="26">
        <f t="shared" si="53"/>
        <v>-1.8826952861026709E-2</v>
      </c>
    </row>
    <row r="110" spans="1:39" x14ac:dyDescent="0.2">
      <c r="A110" s="5">
        <v>28671</v>
      </c>
      <c r="B110" s="14">
        <v>5.5679874892000001</v>
      </c>
      <c r="C110" s="14">
        <v>7.8713636363999999</v>
      </c>
      <c r="D110" s="1">
        <v>8.629999999999999</v>
      </c>
      <c r="E110" s="1">
        <v>8.9</v>
      </c>
      <c r="F110" s="1">
        <v>9.25</v>
      </c>
      <c r="G110" s="1">
        <v>9.9</v>
      </c>
      <c r="H110" s="1">
        <v>104.29</v>
      </c>
      <c r="I110" s="1">
        <v>123.71000000000001</v>
      </c>
      <c r="J110" s="1">
        <v>12.18</v>
      </c>
      <c r="K110" s="1">
        <v>178.51</v>
      </c>
      <c r="L110" s="1">
        <v>297.98</v>
      </c>
      <c r="M110">
        <f t="shared" si="29"/>
        <v>247.42000000000002</v>
      </c>
      <c r="O110" s="8">
        <f t="shared" si="30"/>
        <v>-3.3239884110550011E-2</v>
      </c>
      <c r="P110" s="8">
        <f t="shared" si="31"/>
        <v>-3.7425376161980273E-3</v>
      </c>
      <c r="Q110" s="8">
        <f t="shared" si="32"/>
        <v>-6.9524913093856888E-3</v>
      </c>
      <c r="R110" s="8">
        <f t="shared" si="33"/>
        <v>-8.9887640449438644E-3</v>
      </c>
      <c r="S110" s="8">
        <f t="shared" si="34"/>
        <v>-1.0810810810810811E-2</v>
      </c>
      <c r="T110" s="8">
        <f t="shared" si="35"/>
        <v>-7.0707070707071162E-3</v>
      </c>
      <c r="U110" s="8">
        <f t="shared" si="36"/>
        <v>-8.0544635151980071E-3</v>
      </c>
      <c r="V110" s="8">
        <f t="shared" si="37"/>
        <v>-7.7196669630587689E-2</v>
      </c>
      <c r="W110" s="8">
        <f t="shared" si="38"/>
        <v>0</v>
      </c>
      <c r="X110" s="8">
        <f t="shared" si="39"/>
        <v>0</v>
      </c>
      <c r="Y110" s="8">
        <f t="shared" si="40"/>
        <v>-1.580642996174253E-2</v>
      </c>
      <c r="Z110" s="8">
        <f t="shared" si="41"/>
        <v>-7.7196669630587689E-2</v>
      </c>
      <c r="AB110" s="26">
        <f t="shared" si="42"/>
        <v>-3.7760808602975066E-2</v>
      </c>
      <c r="AC110" s="26">
        <f t="shared" si="43"/>
        <v>-6.2593076347746213E-3</v>
      </c>
      <c r="AD110" s="26">
        <f t="shared" si="44"/>
        <v>-9.2446996328366324E-3</v>
      </c>
      <c r="AE110" s="26">
        <f t="shared" si="45"/>
        <v>-1.1201523317453183E-2</v>
      </c>
      <c r="AF110" s="26">
        <f t="shared" si="46"/>
        <v>-1.2991920222255584E-2</v>
      </c>
      <c r="AG110" s="26">
        <f t="shared" si="47"/>
        <v>-9.2487090416287256E-3</v>
      </c>
      <c r="AH110" s="26">
        <f t="shared" si="48"/>
        <v>-1.3397843560258412E-2</v>
      </c>
      <c r="AI110" s="26">
        <f t="shared" si="49"/>
        <v>-8.9598435759625061E-2</v>
      </c>
      <c r="AJ110" s="26">
        <f t="shared" si="50"/>
        <v>-1.0229205971642284E-2</v>
      </c>
      <c r="AK110" s="26">
        <f t="shared" si="51"/>
        <v>1.5669152818714146E-3</v>
      </c>
      <c r="AL110" s="26">
        <f t="shared" si="52"/>
        <v>-1.2282194847986823E-2</v>
      </c>
      <c r="AM110" s="26">
        <f t="shared" si="53"/>
        <v>-8.9598435759625061E-2</v>
      </c>
    </row>
    <row r="111" spans="1:39" x14ac:dyDescent="0.2">
      <c r="A111" s="5">
        <v>28702</v>
      </c>
      <c r="B111" s="14">
        <v>5.38290823033</v>
      </c>
      <c r="C111" s="14">
        <v>7.8419047618999995</v>
      </c>
      <c r="D111" s="1">
        <v>8.57</v>
      </c>
      <c r="E111" s="1">
        <v>8.82</v>
      </c>
      <c r="F111" s="1">
        <v>9.15</v>
      </c>
      <c r="G111" s="1">
        <v>9.83</v>
      </c>
      <c r="H111" s="1">
        <v>103.45</v>
      </c>
      <c r="I111" s="1">
        <v>114.16000000000001</v>
      </c>
      <c r="J111" s="1">
        <v>12.18</v>
      </c>
      <c r="K111" s="1">
        <v>178.51</v>
      </c>
      <c r="L111" s="1">
        <v>293.27</v>
      </c>
      <c r="M111">
        <f t="shared" si="29"/>
        <v>228.32000000000002</v>
      </c>
      <c r="O111" s="8">
        <f t="shared" si="30"/>
        <v>-1.6875711777540547E-2</v>
      </c>
      <c r="P111" s="8">
        <f t="shared" si="31"/>
        <v>-8.0679886100364362E-3</v>
      </c>
      <c r="Q111" s="8">
        <f t="shared" si="32"/>
        <v>-1.2835472578763274E-2</v>
      </c>
      <c r="R111" s="8">
        <f t="shared" si="33"/>
        <v>-1.7006802721088454E-2</v>
      </c>
      <c r="S111" s="8">
        <f t="shared" si="34"/>
        <v>-1.7486338797814249E-2</v>
      </c>
      <c r="T111" s="8">
        <f t="shared" si="35"/>
        <v>-1.8311291963377441E-2</v>
      </c>
      <c r="U111" s="8">
        <f t="shared" si="36"/>
        <v>-5.1232479458676039E-3</v>
      </c>
      <c r="V111" s="8">
        <f t="shared" si="37"/>
        <v>-8.5581639803784193E-2</v>
      </c>
      <c r="W111" s="8">
        <f t="shared" si="38"/>
        <v>0</v>
      </c>
      <c r="X111" s="8">
        <f t="shared" si="39"/>
        <v>-4.2014452971822491E-3</v>
      </c>
      <c r="Y111" s="8">
        <f t="shared" si="40"/>
        <v>-1.3332424046100799E-2</v>
      </c>
      <c r="Z111" s="8">
        <f t="shared" si="41"/>
        <v>-8.5581639803784193E-2</v>
      </c>
      <c r="AB111" s="26">
        <f t="shared" si="42"/>
        <v>-2.1396636269965602E-2</v>
      </c>
      <c r="AC111" s="26">
        <f t="shared" si="43"/>
        <v>-1.0584758628613029E-2</v>
      </c>
      <c r="AD111" s="26">
        <f t="shared" si="44"/>
        <v>-1.5127680902214218E-2</v>
      </c>
      <c r="AE111" s="26">
        <f t="shared" si="45"/>
        <v>-1.9219561993597773E-2</v>
      </c>
      <c r="AF111" s="26">
        <f t="shared" si="46"/>
        <v>-1.9667448209259024E-2</v>
      </c>
      <c r="AG111" s="26">
        <f t="shared" si="47"/>
        <v>-2.048929393429905E-2</v>
      </c>
      <c r="AH111" s="26">
        <f t="shared" si="48"/>
        <v>-1.0466627990928009E-2</v>
      </c>
      <c r="AI111" s="26">
        <f t="shared" si="49"/>
        <v>-9.7983405932821566E-2</v>
      </c>
      <c r="AJ111" s="26">
        <f t="shared" si="50"/>
        <v>-1.0229205971642284E-2</v>
      </c>
      <c r="AK111" s="26">
        <f t="shared" si="51"/>
        <v>-2.6345300153108346E-3</v>
      </c>
      <c r="AL111" s="26">
        <f t="shared" si="52"/>
        <v>-9.8081889323450924E-3</v>
      </c>
      <c r="AM111" s="26">
        <f t="shared" si="53"/>
        <v>-9.7983405932821566E-2</v>
      </c>
    </row>
    <row r="112" spans="1:39" x14ac:dyDescent="0.2">
      <c r="A112" s="5">
        <v>28733</v>
      </c>
      <c r="B112" s="14">
        <v>5.29206782251</v>
      </c>
      <c r="C112" s="14">
        <v>7.7786363635999995</v>
      </c>
      <c r="D112" s="1">
        <v>8.4599999999999991</v>
      </c>
      <c r="E112" s="1">
        <v>8.67</v>
      </c>
      <c r="F112" s="1">
        <v>8.99</v>
      </c>
      <c r="G112" s="1">
        <v>9.65</v>
      </c>
      <c r="H112" s="1">
        <v>102.92</v>
      </c>
      <c r="I112" s="1">
        <v>104.39</v>
      </c>
      <c r="J112" s="1">
        <v>12.18</v>
      </c>
      <c r="K112" s="1">
        <v>177.76</v>
      </c>
      <c r="L112" s="1">
        <v>289.36</v>
      </c>
      <c r="M112">
        <f t="shared" si="29"/>
        <v>208.78</v>
      </c>
      <c r="O112" s="8">
        <f t="shared" si="30"/>
        <v>-1.1675868286717073E-2</v>
      </c>
      <c r="P112" s="8">
        <f t="shared" si="31"/>
        <v>-2.241403778892026E-2</v>
      </c>
      <c r="Q112" s="8">
        <f t="shared" si="32"/>
        <v>-8.274231678486843E-3</v>
      </c>
      <c r="R112" s="8">
        <f t="shared" si="33"/>
        <v>-1.3840830449827091E-2</v>
      </c>
      <c r="S112" s="8">
        <f t="shared" si="34"/>
        <v>-1.8909899888765236E-2</v>
      </c>
      <c r="T112" s="8">
        <f t="shared" si="35"/>
        <v>-2.4870466321243567E-2</v>
      </c>
      <c r="U112" s="8">
        <f t="shared" si="36"/>
        <v>2.2541780023319191E-2</v>
      </c>
      <c r="V112" s="8">
        <f t="shared" si="37"/>
        <v>0.1137082095986206</v>
      </c>
      <c r="W112" s="8">
        <f t="shared" si="38"/>
        <v>0.14203612479474548</v>
      </c>
      <c r="X112" s="8">
        <f t="shared" si="39"/>
        <v>-6.6100360036003614E-2</v>
      </c>
      <c r="Y112" s="8">
        <f t="shared" si="40"/>
        <v>-8.6051976776334582E-3</v>
      </c>
      <c r="Z112" s="8">
        <f t="shared" si="41"/>
        <v>0.1137082095986206</v>
      </c>
      <c r="AB112" s="26">
        <f t="shared" si="42"/>
        <v>-1.6196792779142127E-2</v>
      </c>
      <c r="AC112" s="26">
        <f t="shared" si="43"/>
        <v>-2.4930807807496853E-2</v>
      </c>
      <c r="AD112" s="26">
        <f t="shared" si="44"/>
        <v>-1.0566440001937787E-2</v>
      </c>
      <c r="AE112" s="26">
        <f t="shared" si="45"/>
        <v>-1.6053589722336409E-2</v>
      </c>
      <c r="AF112" s="26">
        <f t="shared" si="46"/>
        <v>-2.109100930021001E-2</v>
      </c>
      <c r="AG112" s="26">
        <f t="shared" si="47"/>
        <v>-2.7048468292165177E-2</v>
      </c>
      <c r="AH112" s="26">
        <f t="shared" si="48"/>
        <v>1.7198399978258786E-2</v>
      </c>
      <c r="AI112" s="26">
        <f t="shared" si="49"/>
        <v>0.10130644346958323</v>
      </c>
      <c r="AJ112" s="26">
        <f t="shared" si="50"/>
        <v>0.13180691882310319</v>
      </c>
      <c r="AK112" s="26">
        <f t="shared" si="51"/>
        <v>-6.4533444754132196E-2</v>
      </c>
      <c r="AL112" s="26">
        <f t="shared" si="52"/>
        <v>-5.0809625638777514E-3</v>
      </c>
      <c r="AM112" s="26">
        <f t="shared" si="53"/>
        <v>0.10130644346958323</v>
      </c>
    </row>
    <row r="113" spans="1:39" x14ac:dyDescent="0.2">
      <c r="A113" s="5">
        <v>28763</v>
      </c>
      <c r="B113" s="14">
        <v>5.2302783356499996</v>
      </c>
      <c r="C113" s="14">
        <v>7.6042857141999995</v>
      </c>
      <c r="D113" s="1">
        <v>8.39</v>
      </c>
      <c r="E113" s="1">
        <v>8.5499999999999989</v>
      </c>
      <c r="F113" s="1">
        <v>8.82</v>
      </c>
      <c r="G113" s="1">
        <v>9.41</v>
      </c>
      <c r="H113" s="1">
        <v>105.24000000000001</v>
      </c>
      <c r="I113" s="1">
        <v>116.26</v>
      </c>
      <c r="J113" s="1">
        <v>13.91</v>
      </c>
      <c r="K113" s="1">
        <v>166.01</v>
      </c>
      <c r="L113" s="1">
        <v>286.87</v>
      </c>
      <c r="M113">
        <f t="shared" si="29"/>
        <v>232.52</v>
      </c>
      <c r="O113" s="8">
        <f t="shared" si="30"/>
        <v>-3.2763253984398721E-2</v>
      </c>
      <c r="P113" s="8">
        <f t="shared" si="31"/>
        <v>-2.4102949453587486E-2</v>
      </c>
      <c r="Q113" s="8">
        <f t="shared" si="32"/>
        <v>-7.15137067938032E-3</v>
      </c>
      <c r="R113" s="8">
        <f t="shared" si="33"/>
        <v>-7.0175438596489226E-3</v>
      </c>
      <c r="S113" s="8">
        <f t="shared" si="34"/>
        <v>-9.0702947845805459E-3</v>
      </c>
      <c r="T113" s="8">
        <f t="shared" si="35"/>
        <v>-1.1689691817215908E-2</v>
      </c>
      <c r="U113" s="8">
        <f t="shared" si="36"/>
        <v>-2.204484986697075E-2</v>
      </c>
      <c r="V113" s="8">
        <f t="shared" si="37"/>
        <v>6.6660932392912375E-2</v>
      </c>
      <c r="W113" s="8">
        <f t="shared" si="38"/>
        <v>0</v>
      </c>
      <c r="X113" s="8">
        <f t="shared" si="39"/>
        <v>-7.1080055418348831E-3</v>
      </c>
      <c r="Y113" s="8">
        <f t="shared" si="40"/>
        <v>2.6213964513542631E-2</v>
      </c>
      <c r="Z113" s="8">
        <f t="shared" si="41"/>
        <v>6.6660932392912375E-2</v>
      </c>
      <c r="AB113" s="26">
        <f t="shared" si="42"/>
        <v>-3.7284178476823776E-2</v>
      </c>
      <c r="AC113" s="26">
        <f t="shared" si="43"/>
        <v>-2.6619719472164079E-2</v>
      </c>
      <c r="AD113" s="26">
        <f t="shared" si="44"/>
        <v>-9.4435790028312636E-3</v>
      </c>
      <c r="AE113" s="26">
        <f t="shared" si="45"/>
        <v>-9.2303031321582414E-3</v>
      </c>
      <c r="AF113" s="26">
        <f t="shared" si="46"/>
        <v>-1.1251404196025319E-2</v>
      </c>
      <c r="AG113" s="26">
        <f t="shared" si="47"/>
        <v>-1.3867693788137517E-2</v>
      </c>
      <c r="AH113" s="26">
        <f t="shared" si="48"/>
        <v>-2.7388229912031156E-2</v>
      </c>
      <c r="AI113" s="26">
        <f t="shared" si="49"/>
        <v>5.4259166263874996E-2</v>
      </c>
      <c r="AJ113" s="26">
        <f t="shared" si="50"/>
        <v>-1.0229205971642284E-2</v>
      </c>
      <c r="AK113" s="26">
        <f t="shared" si="51"/>
        <v>-5.5410902599634685E-3</v>
      </c>
      <c r="AL113" s="26">
        <f t="shared" si="52"/>
        <v>2.9738199627298338E-2</v>
      </c>
      <c r="AM113" s="26">
        <f t="shared" si="53"/>
        <v>5.4259166263874996E-2</v>
      </c>
    </row>
    <row r="114" spans="1:39" x14ac:dyDescent="0.2">
      <c r="A114" s="5">
        <v>28794</v>
      </c>
      <c r="B114" s="14">
        <v>5.0589173981300002</v>
      </c>
      <c r="C114" s="14">
        <v>7.4209999999999994</v>
      </c>
      <c r="D114" s="1">
        <v>8.33</v>
      </c>
      <c r="E114" s="1">
        <v>8.49</v>
      </c>
      <c r="F114" s="1">
        <v>8.74</v>
      </c>
      <c r="G114" s="1">
        <v>9.2999999999999989</v>
      </c>
      <c r="H114" s="1">
        <v>102.92</v>
      </c>
      <c r="I114" s="1">
        <v>124.01</v>
      </c>
      <c r="J114" s="1">
        <v>13.91</v>
      </c>
      <c r="K114" s="1">
        <v>164.82999999999998</v>
      </c>
      <c r="L114" s="1">
        <v>294.39</v>
      </c>
      <c r="M114">
        <f t="shared" si="29"/>
        <v>248.02</v>
      </c>
      <c r="O114" s="8">
        <f t="shared" si="30"/>
        <v>-3.4053124216592123E-2</v>
      </c>
      <c r="P114" s="8">
        <f t="shared" si="31"/>
        <v>-1.6163235197412695E-2</v>
      </c>
      <c r="Q114" s="8">
        <f t="shared" si="32"/>
        <v>-8.4033613445378963E-3</v>
      </c>
      <c r="R114" s="8">
        <f t="shared" si="33"/>
        <v>-2.3557126030623321E-3</v>
      </c>
      <c r="S114" s="8">
        <f t="shared" si="34"/>
        <v>-4.5766590389016981E-3</v>
      </c>
      <c r="T114" s="8">
        <f t="shared" si="35"/>
        <v>-6.4516129032257119E-3</v>
      </c>
      <c r="U114" s="8">
        <f t="shared" si="36"/>
        <v>-7.9673532841041395E-3</v>
      </c>
      <c r="V114" s="8">
        <f t="shared" si="37"/>
        <v>5.2415127812273088E-2</v>
      </c>
      <c r="W114" s="8">
        <f t="shared" si="38"/>
        <v>0</v>
      </c>
      <c r="X114" s="8">
        <f t="shared" si="39"/>
        <v>1.6987198932232328E-3</v>
      </c>
      <c r="Y114" s="8">
        <f t="shared" si="40"/>
        <v>9.2054757294743883E-3</v>
      </c>
      <c r="Z114" s="8">
        <f t="shared" si="41"/>
        <v>5.2415127812273088E-2</v>
      </c>
      <c r="AB114" s="26">
        <f t="shared" si="42"/>
        <v>-3.8574048709017178E-2</v>
      </c>
      <c r="AC114" s="26">
        <f t="shared" si="43"/>
        <v>-1.8680005215989288E-2</v>
      </c>
      <c r="AD114" s="26">
        <f t="shared" si="44"/>
        <v>-1.069556966798884E-2</v>
      </c>
      <c r="AE114" s="26">
        <f t="shared" si="45"/>
        <v>-4.5684718755716509E-3</v>
      </c>
      <c r="AF114" s="26">
        <f t="shared" si="46"/>
        <v>-6.757768450346471E-3</v>
      </c>
      <c r="AG114" s="26">
        <f t="shared" si="47"/>
        <v>-8.6296148741473212E-3</v>
      </c>
      <c r="AH114" s="26">
        <f t="shared" si="48"/>
        <v>-1.3310733329164545E-2</v>
      </c>
      <c r="AI114" s="26">
        <f t="shared" si="49"/>
        <v>4.0013361683235708E-2</v>
      </c>
      <c r="AJ114" s="26">
        <f t="shared" si="50"/>
        <v>-1.0229205971642284E-2</v>
      </c>
      <c r="AK114" s="26">
        <f t="shared" si="51"/>
        <v>3.2656351750946474E-3</v>
      </c>
      <c r="AL114" s="26">
        <f t="shared" si="52"/>
        <v>1.2729710843230095E-2</v>
      </c>
      <c r="AM114" s="26">
        <f t="shared" si="53"/>
        <v>4.0013361683235708E-2</v>
      </c>
    </row>
    <row r="115" spans="1:39" x14ac:dyDescent="0.2">
      <c r="A115" s="5">
        <v>28824</v>
      </c>
      <c r="B115" s="14">
        <v>4.8866454555700001</v>
      </c>
      <c r="C115" s="14">
        <v>7.3010526316000002</v>
      </c>
      <c r="D115" s="1">
        <v>8.26</v>
      </c>
      <c r="E115" s="1">
        <v>8.4700000000000006</v>
      </c>
      <c r="F115" s="1">
        <v>8.6999999999999993</v>
      </c>
      <c r="G115" s="1">
        <v>9.24</v>
      </c>
      <c r="H115" s="1">
        <v>102.10000000000001</v>
      </c>
      <c r="I115" s="1">
        <v>130.51</v>
      </c>
      <c r="J115" s="1">
        <v>13.91</v>
      </c>
      <c r="K115" s="1">
        <v>165.10999999999999</v>
      </c>
      <c r="L115" s="1">
        <v>297.09999999999997</v>
      </c>
      <c r="M115">
        <f t="shared" si="29"/>
        <v>261.02</v>
      </c>
      <c r="O115" s="8">
        <f t="shared" si="30"/>
        <v>-8.625512208575703E-2</v>
      </c>
      <c r="P115" s="8">
        <f t="shared" si="31"/>
        <v>-5.7794641922411349E-2</v>
      </c>
      <c r="Q115" s="8">
        <f t="shared" si="32"/>
        <v>-3.2687651331719025E-2</v>
      </c>
      <c r="R115" s="8">
        <f t="shared" si="33"/>
        <v>-2.5974025974026094E-2</v>
      </c>
      <c r="S115" s="8">
        <f t="shared" si="34"/>
        <v>-1.8390804597701149E-2</v>
      </c>
      <c r="T115" s="8">
        <f t="shared" si="35"/>
        <v>-1.1904761904762085E-2</v>
      </c>
      <c r="U115" s="8">
        <f t="shared" si="36"/>
        <v>5.2497551420176203E-2</v>
      </c>
      <c r="V115" s="8">
        <f t="shared" si="37"/>
        <v>3.164508466784155E-2</v>
      </c>
      <c r="W115" s="8">
        <f t="shared" si="38"/>
        <v>0</v>
      </c>
      <c r="X115" s="8">
        <f t="shared" si="39"/>
        <v>3.0282841741869015E-2</v>
      </c>
      <c r="Y115" s="8">
        <f t="shared" si="40"/>
        <v>-1.3497139010434145E-2</v>
      </c>
      <c r="Z115" s="8">
        <f t="shared" si="41"/>
        <v>3.164508466784155E-2</v>
      </c>
      <c r="AB115" s="26">
        <f t="shared" si="42"/>
        <v>-9.0776046578182085E-2</v>
      </c>
      <c r="AC115" s="26">
        <f t="shared" si="43"/>
        <v>-6.0311411940987943E-2</v>
      </c>
      <c r="AD115" s="26">
        <f t="shared" si="44"/>
        <v>-3.4979859655169969E-2</v>
      </c>
      <c r="AE115" s="26">
        <f t="shared" si="45"/>
        <v>-2.8186785246535413E-2</v>
      </c>
      <c r="AF115" s="26">
        <f t="shared" si="46"/>
        <v>-2.0571914009145924E-2</v>
      </c>
      <c r="AG115" s="26">
        <f t="shared" si="47"/>
        <v>-1.4082763875683694E-2</v>
      </c>
      <c r="AH115" s="26">
        <f t="shared" si="48"/>
        <v>4.7154171375115794E-2</v>
      </c>
      <c r="AI115" s="26">
        <f t="shared" si="49"/>
        <v>1.924331853880417E-2</v>
      </c>
      <c r="AJ115" s="26">
        <f t="shared" si="50"/>
        <v>-1.0229205971642284E-2</v>
      </c>
      <c r="AK115" s="26">
        <f t="shared" si="51"/>
        <v>3.1849757023740433E-2</v>
      </c>
      <c r="AL115" s="26">
        <f t="shared" si="52"/>
        <v>-9.9729038966784381E-3</v>
      </c>
      <c r="AM115" s="26">
        <f t="shared" si="53"/>
        <v>1.924331853880417E-2</v>
      </c>
    </row>
    <row r="116" spans="1:39" x14ac:dyDescent="0.2">
      <c r="A116" s="5">
        <v>28855</v>
      </c>
      <c r="B116" s="14">
        <v>4.4651472552099998</v>
      </c>
      <c r="C116" s="14">
        <v>6.8790909090999994</v>
      </c>
      <c r="D116" s="1">
        <v>7.99</v>
      </c>
      <c r="E116" s="1">
        <v>8.25</v>
      </c>
      <c r="F116" s="1">
        <v>8.5399999999999991</v>
      </c>
      <c r="G116" s="1">
        <v>9.129999999999999</v>
      </c>
      <c r="H116" s="1">
        <v>107.46000000000001</v>
      </c>
      <c r="I116" s="1">
        <v>134.63999999999999</v>
      </c>
      <c r="J116" s="1">
        <v>13.91</v>
      </c>
      <c r="K116" s="1">
        <v>170.10999999999999</v>
      </c>
      <c r="L116" s="1">
        <v>293.08999999999997</v>
      </c>
      <c r="M116">
        <f t="shared" si="29"/>
        <v>269.27999999999997</v>
      </c>
      <c r="O116" s="8">
        <f t="shared" si="30"/>
        <v>6.3000650460467211E-2</v>
      </c>
      <c r="P116" s="8">
        <f t="shared" si="31"/>
        <v>5.0041848370490305E-2</v>
      </c>
      <c r="Q116" s="8">
        <f t="shared" si="32"/>
        <v>-2.5031289111390187E-3</v>
      </c>
      <c r="R116" s="8">
        <f t="shared" si="33"/>
        <v>-9.6969696969697594E-3</v>
      </c>
      <c r="S116" s="8">
        <f t="shared" si="34"/>
        <v>-9.3676814988290502E-3</v>
      </c>
      <c r="T116" s="8">
        <f t="shared" si="35"/>
        <v>-4.3811610076669449E-3</v>
      </c>
      <c r="U116" s="8">
        <f t="shared" si="36"/>
        <v>-5.043737204541221E-2</v>
      </c>
      <c r="V116" s="8">
        <f t="shared" si="37"/>
        <v>-1.6711229946524075E-2</v>
      </c>
      <c r="W116" s="8">
        <f t="shared" si="38"/>
        <v>0</v>
      </c>
      <c r="X116" s="8">
        <f t="shared" si="39"/>
        <v>8.229968843689317E-3</v>
      </c>
      <c r="Y116" s="8">
        <f t="shared" si="40"/>
        <v>-1.5865433825787201E-2</v>
      </c>
      <c r="Z116" s="8">
        <f t="shared" si="41"/>
        <v>-1.6711229946524075E-2</v>
      </c>
      <c r="AB116" s="26">
        <f t="shared" si="42"/>
        <v>5.8479725968042157E-2</v>
      </c>
      <c r="AC116" s="26">
        <f t="shared" si="43"/>
        <v>4.7525078351913712E-2</v>
      </c>
      <c r="AD116" s="26">
        <f t="shared" si="44"/>
        <v>-4.7953372345899622E-3</v>
      </c>
      <c r="AE116" s="26">
        <f t="shared" si="45"/>
        <v>-1.1909728969479078E-2</v>
      </c>
      <c r="AF116" s="26">
        <f t="shared" si="46"/>
        <v>-1.1548790910273823E-2</v>
      </c>
      <c r="AG116" s="26">
        <f t="shared" si="47"/>
        <v>-6.5591629785885543E-3</v>
      </c>
      <c r="AH116" s="26">
        <f t="shared" si="48"/>
        <v>-5.5780752090472618E-2</v>
      </c>
      <c r="AI116" s="26">
        <f t="shared" si="49"/>
        <v>-2.9112996075561455E-2</v>
      </c>
      <c r="AJ116" s="26">
        <f t="shared" si="50"/>
        <v>-1.0229205971642284E-2</v>
      </c>
      <c r="AK116" s="26">
        <f t="shared" si="51"/>
        <v>9.7968841255607307E-3</v>
      </c>
      <c r="AL116" s="26">
        <f t="shared" si="52"/>
        <v>-1.2341198712031494E-2</v>
      </c>
      <c r="AM116" s="26">
        <f t="shared" si="53"/>
        <v>-2.9112996075561455E-2</v>
      </c>
    </row>
    <row r="117" spans="1:39" x14ac:dyDescent="0.2">
      <c r="A117" s="5">
        <v>28886</v>
      </c>
      <c r="B117" s="14">
        <v>4.7464544366899997</v>
      </c>
      <c r="C117" s="14">
        <v>7.2233333332999994</v>
      </c>
      <c r="D117" s="1">
        <v>7.97</v>
      </c>
      <c r="E117" s="1">
        <v>8.17</v>
      </c>
      <c r="F117" s="1">
        <v>8.4599999999999991</v>
      </c>
      <c r="G117" s="1">
        <v>9.09</v>
      </c>
      <c r="H117" s="1">
        <v>102.04</v>
      </c>
      <c r="I117" s="1">
        <v>132.38999999999999</v>
      </c>
      <c r="J117" s="1">
        <v>13.91</v>
      </c>
      <c r="K117" s="1">
        <v>171.51</v>
      </c>
      <c r="L117" s="1">
        <v>288.44</v>
      </c>
      <c r="M117">
        <f t="shared" si="29"/>
        <v>264.77999999999997</v>
      </c>
      <c r="O117" s="8">
        <f t="shared" si="30"/>
        <v>1.0413881468642083E-2</v>
      </c>
      <c r="P117" s="8">
        <f t="shared" si="31"/>
        <v>2.4603502288992329E-2</v>
      </c>
      <c r="Q117" s="8">
        <f t="shared" si="32"/>
        <v>1.0037641154328591E-2</v>
      </c>
      <c r="R117" s="8">
        <f t="shared" si="33"/>
        <v>1.2239902080783294E-2</v>
      </c>
      <c r="S117" s="8">
        <f t="shared" si="34"/>
        <v>4.7281323877068626E-3</v>
      </c>
      <c r="T117" s="8">
        <f t="shared" si="35"/>
        <v>4.4004400440043057E-3</v>
      </c>
      <c r="U117" s="8">
        <f t="shared" si="36"/>
        <v>-2.1658173265386216E-2</v>
      </c>
      <c r="V117" s="8">
        <f t="shared" si="37"/>
        <v>8.1199486366039686E-2</v>
      </c>
      <c r="W117" s="8">
        <f t="shared" si="38"/>
        <v>0</v>
      </c>
      <c r="X117" s="8">
        <f t="shared" si="39"/>
        <v>-1.1661127631040769E-3</v>
      </c>
      <c r="Y117" s="8">
        <f t="shared" si="40"/>
        <v>-1.9484121481070593E-2</v>
      </c>
      <c r="Z117" s="8">
        <f t="shared" si="41"/>
        <v>8.1199486366039686E-2</v>
      </c>
      <c r="AB117" s="26">
        <f t="shared" si="42"/>
        <v>5.8929569762170304E-3</v>
      </c>
      <c r="AC117" s="26">
        <f t="shared" si="43"/>
        <v>2.2086732270415736E-2</v>
      </c>
      <c r="AD117" s="26">
        <f t="shared" si="44"/>
        <v>7.7454328308776479E-3</v>
      </c>
      <c r="AE117" s="26">
        <f t="shared" si="45"/>
        <v>1.0027142808273975E-2</v>
      </c>
      <c r="AF117" s="26">
        <f t="shared" si="46"/>
        <v>2.5470229762620893E-3</v>
      </c>
      <c r="AG117" s="26">
        <f t="shared" si="47"/>
        <v>2.2224380730826963E-3</v>
      </c>
      <c r="AH117" s="26">
        <f t="shared" si="48"/>
        <v>-2.7001553310446621E-2</v>
      </c>
      <c r="AI117" s="26">
        <f t="shared" si="49"/>
        <v>6.8797720237002313E-2</v>
      </c>
      <c r="AJ117" s="26">
        <f t="shared" si="50"/>
        <v>-1.0229205971642284E-2</v>
      </c>
      <c r="AK117" s="26">
        <f t="shared" si="51"/>
        <v>4.008025187673377E-4</v>
      </c>
      <c r="AL117" s="26">
        <f t="shared" si="52"/>
        <v>-1.5959886367314886E-2</v>
      </c>
      <c r="AM117" s="26">
        <f t="shared" si="53"/>
        <v>6.8797720237002313E-2</v>
      </c>
    </row>
    <row r="118" spans="1:39" x14ac:dyDescent="0.2">
      <c r="A118" s="5">
        <v>28914</v>
      </c>
      <c r="B118" s="14">
        <v>4.7958834505899999</v>
      </c>
      <c r="C118" s="14">
        <v>7.4010526314999998</v>
      </c>
      <c r="D118" s="1">
        <v>8.0499999999999989</v>
      </c>
      <c r="E118" s="1">
        <v>8.27</v>
      </c>
      <c r="F118" s="1">
        <v>8.5</v>
      </c>
      <c r="G118" s="1">
        <v>9.129999999999999</v>
      </c>
      <c r="H118" s="1">
        <v>99.83</v>
      </c>
      <c r="I118" s="1">
        <v>143.13999999999999</v>
      </c>
      <c r="J118" s="1">
        <v>13.91</v>
      </c>
      <c r="K118" s="1">
        <v>171.31</v>
      </c>
      <c r="L118" s="1">
        <v>282.82</v>
      </c>
      <c r="M118">
        <f t="shared" si="29"/>
        <v>286.27999999999997</v>
      </c>
      <c r="O118" s="8">
        <f t="shared" si="30"/>
        <v>-1.3558516944776944E-2</v>
      </c>
      <c r="P118" s="8">
        <f t="shared" si="31"/>
        <v>9.3158867978522242E-3</v>
      </c>
      <c r="Q118" s="8">
        <f t="shared" si="32"/>
        <v>7.4534161490684703E-3</v>
      </c>
      <c r="R118" s="8">
        <f t="shared" si="33"/>
        <v>2.4183796856105388E-3</v>
      </c>
      <c r="S118" s="8">
        <f t="shared" si="34"/>
        <v>7.058823529411784E-3</v>
      </c>
      <c r="T118" s="8">
        <f t="shared" si="35"/>
        <v>0</v>
      </c>
      <c r="U118" s="8">
        <f t="shared" si="36"/>
        <v>-1.4023840528899045E-2</v>
      </c>
      <c r="V118" s="8">
        <f t="shared" si="37"/>
        <v>4.0170462484281133E-2</v>
      </c>
      <c r="W118" s="8">
        <f t="shared" si="38"/>
        <v>0</v>
      </c>
      <c r="X118" s="8">
        <f t="shared" si="39"/>
        <v>4.086159593718941E-3</v>
      </c>
      <c r="Y118" s="8">
        <f t="shared" si="40"/>
        <v>-1.8598401810338672E-2</v>
      </c>
      <c r="Z118" s="8">
        <f t="shared" si="41"/>
        <v>4.0170462484281133E-2</v>
      </c>
      <c r="AB118" s="26">
        <f t="shared" si="42"/>
        <v>-1.8079441437201998E-2</v>
      </c>
      <c r="AC118" s="26">
        <f t="shared" si="43"/>
        <v>6.7991167792756301E-3</v>
      </c>
      <c r="AD118" s="26">
        <f t="shared" si="44"/>
        <v>5.1612078256175267E-3</v>
      </c>
      <c r="AE118" s="26">
        <f t="shared" si="45"/>
        <v>2.0562041310122044E-4</v>
      </c>
      <c r="AF118" s="26">
        <f t="shared" si="46"/>
        <v>4.8777141179670112E-3</v>
      </c>
      <c r="AG118" s="26">
        <f t="shared" si="47"/>
        <v>-2.1780019709216093E-3</v>
      </c>
      <c r="AH118" s="26">
        <f t="shared" si="48"/>
        <v>-1.936722057395945E-2</v>
      </c>
      <c r="AI118" s="26">
        <f t="shared" si="49"/>
        <v>2.7768696355243754E-2</v>
      </c>
      <c r="AJ118" s="26">
        <f t="shared" si="50"/>
        <v>-1.0229205971642284E-2</v>
      </c>
      <c r="AK118" s="26">
        <f t="shared" si="51"/>
        <v>5.6530748755903555E-3</v>
      </c>
      <c r="AL118" s="26">
        <f t="shared" si="52"/>
        <v>-1.5074166696582965E-2</v>
      </c>
      <c r="AM118" s="26">
        <f t="shared" si="53"/>
        <v>2.7768696355243754E-2</v>
      </c>
    </row>
    <row r="119" spans="1:39" x14ac:dyDescent="0.2">
      <c r="A119" s="5">
        <v>28945</v>
      </c>
      <c r="B119" s="14">
        <v>4.7308583835600002</v>
      </c>
      <c r="C119" s="14">
        <v>7.47</v>
      </c>
      <c r="D119" s="1">
        <v>8.11</v>
      </c>
      <c r="E119" s="1">
        <v>8.2899999999999991</v>
      </c>
      <c r="F119" s="1">
        <v>8.56</v>
      </c>
      <c r="G119" s="1">
        <v>9.129999999999999</v>
      </c>
      <c r="H119" s="1">
        <v>98.43</v>
      </c>
      <c r="I119" s="1">
        <v>148.88999999999999</v>
      </c>
      <c r="J119" s="1">
        <v>13.91</v>
      </c>
      <c r="K119" s="1">
        <v>172.01</v>
      </c>
      <c r="L119" s="1">
        <v>277.56</v>
      </c>
      <c r="M119">
        <f t="shared" si="29"/>
        <v>297.77999999999997</v>
      </c>
      <c r="O119" s="8">
        <f t="shared" si="30"/>
        <v>-1.4715439650851203E-2</v>
      </c>
      <c r="P119" s="8">
        <f t="shared" si="31"/>
        <v>-1.1981258366800529E-2</v>
      </c>
      <c r="Q119" s="8">
        <f t="shared" si="32"/>
        <v>-7.3982737361283357E-3</v>
      </c>
      <c r="R119" s="8">
        <f t="shared" si="33"/>
        <v>0</v>
      </c>
      <c r="S119" s="8">
        <f t="shared" si="34"/>
        <v>0</v>
      </c>
      <c r="T119" s="8">
        <f t="shared" si="35"/>
        <v>-5.4764512595836257E-3</v>
      </c>
      <c r="U119" s="8">
        <f t="shared" si="36"/>
        <v>2.0319008432378993E-4</v>
      </c>
      <c r="V119" s="8">
        <f t="shared" si="37"/>
        <v>-1.0074551682450084E-2</v>
      </c>
      <c r="W119" s="8">
        <f t="shared" si="38"/>
        <v>0</v>
      </c>
      <c r="X119" s="8">
        <f t="shared" si="39"/>
        <v>-4.6508923899779564E-4</v>
      </c>
      <c r="Y119" s="8">
        <f t="shared" si="40"/>
        <v>8.2864966133433526E-4</v>
      </c>
      <c r="Z119" s="8">
        <f t="shared" si="41"/>
        <v>-1.0074551682450084E-2</v>
      </c>
      <c r="AB119" s="26">
        <f t="shared" si="42"/>
        <v>-1.9236364143276258E-2</v>
      </c>
      <c r="AC119" s="26">
        <f t="shared" si="43"/>
        <v>-1.4498028385377122E-2</v>
      </c>
      <c r="AD119" s="26">
        <f t="shared" si="44"/>
        <v>-9.6904820595792793E-3</v>
      </c>
      <c r="AE119" s="26">
        <f t="shared" si="45"/>
        <v>-2.2127592725093184E-3</v>
      </c>
      <c r="AF119" s="26">
        <f t="shared" si="46"/>
        <v>-2.1811094114447733E-3</v>
      </c>
      <c r="AG119" s="26">
        <f t="shared" si="47"/>
        <v>-7.654453230505235E-3</v>
      </c>
      <c r="AH119" s="26">
        <f t="shared" si="48"/>
        <v>-5.1401899607366151E-3</v>
      </c>
      <c r="AI119" s="26">
        <f t="shared" si="49"/>
        <v>-2.2476317811487463E-2</v>
      </c>
      <c r="AJ119" s="26">
        <f t="shared" si="50"/>
        <v>-1.0229205971642284E-2</v>
      </c>
      <c r="AK119" s="26">
        <f t="shared" si="51"/>
        <v>1.1018260428736189E-3</v>
      </c>
      <c r="AL119" s="26">
        <f t="shared" si="52"/>
        <v>4.3528847750900421E-3</v>
      </c>
      <c r="AM119" s="26">
        <f t="shared" si="53"/>
        <v>-2.2476317811487463E-2</v>
      </c>
    </row>
    <row r="120" spans="1:39" x14ac:dyDescent="0.2">
      <c r="A120" s="5">
        <v>28975</v>
      </c>
      <c r="B120" s="14">
        <v>4.6612417225199998</v>
      </c>
      <c r="C120" s="14">
        <v>7.3804999999999996</v>
      </c>
      <c r="D120" s="1">
        <v>8.0499999999999989</v>
      </c>
      <c r="E120" s="1">
        <v>8.2899999999999991</v>
      </c>
      <c r="F120" s="1">
        <v>8.56</v>
      </c>
      <c r="G120" s="1">
        <v>9.08</v>
      </c>
      <c r="H120" s="1">
        <v>98.45</v>
      </c>
      <c r="I120" s="1">
        <v>147.38999999999999</v>
      </c>
      <c r="J120" s="1">
        <v>13.91</v>
      </c>
      <c r="K120" s="1">
        <v>171.92999999999998</v>
      </c>
      <c r="L120" s="1">
        <v>277.78999999999996</v>
      </c>
      <c r="M120">
        <f t="shared" si="29"/>
        <v>294.77999999999997</v>
      </c>
      <c r="O120" s="8">
        <f t="shared" si="30"/>
        <v>9.3725758554699334E-2</v>
      </c>
      <c r="P120" s="8">
        <f t="shared" si="31"/>
        <v>1.1674909111848875E-2</v>
      </c>
      <c r="Q120" s="8">
        <f t="shared" si="32"/>
        <v>1.2422360248449671E-3</v>
      </c>
      <c r="R120" s="8">
        <f t="shared" si="33"/>
        <v>0</v>
      </c>
      <c r="S120" s="8">
        <f t="shared" si="34"/>
        <v>0</v>
      </c>
      <c r="T120" s="8">
        <f t="shared" si="35"/>
        <v>-6.6079295154185536E-3</v>
      </c>
      <c r="U120" s="8">
        <f t="shared" si="36"/>
        <v>-2.3565261554088335E-2</v>
      </c>
      <c r="V120" s="8">
        <f t="shared" si="37"/>
        <v>-2.8360132980527863E-2</v>
      </c>
      <c r="W120" s="8">
        <f t="shared" si="38"/>
        <v>0</v>
      </c>
      <c r="X120" s="8">
        <f t="shared" si="39"/>
        <v>-5.816320595586344E-5</v>
      </c>
      <c r="Y120" s="8">
        <f t="shared" si="40"/>
        <v>-1.7999208034846781E-3</v>
      </c>
      <c r="Z120" s="8">
        <f t="shared" si="41"/>
        <v>-2.8360132980527863E-2</v>
      </c>
      <c r="AB120" s="26">
        <f t="shared" si="42"/>
        <v>8.920483406227428E-2</v>
      </c>
      <c r="AC120" s="26">
        <f t="shared" si="43"/>
        <v>9.1581390932722814E-3</v>
      </c>
      <c r="AD120" s="26">
        <f t="shared" si="44"/>
        <v>-1.0499722986059769E-3</v>
      </c>
      <c r="AE120" s="26">
        <f t="shared" si="45"/>
        <v>-2.2127592725093184E-3</v>
      </c>
      <c r="AF120" s="26">
        <f t="shared" si="46"/>
        <v>-2.1811094114447733E-3</v>
      </c>
      <c r="AG120" s="26">
        <f t="shared" si="47"/>
        <v>-8.7859314863401629E-3</v>
      </c>
      <c r="AH120" s="26">
        <f t="shared" si="48"/>
        <v>-2.890864159914874E-2</v>
      </c>
      <c r="AI120" s="26">
        <f t="shared" si="49"/>
        <v>-4.0761899109565243E-2</v>
      </c>
      <c r="AJ120" s="26">
        <f t="shared" si="50"/>
        <v>-1.0229205971642284E-2</v>
      </c>
      <c r="AK120" s="26">
        <f t="shared" si="51"/>
        <v>1.5087520759155511E-3</v>
      </c>
      <c r="AL120" s="26">
        <f t="shared" si="52"/>
        <v>1.7243143102710283E-3</v>
      </c>
      <c r="AM120" s="26">
        <f t="shared" si="53"/>
        <v>-4.0761899109565243E-2</v>
      </c>
    </row>
    <row r="121" spans="1:39" x14ac:dyDescent="0.2">
      <c r="A121" s="5">
        <v>29006</v>
      </c>
      <c r="B121" s="14">
        <v>5.0981201387699997</v>
      </c>
      <c r="C121" s="14">
        <v>7.4666666667000001</v>
      </c>
      <c r="D121" s="1">
        <v>8.06</v>
      </c>
      <c r="E121" s="1">
        <v>8.2899999999999991</v>
      </c>
      <c r="F121" s="1">
        <v>8.56</v>
      </c>
      <c r="G121" s="1">
        <v>9.02</v>
      </c>
      <c r="H121" s="1">
        <v>96.13000000000001</v>
      </c>
      <c r="I121" s="1">
        <v>143.20999999999998</v>
      </c>
      <c r="J121" s="1">
        <v>13.91</v>
      </c>
      <c r="K121" s="1">
        <v>171.92</v>
      </c>
      <c r="L121" s="1">
        <v>277.28999999999996</v>
      </c>
      <c r="M121">
        <f t="shared" si="29"/>
        <v>286.41999999999996</v>
      </c>
      <c r="O121" s="8">
        <f t="shared" si="30"/>
        <v>1.2261784696796507E-2</v>
      </c>
      <c r="P121" s="8">
        <f t="shared" si="31"/>
        <v>-2.4269480517748909E-2</v>
      </c>
      <c r="Q121" s="8">
        <f t="shared" si="32"/>
        <v>-1.2406947890818976E-2</v>
      </c>
      <c r="R121" s="8">
        <f t="shared" si="33"/>
        <v>-1.0856453558504175E-2</v>
      </c>
      <c r="S121" s="8">
        <f t="shared" si="34"/>
        <v>-1.0514018691588745E-2</v>
      </c>
      <c r="T121" s="8">
        <f t="shared" si="35"/>
        <v>-1.1086474501108556E-2</v>
      </c>
      <c r="U121" s="8">
        <f t="shared" si="36"/>
        <v>4.5355248101529133E-2</v>
      </c>
      <c r="V121" s="8">
        <f t="shared" si="37"/>
        <v>-4.8879268207524529E-4</v>
      </c>
      <c r="W121" s="8">
        <f t="shared" si="38"/>
        <v>0</v>
      </c>
      <c r="X121" s="8">
        <f t="shared" si="39"/>
        <v>3.489995346672714E-4</v>
      </c>
      <c r="Y121" s="8">
        <f t="shared" si="40"/>
        <v>-3.4945364059288053E-2</v>
      </c>
      <c r="Z121" s="8">
        <f t="shared" si="41"/>
        <v>-4.8879268207524529E-4</v>
      </c>
      <c r="AB121" s="26">
        <f t="shared" si="42"/>
        <v>7.7408602043714542E-3</v>
      </c>
      <c r="AC121" s="26">
        <f t="shared" si="43"/>
        <v>-2.6786250536325502E-2</v>
      </c>
      <c r="AD121" s="26">
        <f t="shared" si="44"/>
        <v>-1.4699156214269919E-2</v>
      </c>
      <c r="AE121" s="26">
        <f t="shared" si="45"/>
        <v>-1.3069212831013494E-2</v>
      </c>
      <c r="AF121" s="26">
        <f t="shared" si="46"/>
        <v>-1.2695128103033517E-2</v>
      </c>
      <c r="AG121" s="26">
        <f t="shared" si="47"/>
        <v>-1.3264476472030166E-2</v>
      </c>
      <c r="AH121" s="26">
        <f t="shared" si="48"/>
        <v>4.0011868056468725E-2</v>
      </c>
      <c r="AI121" s="26">
        <f t="shared" si="49"/>
        <v>-1.2890558811112625E-2</v>
      </c>
      <c r="AJ121" s="26">
        <f t="shared" si="50"/>
        <v>-1.0229205971642284E-2</v>
      </c>
      <c r="AK121" s="26">
        <f t="shared" si="51"/>
        <v>1.915914816538686E-3</v>
      </c>
      <c r="AL121" s="26">
        <f t="shared" si="52"/>
        <v>-3.1421128945532346E-2</v>
      </c>
      <c r="AM121" s="26">
        <f t="shared" si="53"/>
        <v>-1.2890558811112625E-2</v>
      </c>
    </row>
    <row r="122" spans="1:39" x14ac:dyDescent="0.2">
      <c r="A122" s="5">
        <v>29036</v>
      </c>
      <c r="B122" s="14">
        <v>5.1606321902699994</v>
      </c>
      <c r="C122" s="14">
        <v>7.2854545454999995</v>
      </c>
      <c r="D122" s="1">
        <v>7.96</v>
      </c>
      <c r="E122" s="1">
        <v>8.1999999999999993</v>
      </c>
      <c r="F122" s="1">
        <v>8.4700000000000006</v>
      </c>
      <c r="G122" s="1">
        <v>8.92</v>
      </c>
      <c r="H122" s="1">
        <v>100.49000000000001</v>
      </c>
      <c r="I122" s="1">
        <v>143.13999999999999</v>
      </c>
      <c r="J122" s="1">
        <v>13.91</v>
      </c>
      <c r="K122" s="1">
        <v>171.98</v>
      </c>
      <c r="L122" s="1">
        <v>267.59999999999997</v>
      </c>
      <c r="M122">
        <f t="shared" si="29"/>
        <v>286.27999999999997</v>
      </c>
      <c r="O122" s="8">
        <f t="shared" si="30"/>
        <v>3.4155241761335109E-2</v>
      </c>
      <c r="P122" s="8">
        <f t="shared" si="31"/>
        <v>7.4868979223392529E-3</v>
      </c>
      <c r="Q122" s="8">
        <f t="shared" si="32"/>
        <v>-1.2562814070351536E-3</v>
      </c>
      <c r="R122" s="8">
        <f t="shared" si="33"/>
        <v>-8.5365853658536661E-3</v>
      </c>
      <c r="S122" s="8">
        <f t="shared" si="34"/>
        <v>-7.0838252656435508E-3</v>
      </c>
      <c r="T122" s="8">
        <f t="shared" si="35"/>
        <v>-4.48430493273555E-3</v>
      </c>
      <c r="U122" s="8">
        <f t="shared" si="36"/>
        <v>-1.6220519454672178E-2</v>
      </c>
      <c r="V122" s="8">
        <f t="shared" si="37"/>
        <v>8.7327092357132319E-3</v>
      </c>
      <c r="W122" s="8">
        <f t="shared" si="38"/>
        <v>0</v>
      </c>
      <c r="X122" s="8">
        <f t="shared" si="39"/>
        <v>9.7685777415978947E-3</v>
      </c>
      <c r="Y122" s="8">
        <f t="shared" si="40"/>
        <v>-2.9147982062779354E-3</v>
      </c>
      <c r="Z122" s="8">
        <f t="shared" si="41"/>
        <v>8.7327092357132319E-3</v>
      </c>
      <c r="AB122" s="26">
        <f t="shared" si="42"/>
        <v>2.9634317268910054E-2</v>
      </c>
      <c r="AC122" s="26">
        <f t="shared" si="43"/>
        <v>4.9701279037626589E-3</v>
      </c>
      <c r="AD122" s="26">
        <f t="shared" si="44"/>
        <v>-3.5484897304860975E-3</v>
      </c>
      <c r="AE122" s="26">
        <f t="shared" si="45"/>
        <v>-1.0749344638362985E-2</v>
      </c>
      <c r="AF122" s="26">
        <f t="shared" si="46"/>
        <v>-9.2649346770883236E-3</v>
      </c>
      <c r="AG122" s="26">
        <f t="shared" si="47"/>
        <v>-6.6623069036571593E-3</v>
      </c>
      <c r="AH122" s="26">
        <f t="shared" si="48"/>
        <v>-2.1563899499732583E-2</v>
      </c>
      <c r="AI122" s="26">
        <f t="shared" si="49"/>
        <v>-3.6690568933241477E-3</v>
      </c>
      <c r="AJ122" s="26">
        <f t="shared" si="50"/>
        <v>-1.0229205971642284E-2</v>
      </c>
      <c r="AK122" s="26">
        <f t="shared" si="51"/>
        <v>1.1335493023469308E-2</v>
      </c>
      <c r="AL122" s="26">
        <f t="shared" si="52"/>
        <v>6.0943690747777097E-4</v>
      </c>
      <c r="AM122" s="26">
        <f t="shared" si="53"/>
        <v>-3.6690568933241477E-3</v>
      </c>
    </row>
    <row r="123" spans="1:39" x14ac:dyDescent="0.2">
      <c r="A123" s="5">
        <v>29067</v>
      </c>
      <c r="B123" s="14">
        <v>5.3368948303699995</v>
      </c>
      <c r="C123" s="14">
        <v>7.34</v>
      </c>
      <c r="D123" s="1">
        <v>7.95</v>
      </c>
      <c r="E123" s="1">
        <v>8.129999999999999</v>
      </c>
      <c r="F123" s="1">
        <v>8.41</v>
      </c>
      <c r="G123" s="1">
        <v>8.879999999999999</v>
      </c>
      <c r="H123" s="1">
        <v>98.86</v>
      </c>
      <c r="I123" s="1">
        <v>144.38999999999999</v>
      </c>
      <c r="J123" s="1">
        <v>13.91</v>
      </c>
      <c r="K123" s="1">
        <v>173.66</v>
      </c>
      <c r="L123" s="1">
        <v>266.82</v>
      </c>
      <c r="M123">
        <f t="shared" si="29"/>
        <v>288.77999999999997</v>
      </c>
      <c r="O123" s="8">
        <f t="shared" si="30"/>
        <v>5.9537530104930125E-2</v>
      </c>
      <c r="P123" s="8">
        <f t="shared" si="31"/>
        <v>9.0629072479564421E-3</v>
      </c>
      <c r="Q123" s="8">
        <f t="shared" si="32"/>
        <v>5.031446540880502E-3</v>
      </c>
      <c r="R123" s="8">
        <f t="shared" si="33"/>
        <v>6.1500615006151449E-3</v>
      </c>
      <c r="S123" s="8">
        <f t="shared" si="34"/>
        <v>0</v>
      </c>
      <c r="T123" s="8">
        <f t="shared" si="35"/>
        <v>-5.6306306306305176E-3</v>
      </c>
      <c r="U123" s="8">
        <f t="shared" si="36"/>
        <v>-2.1039854339469977E-2</v>
      </c>
      <c r="V123" s="8">
        <f t="shared" si="37"/>
        <v>1.2119952905325748E-2</v>
      </c>
      <c r="W123" s="8">
        <f t="shared" si="38"/>
        <v>6.8296189791516859E-2</v>
      </c>
      <c r="X123" s="8">
        <f t="shared" si="39"/>
        <v>3.6277784175975381E-3</v>
      </c>
      <c r="Y123" s="8">
        <f t="shared" si="40"/>
        <v>2.5860130425006123E-3</v>
      </c>
      <c r="Z123" s="8">
        <f t="shared" si="41"/>
        <v>1.2119952905325748E-2</v>
      </c>
      <c r="AB123" s="26">
        <f t="shared" si="42"/>
        <v>5.5016605612505071E-2</v>
      </c>
      <c r="AC123" s="26">
        <f t="shared" si="43"/>
        <v>6.5461372293798481E-3</v>
      </c>
      <c r="AD123" s="26">
        <f t="shared" si="44"/>
        <v>2.739238217429558E-3</v>
      </c>
      <c r="AE123" s="26">
        <f t="shared" si="45"/>
        <v>3.9373022281058261E-3</v>
      </c>
      <c r="AF123" s="26">
        <f t="shared" si="46"/>
        <v>-2.1811094114447733E-3</v>
      </c>
      <c r="AG123" s="26">
        <f t="shared" si="47"/>
        <v>-7.8086326015521269E-3</v>
      </c>
      <c r="AH123" s="26">
        <f t="shared" si="48"/>
        <v>-2.6383234384530382E-2</v>
      </c>
      <c r="AI123" s="26">
        <f t="shared" si="49"/>
        <v>-2.8181322371163137E-4</v>
      </c>
      <c r="AJ123" s="26">
        <f t="shared" si="50"/>
        <v>5.8066983819874574E-2</v>
      </c>
      <c r="AK123" s="26">
        <f t="shared" si="51"/>
        <v>5.1946936994689526E-3</v>
      </c>
      <c r="AL123" s="26">
        <f t="shared" si="52"/>
        <v>6.1102481562563191E-3</v>
      </c>
      <c r="AM123" s="26">
        <f t="shared" si="53"/>
        <v>-2.8181322371163137E-4</v>
      </c>
    </row>
    <row r="124" spans="1:39" x14ac:dyDescent="0.2">
      <c r="A124" s="5">
        <v>29098</v>
      </c>
      <c r="B124" s="14">
        <v>5.6546403669999998</v>
      </c>
      <c r="C124" s="14">
        <v>7.4065217391999996</v>
      </c>
      <c r="D124" s="1">
        <v>7.99</v>
      </c>
      <c r="E124" s="1">
        <v>8.18</v>
      </c>
      <c r="F124" s="1">
        <v>8.41</v>
      </c>
      <c r="G124" s="1">
        <v>8.83</v>
      </c>
      <c r="H124" s="1">
        <v>96.78</v>
      </c>
      <c r="I124" s="1">
        <v>146.13999999999999</v>
      </c>
      <c r="J124" s="1">
        <v>14.86</v>
      </c>
      <c r="K124" s="1">
        <v>174.29</v>
      </c>
      <c r="L124" s="1">
        <v>267.51</v>
      </c>
      <c r="M124">
        <f t="shared" si="29"/>
        <v>292.27999999999997</v>
      </c>
      <c r="O124" s="8">
        <f t="shared" si="30"/>
        <v>5.8613075436986461E-2</v>
      </c>
      <c r="P124" s="8">
        <f t="shared" si="31"/>
        <v>-7.1170000110866161E-3</v>
      </c>
      <c r="Q124" s="8">
        <f t="shared" si="32"/>
        <v>-7.509386733416834E-3</v>
      </c>
      <c r="R124" s="8">
        <f t="shared" si="33"/>
        <v>-2.4449877750610804E-3</v>
      </c>
      <c r="S124" s="8">
        <f t="shared" si="34"/>
        <v>-3.5671819262783622E-3</v>
      </c>
      <c r="T124" s="8">
        <f t="shared" si="35"/>
        <v>-2.2650056625140857E-3</v>
      </c>
      <c r="U124" s="8">
        <f t="shared" si="36"/>
        <v>-2.4798512089274638E-3</v>
      </c>
      <c r="V124" s="8">
        <f t="shared" si="37"/>
        <v>5.6452716573148987E-2</v>
      </c>
      <c r="W124" s="8">
        <f t="shared" si="38"/>
        <v>0</v>
      </c>
      <c r="X124" s="8">
        <f t="shared" si="39"/>
        <v>2.7540306385906987E-3</v>
      </c>
      <c r="Y124" s="8">
        <f t="shared" si="40"/>
        <v>-1.4167694665620068E-2</v>
      </c>
      <c r="Z124" s="8">
        <f t="shared" si="41"/>
        <v>5.6452716573148987E-2</v>
      </c>
      <c r="AB124" s="26">
        <f t="shared" si="42"/>
        <v>5.4092150944561407E-2</v>
      </c>
      <c r="AC124" s="26">
        <f t="shared" si="43"/>
        <v>-9.6337700296632092E-3</v>
      </c>
      <c r="AD124" s="26">
        <f t="shared" si="44"/>
        <v>-9.8015950568677776E-3</v>
      </c>
      <c r="AE124" s="26">
        <f t="shared" si="45"/>
        <v>-4.6577470475703993E-3</v>
      </c>
      <c r="AF124" s="26">
        <f t="shared" si="46"/>
        <v>-5.748291337723135E-3</v>
      </c>
      <c r="AG124" s="26">
        <f t="shared" si="47"/>
        <v>-4.4430076334356951E-3</v>
      </c>
      <c r="AH124" s="26">
        <f t="shared" si="48"/>
        <v>-7.8232312539878689E-3</v>
      </c>
      <c r="AI124" s="26">
        <f t="shared" si="49"/>
        <v>4.4050950444111607E-2</v>
      </c>
      <c r="AJ124" s="26">
        <f t="shared" si="50"/>
        <v>-1.0229205971642284E-2</v>
      </c>
      <c r="AK124" s="26">
        <f t="shared" si="51"/>
        <v>4.3209459204621133E-3</v>
      </c>
      <c r="AL124" s="26">
        <f t="shared" si="52"/>
        <v>-1.0643459551864361E-2</v>
      </c>
      <c r="AM124" s="26">
        <f t="shared" si="53"/>
        <v>4.4050950444111607E-2</v>
      </c>
    </row>
    <row r="125" spans="1:39" x14ac:dyDescent="0.2">
      <c r="A125" s="5">
        <v>29128</v>
      </c>
      <c r="B125" s="14">
        <v>5.9860762294000001</v>
      </c>
      <c r="C125" s="14">
        <v>7.3538095238999999</v>
      </c>
      <c r="D125" s="1">
        <v>7.93</v>
      </c>
      <c r="E125" s="1">
        <v>8.16</v>
      </c>
      <c r="F125" s="1">
        <v>8.379999999999999</v>
      </c>
      <c r="G125" s="1">
        <v>8.81</v>
      </c>
      <c r="H125" s="1">
        <v>96.54</v>
      </c>
      <c r="I125" s="1">
        <v>154.38999999999999</v>
      </c>
      <c r="J125" s="1">
        <v>14.86</v>
      </c>
      <c r="K125" s="1">
        <v>174.76999999999998</v>
      </c>
      <c r="L125" s="1">
        <v>263.71999999999997</v>
      </c>
      <c r="M125">
        <f t="shared" si="29"/>
        <v>308.77999999999997</v>
      </c>
      <c r="O125" s="8">
        <f t="shared" si="30"/>
        <v>6.1341875066099005E-2</v>
      </c>
      <c r="P125" s="8">
        <f t="shared" si="31"/>
        <v>2.4435019089902088E-2</v>
      </c>
      <c r="Q125" s="8">
        <f t="shared" si="32"/>
        <v>1.5132408575031508E-2</v>
      </c>
      <c r="R125" s="8">
        <f t="shared" si="33"/>
        <v>1.3480392156862697E-2</v>
      </c>
      <c r="S125" s="8">
        <f t="shared" si="34"/>
        <v>1.3126491646778149E-2</v>
      </c>
      <c r="T125" s="8">
        <f t="shared" si="35"/>
        <v>1.0215664018161208E-2</v>
      </c>
      <c r="U125" s="8">
        <f t="shared" si="36"/>
        <v>-4.3401698777708719E-2</v>
      </c>
      <c r="V125" s="8">
        <f t="shared" si="37"/>
        <v>4.6958999935228896E-2</v>
      </c>
      <c r="W125" s="8">
        <f t="shared" si="38"/>
        <v>0</v>
      </c>
      <c r="X125" s="8">
        <f t="shared" si="39"/>
        <v>5.2583395319562909E-2</v>
      </c>
      <c r="Y125" s="8">
        <f t="shared" si="40"/>
        <v>-5.5285909297740021E-2</v>
      </c>
      <c r="Z125" s="8">
        <f t="shared" si="41"/>
        <v>4.6958999935228896E-2</v>
      </c>
      <c r="AB125" s="26">
        <f t="shared" si="42"/>
        <v>5.6820950573673951E-2</v>
      </c>
      <c r="AC125" s="26">
        <f t="shared" si="43"/>
        <v>2.1918249071325495E-2</v>
      </c>
      <c r="AD125" s="26">
        <f t="shared" si="44"/>
        <v>1.2840200251580565E-2</v>
      </c>
      <c r="AE125" s="26">
        <f t="shared" si="45"/>
        <v>1.1267632884353378E-2</v>
      </c>
      <c r="AF125" s="26">
        <f t="shared" si="46"/>
        <v>1.0945382235333376E-2</v>
      </c>
      <c r="AG125" s="26">
        <f t="shared" si="47"/>
        <v>8.0376620472395986E-3</v>
      </c>
      <c r="AH125" s="26">
        <f t="shared" si="48"/>
        <v>-4.8745078822769128E-2</v>
      </c>
      <c r="AI125" s="26">
        <f t="shared" si="49"/>
        <v>3.4557233806191516E-2</v>
      </c>
      <c r="AJ125" s="26">
        <f t="shared" si="50"/>
        <v>-1.0229205971642284E-2</v>
      </c>
      <c r="AK125" s="26">
        <f t="shared" si="51"/>
        <v>5.4150310601434326E-2</v>
      </c>
      <c r="AL125" s="26">
        <f t="shared" si="52"/>
        <v>-5.1761674183984314E-2</v>
      </c>
      <c r="AM125" s="26">
        <f t="shared" si="53"/>
        <v>3.4557233806191516E-2</v>
      </c>
    </row>
    <row r="126" spans="1:39" x14ac:dyDescent="0.2">
      <c r="A126" s="5">
        <v>29159</v>
      </c>
      <c r="B126" s="14">
        <v>6.3532733696000001</v>
      </c>
      <c r="C126" s="14">
        <v>7.5335000000000001</v>
      </c>
      <c r="D126" s="1">
        <v>8.0499999999999989</v>
      </c>
      <c r="E126" s="1">
        <v>8.27</v>
      </c>
      <c r="F126" s="1">
        <v>8.49</v>
      </c>
      <c r="G126" s="1">
        <v>8.9</v>
      </c>
      <c r="H126" s="1">
        <v>92.350000000000009</v>
      </c>
      <c r="I126" s="1">
        <v>161.63999999999999</v>
      </c>
      <c r="J126" s="1">
        <v>14.86</v>
      </c>
      <c r="K126" s="1">
        <v>183.95999999999998</v>
      </c>
      <c r="L126" s="1">
        <v>249.14</v>
      </c>
      <c r="M126">
        <f t="shared" si="29"/>
        <v>323.27999999999997</v>
      </c>
      <c r="O126" s="8">
        <f t="shared" si="30"/>
        <v>-9.0993470982407842E-3</v>
      </c>
      <c r="P126" s="8">
        <f t="shared" si="31"/>
        <v>7.1505171434260717E-3</v>
      </c>
      <c r="Q126" s="8">
        <f t="shared" si="32"/>
        <v>4.9689440993789802E-3</v>
      </c>
      <c r="R126" s="8">
        <f t="shared" si="33"/>
        <v>9.6735187424425995E-3</v>
      </c>
      <c r="S126" s="8">
        <f t="shared" si="34"/>
        <v>9.4228504122497725E-3</v>
      </c>
      <c r="T126" s="8">
        <f t="shared" si="35"/>
        <v>6.741573033707704E-3</v>
      </c>
      <c r="U126" s="8">
        <f t="shared" si="36"/>
        <v>2.6962642122360547E-2</v>
      </c>
      <c r="V126" s="8">
        <f t="shared" si="37"/>
        <v>-9.2798812175204359E-3</v>
      </c>
      <c r="W126" s="8">
        <f t="shared" si="38"/>
        <v>0</v>
      </c>
      <c r="X126" s="8">
        <f t="shared" si="39"/>
        <v>-1.2230919765166326E-2</v>
      </c>
      <c r="Y126" s="8">
        <f t="shared" si="40"/>
        <v>-2.0510556313719119E-2</v>
      </c>
      <c r="Z126" s="8">
        <f t="shared" si="41"/>
        <v>-9.2798812175204359E-3</v>
      </c>
      <c r="AB126" s="26">
        <f t="shared" si="42"/>
        <v>-1.3620271590665837E-2</v>
      </c>
      <c r="AC126" s="26">
        <f t="shared" si="43"/>
        <v>4.6337471248494777E-3</v>
      </c>
      <c r="AD126" s="26">
        <f t="shared" si="44"/>
        <v>2.6767357759280362E-3</v>
      </c>
      <c r="AE126" s="26">
        <f t="shared" si="45"/>
        <v>7.4607594699332806E-3</v>
      </c>
      <c r="AF126" s="26">
        <f t="shared" si="46"/>
        <v>7.2417410008049996E-3</v>
      </c>
      <c r="AG126" s="26">
        <f t="shared" si="47"/>
        <v>4.5635710627860947E-3</v>
      </c>
      <c r="AH126" s="26">
        <f t="shared" si="48"/>
        <v>2.1619262077300142E-2</v>
      </c>
      <c r="AI126" s="26">
        <f t="shared" si="49"/>
        <v>-2.1681647346557816E-2</v>
      </c>
      <c r="AJ126" s="26">
        <f t="shared" si="50"/>
        <v>-1.0229205971642284E-2</v>
      </c>
      <c r="AK126" s="26">
        <f t="shared" si="51"/>
        <v>-1.0664004483294912E-2</v>
      </c>
      <c r="AL126" s="26">
        <f t="shared" si="52"/>
        <v>-1.6986321199963413E-2</v>
      </c>
      <c r="AM126" s="26">
        <f t="shared" si="53"/>
        <v>-2.1681647346557816E-2</v>
      </c>
    </row>
    <row r="127" spans="1:39" x14ac:dyDescent="0.2">
      <c r="A127" s="5">
        <v>29189</v>
      </c>
      <c r="B127" s="14">
        <v>6.2954627299999997</v>
      </c>
      <c r="C127" s="14">
        <v>7.5873684208999999</v>
      </c>
      <c r="D127" s="1">
        <v>8.09</v>
      </c>
      <c r="E127" s="1">
        <v>8.35</v>
      </c>
      <c r="F127" s="1">
        <v>8.57</v>
      </c>
      <c r="G127" s="1">
        <v>8.9599999999999991</v>
      </c>
      <c r="H127" s="1">
        <v>94.84</v>
      </c>
      <c r="I127" s="1">
        <v>160.13999999999999</v>
      </c>
      <c r="J127" s="1">
        <v>14.86</v>
      </c>
      <c r="K127" s="1">
        <v>181.70999999999998</v>
      </c>
      <c r="L127" s="1">
        <v>244.03</v>
      </c>
      <c r="M127">
        <f t="shared" si="29"/>
        <v>320.27999999999997</v>
      </c>
      <c r="O127" s="8">
        <f t="shared" si="30"/>
        <v>-6.559370799420261E-3</v>
      </c>
      <c r="P127" s="8">
        <f t="shared" si="31"/>
        <v>1.4217007573121609E-2</v>
      </c>
      <c r="Q127" s="8">
        <f t="shared" si="32"/>
        <v>1.3597033374536327E-2</v>
      </c>
      <c r="R127" s="8">
        <f t="shared" si="33"/>
        <v>7.1856287425149379E-3</v>
      </c>
      <c r="S127" s="8">
        <f t="shared" si="34"/>
        <v>1.166861143523823E-3</v>
      </c>
      <c r="T127" s="8">
        <f t="shared" si="35"/>
        <v>4.4642857142858094E-3</v>
      </c>
      <c r="U127" s="8">
        <f t="shared" si="36"/>
        <v>2.846900042176248E-3</v>
      </c>
      <c r="V127" s="8">
        <f t="shared" si="37"/>
        <v>3.1222680154864513E-2</v>
      </c>
      <c r="W127" s="8">
        <f t="shared" si="38"/>
        <v>0</v>
      </c>
      <c r="X127" s="8">
        <f t="shared" si="39"/>
        <v>5.5032744482967466E-2</v>
      </c>
      <c r="Y127" s="8">
        <f t="shared" si="40"/>
        <v>-1.6555341556366066E-2</v>
      </c>
      <c r="Z127" s="8">
        <f t="shared" si="41"/>
        <v>3.1222680154864513E-2</v>
      </c>
      <c r="AB127" s="26">
        <f t="shared" si="42"/>
        <v>-1.1080295291845314E-2</v>
      </c>
      <c r="AC127" s="26">
        <f t="shared" si="43"/>
        <v>1.1700237554545016E-2</v>
      </c>
      <c r="AD127" s="26">
        <f t="shared" si="44"/>
        <v>1.1304825051085383E-2</v>
      </c>
      <c r="AE127" s="26">
        <f t="shared" si="45"/>
        <v>4.972869470005619E-3</v>
      </c>
      <c r="AF127" s="26">
        <f t="shared" si="46"/>
        <v>-1.0142482679209503E-3</v>
      </c>
      <c r="AG127" s="26">
        <f t="shared" si="47"/>
        <v>2.2862837433642001E-3</v>
      </c>
      <c r="AH127" s="26">
        <f t="shared" si="48"/>
        <v>-2.496480002884157E-3</v>
      </c>
      <c r="AI127" s="26">
        <f t="shared" si="49"/>
        <v>1.8820914025827133E-2</v>
      </c>
      <c r="AJ127" s="26">
        <f t="shared" si="50"/>
        <v>-1.0229205971642284E-2</v>
      </c>
      <c r="AK127" s="26">
        <f t="shared" si="51"/>
        <v>5.6599659764838883E-2</v>
      </c>
      <c r="AL127" s="26">
        <f t="shared" si="52"/>
        <v>-1.3031106442610359E-2</v>
      </c>
      <c r="AM127" s="26">
        <f t="shared" si="53"/>
        <v>1.8820914025827133E-2</v>
      </c>
    </row>
    <row r="128" spans="1:39" x14ac:dyDescent="0.2">
      <c r="A128" s="5">
        <v>29220</v>
      </c>
      <c r="B128" s="14">
        <v>6.2541684555999995</v>
      </c>
      <c r="C128" s="14">
        <v>7.6952380951999997</v>
      </c>
      <c r="D128" s="1">
        <v>8.1999999999999993</v>
      </c>
      <c r="E128" s="1">
        <v>8.41</v>
      </c>
      <c r="F128" s="1">
        <v>8.58</v>
      </c>
      <c r="G128" s="1">
        <v>9</v>
      </c>
      <c r="H128" s="1">
        <v>95.11</v>
      </c>
      <c r="I128" s="1">
        <v>165.14</v>
      </c>
      <c r="J128" s="1">
        <v>14.86</v>
      </c>
      <c r="K128" s="1">
        <v>191.70999999999998</v>
      </c>
      <c r="L128" s="1">
        <v>239.98999999999998</v>
      </c>
      <c r="M128">
        <f t="shared" si="29"/>
        <v>330.28</v>
      </c>
      <c r="O128" s="8">
        <f t="shared" si="30"/>
        <v>6.2785466027606152E-2</v>
      </c>
      <c r="P128" s="8">
        <f t="shared" si="31"/>
        <v>3.5210396058961368E-2</v>
      </c>
      <c r="Q128" s="8">
        <f t="shared" si="32"/>
        <v>2.6829268292682951E-2</v>
      </c>
      <c r="R128" s="8">
        <f t="shared" si="33"/>
        <v>2.2592152199762072E-2</v>
      </c>
      <c r="S128" s="8">
        <f t="shared" si="34"/>
        <v>2.2144522144522005E-2</v>
      </c>
      <c r="T128" s="8">
        <f t="shared" si="35"/>
        <v>2.0000000000000018E-2</v>
      </c>
      <c r="U128" s="8">
        <f t="shared" si="36"/>
        <v>-6.1507727894017372E-2</v>
      </c>
      <c r="V128" s="8">
        <f t="shared" si="37"/>
        <v>6.5096281942594203E-2</v>
      </c>
      <c r="W128" s="8">
        <f t="shared" si="38"/>
        <v>0</v>
      </c>
      <c r="X128" s="8">
        <f t="shared" si="39"/>
        <v>1.5909446559908336E-2</v>
      </c>
      <c r="Y128" s="8">
        <f t="shared" si="40"/>
        <v>6.750281261719282E-3</v>
      </c>
      <c r="Z128" s="8">
        <f t="shared" si="41"/>
        <v>6.5096281942594203E-2</v>
      </c>
      <c r="AB128" s="26">
        <f t="shared" si="42"/>
        <v>5.8264541535181097E-2</v>
      </c>
      <c r="AC128" s="26">
        <f t="shared" si="43"/>
        <v>3.2693626040384775E-2</v>
      </c>
      <c r="AD128" s="26">
        <f t="shared" si="44"/>
        <v>2.4537059969232007E-2</v>
      </c>
      <c r="AE128" s="26">
        <f t="shared" si="45"/>
        <v>2.0379392927252753E-2</v>
      </c>
      <c r="AF128" s="26">
        <f t="shared" si="46"/>
        <v>1.9963412733077231E-2</v>
      </c>
      <c r="AG128" s="26">
        <f t="shared" si="47"/>
        <v>1.7821998029078408E-2</v>
      </c>
      <c r="AH128" s="26">
        <f t="shared" si="48"/>
        <v>-6.6851107939077781E-2</v>
      </c>
      <c r="AI128" s="26">
        <f t="shared" si="49"/>
        <v>5.2694515813556823E-2</v>
      </c>
      <c r="AJ128" s="26">
        <f t="shared" si="50"/>
        <v>-1.0229205971642284E-2</v>
      </c>
      <c r="AK128" s="26">
        <f t="shared" si="51"/>
        <v>1.7476361841779749E-2</v>
      </c>
      <c r="AL128" s="26">
        <f t="shared" si="52"/>
        <v>1.0274516375474989E-2</v>
      </c>
      <c r="AM128" s="26">
        <f t="shared" si="53"/>
        <v>5.2694515813556823E-2</v>
      </c>
    </row>
    <row r="129" spans="1:39" x14ac:dyDescent="0.2">
      <c r="A129" s="5">
        <v>29251</v>
      </c>
      <c r="B129" s="14">
        <v>6.6468393366999994</v>
      </c>
      <c r="C129" s="14">
        <v>7.9661904762999995</v>
      </c>
      <c r="D129" s="1">
        <v>8.42</v>
      </c>
      <c r="E129" s="1">
        <v>8.6</v>
      </c>
      <c r="F129" s="1">
        <v>8.77</v>
      </c>
      <c r="G129" s="1">
        <v>9.18</v>
      </c>
      <c r="H129" s="1">
        <v>89.26</v>
      </c>
      <c r="I129" s="1">
        <v>175.89</v>
      </c>
      <c r="J129" s="1">
        <v>14.86</v>
      </c>
      <c r="K129" s="1">
        <v>194.76</v>
      </c>
      <c r="L129" s="1">
        <v>241.60999999999999</v>
      </c>
      <c r="M129">
        <f t="shared" si="29"/>
        <v>351.78</v>
      </c>
      <c r="O129" s="8">
        <f t="shared" si="30"/>
        <v>7.9299019172873741E-4</v>
      </c>
      <c r="P129" s="8">
        <f t="shared" si="31"/>
        <v>9.6837826348121769E-3</v>
      </c>
      <c r="Q129" s="8">
        <f t="shared" si="32"/>
        <v>7.1258907363420665E-3</v>
      </c>
      <c r="R129" s="8">
        <f t="shared" si="33"/>
        <v>6.9767441860466572E-3</v>
      </c>
      <c r="S129" s="8">
        <f t="shared" si="34"/>
        <v>3.420752565564289E-3</v>
      </c>
      <c r="T129" s="8">
        <f t="shared" si="35"/>
        <v>3.2679738562091387E-3</v>
      </c>
      <c r="U129" s="8">
        <f t="shared" si="36"/>
        <v>-2.4759130629621207E-2</v>
      </c>
      <c r="V129" s="8">
        <f t="shared" si="37"/>
        <v>3.8376257888453003E-2</v>
      </c>
      <c r="W129" s="8">
        <f t="shared" si="38"/>
        <v>0</v>
      </c>
      <c r="X129" s="8">
        <f t="shared" si="39"/>
        <v>-3.3374409529677296E-3</v>
      </c>
      <c r="Y129" s="8">
        <f t="shared" si="40"/>
        <v>-1.4486155374363596E-2</v>
      </c>
      <c r="Z129" s="8">
        <f t="shared" si="41"/>
        <v>3.8376257888453003E-2</v>
      </c>
      <c r="AB129" s="26">
        <f t="shared" si="42"/>
        <v>-3.7279343006963155E-3</v>
      </c>
      <c r="AC129" s="26">
        <f t="shared" si="43"/>
        <v>7.1670126162355829E-3</v>
      </c>
      <c r="AD129" s="26">
        <f t="shared" si="44"/>
        <v>4.8336824128911229E-3</v>
      </c>
      <c r="AE129" s="26">
        <f t="shared" si="45"/>
        <v>4.7639849135373384E-3</v>
      </c>
      <c r="AF129" s="26">
        <f t="shared" si="46"/>
        <v>1.2396431541195157E-3</v>
      </c>
      <c r="AG129" s="26">
        <f t="shared" si="47"/>
        <v>1.0899718852875294E-3</v>
      </c>
      <c r="AH129" s="26">
        <f t="shared" si="48"/>
        <v>-3.0102510674681612E-2</v>
      </c>
      <c r="AI129" s="26">
        <f t="shared" si="49"/>
        <v>2.5974491759415623E-2</v>
      </c>
      <c r="AJ129" s="26">
        <f t="shared" si="50"/>
        <v>-1.0229205971642284E-2</v>
      </c>
      <c r="AK129" s="26">
        <f t="shared" si="51"/>
        <v>-1.770525671096315E-3</v>
      </c>
      <c r="AL129" s="26">
        <f t="shared" si="52"/>
        <v>-1.0961920260607889E-2</v>
      </c>
      <c r="AM129" s="26">
        <f t="shared" si="53"/>
        <v>2.5974491759415623E-2</v>
      </c>
    </row>
    <row r="130" spans="1:39" x14ac:dyDescent="0.2">
      <c r="A130" s="5">
        <v>29280</v>
      </c>
      <c r="B130" s="14">
        <v>6.6521102150999996</v>
      </c>
      <c r="C130" s="14">
        <v>8.0433333332999997</v>
      </c>
      <c r="D130" s="1">
        <v>8.48</v>
      </c>
      <c r="E130" s="1">
        <v>8.66</v>
      </c>
      <c r="F130" s="1">
        <v>8.7999999999999989</v>
      </c>
      <c r="G130" s="1">
        <v>9.2099999999999991</v>
      </c>
      <c r="H130" s="1">
        <v>87.050000000000011</v>
      </c>
      <c r="I130" s="1">
        <v>182.64</v>
      </c>
      <c r="J130" s="1">
        <v>14.86</v>
      </c>
      <c r="K130" s="1">
        <v>194.10999999999999</v>
      </c>
      <c r="L130" s="1">
        <v>238.10999999999999</v>
      </c>
      <c r="M130">
        <f t="shared" si="29"/>
        <v>365.28</v>
      </c>
      <c r="O130" s="8">
        <f t="shared" si="30"/>
        <v>-2.3908878184094928E-2</v>
      </c>
      <c r="P130" s="8">
        <f t="shared" si="31"/>
        <v>3.2023510567902314E-4</v>
      </c>
      <c r="Q130" s="8">
        <f t="shared" si="32"/>
        <v>0</v>
      </c>
      <c r="R130" s="8">
        <f t="shared" si="33"/>
        <v>1.1547344110853786E-3</v>
      </c>
      <c r="S130" s="8">
        <f t="shared" si="34"/>
        <v>4.5454545454546302E-3</v>
      </c>
      <c r="T130" s="8">
        <f t="shared" si="35"/>
        <v>2.1715526601522317E-3</v>
      </c>
      <c r="U130" s="8">
        <f t="shared" si="36"/>
        <v>2.4928202182653569E-2</v>
      </c>
      <c r="V130" s="8">
        <f t="shared" si="37"/>
        <v>5.475251861585706E-3</v>
      </c>
      <c r="W130" s="8">
        <f t="shared" si="38"/>
        <v>0</v>
      </c>
      <c r="X130" s="8">
        <f t="shared" si="39"/>
        <v>-4.0698572974086855E-2</v>
      </c>
      <c r="Y130" s="8">
        <f t="shared" si="40"/>
        <v>-3.4479862248540605E-2</v>
      </c>
      <c r="Z130" s="8">
        <f t="shared" si="41"/>
        <v>5.475251861585706E-3</v>
      </c>
      <c r="AB130" s="26">
        <f t="shared" si="42"/>
        <v>-2.8429802676519983E-2</v>
      </c>
      <c r="AC130" s="26">
        <f t="shared" si="43"/>
        <v>-2.1965349128975709E-3</v>
      </c>
      <c r="AD130" s="26">
        <f t="shared" si="44"/>
        <v>-2.292208323450944E-3</v>
      </c>
      <c r="AE130" s="26">
        <f t="shared" si="45"/>
        <v>-1.0580248614239398E-3</v>
      </c>
      <c r="AF130" s="26">
        <f t="shared" si="46"/>
        <v>2.3643451340098569E-3</v>
      </c>
      <c r="AG130" s="26">
        <f t="shared" si="47"/>
        <v>-6.4493107693776308E-6</v>
      </c>
      <c r="AH130" s="26">
        <f t="shared" si="48"/>
        <v>1.9584822137593164E-2</v>
      </c>
      <c r="AI130" s="26">
        <f t="shared" si="49"/>
        <v>-6.9265142674516736E-3</v>
      </c>
      <c r="AJ130" s="26">
        <f t="shared" si="50"/>
        <v>-1.0229205971642284E-2</v>
      </c>
      <c r="AK130" s="26">
        <f t="shared" si="51"/>
        <v>-3.9131657692215438E-2</v>
      </c>
      <c r="AL130" s="26">
        <f t="shared" si="52"/>
        <v>-3.0955627134784898E-2</v>
      </c>
      <c r="AM130" s="26">
        <f t="shared" si="53"/>
        <v>-6.9265142674516736E-3</v>
      </c>
    </row>
    <row r="131" spans="1:39" x14ac:dyDescent="0.2">
      <c r="A131" s="5">
        <v>29311</v>
      </c>
      <c r="B131" s="14">
        <v>6.4930657222999999</v>
      </c>
      <c r="C131" s="14">
        <v>8.0459090910000004</v>
      </c>
      <c r="D131" s="1">
        <v>8.48</v>
      </c>
      <c r="E131" s="1">
        <v>8.67</v>
      </c>
      <c r="F131" s="1">
        <v>8.84</v>
      </c>
      <c r="G131" s="1">
        <v>9.23</v>
      </c>
      <c r="H131" s="1">
        <v>89.22</v>
      </c>
      <c r="I131" s="1">
        <v>183.64</v>
      </c>
      <c r="J131" s="1">
        <v>14.86</v>
      </c>
      <c r="K131" s="1">
        <v>186.20999999999998</v>
      </c>
      <c r="L131" s="1">
        <v>229.89999999999998</v>
      </c>
      <c r="M131">
        <f t="shared" si="29"/>
        <v>367.28</v>
      </c>
      <c r="O131" s="8">
        <f t="shared" si="30"/>
        <v>-1.2289237228255701E-3</v>
      </c>
      <c r="P131" s="8">
        <f t="shared" si="31"/>
        <v>1.4677136873457064E-2</v>
      </c>
      <c r="Q131" s="8">
        <f t="shared" si="32"/>
        <v>1.0613207547169878E-2</v>
      </c>
      <c r="R131" s="8">
        <f t="shared" si="33"/>
        <v>8.073817762399127E-3</v>
      </c>
      <c r="S131" s="8">
        <f t="shared" si="34"/>
        <v>1.1312217194570096E-2</v>
      </c>
      <c r="T131" s="8">
        <f t="shared" si="35"/>
        <v>1.0834236186348933E-2</v>
      </c>
      <c r="U131" s="8">
        <f t="shared" si="36"/>
        <v>8.5406859448554195E-2</v>
      </c>
      <c r="V131" s="8">
        <f t="shared" si="37"/>
        <v>-7.0790677412328473E-2</v>
      </c>
      <c r="W131" s="8">
        <f t="shared" si="38"/>
        <v>0</v>
      </c>
      <c r="X131" s="8">
        <f t="shared" si="39"/>
        <v>-2.0944095376188021E-2</v>
      </c>
      <c r="Y131" s="8">
        <f t="shared" si="40"/>
        <v>-2.1400608960417511E-2</v>
      </c>
      <c r="Z131" s="8">
        <f t="shared" si="41"/>
        <v>-7.0790677412328473E-2</v>
      </c>
      <c r="AB131" s="26">
        <f t="shared" si="42"/>
        <v>-5.749848215250623E-3</v>
      </c>
      <c r="AC131" s="26">
        <f t="shared" si="43"/>
        <v>1.2160366854880471E-2</v>
      </c>
      <c r="AD131" s="26">
        <f t="shared" si="44"/>
        <v>8.3209992237189348E-3</v>
      </c>
      <c r="AE131" s="26">
        <f t="shared" si="45"/>
        <v>5.8610584898898081E-3</v>
      </c>
      <c r="AF131" s="26">
        <f t="shared" si="46"/>
        <v>9.1311077831253227E-3</v>
      </c>
      <c r="AG131" s="26">
        <f t="shared" si="47"/>
        <v>8.656234215427324E-3</v>
      </c>
      <c r="AH131" s="26">
        <f t="shared" si="48"/>
        <v>8.0063479403493787E-2</v>
      </c>
      <c r="AI131" s="26">
        <f t="shared" si="49"/>
        <v>-8.3192443541365846E-2</v>
      </c>
      <c r="AJ131" s="26">
        <f t="shared" si="50"/>
        <v>-1.0229205971642284E-2</v>
      </c>
      <c r="AK131" s="26">
        <f t="shared" si="51"/>
        <v>-1.9377180094316607E-2</v>
      </c>
      <c r="AL131" s="26">
        <f t="shared" si="52"/>
        <v>-1.7876373846661804E-2</v>
      </c>
      <c r="AM131" s="26">
        <f t="shared" si="53"/>
        <v>-8.3192443541365846E-2</v>
      </c>
    </row>
    <row r="132" spans="1:39" x14ac:dyDescent="0.2">
      <c r="A132" s="5">
        <v>29341</v>
      </c>
      <c r="B132" s="14">
        <v>6.4850862398000002</v>
      </c>
      <c r="C132" s="14">
        <v>8.1639999999999997</v>
      </c>
      <c r="D132" s="1">
        <v>8.57</v>
      </c>
      <c r="E132" s="1">
        <v>8.74</v>
      </c>
      <c r="F132" s="1">
        <v>8.94</v>
      </c>
      <c r="G132" s="1">
        <v>9.33</v>
      </c>
      <c r="H132" s="1">
        <v>96.84</v>
      </c>
      <c r="I132" s="1">
        <v>170.64</v>
      </c>
      <c r="J132" s="1">
        <v>14.86</v>
      </c>
      <c r="K132" s="1">
        <v>182.31</v>
      </c>
      <c r="L132" s="1">
        <v>224.98</v>
      </c>
      <c r="M132">
        <f t="shared" si="29"/>
        <v>341.28</v>
      </c>
      <c r="O132" s="8">
        <f t="shared" si="30"/>
        <v>1.9709489230160582E-2</v>
      </c>
      <c r="P132" s="8">
        <f t="shared" si="31"/>
        <v>2.3482886538461534E-2</v>
      </c>
      <c r="Q132" s="8">
        <f t="shared" si="32"/>
        <v>1.5169194865810809E-2</v>
      </c>
      <c r="R132" s="8">
        <f t="shared" si="33"/>
        <v>1.2585812356979309E-2</v>
      </c>
      <c r="S132" s="8">
        <f t="shared" si="34"/>
        <v>1.3422818791946511E-2</v>
      </c>
      <c r="T132" s="8">
        <f t="shared" si="35"/>
        <v>1.8220793140407254E-2</v>
      </c>
      <c r="U132" s="8">
        <f t="shared" si="36"/>
        <v>4.2337876910367722E-3</v>
      </c>
      <c r="V132" s="8">
        <f t="shared" si="37"/>
        <v>8.0578996718237317E-2</v>
      </c>
      <c r="W132" s="8">
        <f t="shared" si="38"/>
        <v>0</v>
      </c>
      <c r="X132" s="8">
        <f t="shared" si="39"/>
        <v>5.7594207668256736E-3</v>
      </c>
      <c r="Y132" s="8">
        <f t="shared" si="40"/>
        <v>-1.6134767534891958E-2</v>
      </c>
      <c r="Z132" s="8">
        <f t="shared" si="41"/>
        <v>8.0578996718237317E-2</v>
      </c>
      <c r="AB132" s="26">
        <f t="shared" si="42"/>
        <v>1.5188564737735529E-2</v>
      </c>
      <c r="AC132" s="26">
        <f t="shared" si="43"/>
        <v>2.0966116519884941E-2</v>
      </c>
      <c r="AD132" s="26">
        <f t="shared" si="44"/>
        <v>1.2876986542359865E-2</v>
      </c>
      <c r="AE132" s="26">
        <f t="shared" si="45"/>
        <v>1.037305308446999E-2</v>
      </c>
      <c r="AF132" s="26">
        <f t="shared" si="46"/>
        <v>1.1241709380501739E-2</v>
      </c>
      <c r="AG132" s="26">
        <f t="shared" si="47"/>
        <v>1.6042791169485645E-2</v>
      </c>
      <c r="AH132" s="26">
        <f t="shared" si="48"/>
        <v>-1.1095923540236328E-3</v>
      </c>
      <c r="AI132" s="26">
        <f t="shared" si="49"/>
        <v>6.8177230589199944E-2</v>
      </c>
      <c r="AJ132" s="26">
        <f t="shared" si="50"/>
        <v>-1.0229205971642284E-2</v>
      </c>
      <c r="AK132" s="26">
        <f t="shared" si="51"/>
        <v>7.3263360486970882E-3</v>
      </c>
      <c r="AL132" s="26">
        <f t="shared" si="52"/>
        <v>-1.2610532421136252E-2</v>
      </c>
      <c r="AM132" s="26">
        <f t="shared" si="53"/>
        <v>6.8177230589199944E-2</v>
      </c>
    </row>
    <row r="133" spans="1:39" x14ac:dyDescent="0.2">
      <c r="A133" s="5">
        <v>29372</v>
      </c>
      <c r="B133" s="14">
        <v>6.6129039772000002</v>
      </c>
      <c r="C133" s="14">
        <v>8.3557142856999995</v>
      </c>
      <c r="D133" s="1">
        <v>8.6999999999999993</v>
      </c>
      <c r="E133" s="1">
        <v>8.85</v>
      </c>
      <c r="F133" s="1">
        <v>9.06</v>
      </c>
      <c r="G133" s="1">
        <v>9.5</v>
      </c>
      <c r="H133" s="1">
        <v>97.25</v>
      </c>
      <c r="I133" s="1">
        <v>184.39</v>
      </c>
      <c r="J133" s="1">
        <v>14.86</v>
      </c>
      <c r="K133" s="1">
        <v>183.35999999999999</v>
      </c>
      <c r="L133" s="1">
        <v>221.35</v>
      </c>
      <c r="M133">
        <f t="shared" si="29"/>
        <v>368.78</v>
      </c>
      <c r="O133" s="8">
        <f t="shared" si="30"/>
        <v>5.1667711837042107E-2</v>
      </c>
      <c r="P133" s="8">
        <f t="shared" si="31"/>
        <v>1.3949548478396245E-2</v>
      </c>
      <c r="Q133" s="8">
        <f t="shared" si="32"/>
        <v>8.0459770114942319E-3</v>
      </c>
      <c r="R133" s="8">
        <f t="shared" si="33"/>
        <v>1.2429378531073398E-2</v>
      </c>
      <c r="S133" s="8">
        <f t="shared" si="34"/>
        <v>1.4348785871964642E-2</v>
      </c>
      <c r="T133" s="8">
        <f t="shared" si="35"/>
        <v>1.1578947368420911E-2</v>
      </c>
      <c r="U133" s="8">
        <f t="shared" si="36"/>
        <v>-1.7583547557840529E-2</v>
      </c>
      <c r="V133" s="8">
        <f t="shared" si="37"/>
        <v>-5.4232875969412175E-3</v>
      </c>
      <c r="W133" s="8">
        <f t="shared" si="38"/>
        <v>0</v>
      </c>
      <c r="X133" s="8">
        <f t="shared" si="39"/>
        <v>1.4997818499127291E-2</v>
      </c>
      <c r="Y133" s="8">
        <f t="shared" si="40"/>
        <v>-7.9647616896318052E-2</v>
      </c>
      <c r="Z133" s="8">
        <f t="shared" si="41"/>
        <v>-5.4232875969412175E-3</v>
      </c>
      <c r="AB133" s="26">
        <f t="shared" si="42"/>
        <v>4.7146787344617053E-2</v>
      </c>
      <c r="AC133" s="26">
        <f t="shared" si="43"/>
        <v>1.1432778459819652E-2</v>
      </c>
      <c r="AD133" s="26">
        <f t="shared" si="44"/>
        <v>5.7537686880432884E-3</v>
      </c>
      <c r="AE133" s="26">
        <f t="shared" si="45"/>
        <v>1.021661925856408E-2</v>
      </c>
      <c r="AF133" s="26">
        <f t="shared" si="46"/>
        <v>1.2167676460519869E-2</v>
      </c>
      <c r="AG133" s="26">
        <f t="shared" si="47"/>
        <v>9.4009453974993017E-3</v>
      </c>
      <c r="AH133" s="26">
        <f t="shared" si="48"/>
        <v>-2.2926927602900934E-2</v>
      </c>
      <c r="AI133" s="26">
        <f t="shared" si="49"/>
        <v>-1.7825053725978597E-2</v>
      </c>
      <c r="AJ133" s="26">
        <f t="shared" si="50"/>
        <v>-1.0229205971642284E-2</v>
      </c>
      <c r="AK133" s="26">
        <f t="shared" si="51"/>
        <v>1.6564733780998705E-2</v>
      </c>
      <c r="AL133" s="26">
        <f t="shared" si="52"/>
        <v>-7.6123381782562352E-2</v>
      </c>
      <c r="AM133" s="26">
        <f t="shared" si="53"/>
        <v>-1.7825053725978597E-2</v>
      </c>
    </row>
    <row r="134" spans="1:39" x14ac:dyDescent="0.2">
      <c r="A134" s="5">
        <v>29402</v>
      </c>
      <c r="B134" s="14">
        <v>6.9545775942999999</v>
      </c>
      <c r="C134" s="14">
        <v>8.4722727272</v>
      </c>
      <c r="D134" s="1">
        <v>8.77</v>
      </c>
      <c r="E134" s="1">
        <v>8.9599999999999991</v>
      </c>
      <c r="F134" s="1">
        <v>9.19</v>
      </c>
      <c r="G134" s="1">
        <v>9.61</v>
      </c>
      <c r="H134" s="1">
        <v>95.54</v>
      </c>
      <c r="I134" s="1">
        <v>183.39</v>
      </c>
      <c r="J134" s="1">
        <v>14.86</v>
      </c>
      <c r="K134" s="1">
        <v>186.10999999999999</v>
      </c>
      <c r="L134" s="1">
        <v>203.72</v>
      </c>
      <c r="M134">
        <f t="shared" si="29"/>
        <v>366.78</v>
      </c>
      <c r="O134" s="8">
        <f t="shared" si="30"/>
        <v>4.1266457668862389E-2</v>
      </c>
      <c r="P134" s="8">
        <f t="shared" si="31"/>
        <v>2.097752026199684E-2</v>
      </c>
      <c r="Q134" s="8">
        <f t="shared" si="32"/>
        <v>1.3683010262257822E-2</v>
      </c>
      <c r="R134" s="8">
        <f t="shared" si="33"/>
        <v>1.3392857142857206E-2</v>
      </c>
      <c r="S134" s="8">
        <f t="shared" si="34"/>
        <v>1.6322089227421177E-2</v>
      </c>
      <c r="T134" s="8">
        <f t="shared" si="35"/>
        <v>0</v>
      </c>
      <c r="U134" s="8">
        <f t="shared" si="36"/>
        <v>5.3904123927150938E-2</v>
      </c>
      <c r="V134" s="8">
        <f t="shared" si="37"/>
        <v>9.4061835432684537E-2</v>
      </c>
      <c r="W134" s="8">
        <f t="shared" si="38"/>
        <v>0</v>
      </c>
      <c r="X134" s="8">
        <f t="shared" si="39"/>
        <v>3.76121648487453E-2</v>
      </c>
      <c r="Y134" s="8">
        <f t="shared" si="40"/>
        <v>-7.1519732966817351E-2</v>
      </c>
      <c r="Z134" s="8">
        <f t="shared" si="41"/>
        <v>9.4061835432684537E-2</v>
      </c>
      <c r="AB134" s="26">
        <f t="shared" si="42"/>
        <v>3.6745533176437334E-2</v>
      </c>
      <c r="AC134" s="26">
        <f t="shared" si="43"/>
        <v>1.8460750243420247E-2</v>
      </c>
      <c r="AD134" s="26">
        <f t="shared" si="44"/>
        <v>1.1390801938806878E-2</v>
      </c>
      <c r="AE134" s="26">
        <f t="shared" si="45"/>
        <v>1.1180097870347887E-2</v>
      </c>
      <c r="AF134" s="26">
        <f t="shared" si="46"/>
        <v>1.4140979815976404E-2</v>
      </c>
      <c r="AG134" s="26">
        <f t="shared" si="47"/>
        <v>-2.1780019709216093E-3</v>
      </c>
      <c r="AH134" s="26">
        <f t="shared" si="48"/>
        <v>4.8560743882090529E-2</v>
      </c>
      <c r="AI134" s="26">
        <f t="shared" si="49"/>
        <v>8.1660069303647165E-2</v>
      </c>
      <c r="AJ134" s="26">
        <f t="shared" si="50"/>
        <v>-1.0229205971642284E-2</v>
      </c>
      <c r="AK134" s="26">
        <f t="shared" si="51"/>
        <v>3.9179080130616717E-2</v>
      </c>
      <c r="AL134" s="26">
        <f t="shared" si="52"/>
        <v>-6.7995497853061651E-2</v>
      </c>
      <c r="AM134" s="26">
        <f t="shared" si="53"/>
        <v>8.1660069303647165E-2</v>
      </c>
    </row>
    <row r="135" spans="1:39" x14ac:dyDescent="0.2">
      <c r="A135" s="5">
        <v>29433</v>
      </c>
      <c r="B135" s="14">
        <v>7.2415683762</v>
      </c>
      <c r="C135" s="14">
        <v>8.65</v>
      </c>
      <c r="D135" s="1">
        <v>8.89</v>
      </c>
      <c r="E135" s="1">
        <v>9.08</v>
      </c>
      <c r="F135" s="1">
        <v>9.34</v>
      </c>
      <c r="G135" s="1">
        <v>9.61</v>
      </c>
      <c r="H135" s="1">
        <v>100.69000000000001</v>
      </c>
      <c r="I135" s="1">
        <v>200.64</v>
      </c>
      <c r="J135" s="1">
        <v>14.86</v>
      </c>
      <c r="K135" s="1">
        <v>193.10999999999999</v>
      </c>
      <c r="L135" s="1">
        <v>189.14999999999998</v>
      </c>
      <c r="M135">
        <f t="shared" si="29"/>
        <v>401.28</v>
      </c>
      <c r="O135" s="8">
        <f t="shared" si="30"/>
        <v>1.0220660243056123E-2</v>
      </c>
      <c r="P135" s="8">
        <f t="shared" si="31"/>
        <v>-2.6489067606936367E-2</v>
      </c>
      <c r="Q135" s="8">
        <f t="shared" si="32"/>
        <v>-2.1372328458942769E-2</v>
      </c>
      <c r="R135" s="8">
        <f t="shared" si="33"/>
        <v>-1.2114537444933848E-2</v>
      </c>
      <c r="S135" s="8">
        <f t="shared" si="34"/>
        <v>-1.6059957173447548E-2</v>
      </c>
      <c r="T135" s="8">
        <f t="shared" si="35"/>
        <v>-1.2486992715920797E-2</v>
      </c>
      <c r="U135" s="8">
        <f t="shared" si="36"/>
        <v>2.5921144105670813E-2</v>
      </c>
      <c r="V135" s="8">
        <f t="shared" si="37"/>
        <v>3.7380382775119569E-2</v>
      </c>
      <c r="W135" s="8">
        <f t="shared" si="38"/>
        <v>0</v>
      </c>
      <c r="X135" s="8">
        <f t="shared" si="39"/>
        <v>6.2140748796024603E-3</v>
      </c>
      <c r="Y135" s="8">
        <f t="shared" si="40"/>
        <v>7.2429288924134028E-3</v>
      </c>
      <c r="Z135" s="8">
        <f t="shared" si="41"/>
        <v>3.7380382775119569E-2</v>
      </c>
      <c r="AB135" s="26">
        <f t="shared" si="42"/>
        <v>5.6997357506310704E-3</v>
      </c>
      <c r="AC135" s="26">
        <f t="shared" si="43"/>
        <v>-2.900583762551296E-2</v>
      </c>
      <c r="AD135" s="26">
        <f t="shared" si="44"/>
        <v>-2.3664536782393712E-2</v>
      </c>
      <c r="AE135" s="26">
        <f t="shared" si="45"/>
        <v>-1.4327296717443167E-2</v>
      </c>
      <c r="AF135" s="26">
        <f t="shared" si="46"/>
        <v>-1.8241066584892322E-2</v>
      </c>
      <c r="AG135" s="26">
        <f t="shared" si="47"/>
        <v>-1.4664994686842407E-2</v>
      </c>
      <c r="AH135" s="26">
        <f t="shared" si="48"/>
        <v>2.0577764060610407E-2</v>
      </c>
      <c r="AI135" s="26">
        <f t="shared" si="49"/>
        <v>2.497861664608219E-2</v>
      </c>
      <c r="AJ135" s="26">
        <f t="shared" si="50"/>
        <v>-1.0229205971642284E-2</v>
      </c>
      <c r="AK135" s="26">
        <f t="shared" si="51"/>
        <v>7.7809901614738749E-3</v>
      </c>
      <c r="AL135" s="26">
        <f t="shared" si="52"/>
        <v>1.076716400616911E-2</v>
      </c>
      <c r="AM135" s="26">
        <f t="shared" si="53"/>
        <v>2.497861664608219E-2</v>
      </c>
    </row>
    <row r="136" spans="1:39" x14ac:dyDescent="0.2">
      <c r="A136" s="5">
        <v>29464</v>
      </c>
      <c r="B136" s="14">
        <v>7.3155819861999998</v>
      </c>
      <c r="C136" s="14">
        <v>8.4208695652000003</v>
      </c>
      <c r="D136" s="1">
        <v>8.6999999999999993</v>
      </c>
      <c r="E136" s="1">
        <v>8.9700000000000006</v>
      </c>
      <c r="F136" s="1">
        <v>9.19</v>
      </c>
      <c r="G136" s="1">
        <v>9.49</v>
      </c>
      <c r="H136" s="1">
        <v>103.30000000000001</v>
      </c>
      <c r="I136" s="1">
        <v>208.14</v>
      </c>
      <c r="J136" s="1">
        <v>14.86</v>
      </c>
      <c r="K136" s="1">
        <v>194.31</v>
      </c>
      <c r="L136" s="1">
        <v>190.51999999999998</v>
      </c>
      <c r="M136">
        <f t="shared" ref="M136:M199" si="54">2*I136</f>
        <v>416.28</v>
      </c>
      <c r="O136" s="8">
        <f t="shared" ref="O136:O199" si="55">+B137/B136-1</f>
        <v>0.11039126497705842</v>
      </c>
      <c r="P136" s="8">
        <f t="shared" ref="P136:P199" si="56">+C137/C136-1</f>
        <v>6.6862866790695641E-4</v>
      </c>
      <c r="Q136" s="8">
        <f t="shared" ref="Q136:Q199" si="57">+D137/D136-1</f>
        <v>0</v>
      </c>
      <c r="R136" s="8">
        <f t="shared" ref="R136:R199" si="58">+E137/E136-1</f>
        <v>-4.4593088071349651E-3</v>
      </c>
      <c r="S136" s="8">
        <f t="shared" ref="S136:S199" si="59">+F137/F136-1</f>
        <v>-7.6169749727965641E-3</v>
      </c>
      <c r="T136" s="8">
        <f t="shared" ref="T136:T199" si="60">+G137/G136-1</f>
        <v>-6.322444678609096E-3</v>
      </c>
      <c r="U136" s="8">
        <f t="shared" ref="U136:U199" si="61">+H137/H136-1</f>
        <v>-7.2604065827686082E-3</v>
      </c>
      <c r="V136" s="8">
        <f t="shared" ref="V136:V199" si="62">+I137/I136-1</f>
        <v>4.4441241472086057E-2</v>
      </c>
      <c r="W136" s="8">
        <f t="shared" ref="W136:W199" si="63">+J137/J136-1</f>
        <v>0</v>
      </c>
      <c r="X136" s="8">
        <f t="shared" ref="X136:X199" si="64">+K137/K136-1</f>
        <v>1.6468529669085408E-2</v>
      </c>
      <c r="Y136" s="8">
        <f t="shared" ref="Y136:Y199" si="65">+L137/L136-1</f>
        <v>-6.9284064665127154E-3</v>
      </c>
      <c r="Z136" s="8">
        <f t="shared" ref="Z136:Z199" si="66">+M137/M136-1</f>
        <v>4.4441241472086057E-2</v>
      </c>
      <c r="AB136" s="26">
        <f t="shared" ref="AB136:AB199" si="67">O136-$O$258</f>
        <v>0.10587034048463337</v>
      </c>
      <c r="AC136" s="26">
        <f t="shared" ref="AC136:AC199" si="68">P136-$P$258</f>
        <v>-1.8481413506696376E-3</v>
      </c>
      <c r="AD136" s="26">
        <f t="shared" ref="AD136:AD199" si="69">Q136-$Q$258</f>
        <v>-2.292208323450944E-3</v>
      </c>
      <c r="AE136" s="26">
        <f t="shared" ref="AE136:AE199" si="70">R136-$R$258</f>
        <v>-6.672068079644284E-3</v>
      </c>
      <c r="AF136" s="26">
        <f t="shared" ref="AF136:AF199" si="71">S136-$S$258</f>
        <v>-9.798084384241337E-3</v>
      </c>
      <c r="AG136" s="26">
        <f t="shared" ref="AG136:AG199" si="72">T136-$T$258</f>
        <v>-8.5004466495307053E-3</v>
      </c>
      <c r="AH136" s="26">
        <f t="shared" ref="AH136:AH199" si="73">U136-$U$258</f>
        <v>-1.2603786627829013E-2</v>
      </c>
      <c r="AI136" s="26">
        <f t="shared" ref="AI136:AI199" si="74">V136-$V$258</f>
        <v>3.2039475343048678E-2</v>
      </c>
      <c r="AJ136" s="26">
        <f t="shared" ref="AJ136:AJ199" si="75">W136-$W$258</f>
        <v>-1.0229205971642284E-2</v>
      </c>
      <c r="AK136" s="26">
        <f t="shared" ref="AK136:AK199" si="76">X136-$X$258</f>
        <v>1.8035444950956821E-2</v>
      </c>
      <c r="AL136" s="26">
        <f t="shared" ref="AL136:AL199" si="77">Y136-$Y$258</f>
        <v>-3.404171352757009E-3</v>
      </c>
      <c r="AM136" s="26">
        <f t="shared" ref="AM136:AM199" si="78">Z136-$Z$258</f>
        <v>3.2039475343048678E-2</v>
      </c>
    </row>
    <row r="137" spans="1:39" x14ac:dyDescent="0.2">
      <c r="A137" s="5">
        <v>29494</v>
      </c>
      <c r="B137" s="14">
        <v>8.1231583356999995</v>
      </c>
      <c r="C137" s="14">
        <v>8.426499999999999</v>
      </c>
      <c r="D137" s="1">
        <v>8.6999999999999993</v>
      </c>
      <c r="E137" s="1">
        <v>8.93</v>
      </c>
      <c r="F137" s="1">
        <v>9.1199999999999992</v>
      </c>
      <c r="G137" s="1">
        <v>9.43</v>
      </c>
      <c r="H137" s="1">
        <v>102.55000000000001</v>
      </c>
      <c r="I137" s="1">
        <v>217.39</v>
      </c>
      <c r="J137" s="1">
        <v>14.86</v>
      </c>
      <c r="K137" s="1">
        <v>197.51</v>
      </c>
      <c r="L137" s="1">
        <v>189.2</v>
      </c>
      <c r="M137">
        <f t="shared" si="54"/>
        <v>434.78</v>
      </c>
      <c r="O137" s="8">
        <f t="shared" si="55"/>
        <v>1.8977988194873285E-2</v>
      </c>
      <c r="P137" s="8">
        <f t="shared" si="56"/>
        <v>2.680602295140333E-2</v>
      </c>
      <c r="Q137" s="8">
        <f t="shared" si="57"/>
        <v>2.2988505747126631E-2</v>
      </c>
      <c r="R137" s="8">
        <f t="shared" si="58"/>
        <v>1.6797312430011146E-2</v>
      </c>
      <c r="S137" s="8">
        <f t="shared" si="59"/>
        <v>1.6447368421052655E-2</v>
      </c>
      <c r="T137" s="8">
        <f t="shared" si="60"/>
        <v>1.8027571580063517E-2</v>
      </c>
      <c r="U137" s="8">
        <f t="shared" si="61"/>
        <v>-9.1565090199902444E-2</v>
      </c>
      <c r="V137" s="8">
        <f t="shared" si="62"/>
        <v>0.10925065550393298</v>
      </c>
      <c r="W137" s="8">
        <f t="shared" si="63"/>
        <v>0</v>
      </c>
      <c r="X137" s="8">
        <f t="shared" si="64"/>
        <v>2.7340387828464374E-2</v>
      </c>
      <c r="Y137" s="8">
        <f t="shared" si="65"/>
        <v>-5.1215644820295947E-2</v>
      </c>
      <c r="Z137" s="8">
        <f t="shared" si="66"/>
        <v>0.10925065550393298</v>
      </c>
      <c r="AB137" s="26">
        <f t="shared" si="67"/>
        <v>1.4457063702448232E-2</v>
      </c>
      <c r="AC137" s="26">
        <f t="shared" si="68"/>
        <v>2.4289252932826737E-2</v>
      </c>
      <c r="AD137" s="26">
        <f t="shared" si="69"/>
        <v>2.0696297423675687E-2</v>
      </c>
      <c r="AE137" s="26">
        <f t="shared" si="70"/>
        <v>1.4584553157501828E-2</v>
      </c>
      <c r="AF137" s="26">
        <f t="shared" si="71"/>
        <v>1.4266259009607882E-2</v>
      </c>
      <c r="AG137" s="26">
        <f t="shared" si="72"/>
        <v>1.5849569609141908E-2</v>
      </c>
      <c r="AH137" s="26">
        <f t="shared" si="73"/>
        <v>-9.6908470244962852E-2</v>
      </c>
      <c r="AI137" s="26">
        <f t="shared" si="74"/>
        <v>9.6848889374895608E-2</v>
      </c>
      <c r="AJ137" s="26">
        <f t="shared" si="75"/>
        <v>-1.0229205971642284E-2</v>
      </c>
      <c r="AK137" s="26">
        <f t="shared" si="76"/>
        <v>2.8907303110335788E-2</v>
      </c>
      <c r="AL137" s="26">
        <f t="shared" si="77"/>
        <v>-4.769140970654024E-2</v>
      </c>
      <c r="AM137" s="26">
        <f t="shared" si="78"/>
        <v>9.6848889374895608E-2</v>
      </c>
    </row>
    <row r="138" spans="1:39" x14ac:dyDescent="0.2">
      <c r="A138" s="5">
        <v>29525</v>
      </c>
      <c r="B138" s="14">
        <v>8.2773195387000005</v>
      </c>
      <c r="C138" s="14">
        <v>8.6523809523999997</v>
      </c>
      <c r="D138" s="1">
        <v>8.9</v>
      </c>
      <c r="E138" s="1">
        <v>9.08</v>
      </c>
      <c r="F138" s="1">
        <v>9.27</v>
      </c>
      <c r="G138" s="1">
        <v>9.6</v>
      </c>
      <c r="H138" s="1">
        <v>93.160000000000011</v>
      </c>
      <c r="I138" s="1">
        <v>241.14</v>
      </c>
      <c r="J138" s="1">
        <v>14.86</v>
      </c>
      <c r="K138" s="1">
        <v>202.91</v>
      </c>
      <c r="L138" s="1">
        <v>179.51</v>
      </c>
      <c r="M138">
        <f t="shared" si="54"/>
        <v>482.28</v>
      </c>
      <c r="O138" s="8">
        <f t="shared" si="55"/>
        <v>8.3374280317850991E-2</v>
      </c>
      <c r="P138" s="8">
        <f t="shared" si="56"/>
        <v>1.8794716563524938E-2</v>
      </c>
      <c r="Q138" s="8">
        <f t="shared" si="57"/>
        <v>1.5730337078651457E-2</v>
      </c>
      <c r="R138" s="8">
        <f t="shared" si="58"/>
        <v>1.8722466960352513E-2</v>
      </c>
      <c r="S138" s="8">
        <f t="shared" si="59"/>
        <v>2.373247033441217E-2</v>
      </c>
      <c r="T138" s="8">
        <f t="shared" si="60"/>
        <v>2.5000000000000133E-2</v>
      </c>
      <c r="U138" s="8">
        <f t="shared" si="61"/>
        <v>1.6638042078145121E-2</v>
      </c>
      <c r="V138" s="8">
        <f t="shared" si="62"/>
        <v>-0.19801774902546243</v>
      </c>
      <c r="W138" s="8">
        <f t="shared" si="63"/>
        <v>0</v>
      </c>
      <c r="X138" s="8">
        <f t="shared" si="64"/>
        <v>-4.1890493322162548E-2</v>
      </c>
      <c r="Y138" s="8">
        <f t="shared" si="65"/>
        <v>0.10918611776502707</v>
      </c>
      <c r="Z138" s="8">
        <f t="shared" si="66"/>
        <v>-0.19801774902546243</v>
      </c>
      <c r="AB138" s="26">
        <f t="shared" si="67"/>
        <v>7.8853355825425936E-2</v>
      </c>
      <c r="AC138" s="26">
        <f t="shared" si="68"/>
        <v>1.6277946544948345E-2</v>
      </c>
      <c r="AD138" s="26">
        <f t="shared" si="69"/>
        <v>1.3438128755200514E-2</v>
      </c>
      <c r="AE138" s="26">
        <f t="shared" si="70"/>
        <v>1.6509707687843194E-2</v>
      </c>
      <c r="AF138" s="26">
        <f t="shared" si="71"/>
        <v>2.1551360922967396E-2</v>
      </c>
      <c r="AG138" s="26">
        <f t="shared" si="72"/>
        <v>2.2821998029078524E-2</v>
      </c>
      <c r="AH138" s="26">
        <f t="shared" si="73"/>
        <v>1.1294662033084716E-2</v>
      </c>
      <c r="AI138" s="26">
        <f t="shared" si="74"/>
        <v>-0.2104195151544998</v>
      </c>
      <c r="AJ138" s="26">
        <f t="shared" si="75"/>
        <v>-1.0229205971642284E-2</v>
      </c>
      <c r="AK138" s="26">
        <f t="shared" si="76"/>
        <v>-4.032357804029113E-2</v>
      </c>
      <c r="AL138" s="26">
        <f t="shared" si="77"/>
        <v>0.11271035287878277</v>
      </c>
      <c r="AM138" s="26">
        <f t="shared" si="78"/>
        <v>-0.2104195151544998</v>
      </c>
    </row>
    <row r="139" spans="1:39" x14ac:dyDescent="0.2">
      <c r="A139" s="5">
        <v>29555</v>
      </c>
      <c r="B139" s="14">
        <v>8.9674350981999993</v>
      </c>
      <c r="C139" s="14">
        <v>8.8149999999999995</v>
      </c>
      <c r="D139" s="1">
        <v>9.0399999999999991</v>
      </c>
      <c r="E139" s="1">
        <v>9.25</v>
      </c>
      <c r="F139" s="1">
        <v>9.49</v>
      </c>
      <c r="G139" s="1">
        <v>9.84</v>
      </c>
      <c r="H139" s="1">
        <v>94.710000000000008</v>
      </c>
      <c r="I139" s="1">
        <v>193.39</v>
      </c>
      <c r="J139" s="1">
        <v>14.86</v>
      </c>
      <c r="K139" s="1">
        <v>194.41</v>
      </c>
      <c r="L139" s="1">
        <v>199.10999999999999</v>
      </c>
      <c r="M139">
        <f t="shared" si="54"/>
        <v>386.78</v>
      </c>
      <c r="O139" s="8">
        <f t="shared" si="55"/>
        <v>5.1172141573916807E-2</v>
      </c>
      <c r="P139" s="8">
        <f t="shared" si="56"/>
        <v>2.2858763471355736E-2</v>
      </c>
      <c r="Q139" s="8">
        <f t="shared" si="57"/>
        <v>1.4380530973451489E-2</v>
      </c>
      <c r="R139" s="8">
        <f t="shared" si="58"/>
        <v>9.7297297297296303E-3</v>
      </c>
      <c r="S139" s="8">
        <f t="shared" si="59"/>
        <v>5.2687038988408208E-3</v>
      </c>
      <c r="T139" s="8">
        <f t="shared" si="60"/>
        <v>1.1178861788617933E-2</v>
      </c>
      <c r="U139" s="8">
        <f t="shared" si="61"/>
        <v>1.4887551472917204E-2</v>
      </c>
      <c r="V139" s="8">
        <f t="shared" si="62"/>
        <v>0.17063964010548638</v>
      </c>
      <c r="W139" s="8">
        <f t="shared" si="63"/>
        <v>0</v>
      </c>
      <c r="X139" s="8">
        <f t="shared" si="64"/>
        <v>5.0151741165577857E-2</v>
      </c>
      <c r="Y139" s="8">
        <f t="shared" si="65"/>
        <v>-2.4107277384360359E-2</v>
      </c>
      <c r="Z139" s="8">
        <f t="shared" si="66"/>
        <v>0.17063964010548638</v>
      </c>
      <c r="AB139" s="26">
        <f t="shared" si="67"/>
        <v>4.6651217081491753E-2</v>
      </c>
      <c r="AC139" s="26">
        <f t="shared" si="68"/>
        <v>2.0341993452779143E-2</v>
      </c>
      <c r="AD139" s="26">
        <f t="shared" si="69"/>
        <v>1.2088322650000545E-2</v>
      </c>
      <c r="AE139" s="26">
        <f t="shared" si="70"/>
        <v>7.5169704572203115E-3</v>
      </c>
      <c r="AF139" s="26">
        <f t="shared" si="71"/>
        <v>3.0875944873960475E-3</v>
      </c>
      <c r="AG139" s="26">
        <f t="shared" si="72"/>
        <v>9.0008598176963238E-3</v>
      </c>
      <c r="AH139" s="26">
        <f t="shared" si="73"/>
        <v>9.5441714278567992E-3</v>
      </c>
      <c r="AI139" s="26">
        <f t="shared" si="74"/>
        <v>0.15823787397644901</v>
      </c>
      <c r="AJ139" s="26">
        <f t="shared" si="75"/>
        <v>-1.0229205971642284E-2</v>
      </c>
      <c r="AK139" s="26">
        <f t="shared" si="76"/>
        <v>5.1718656447449274E-2</v>
      </c>
      <c r="AL139" s="26">
        <f t="shared" si="77"/>
        <v>-2.0583042270604653E-2</v>
      </c>
      <c r="AM139" s="26">
        <f t="shared" si="78"/>
        <v>0.15823787397644901</v>
      </c>
    </row>
    <row r="140" spans="1:39" x14ac:dyDescent="0.2">
      <c r="A140" s="5">
        <v>29586</v>
      </c>
      <c r="B140" s="14">
        <v>9.4263179566000002</v>
      </c>
      <c r="C140" s="14">
        <v>9.0165000000000006</v>
      </c>
      <c r="D140" s="1">
        <v>9.17</v>
      </c>
      <c r="E140" s="1">
        <v>9.34</v>
      </c>
      <c r="F140" s="1">
        <v>9.5399999999999991</v>
      </c>
      <c r="G140" s="1">
        <v>9.9499999999999993</v>
      </c>
      <c r="H140" s="1">
        <v>96.12</v>
      </c>
      <c r="I140" s="1">
        <v>226.39</v>
      </c>
      <c r="J140" s="1">
        <v>14.86</v>
      </c>
      <c r="K140" s="1">
        <v>204.16</v>
      </c>
      <c r="L140" s="1">
        <v>194.31</v>
      </c>
      <c r="M140">
        <f t="shared" si="54"/>
        <v>452.78</v>
      </c>
      <c r="O140" s="8">
        <f t="shared" si="55"/>
        <v>3.0761220047428539E-2</v>
      </c>
      <c r="P140" s="8">
        <f t="shared" si="56"/>
        <v>1.0319464825597313E-2</v>
      </c>
      <c r="Q140" s="8">
        <f t="shared" si="57"/>
        <v>9.8146128680478562E-3</v>
      </c>
      <c r="R140" s="8">
        <f t="shared" si="58"/>
        <v>1.6059957173447659E-2</v>
      </c>
      <c r="S140" s="8">
        <f t="shared" si="59"/>
        <v>1.9916142557652172E-2</v>
      </c>
      <c r="T140" s="8">
        <f t="shared" si="60"/>
        <v>1.9095477386934734E-2</v>
      </c>
      <c r="U140" s="8">
        <f t="shared" si="61"/>
        <v>3.9741989180191561E-2</v>
      </c>
      <c r="V140" s="8">
        <f t="shared" si="62"/>
        <v>3.312867176112011E-2</v>
      </c>
      <c r="W140" s="8">
        <f t="shared" si="63"/>
        <v>0</v>
      </c>
      <c r="X140" s="8">
        <f t="shared" si="64"/>
        <v>-2.5421238244514144E-2</v>
      </c>
      <c r="Y140" s="8">
        <f t="shared" si="65"/>
        <v>4.0656682620554774E-2</v>
      </c>
      <c r="Z140" s="8">
        <f t="shared" si="66"/>
        <v>3.312867176112011E-2</v>
      </c>
      <c r="AB140" s="26">
        <f t="shared" si="67"/>
        <v>2.6240295555003484E-2</v>
      </c>
      <c r="AC140" s="26">
        <f t="shared" si="68"/>
        <v>7.8026948070207191E-3</v>
      </c>
      <c r="AD140" s="26">
        <f t="shared" si="69"/>
        <v>7.5224045445969126E-3</v>
      </c>
      <c r="AE140" s="26">
        <f t="shared" si="70"/>
        <v>1.384719790093834E-2</v>
      </c>
      <c r="AF140" s="26">
        <f t="shared" si="71"/>
        <v>1.7735033146207398E-2</v>
      </c>
      <c r="AG140" s="26">
        <f t="shared" si="72"/>
        <v>1.6917475416013125E-2</v>
      </c>
      <c r="AH140" s="26">
        <f t="shared" si="73"/>
        <v>3.4398609135131153E-2</v>
      </c>
      <c r="AI140" s="26">
        <f t="shared" si="74"/>
        <v>2.072690563208273E-2</v>
      </c>
      <c r="AJ140" s="26">
        <f t="shared" si="75"/>
        <v>-1.0229205971642284E-2</v>
      </c>
      <c r="AK140" s="26">
        <f t="shared" si="76"/>
        <v>-2.385432296264273E-2</v>
      </c>
      <c r="AL140" s="26">
        <f t="shared" si="77"/>
        <v>4.4180917734310481E-2</v>
      </c>
      <c r="AM140" s="26">
        <f t="shared" si="78"/>
        <v>2.072690563208273E-2</v>
      </c>
    </row>
    <row r="141" spans="1:39" x14ac:dyDescent="0.2">
      <c r="A141" s="5">
        <v>29617</v>
      </c>
      <c r="B141" s="14">
        <v>9.7162829975000005</v>
      </c>
      <c r="C141" s="14">
        <v>9.1095454545999992</v>
      </c>
      <c r="D141" s="1">
        <v>9.26</v>
      </c>
      <c r="E141" s="1">
        <v>9.49</v>
      </c>
      <c r="F141" s="1">
        <v>9.73</v>
      </c>
      <c r="G141" s="1">
        <v>10.14</v>
      </c>
      <c r="H141" s="1">
        <v>99.940000000000012</v>
      </c>
      <c r="I141" s="1">
        <v>233.89</v>
      </c>
      <c r="J141" s="1">
        <v>14.86</v>
      </c>
      <c r="K141" s="1">
        <v>198.97</v>
      </c>
      <c r="L141" s="1">
        <v>202.20999999999998</v>
      </c>
      <c r="M141">
        <f t="shared" si="54"/>
        <v>467.78</v>
      </c>
      <c r="O141" s="8">
        <f t="shared" si="55"/>
        <v>-2.8053192261910942E-3</v>
      </c>
      <c r="P141" s="8">
        <f t="shared" si="56"/>
        <v>-1.330605688331099E-4</v>
      </c>
      <c r="Q141" s="8">
        <f t="shared" si="57"/>
        <v>1.0799136069115089E-3</v>
      </c>
      <c r="R141" s="8">
        <f t="shared" si="58"/>
        <v>2.1074815595363283E-3</v>
      </c>
      <c r="S141" s="8">
        <f t="shared" si="59"/>
        <v>-4.1109969167524296E-3</v>
      </c>
      <c r="T141" s="8">
        <f t="shared" si="60"/>
        <v>-4.9309664694280331E-3</v>
      </c>
      <c r="U141" s="8">
        <f t="shared" si="61"/>
        <v>-3.6521913147888774E-2</v>
      </c>
      <c r="V141" s="8">
        <f t="shared" si="62"/>
        <v>7.5890375817692091E-2</v>
      </c>
      <c r="W141" s="8">
        <f t="shared" si="63"/>
        <v>6.7294751009421283E-2</v>
      </c>
      <c r="X141" s="8">
        <f t="shared" si="64"/>
        <v>1.6987485550585602E-2</v>
      </c>
      <c r="Y141" s="8">
        <f t="shared" si="65"/>
        <v>2.2254092280302729E-3</v>
      </c>
      <c r="Z141" s="8">
        <f t="shared" si="66"/>
        <v>7.5890375817692091E-2</v>
      </c>
      <c r="AB141" s="26">
        <f t="shared" si="67"/>
        <v>-7.3262437186161471E-3</v>
      </c>
      <c r="AC141" s="26">
        <f t="shared" si="68"/>
        <v>-2.6498305874097039E-3</v>
      </c>
      <c r="AD141" s="26">
        <f t="shared" si="69"/>
        <v>-1.212294716539435E-3</v>
      </c>
      <c r="AE141" s="26">
        <f t="shared" si="70"/>
        <v>-1.0527771297299008E-4</v>
      </c>
      <c r="AF141" s="26">
        <f t="shared" si="71"/>
        <v>-6.2921063281972025E-3</v>
      </c>
      <c r="AG141" s="26">
        <f t="shared" si="72"/>
        <v>-7.1089684403496424E-3</v>
      </c>
      <c r="AH141" s="26">
        <f t="shared" si="73"/>
        <v>-4.1865293192949182E-2</v>
      </c>
      <c r="AI141" s="26">
        <f t="shared" si="74"/>
        <v>6.3488609688654718E-2</v>
      </c>
      <c r="AJ141" s="26">
        <f t="shared" si="75"/>
        <v>5.7065545037778997E-2</v>
      </c>
      <c r="AK141" s="26">
        <f t="shared" si="76"/>
        <v>1.8554400832457015E-2</v>
      </c>
      <c r="AL141" s="26">
        <f t="shared" si="77"/>
        <v>5.7496443417859797E-3</v>
      </c>
      <c r="AM141" s="26">
        <f t="shared" si="78"/>
        <v>6.3488609688654718E-2</v>
      </c>
    </row>
    <row r="142" spans="1:39" x14ac:dyDescent="0.2">
      <c r="A142" s="5">
        <v>29645</v>
      </c>
      <c r="B142" s="14">
        <v>9.6890257220000002</v>
      </c>
      <c r="C142" s="14">
        <v>9.1083333332999992</v>
      </c>
      <c r="D142" s="1">
        <v>9.27</v>
      </c>
      <c r="E142" s="1">
        <v>9.51</v>
      </c>
      <c r="F142" s="1">
        <v>9.69</v>
      </c>
      <c r="G142" s="1">
        <v>10.09</v>
      </c>
      <c r="H142" s="1">
        <v>96.29</v>
      </c>
      <c r="I142" s="1">
        <v>251.64</v>
      </c>
      <c r="J142" s="1">
        <v>15.86</v>
      </c>
      <c r="K142" s="1">
        <v>202.35</v>
      </c>
      <c r="L142" s="1">
        <v>202.66</v>
      </c>
      <c r="M142">
        <f t="shared" si="54"/>
        <v>503.28</v>
      </c>
      <c r="O142" s="8">
        <f t="shared" si="55"/>
        <v>1.6930703706103722E-2</v>
      </c>
      <c r="P142" s="8">
        <f t="shared" si="56"/>
        <v>2.0793479121758995E-3</v>
      </c>
      <c r="Q142" s="8">
        <f t="shared" si="57"/>
        <v>1.1866235167206085E-2</v>
      </c>
      <c r="R142" s="8">
        <f t="shared" si="58"/>
        <v>1.1566771819137678E-2</v>
      </c>
      <c r="S142" s="8">
        <f t="shared" si="59"/>
        <v>1.3415892672858698E-2</v>
      </c>
      <c r="T142" s="8">
        <f t="shared" si="60"/>
        <v>1.7839444995044529E-2</v>
      </c>
      <c r="U142" s="8">
        <f t="shared" si="61"/>
        <v>5.4211236888565884E-2</v>
      </c>
      <c r="V142" s="8">
        <f t="shared" si="62"/>
        <v>-5.1661103163249122E-2</v>
      </c>
      <c r="W142" s="8">
        <f t="shared" si="63"/>
        <v>0</v>
      </c>
      <c r="X142" s="8">
        <f t="shared" si="64"/>
        <v>1.9322955275512754E-2</v>
      </c>
      <c r="Y142" s="8">
        <f t="shared" si="65"/>
        <v>3.4195203789598283E-2</v>
      </c>
      <c r="Z142" s="8">
        <f t="shared" si="66"/>
        <v>-5.1661103163249122E-2</v>
      </c>
      <c r="AB142" s="26">
        <f t="shared" si="67"/>
        <v>1.2409779213678669E-2</v>
      </c>
      <c r="AC142" s="26">
        <f t="shared" si="68"/>
        <v>-4.3742210640069449E-4</v>
      </c>
      <c r="AD142" s="26">
        <f t="shared" si="69"/>
        <v>9.5740268437551415E-3</v>
      </c>
      <c r="AE142" s="26">
        <f t="shared" si="70"/>
        <v>9.354012546628359E-3</v>
      </c>
      <c r="AF142" s="26">
        <f t="shared" si="71"/>
        <v>1.1234783261413925E-2</v>
      </c>
      <c r="AG142" s="26">
        <f t="shared" si="72"/>
        <v>1.566144302412292E-2</v>
      </c>
      <c r="AH142" s="26">
        <f t="shared" si="73"/>
        <v>4.8867856843505475E-2</v>
      </c>
      <c r="AI142" s="26">
        <f t="shared" si="74"/>
        <v>-6.4062869292286495E-2</v>
      </c>
      <c r="AJ142" s="26">
        <f t="shared" si="75"/>
        <v>-1.0229205971642284E-2</v>
      </c>
      <c r="AK142" s="26">
        <f t="shared" si="76"/>
        <v>2.0889870557384168E-2</v>
      </c>
      <c r="AL142" s="26">
        <f t="shared" si="77"/>
        <v>3.771943890335399E-2</v>
      </c>
      <c r="AM142" s="26">
        <f t="shared" si="78"/>
        <v>-6.4062869292286495E-2</v>
      </c>
    </row>
    <row r="143" spans="1:39" x14ac:dyDescent="0.2">
      <c r="A143" s="5">
        <v>29676</v>
      </c>
      <c r="B143" s="14">
        <v>9.8530677457000007</v>
      </c>
      <c r="C143" s="14">
        <v>9.1272727271999994</v>
      </c>
      <c r="D143" s="1">
        <v>9.379999999999999</v>
      </c>
      <c r="E143" s="1">
        <v>9.6199999999999992</v>
      </c>
      <c r="F143" s="1">
        <v>9.82</v>
      </c>
      <c r="G143" s="1">
        <v>10.27</v>
      </c>
      <c r="H143" s="1">
        <v>101.51</v>
      </c>
      <c r="I143" s="1">
        <v>238.64</v>
      </c>
      <c r="J143" s="1">
        <v>15.86</v>
      </c>
      <c r="K143" s="1">
        <v>206.26</v>
      </c>
      <c r="L143" s="1">
        <v>209.59</v>
      </c>
      <c r="M143">
        <f t="shared" si="54"/>
        <v>477.28</v>
      </c>
      <c r="O143" s="8">
        <f t="shared" si="55"/>
        <v>-1.897482447348442E-3</v>
      </c>
      <c r="P143" s="8">
        <f t="shared" si="56"/>
        <v>7.0916334741601972E-3</v>
      </c>
      <c r="Q143" s="8">
        <f t="shared" si="57"/>
        <v>1.0660980810235365E-3</v>
      </c>
      <c r="R143" s="8">
        <f t="shared" si="58"/>
        <v>4.1580041580042693E-3</v>
      </c>
      <c r="S143" s="8">
        <f t="shared" si="59"/>
        <v>7.1283095723013723E-3</v>
      </c>
      <c r="T143" s="8">
        <f t="shared" si="60"/>
        <v>6.8159688412854358E-3</v>
      </c>
      <c r="U143" s="8">
        <f t="shared" si="61"/>
        <v>2.4628115456604149E-3</v>
      </c>
      <c r="V143" s="8">
        <f t="shared" si="62"/>
        <v>3.2475695608447763E-2</v>
      </c>
      <c r="W143" s="8">
        <f t="shared" si="63"/>
        <v>0</v>
      </c>
      <c r="X143" s="8">
        <f t="shared" si="64"/>
        <v>2.6665373800058845E-3</v>
      </c>
      <c r="Y143" s="8">
        <f t="shared" si="65"/>
        <v>5.8304308411660788E-2</v>
      </c>
      <c r="Z143" s="8">
        <f t="shared" si="66"/>
        <v>3.2475695608447763E-2</v>
      </c>
      <c r="AB143" s="26">
        <f t="shared" si="67"/>
        <v>-6.4184069397734949E-3</v>
      </c>
      <c r="AC143" s="26">
        <f t="shared" si="68"/>
        <v>4.5748634555836032E-3</v>
      </c>
      <c r="AD143" s="26">
        <f t="shared" si="69"/>
        <v>-1.2261102424274074E-3</v>
      </c>
      <c r="AE143" s="26">
        <f t="shared" si="70"/>
        <v>1.9452448854949509E-3</v>
      </c>
      <c r="AF143" s="26">
        <f t="shared" si="71"/>
        <v>4.9472001608565994E-3</v>
      </c>
      <c r="AG143" s="26">
        <f t="shared" si="72"/>
        <v>4.6379668703638265E-3</v>
      </c>
      <c r="AH143" s="26">
        <f t="shared" si="73"/>
        <v>-2.8805684993999901E-3</v>
      </c>
      <c r="AI143" s="26">
        <f t="shared" si="74"/>
        <v>2.0073929479410384E-2</v>
      </c>
      <c r="AJ143" s="26">
        <f t="shared" si="75"/>
        <v>-1.0229205971642284E-2</v>
      </c>
      <c r="AK143" s="26">
        <f t="shared" si="76"/>
        <v>4.233452661877299E-3</v>
      </c>
      <c r="AL143" s="26">
        <f t="shared" si="77"/>
        <v>6.1828543525416495E-2</v>
      </c>
      <c r="AM143" s="26">
        <f t="shared" si="78"/>
        <v>2.0073929479410384E-2</v>
      </c>
    </row>
    <row r="144" spans="1:39" x14ac:dyDescent="0.2">
      <c r="A144" s="5">
        <v>29706</v>
      </c>
      <c r="B144" s="14">
        <v>9.8343717226000003</v>
      </c>
      <c r="C144" s="14">
        <v>9.1920000000000002</v>
      </c>
      <c r="D144" s="1">
        <v>9.39</v>
      </c>
      <c r="E144" s="1">
        <v>9.66</v>
      </c>
      <c r="F144" s="1">
        <v>9.89</v>
      </c>
      <c r="G144" s="1">
        <v>10.34</v>
      </c>
      <c r="H144" s="1">
        <v>101.76</v>
      </c>
      <c r="I144" s="1">
        <v>246.39</v>
      </c>
      <c r="J144" s="1">
        <v>15.86</v>
      </c>
      <c r="K144" s="1">
        <v>206.81</v>
      </c>
      <c r="L144" s="1">
        <v>221.81</v>
      </c>
      <c r="M144">
        <f t="shared" si="54"/>
        <v>492.78</v>
      </c>
      <c r="O144" s="8">
        <f t="shared" si="55"/>
        <v>1.6318656547341881E-2</v>
      </c>
      <c r="P144" s="8">
        <f t="shared" si="56"/>
        <v>7.6567615752827223E-3</v>
      </c>
      <c r="Q144" s="8">
        <f t="shared" si="57"/>
        <v>1.2779552715654896E-2</v>
      </c>
      <c r="R144" s="8">
        <f t="shared" si="58"/>
        <v>2.1739130434782483E-2</v>
      </c>
      <c r="S144" s="8">
        <f t="shared" si="59"/>
        <v>1.2133468149646109E-2</v>
      </c>
      <c r="T144" s="8">
        <f t="shared" si="60"/>
        <v>1.3539651837524147E-2</v>
      </c>
      <c r="U144" s="8">
        <f t="shared" si="61"/>
        <v>-2.6238207547169878E-2</v>
      </c>
      <c r="V144" s="8">
        <f t="shared" si="62"/>
        <v>0.11871423353220512</v>
      </c>
      <c r="W144" s="8">
        <f t="shared" si="63"/>
        <v>0.14186633039092089</v>
      </c>
      <c r="X144" s="8">
        <f t="shared" si="64"/>
        <v>9.6707122479555707E-4</v>
      </c>
      <c r="Y144" s="8">
        <f t="shared" si="65"/>
        <v>-6.5371263694153914E-3</v>
      </c>
      <c r="Z144" s="8">
        <f t="shared" si="66"/>
        <v>0.11871423353220512</v>
      </c>
      <c r="AB144" s="26">
        <f t="shared" si="67"/>
        <v>1.1797732054916828E-2</v>
      </c>
      <c r="AC144" s="26">
        <f t="shared" si="68"/>
        <v>5.1399915567061282E-3</v>
      </c>
      <c r="AD144" s="26">
        <f t="shared" si="69"/>
        <v>1.0487344392203952E-2</v>
      </c>
      <c r="AE144" s="26">
        <f t="shared" si="70"/>
        <v>1.9526371162273164E-2</v>
      </c>
      <c r="AF144" s="26">
        <f t="shared" si="71"/>
        <v>9.9523587382013366E-3</v>
      </c>
      <c r="AG144" s="26">
        <f t="shared" si="72"/>
        <v>1.1361649866602538E-2</v>
      </c>
      <c r="AH144" s="26">
        <f t="shared" si="73"/>
        <v>-3.1581587592230287E-2</v>
      </c>
      <c r="AI144" s="26">
        <f t="shared" si="74"/>
        <v>0.10631246740316774</v>
      </c>
      <c r="AJ144" s="26">
        <f t="shared" si="75"/>
        <v>0.13163712441927861</v>
      </c>
      <c r="AK144" s="26">
        <f t="shared" si="76"/>
        <v>2.5339865066669716E-3</v>
      </c>
      <c r="AL144" s="26">
        <f t="shared" si="77"/>
        <v>-3.012891255659685E-3</v>
      </c>
      <c r="AM144" s="26">
        <f t="shared" si="78"/>
        <v>0.10631246740316774</v>
      </c>
    </row>
    <row r="145" spans="1:39" x14ac:dyDescent="0.2">
      <c r="A145" s="5">
        <v>29737</v>
      </c>
      <c r="B145" s="14">
        <v>9.9948554570999999</v>
      </c>
      <c r="C145" s="14">
        <v>9.2623809523999991</v>
      </c>
      <c r="D145" s="1">
        <v>9.51</v>
      </c>
      <c r="E145" s="1">
        <v>9.8699999999999992</v>
      </c>
      <c r="F145" s="1">
        <v>10.01</v>
      </c>
      <c r="G145" s="1">
        <v>10.48</v>
      </c>
      <c r="H145" s="1">
        <v>99.09</v>
      </c>
      <c r="I145" s="1">
        <v>275.64</v>
      </c>
      <c r="J145" s="1">
        <v>18.110000000000003</v>
      </c>
      <c r="K145" s="1">
        <v>207.01</v>
      </c>
      <c r="L145" s="1">
        <v>220.35999999999999</v>
      </c>
      <c r="M145">
        <f t="shared" si="54"/>
        <v>551.28</v>
      </c>
      <c r="O145" s="8">
        <f t="shared" si="55"/>
        <v>-5.9134779791151781E-2</v>
      </c>
      <c r="P145" s="8">
        <f t="shared" si="56"/>
        <v>-3.6553390563392019E-2</v>
      </c>
      <c r="Q145" s="8">
        <f t="shared" si="57"/>
        <v>-2.208201892744488E-2</v>
      </c>
      <c r="R145" s="8">
        <f t="shared" si="58"/>
        <v>-2.0263424518743633E-2</v>
      </c>
      <c r="S145" s="8">
        <f t="shared" si="59"/>
        <v>-1.098901098901095E-2</v>
      </c>
      <c r="T145" s="8">
        <f t="shared" si="60"/>
        <v>-8.5877862595419296E-3</v>
      </c>
      <c r="U145" s="8">
        <f t="shared" si="61"/>
        <v>3.865173074982331E-2</v>
      </c>
      <c r="V145" s="8">
        <f t="shared" si="62"/>
        <v>1.5418662022928409E-2</v>
      </c>
      <c r="W145" s="8">
        <f t="shared" si="63"/>
        <v>5.5218111540585202E-2</v>
      </c>
      <c r="X145" s="8">
        <f t="shared" si="64"/>
        <v>5.3620598038742084E-2</v>
      </c>
      <c r="Y145" s="8">
        <f t="shared" si="65"/>
        <v>-1.1571973134870128E-2</v>
      </c>
      <c r="Z145" s="8">
        <f t="shared" si="66"/>
        <v>1.5418662022928409E-2</v>
      </c>
      <c r="AB145" s="26">
        <f t="shared" si="67"/>
        <v>-6.3655704283576836E-2</v>
      </c>
      <c r="AC145" s="26">
        <f t="shared" si="68"/>
        <v>-3.9070160581968612E-2</v>
      </c>
      <c r="AD145" s="26">
        <f t="shared" si="69"/>
        <v>-2.4374227250895823E-2</v>
      </c>
      <c r="AE145" s="26">
        <f t="shared" si="70"/>
        <v>-2.2476183791252952E-2</v>
      </c>
      <c r="AF145" s="26">
        <f t="shared" si="71"/>
        <v>-1.3170120400455723E-2</v>
      </c>
      <c r="AG145" s="26">
        <f t="shared" si="72"/>
        <v>-1.0765788230463539E-2</v>
      </c>
      <c r="AH145" s="26">
        <f t="shared" si="73"/>
        <v>3.3308350704762901E-2</v>
      </c>
      <c r="AI145" s="26">
        <f t="shared" si="74"/>
        <v>3.0168958938910292E-3</v>
      </c>
      <c r="AJ145" s="26">
        <f t="shared" si="75"/>
        <v>4.4988905568942916E-2</v>
      </c>
      <c r="AK145" s="26">
        <f t="shared" si="76"/>
        <v>5.5187513320613502E-2</v>
      </c>
      <c r="AL145" s="26">
        <f t="shared" si="77"/>
        <v>-8.0477380211144214E-3</v>
      </c>
      <c r="AM145" s="26">
        <f t="shared" si="78"/>
        <v>3.0168958938910292E-3</v>
      </c>
    </row>
    <row r="146" spans="1:39" x14ac:dyDescent="0.2">
      <c r="A146" s="5">
        <v>29767</v>
      </c>
      <c r="B146" s="14">
        <v>9.4038118805999993</v>
      </c>
      <c r="C146" s="14">
        <v>8.9238095238999993</v>
      </c>
      <c r="D146" s="1">
        <v>9.2999999999999989</v>
      </c>
      <c r="E146" s="1">
        <v>9.67</v>
      </c>
      <c r="F146" s="1">
        <v>9.9</v>
      </c>
      <c r="G146" s="1">
        <v>10.39</v>
      </c>
      <c r="H146" s="1">
        <v>102.92</v>
      </c>
      <c r="I146" s="1">
        <v>279.89</v>
      </c>
      <c r="J146" s="1">
        <v>19.110000000000003</v>
      </c>
      <c r="K146" s="1">
        <v>218.10999999999999</v>
      </c>
      <c r="L146" s="1">
        <v>217.81</v>
      </c>
      <c r="M146">
        <f t="shared" si="54"/>
        <v>559.78</v>
      </c>
      <c r="O146" s="8">
        <f t="shared" si="55"/>
        <v>2.0797845095506196E-2</v>
      </c>
      <c r="P146" s="8">
        <f t="shared" si="56"/>
        <v>4.0554962544945283E-3</v>
      </c>
      <c r="Q146" s="8">
        <f t="shared" si="57"/>
        <v>-9.6774193548386789E-3</v>
      </c>
      <c r="R146" s="8">
        <f t="shared" si="58"/>
        <v>-1.7580144777662898E-2</v>
      </c>
      <c r="S146" s="8">
        <f t="shared" si="59"/>
        <v>-1.4141414141414232E-2</v>
      </c>
      <c r="T146" s="8">
        <f t="shared" si="60"/>
        <v>-8.6621751684313741E-3</v>
      </c>
      <c r="U146" s="8">
        <f t="shared" si="61"/>
        <v>8.74465604352892E-3</v>
      </c>
      <c r="V146" s="8">
        <f t="shared" si="62"/>
        <v>6.788381149737388E-2</v>
      </c>
      <c r="W146" s="8">
        <f t="shared" si="63"/>
        <v>0.13867085295656723</v>
      </c>
      <c r="X146" s="8">
        <f t="shared" si="64"/>
        <v>3.0489202695887396E-2</v>
      </c>
      <c r="Y146" s="8">
        <f t="shared" si="65"/>
        <v>-5.0502731738671924E-3</v>
      </c>
      <c r="Z146" s="8">
        <f t="shared" si="66"/>
        <v>6.788381149737388E-2</v>
      </c>
      <c r="AB146" s="26">
        <f t="shared" si="67"/>
        <v>1.6276920603081141E-2</v>
      </c>
      <c r="AC146" s="26">
        <f t="shared" si="68"/>
        <v>1.5387262359179343E-3</v>
      </c>
      <c r="AD146" s="26">
        <f t="shared" si="69"/>
        <v>-1.1969627678289622E-2</v>
      </c>
      <c r="AE146" s="26">
        <f t="shared" si="70"/>
        <v>-1.9792904050172217E-2</v>
      </c>
      <c r="AF146" s="26">
        <f t="shared" si="71"/>
        <v>-1.6322523552859007E-2</v>
      </c>
      <c r="AG146" s="26">
        <f t="shared" si="72"/>
        <v>-1.0840177139352983E-2</v>
      </c>
      <c r="AH146" s="26">
        <f t="shared" si="73"/>
        <v>3.4012759984685149E-3</v>
      </c>
      <c r="AI146" s="26">
        <f t="shared" si="74"/>
        <v>5.5482045368336501E-2</v>
      </c>
      <c r="AJ146" s="26">
        <f t="shared" si="75"/>
        <v>0.12844164698492494</v>
      </c>
      <c r="AK146" s="26">
        <f t="shared" si="76"/>
        <v>3.2056117977758813E-2</v>
      </c>
      <c r="AL146" s="26">
        <f t="shared" si="77"/>
        <v>-1.5260380601114861E-3</v>
      </c>
      <c r="AM146" s="26">
        <f t="shared" si="78"/>
        <v>5.5482045368336501E-2</v>
      </c>
    </row>
    <row r="147" spans="1:39" x14ac:dyDescent="0.2">
      <c r="A147" s="5">
        <v>29798</v>
      </c>
      <c r="B147" s="14">
        <v>9.5993909033999998</v>
      </c>
      <c r="C147" s="14">
        <v>8.9599999999999991</v>
      </c>
      <c r="D147" s="1">
        <v>9.2099999999999991</v>
      </c>
      <c r="E147" s="1">
        <v>9.5</v>
      </c>
      <c r="F147" s="1">
        <v>9.76</v>
      </c>
      <c r="G147" s="1">
        <v>10.299999999999999</v>
      </c>
      <c r="H147" s="1">
        <v>103.82000000000001</v>
      </c>
      <c r="I147" s="1">
        <v>298.89</v>
      </c>
      <c r="J147" s="1">
        <v>21.76</v>
      </c>
      <c r="K147" s="1">
        <v>224.76</v>
      </c>
      <c r="L147" s="1">
        <v>216.70999999999998</v>
      </c>
      <c r="M147">
        <f t="shared" si="54"/>
        <v>597.78</v>
      </c>
      <c r="O147" s="8">
        <f t="shared" si="55"/>
        <v>3.1114799981133201E-2</v>
      </c>
      <c r="P147" s="8">
        <f t="shared" si="56"/>
        <v>8.8800465848215548E-3</v>
      </c>
      <c r="Q147" s="8">
        <f t="shared" si="57"/>
        <v>3.2573289902282365E-3</v>
      </c>
      <c r="R147" s="8">
        <f t="shared" si="58"/>
        <v>4.2105263157894424E-3</v>
      </c>
      <c r="S147" s="8">
        <f t="shared" si="59"/>
        <v>1.0245901639344135E-2</v>
      </c>
      <c r="T147" s="8">
        <f t="shared" si="60"/>
        <v>5.8252427184466438E-3</v>
      </c>
      <c r="U147" s="8">
        <f t="shared" si="61"/>
        <v>5.3072625698323828E-2</v>
      </c>
      <c r="V147" s="8">
        <f t="shared" si="62"/>
        <v>5.8549968215731552E-2</v>
      </c>
      <c r="W147" s="8">
        <f t="shared" si="63"/>
        <v>0.21829044117647056</v>
      </c>
      <c r="X147" s="8">
        <f t="shared" si="64"/>
        <v>2.3135789286350406E-3</v>
      </c>
      <c r="Y147" s="8">
        <f t="shared" si="65"/>
        <v>1.7073508375248014E-2</v>
      </c>
      <c r="Z147" s="8">
        <f t="shared" si="66"/>
        <v>5.8549968215731552E-2</v>
      </c>
      <c r="AB147" s="26">
        <f t="shared" si="67"/>
        <v>2.6593875488708146E-2</v>
      </c>
      <c r="AC147" s="26">
        <f t="shared" si="68"/>
        <v>6.3632765662449608E-3</v>
      </c>
      <c r="AD147" s="26">
        <f t="shared" si="69"/>
        <v>9.6512066677729253E-4</v>
      </c>
      <c r="AE147" s="26">
        <f t="shared" si="70"/>
        <v>1.997767043280124E-3</v>
      </c>
      <c r="AF147" s="26">
        <f t="shared" si="71"/>
        <v>8.064792227899362E-3</v>
      </c>
      <c r="AG147" s="26">
        <f t="shared" si="72"/>
        <v>3.6472407475250344E-3</v>
      </c>
      <c r="AH147" s="26">
        <f t="shared" si="73"/>
        <v>4.7729245653263419E-2</v>
      </c>
      <c r="AI147" s="26">
        <f t="shared" si="74"/>
        <v>4.6148202086694172E-2</v>
      </c>
      <c r="AJ147" s="26">
        <f t="shared" si="75"/>
        <v>0.20806123520482828</v>
      </c>
      <c r="AK147" s="26">
        <f t="shared" si="76"/>
        <v>3.8804942105064551E-3</v>
      </c>
      <c r="AL147" s="26">
        <f t="shared" si="77"/>
        <v>2.0597743489003721E-2</v>
      </c>
      <c r="AM147" s="26">
        <f t="shared" si="78"/>
        <v>4.6148202086694172E-2</v>
      </c>
    </row>
    <row r="148" spans="1:39" x14ac:dyDescent="0.2">
      <c r="A148" s="5">
        <v>29829</v>
      </c>
      <c r="B148" s="14">
        <v>9.8980740313000002</v>
      </c>
      <c r="C148" s="14">
        <v>9.0395652173999999</v>
      </c>
      <c r="D148" s="1">
        <v>9.24</v>
      </c>
      <c r="E148" s="1">
        <v>9.5399999999999991</v>
      </c>
      <c r="F148" s="1">
        <v>9.86</v>
      </c>
      <c r="G148" s="1">
        <v>10.36</v>
      </c>
      <c r="H148" s="1">
        <v>109.33</v>
      </c>
      <c r="I148" s="1">
        <v>316.39</v>
      </c>
      <c r="J148" s="1">
        <v>26.51</v>
      </c>
      <c r="K148" s="1">
        <v>225.28</v>
      </c>
      <c r="L148" s="1">
        <v>220.41</v>
      </c>
      <c r="M148">
        <f t="shared" si="54"/>
        <v>632.78</v>
      </c>
      <c r="O148" s="8">
        <f t="shared" si="55"/>
        <v>8.0044137889312417E-2</v>
      </c>
      <c r="P148" s="8">
        <f t="shared" si="56"/>
        <v>3.3759546765875781E-2</v>
      </c>
      <c r="Q148" s="8">
        <f t="shared" si="57"/>
        <v>2.2727272727272707E-2</v>
      </c>
      <c r="R148" s="8">
        <f t="shared" si="58"/>
        <v>1.7819706498951815E-2</v>
      </c>
      <c r="S148" s="8">
        <f t="shared" si="59"/>
        <v>1.8255578093306246E-2</v>
      </c>
      <c r="T148" s="8">
        <f t="shared" si="60"/>
        <v>1.8339768339768359E-2</v>
      </c>
      <c r="U148" s="8">
        <f t="shared" si="61"/>
        <v>0</v>
      </c>
      <c r="V148" s="8">
        <f t="shared" si="62"/>
        <v>0.25797275514396789</v>
      </c>
      <c r="W148" s="8">
        <f t="shared" si="63"/>
        <v>7.5443228970199838E-2</v>
      </c>
      <c r="X148" s="8">
        <f t="shared" si="64"/>
        <v>-2.2061434659090939E-2</v>
      </c>
      <c r="Y148" s="8">
        <f t="shared" si="65"/>
        <v>1.8601696837711401E-2</v>
      </c>
      <c r="Z148" s="8">
        <f t="shared" si="66"/>
        <v>0.25797275514396789</v>
      </c>
      <c r="AB148" s="26">
        <f t="shared" si="67"/>
        <v>7.5523213396887362E-2</v>
      </c>
      <c r="AC148" s="26">
        <f t="shared" si="68"/>
        <v>3.1242776747299188E-2</v>
      </c>
      <c r="AD148" s="26">
        <f t="shared" si="69"/>
        <v>2.0435064403821764E-2</v>
      </c>
      <c r="AE148" s="26">
        <f t="shared" si="70"/>
        <v>1.5606947226442496E-2</v>
      </c>
      <c r="AF148" s="26">
        <f t="shared" si="71"/>
        <v>1.6074468681861472E-2</v>
      </c>
      <c r="AG148" s="26">
        <f t="shared" si="72"/>
        <v>1.6161766368846749E-2</v>
      </c>
      <c r="AH148" s="26">
        <f t="shared" si="73"/>
        <v>-5.3433800450604051E-3</v>
      </c>
      <c r="AI148" s="26">
        <f t="shared" si="74"/>
        <v>0.24557098901493052</v>
      </c>
      <c r="AJ148" s="26">
        <f t="shared" si="75"/>
        <v>6.5214022998557553E-2</v>
      </c>
      <c r="AK148" s="26">
        <f t="shared" si="76"/>
        <v>-2.0494519377219526E-2</v>
      </c>
      <c r="AL148" s="26">
        <f t="shared" si="77"/>
        <v>2.2125931951467108E-2</v>
      </c>
      <c r="AM148" s="26">
        <f t="shared" si="78"/>
        <v>0.24557098901493052</v>
      </c>
    </row>
    <row r="149" spans="1:39" x14ac:dyDescent="0.2">
      <c r="A149" s="5">
        <v>29859</v>
      </c>
      <c r="B149" s="14">
        <v>10.690356833899999</v>
      </c>
      <c r="C149" s="14">
        <v>9.3447368420999997</v>
      </c>
      <c r="D149" s="1">
        <v>9.4499999999999993</v>
      </c>
      <c r="E149" s="1">
        <v>9.7099999999999991</v>
      </c>
      <c r="F149" s="1">
        <v>10.039999999999999</v>
      </c>
      <c r="G149" s="1">
        <v>10.549999999999999</v>
      </c>
      <c r="H149" s="1">
        <v>109.33</v>
      </c>
      <c r="I149" s="1">
        <v>398.01</v>
      </c>
      <c r="J149" s="1">
        <v>28.51</v>
      </c>
      <c r="K149" s="1">
        <v>220.31</v>
      </c>
      <c r="L149" s="1">
        <v>224.51</v>
      </c>
      <c r="M149">
        <f t="shared" si="54"/>
        <v>796.02</v>
      </c>
      <c r="O149" s="8">
        <f t="shared" si="55"/>
        <v>0.14431928411478068</v>
      </c>
      <c r="P149" s="8">
        <f t="shared" si="56"/>
        <v>0.10319756279870651</v>
      </c>
      <c r="Q149" s="8">
        <f t="shared" si="57"/>
        <v>7.3015873015873201E-2</v>
      </c>
      <c r="R149" s="8">
        <f t="shared" si="58"/>
        <v>7.8269824922760245E-2</v>
      </c>
      <c r="S149" s="8">
        <f t="shared" si="59"/>
        <v>7.9681274900398558E-2</v>
      </c>
      <c r="T149" s="8">
        <f t="shared" si="60"/>
        <v>8.1516587677725294E-2</v>
      </c>
      <c r="U149" s="8">
        <f t="shared" si="61"/>
        <v>-6.8599652428427693E-2</v>
      </c>
      <c r="V149" s="8">
        <f t="shared" si="62"/>
        <v>-3.8943745132031804E-2</v>
      </c>
      <c r="W149" s="8">
        <f t="shared" si="63"/>
        <v>1.7537706068046388E-2</v>
      </c>
      <c r="X149" s="8">
        <f t="shared" si="64"/>
        <v>-5.8326903000317842E-2</v>
      </c>
      <c r="Y149" s="8">
        <f t="shared" si="65"/>
        <v>5.9462830163466984E-2</v>
      </c>
      <c r="Z149" s="8">
        <f t="shared" si="66"/>
        <v>-3.8943745132031804E-2</v>
      </c>
      <c r="AB149" s="26">
        <f t="shared" si="67"/>
        <v>0.13979835962235562</v>
      </c>
      <c r="AC149" s="26">
        <f t="shared" si="68"/>
        <v>0.10068079278012991</v>
      </c>
      <c r="AD149" s="26">
        <f t="shared" si="69"/>
        <v>7.072366469242225E-2</v>
      </c>
      <c r="AE149" s="26">
        <f t="shared" si="70"/>
        <v>7.605706565025093E-2</v>
      </c>
      <c r="AF149" s="26">
        <f t="shared" si="71"/>
        <v>7.750016548895379E-2</v>
      </c>
      <c r="AG149" s="26">
        <f t="shared" si="72"/>
        <v>7.9338585706803688E-2</v>
      </c>
      <c r="AH149" s="26">
        <f t="shared" si="73"/>
        <v>-7.3943032473488102E-2</v>
      </c>
      <c r="AI149" s="26">
        <f t="shared" si="74"/>
        <v>-5.1345511261069184E-2</v>
      </c>
      <c r="AJ149" s="26">
        <f t="shared" si="75"/>
        <v>7.3085000964041042E-3</v>
      </c>
      <c r="AK149" s="26">
        <f t="shared" si="76"/>
        <v>-5.6759987718446425E-2</v>
      </c>
      <c r="AL149" s="26">
        <f t="shared" si="77"/>
        <v>6.2987065277222684E-2</v>
      </c>
      <c r="AM149" s="26">
        <f t="shared" si="78"/>
        <v>-5.1345511261069184E-2</v>
      </c>
    </row>
    <row r="150" spans="1:39" x14ac:dyDescent="0.2">
      <c r="A150" s="5">
        <v>29890</v>
      </c>
      <c r="B150" s="14">
        <v>12.233181479100001</v>
      </c>
      <c r="C150" s="14">
        <v>10.3090909092</v>
      </c>
      <c r="D150" s="1">
        <v>10.14</v>
      </c>
      <c r="E150" s="1">
        <v>10.47</v>
      </c>
      <c r="F150" s="1">
        <v>10.84</v>
      </c>
      <c r="G150" s="1">
        <v>11.41</v>
      </c>
      <c r="H150" s="1">
        <v>101.83</v>
      </c>
      <c r="I150" s="1">
        <v>382.51</v>
      </c>
      <c r="J150" s="1">
        <v>29.01</v>
      </c>
      <c r="K150" s="1">
        <v>207.45999999999998</v>
      </c>
      <c r="L150" s="1">
        <v>237.85999999999999</v>
      </c>
      <c r="M150">
        <f t="shared" si="54"/>
        <v>765.02</v>
      </c>
      <c r="O150" s="8">
        <f t="shared" si="55"/>
        <v>7.9201302102425153E-3</v>
      </c>
      <c r="P150" s="8">
        <f t="shared" si="56"/>
        <v>3.4345122049901144E-2</v>
      </c>
      <c r="Q150" s="8">
        <f t="shared" si="57"/>
        <v>6.2130177514792884E-2</v>
      </c>
      <c r="R150" s="8">
        <f t="shared" si="58"/>
        <v>7.2588347659980901E-2</v>
      </c>
      <c r="S150" s="8">
        <f t="shared" si="59"/>
        <v>6.1808118081180696E-2</v>
      </c>
      <c r="T150" s="8">
        <f t="shared" si="60"/>
        <v>5.1709027169149824E-2</v>
      </c>
      <c r="U150" s="8">
        <f t="shared" si="61"/>
        <v>4.2620053029559068E-2</v>
      </c>
      <c r="V150" s="8">
        <f t="shared" si="62"/>
        <v>8.6925832004391967E-2</v>
      </c>
      <c r="W150" s="8">
        <f t="shared" si="63"/>
        <v>6.8941744226128865E-2</v>
      </c>
      <c r="X150" s="8">
        <f t="shared" si="64"/>
        <v>6.0011568495131673E-2</v>
      </c>
      <c r="Y150" s="8">
        <f t="shared" si="65"/>
        <v>4.9188598335155209E-2</v>
      </c>
      <c r="Z150" s="8">
        <f t="shared" si="66"/>
        <v>8.6925832004391967E-2</v>
      </c>
      <c r="AB150" s="26">
        <f t="shared" si="67"/>
        <v>3.3992057178174623E-3</v>
      </c>
      <c r="AC150" s="26">
        <f t="shared" si="68"/>
        <v>3.1828352031324551E-2</v>
      </c>
      <c r="AD150" s="26">
        <f t="shared" si="69"/>
        <v>5.983796919134194E-2</v>
      </c>
      <c r="AE150" s="26">
        <f t="shared" si="70"/>
        <v>7.0375588387471585E-2</v>
      </c>
      <c r="AF150" s="26">
        <f t="shared" si="71"/>
        <v>5.9627008669735922E-2</v>
      </c>
      <c r="AG150" s="26">
        <f t="shared" si="72"/>
        <v>4.9531025198228218E-2</v>
      </c>
      <c r="AH150" s="26">
        <f t="shared" si="73"/>
        <v>3.727667298449866E-2</v>
      </c>
      <c r="AI150" s="26">
        <f t="shared" si="74"/>
        <v>7.4524065875354595E-2</v>
      </c>
      <c r="AJ150" s="26">
        <f t="shared" si="75"/>
        <v>5.8712538254486579E-2</v>
      </c>
      <c r="AK150" s="26">
        <f t="shared" si="76"/>
        <v>6.157848377700309E-2</v>
      </c>
      <c r="AL150" s="26">
        <f t="shared" si="77"/>
        <v>5.2712833448910916E-2</v>
      </c>
      <c r="AM150" s="26">
        <f t="shared" si="78"/>
        <v>7.4524065875354595E-2</v>
      </c>
    </row>
    <row r="151" spans="1:39" x14ac:dyDescent="0.2">
      <c r="A151" s="5">
        <v>29920</v>
      </c>
      <c r="B151" s="14">
        <v>12.330069869299999</v>
      </c>
      <c r="C151" s="14">
        <v>10.663157894699999</v>
      </c>
      <c r="D151" s="1">
        <v>10.77</v>
      </c>
      <c r="E151" s="1">
        <v>11.23</v>
      </c>
      <c r="F151" s="1">
        <v>11.51</v>
      </c>
      <c r="G151" s="1">
        <v>12</v>
      </c>
      <c r="H151" s="1">
        <v>106.17</v>
      </c>
      <c r="I151" s="1">
        <v>415.76</v>
      </c>
      <c r="J151" s="1">
        <v>31.01</v>
      </c>
      <c r="K151" s="1">
        <v>219.91</v>
      </c>
      <c r="L151" s="1">
        <v>249.56</v>
      </c>
      <c r="M151">
        <f t="shared" si="54"/>
        <v>831.52</v>
      </c>
      <c r="O151" s="8">
        <f t="shared" si="55"/>
        <v>2.1192913371125721E-2</v>
      </c>
      <c r="P151" s="8">
        <f t="shared" si="56"/>
        <v>-2.5054294172347169E-2</v>
      </c>
      <c r="Q151" s="8">
        <f t="shared" si="57"/>
        <v>-1.8570102135561095E-3</v>
      </c>
      <c r="R151" s="8">
        <f t="shared" si="58"/>
        <v>-6.2333036509349959E-3</v>
      </c>
      <c r="S151" s="8">
        <f t="shared" si="59"/>
        <v>-3.4752389226758718E-3</v>
      </c>
      <c r="T151" s="8">
        <f t="shared" si="60"/>
        <v>5.833333333333357E-3</v>
      </c>
      <c r="U151" s="8">
        <f t="shared" si="61"/>
        <v>1.6765564660450316E-2</v>
      </c>
      <c r="V151" s="8">
        <f t="shared" si="62"/>
        <v>0.26637964210121234</v>
      </c>
      <c r="W151" s="8">
        <f t="shared" si="63"/>
        <v>4.837149306675248E-2</v>
      </c>
      <c r="X151" s="8">
        <f t="shared" si="64"/>
        <v>8.8672638806783777E-3</v>
      </c>
      <c r="Y151" s="8">
        <f t="shared" si="65"/>
        <v>-3.7065234813271397E-2</v>
      </c>
      <c r="Z151" s="8">
        <f t="shared" si="66"/>
        <v>0.26637964210121234</v>
      </c>
      <c r="AB151" s="26">
        <f t="shared" si="67"/>
        <v>1.6671988878700666E-2</v>
      </c>
      <c r="AC151" s="26">
        <f t="shared" si="68"/>
        <v>-2.7571064190923762E-2</v>
      </c>
      <c r="AD151" s="26">
        <f t="shared" si="69"/>
        <v>-4.1492185370070531E-3</v>
      </c>
      <c r="AE151" s="26">
        <f t="shared" si="70"/>
        <v>-8.4460629234443148E-3</v>
      </c>
      <c r="AF151" s="26">
        <f t="shared" si="71"/>
        <v>-5.6563483341206446E-3</v>
      </c>
      <c r="AG151" s="26">
        <f t="shared" si="72"/>
        <v>3.6553313624117477E-3</v>
      </c>
      <c r="AH151" s="26">
        <f t="shared" si="73"/>
        <v>1.1422184615389911E-2</v>
      </c>
      <c r="AI151" s="26">
        <f t="shared" si="74"/>
        <v>0.25397787597217497</v>
      </c>
      <c r="AJ151" s="26">
        <f t="shared" si="75"/>
        <v>3.8142287095110194E-2</v>
      </c>
      <c r="AK151" s="26">
        <f t="shared" si="76"/>
        <v>1.0434179162549791E-2</v>
      </c>
      <c r="AL151" s="26">
        <f t="shared" si="77"/>
        <v>-3.354099969951569E-2</v>
      </c>
      <c r="AM151" s="26">
        <f t="shared" si="78"/>
        <v>0.25397787597217497</v>
      </c>
    </row>
    <row r="152" spans="1:39" x14ac:dyDescent="0.2">
      <c r="A152" s="5">
        <v>29951</v>
      </c>
      <c r="B152" s="14">
        <v>12.5913799719</v>
      </c>
      <c r="C152" s="14">
        <v>10.395999999999999</v>
      </c>
      <c r="D152" s="1">
        <v>10.75</v>
      </c>
      <c r="E152" s="1">
        <v>11.16</v>
      </c>
      <c r="F152" s="1">
        <v>11.47</v>
      </c>
      <c r="G152" s="1">
        <v>12.07</v>
      </c>
      <c r="H152" s="1">
        <v>107.95</v>
      </c>
      <c r="I152" s="1">
        <v>526.51</v>
      </c>
      <c r="J152" s="1">
        <v>32.51</v>
      </c>
      <c r="K152" s="1">
        <v>221.85999999999999</v>
      </c>
      <c r="L152" s="1">
        <v>240.31</v>
      </c>
      <c r="M152">
        <f t="shared" si="54"/>
        <v>1053.02</v>
      </c>
      <c r="O152" s="8">
        <f t="shared" si="55"/>
        <v>-3.1979749630194343E-3</v>
      </c>
      <c r="P152" s="8">
        <f t="shared" si="56"/>
        <v>4.0041624393997832E-2</v>
      </c>
      <c r="Q152" s="8">
        <f t="shared" si="57"/>
        <v>3.2558139534883734E-2</v>
      </c>
      <c r="R152" s="8">
        <f t="shared" si="58"/>
        <v>3.6738351254480328E-2</v>
      </c>
      <c r="S152" s="8">
        <f t="shared" si="59"/>
        <v>3.6617262423713992E-2</v>
      </c>
      <c r="T152" s="8">
        <f t="shared" si="60"/>
        <v>2.9826014913007404E-2</v>
      </c>
      <c r="U152" s="8">
        <f t="shared" si="61"/>
        <v>5.7619268179712746E-2</v>
      </c>
      <c r="V152" s="8">
        <f t="shared" si="62"/>
        <v>0.23456344608839341</v>
      </c>
      <c r="W152" s="8">
        <f t="shared" si="63"/>
        <v>0</v>
      </c>
      <c r="X152" s="8">
        <f t="shared" si="64"/>
        <v>2.1725412422248125E-2</v>
      </c>
      <c r="Y152" s="8">
        <f t="shared" si="65"/>
        <v>-4.0364529149847783E-3</v>
      </c>
      <c r="Z152" s="8">
        <f t="shared" si="66"/>
        <v>0.23456344608839341</v>
      </c>
      <c r="AB152" s="26">
        <f t="shared" si="67"/>
        <v>-7.7188994554444872E-3</v>
      </c>
      <c r="AC152" s="26">
        <f t="shared" si="68"/>
        <v>3.7524854375421239E-2</v>
      </c>
      <c r="AD152" s="26">
        <f t="shared" si="69"/>
        <v>3.0265931211432791E-2</v>
      </c>
      <c r="AE152" s="26">
        <f t="shared" si="70"/>
        <v>3.4525591981971013E-2</v>
      </c>
      <c r="AF152" s="26">
        <f t="shared" si="71"/>
        <v>3.4436153012269217E-2</v>
      </c>
      <c r="AG152" s="26">
        <f t="shared" si="72"/>
        <v>2.7648012942085794E-2</v>
      </c>
      <c r="AH152" s="26">
        <f t="shared" si="73"/>
        <v>5.2275888134652337E-2</v>
      </c>
      <c r="AI152" s="26">
        <f t="shared" si="74"/>
        <v>0.22216167995935604</v>
      </c>
      <c r="AJ152" s="26">
        <f t="shared" si="75"/>
        <v>-1.0229205971642284E-2</v>
      </c>
      <c r="AK152" s="26">
        <f t="shared" si="76"/>
        <v>2.3292327704119539E-2</v>
      </c>
      <c r="AL152" s="26">
        <f t="shared" si="77"/>
        <v>-5.1221780122907195E-4</v>
      </c>
      <c r="AM152" s="26">
        <f t="shared" si="78"/>
        <v>0.22216167995935604</v>
      </c>
    </row>
    <row r="153" spans="1:39" x14ac:dyDescent="0.2">
      <c r="A153" s="5">
        <v>29982</v>
      </c>
      <c r="B153" s="14">
        <v>12.551113054</v>
      </c>
      <c r="C153" s="14">
        <v>10.8122727272</v>
      </c>
      <c r="D153" s="1">
        <v>11.1</v>
      </c>
      <c r="E153" s="1">
        <v>11.57</v>
      </c>
      <c r="F153" s="1">
        <v>11.89</v>
      </c>
      <c r="G153" s="1">
        <v>12.43</v>
      </c>
      <c r="H153" s="1">
        <v>114.17</v>
      </c>
      <c r="I153" s="1">
        <v>650.01</v>
      </c>
      <c r="J153" s="1">
        <v>32.51</v>
      </c>
      <c r="K153" s="1">
        <v>226.67999999999998</v>
      </c>
      <c r="L153" s="1">
        <v>239.34</v>
      </c>
      <c r="M153">
        <f t="shared" si="54"/>
        <v>1300.02</v>
      </c>
      <c r="O153" s="8">
        <f t="shared" si="55"/>
        <v>7.3951832367902481E-2</v>
      </c>
      <c r="P153" s="8">
        <f t="shared" si="56"/>
        <v>0.14913276382157736</v>
      </c>
      <c r="Q153" s="8">
        <f t="shared" si="57"/>
        <v>0.11621621621621636</v>
      </c>
      <c r="R153" s="8">
        <f t="shared" si="58"/>
        <v>0.101123595505618</v>
      </c>
      <c r="S153" s="8">
        <f t="shared" si="59"/>
        <v>9.3355761143818272E-2</v>
      </c>
      <c r="T153" s="8">
        <f t="shared" si="60"/>
        <v>9.2518101367658812E-2</v>
      </c>
      <c r="U153" s="8">
        <f t="shared" si="61"/>
        <v>-4.3794341771042911E-3</v>
      </c>
      <c r="V153" s="8">
        <f t="shared" si="62"/>
        <v>-1.4615159766772856E-2</v>
      </c>
      <c r="W153" s="8">
        <f t="shared" si="63"/>
        <v>0.13841894801599519</v>
      </c>
      <c r="X153" s="8">
        <f t="shared" si="64"/>
        <v>2.7792482795130358E-3</v>
      </c>
      <c r="Y153" s="8">
        <f t="shared" si="65"/>
        <v>5.1474889278850133E-2</v>
      </c>
      <c r="Z153" s="8">
        <f t="shared" si="66"/>
        <v>-1.4615159766772856E-2</v>
      </c>
      <c r="AB153" s="26">
        <f t="shared" si="67"/>
        <v>6.9430907875477427E-2</v>
      </c>
      <c r="AC153" s="26">
        <f t="shared" si="68"/>
        <v>0.14661599380300078</v>
      </c>
      <c r="AD153" s="26">
        <f t="shared" si="69"/>
        <v>0.11392400789276541</v>
      </c>
      <c r="AE153" s="26">
        <f t="shared" si="70"/>
        <v>9.8910836233108687E-2</v>
      </c>
      <c r="AF153" s="26">
        <f t="shared" si="71"/>
        <v>9.1174651732373505E-2</v>
      </c>
      <c r="AG153" s="26">
        <f t="shared" si="72"/>
        <v>9.0340099396737206E-2</v>
      </c>
      <c r="AH153" s="26">
        <f t="shared" si="73"/>
        <v>-9.7228142221646961E-3</v>
      </c>
      <c r="AI153" s="26">
        <f t="shared" si="74"/>
        <v>-2.7016925895810236E-2</v>
      </c>
      <c r="AJ153" s="26">
        <f t="shared" si="75"/>
        <v>0.12818974204435291</v>
      </c>
      <c r="AK153" s="26">
        <f t="shared" si="76"/>
        <v>4.3461635613844503E-3</v>
      </c>
      <c r="AL153" s="26">
        <f t="shared" si="77"/>
        <v>5.499912439260584E-2</v>
      </c>
      <c r="AM153" s="26">
        <f t="shared" si="78"/>
        <v>-2.7016925895810236E-2</v>
      </c>
    </row>
    <row r="154" spans="1:39" x14ac:dyDescent="0.2">
      <c r="A154" s="5">
        <v>30010</v>
      </c>
      <c r="B154" s="14">
        <v>13.479290862599999</v>
      </c>
      <c r="C154" s="14">
        <v>12.4247368422</v>
      </c>
      <c r="D154" s="1">
        <v>12.39</v>
      </c>
      <c r="E154" s="1">
        <v>12.74</v>
      </c>
      <c r="F154" s="1">
        <v>13</v>
      </c>
      <c r="G154" s="1">
        <v>13.58</v>
      </c>
      <c r="H154" s="1">
        <v>113.67</v>
      </c>
      <c r="I154" s="1">
        <v>640.51</v>
      </c>
      <c r="J154" s="1">
        <v>37.01</v>
      </c>
      <c r="K154" s="1">
        <v>227.31</v>
      </c>
      <c r="L154" s="1">
        <v>251.66</v>
      </c>
      <c r="M154">
        <f t="shared" si="54"/>
        <v>1281.02</v>
      </c>
      <c r="O154" s="8">
        <f t="shared" si="55"/>
        <v>0.18934901231203916</v>
      </c>
      <c r="P154" s="8">
        <f t="shared" si="56"/>
        <v>2.6906869831200941E-2</v>
      </c>
      <c r="Q154" s="8">
        <f t="shared" si="57"/>
        <v>4.6811945117029907E-2</v>
      </c>
      <c r="R154" s="8">
        <f t="shared" si="58"/>
        <v>6.1224489795918213E-2</v>
      </c>
      <c r="S154" s="8">
        <f t="shared" si="59"/>
        <v>7.5384615384615383E-2</v>
      </c>
      <c r="T154" s="8">
        <f t="shared" si="60"/>
        <v>6.4801178203240051E-2</v>
      </c>
      <c r="U154" s="8">
        <f t="shared" si="61"/>
        <v>-0.10178587138207085</v>
      </c>
      <c r="V154" s="8">
        <f t="shared" si="62"/>
        <v>-0.21311142683174344</v>
      </c>
      <c r="W154" s="8">
        <f t="shared" si="63"/>
        <v>2.7019724398811062E-2</v>
      </c>
      <c r="X154" s="8">
        <f t="shared" si="64"/>
        <v>-4.9711847257049913E-2</v>
      </c>
      <c r="Y154" s="8">
        <f t="shared" si="65"/>
        <v>-6.7551458316776891E-3</v>
      </c>
      <c r="Z154" s="8">
        <f t="shared" si="66"/>
        <v>-0.21311142683174344</v>
      </c>
      <c r="AB154" s="26">
        <f t="shared" si="67"/>
        <v>0.1848280878196141</v>
      </c>
      <c r="AC154" s="26">
        <f t="shared" si="68"/>
        <v>2.4390099812624348E-2</v>
      </c>
      <c r="AD154" s="26">
        <f t="shared" si="69"/>
        <v>4.4519736793578964E-2</v>
      </c>
      <c r="AE154" s="26">
        <f t="shared" si="70"/>
        <v>5.9011730523408898E-2</v>
      </c>
      <c r="AF154" s="26">
        <f t="shared" si="71"/>
        <v>7.3203505973170616E-2</v>
      </c>
      <c r="AG154" s="26">
        <f t="shared" si="72"/>
        <v>6.2623176232318445E-2</v>
      </c>
      <c r="AH154" s="26">
        <f t="shared" si="73"/>
        <v>-0.10712925142713126</v>
      </c>
      <c r="AI154" s="26">
        <f t="shared" si="74"/>
        <v>-0.22551319296078082</v>
      </c>
      <c r="AJ154" s="26">
        <f t="shared" si="75"/>
        <v>1.6790518427168777E-2</v>
      </c>
      <c r="AK154" s="26">
        <f t="shared" si="76"/>
        <v>-4.8144931975178495E-2</v>
      </c>
      <c r="AL154" s="26">
        <f t="shared" si="77"/>
        <v>-3.2309107179219827E-3</v>
      </c>
      <c r="AM154" s="26">
        <f t="shared" si="78"/>
        <v>-0.22551319296078082</v>
      </c>
    </row>
    <row r="155" spans="1:39" x14ac:dyDescent="0.2">
      <c r="A155" s="5">
        <v>30041</v>
      </c>
      <c r="B155" s="14">
        <v>16.031581274100002</v>
      </c>
      <c r="C155" s="14">
        <v>12.7590476191</v>
      </c>
      <c r="D155" s="1">
        <v>12.97</v>
      </c>
      <c r="E155" s="1">
        <v>13.52</v>
      </c>
      <c r="F155" s="1">
        <v>13.98</v>
      </c>
      <c r="G155" s="1">
        <v>14.459999999999999</v>
      </c>
      <c r="H155" s="1">
        <v>102.10000000000001</v>
      </c>
      <c r="I155" s="1">
        <v>504.01</v>
      </c>
      <c r="J155" s="1">
        <v>38.01</v>
      </c>
      <c r="K155" s="1">
        <v>216.01</v>
      </c>
      <c r="L155" s="1">
        <v>249.95999999999998</v>
      </c>
      <c r="M155">
        <f t="shared" si="54"/>
        <v>1008.02</v>
      </c>
      <c r="O155" s="8">
        <f t="shared" si="55"/>
        <v>-0.13550877357367608</v>
      </c>
      <c r="P155" s="8">
        <f t="shared" si="56"/>
        <v>-9.9985071275248361E-2</v>
      </c>
      <c r="Q155" s="8">
        <f t="shared" si="57"/>
        <v>-7.0932922127987741E-2</v>
      </c>
      <c r="R155" s="8">
        <f t="shared" si="58"/>
        <v>-3.3284023668639029E-2</v>
      </c>
      <c r="S155" s="8">
        <f t="shared" si="59"/>
        <v>-3.0042918454935563E-2</v>
      </c>
      <c r="T155" s="8">
        <f t="shared" si="60"/>
        <v>-1.7980636237897585E-2</v>
      </c>
      <c r="U155" s="8">
        <f t="shared" si="61"/>
        <v>4.1136141038197849E-2</v>
      </c>
      <c r="V155" s="8">
        <f t="shared" si="62"/>
        <v>2.0832919981746301E-2</v>
      </c>
      <c r="W155" s="8">
        <f t="shared" si="63"/>
        <v>3.946329913180735E-2</v>
      </c>
      <c r="X155" s="8">
        <f t="shared" si="64"/>
        <v>4.5599740752742868E-2</v>
      </c>
      <c r="Y155" s="8">
        <f t="shared" si="65"/>
        <v>-4.2406785085613685E-2</v>
      </c>
      <c r="Z155" s="8">
        <f t="shared" si="66"/>
        <v>2.0832919981746301E-2</v>
      </c>
      <c r="AB155" s="26">
        <f t="shared" si="67"/>
        <v>-0.14002969806610113</v>
      </c>
      <c r="AC155" s="26">
        <f t="shared" si="68"/>
        <v>-0.10250184129382496</v>
      </c>
      <c r="AD155" s="26">
        <f t="shared" si="69"/>
        <v>-7.3225130451438691E-2</v>
      </c>
      <c r="AE155" s="26">
        <f t="shared" si="70"/>
        <v>-3.5496782941148344E-2</v>
      </c>
      <c r="AF155" s="26">
        <f t="shared" si="71"/>
        <v>-3.2224027866380338E-2</v>
      </c>
      <c r="AG155" s="26">
        <f t="shared" si="72"/>
        <v>-2.0158638208819194E-2</v>
      </c>
      <c r="AH155" s="26">
        <f t="shared" si="73"/>
        <v>3.579276099313744E-2</v>
      </c>
      <c r="AI155" s="26">
        <f t="shared" si="74"/>
        <v>8.4311538527089211E-3</v>
      </c>
      <c r="AJ155" s="26">
        <f t="shared" si="75"/>
        <v>2.9234093160165064E-2</v>
      </c>
      <c r="AK155" s="26">
        <f t="shared" si="76"/>
        <v>4.7166656034614285E-2</v>
      </c>
      <c r="AL155" s="26">
        <f t="shared" si="77"/>
        <v>-3.8882549971857978E-2</v>
      </c>
      <c r="AM155" s="26">
        <f t="shared" si="78"/>
        <v>8.4311538527089211E-3</v>
      </c>
    </row>
    <row r="156" spans="1:39" x14ac:dyDescent="0.2">
      <c r="A156" s="5">
        <v>30071</v>
      </c>
      <c r="B156" s="14">
        <v>13.8591613572</v>
      </c>
      <c r="C156" s="14">
        <v>11.483333333499999</v>
      </c>
      <c r="D156" s="1">
        <v>12.049999999999999</v>
      </c>
      <c r="E156" s="1">
        <v>13.07</v>
      </c>
      <c r="F156" s="1">
        <v>13.56</v>
      </c>
      <c r="G156" s="1">
        <v>14.2</v>
      </c>
      <c r="H156" s="1">
        <v>106.30000000000001</v>
      </c>
      <c r="I156" s="1">
        <v>514.51</v>
      </c>
      <c r="J156" s="1">
        <v>39.51</v>
      </c>
      <c r="K156" s="1">
        <v>225.85999999999999</v>
      </c>
      <c r="L156" s="1">
        <v>239.35999999999999</v>
      </c>
      <c r="M156">
        <f t="shared" si="54"/>
        <v>1029.02</v>
      </c>
      <c r="O156" s="8">
        <f t="shared" si="55"/>
        <v>-0.35793697931966517</v>
      </c>
      <c r="P156" s="8">
        <f t="shared" si="56"/>
        <v>-0.11250259175453547</v>
      </c>
      <c r="Q156" s="8">
        <f t="shared" si="57"/>
        <v>-8.7136929460580825E-2</v>
      </c>
      <c r="R156" s="8">
        <f t="shared" si="58"/>
        <v>-8.7987758224942647E-2</v>
      </c>
      <c r="S156" s="8">
        <f t="shared" si="59"/>
        <v>-8.8495575221238965E-2</v>
      </c>
      <c r="T156" s="8">
        <f t="shared" si="60"/>
        <v>-7.1830985915492973E-2</v>
      </c>
      <c r="U156" s="8">
        <f t="shared" si="61"/>
        <v>4.6566321730949989E-2</v>
      </c>
      <c r="V156" s="8">
        <f t="shared" si="62"/>
        <v>4.081553322578757E-2</v>
      </c>
      <c r="W156" s="8">
        <f t="shared" si="63"/>
        <v>0</v>
      </c>
      <c r="X156" s="8">
        <f t="shared" si="64"/>
        <v>3.7191180377224908E-2</v>
      </c>
      <c r="Y156" s="8">
        <f t="shared" si="65"/>
        <v>-6.8307152406417049E-2</v>
      </c>
      <c r="Z156" s="8">
        <f t="shared" si="66"/>
        <v>4.081553322578757E-2</v>
      </c>
      <c r="AB156" s="26">
        <f t="shared" si="67"/>
        <v>-0.3624579038120902</v>
      </c>
      <c r="AC156" s="26">
        <f t="shared" si="68"/>
        <v>-0.11501936177311207</v>
      </c>
      <c r="AD156" s="26">
        <f t="shared" si="69"/>
        <v>-8.9429137784031776E-2</v>
      </c>
      <c r="AE156" s="26">
        <f t="shared" si="70"/>
        <v>-9.0200517497451962E-2</v>
      </c>
      <c r="AF156" s="26">
        <f t="shared" si="71"/>
        <v>-9.0676684632683732E-2</v>
      </c>
      <c r="AG156" s="26">
        <f t="shared" si="72"/>
        <v>-7.4008987886414579E-2</v>
      </c>
      <c r="AH156" s="26">
        <f t="shared" si="73"/>
        <v>4.122294168588958E-2</v>
      </c>
      <c r="AI156" s="26">
        <f t="shared" si="74"/>
        <v>2.8413767096750191E-2</v>
      </c>
      <c r="AJ156" s="26">
        <f t="shared" si="75"/>
        <v>-1.0229205971642284E-2</v>
      </c>
      <c r="AK156" s="26">
        <f t="shared" si="76"/>
        <v>3.8758095659096325E-2</v>
      </c>
      <c r="AL156" s="26">
        <f t="shared" si="77"/>
        <v>-6.4782917292661349E-2</v>
      </c>
      <c r="AM156" s="26">
        <f t="shared" si="78"/>
        <v>2.8413767096750191E-2</v>
      </c>
    </row>
    <row r="157" spans="1:39" x14ac:dyDescent="0.2">
      <c r="A157" s="5">
        <v>30102</v>
      </c>
      <c r="B157" s="14">
        <v>8.8984550051000006</v>
      </c>
      <c r="C157" s="14">
        <v>10.191428571499999</v>
      </c>
      <c r="D157" s="1">
        <v>11</v>
      </c>
      <c r="E157" s="1">
        <v>11.92</v>
      </c>
      <c r="F157" s="1">
        <v>12.36</v>
      </c>
      <c r="G157" s="1">
        <v>13.18</v>
      </c>
      <c r="H157" s="1">
        <v>111.25</v>
      </c>
      <c r="I157" s="1">
        <v>535.51</v>
      </c>
      <c r="J157" s="1">
        <v>39.51</v>
      </c>
      <c r="K157" s="1">
        <v>234.26</v>
      </c>
      <c r="L157" s="1">
        <v>223.01</v>
      </c>
      <c r="M157">
        <f t="shared" si="54"/>
        <v>1071.02</v>
      </c>
      <c r="O157" s="8">
        <f t="shared" si="55"/>
        <v>-0.17823794684481598</v>
      </c>
      <c r="P157" s="8">
        <f t="shared" si="56"/>
        <v>-3.9575740581443863E-2</v>
      </c>
      <c r="Q157" s="8">
        <f t="shared" si="57"/>
        <v>-3.7272727272727235E-2</v>
      </c>
      <c r="R157" s="8">
        <f t="shared" si="58"/>
        <v>-4.3624161073825496E-2</v>
      </c>
      <c r="S157" s="8">
        <f t="shared" si="59"/>
        <v>-3.7216828478964348E-2</v>
      </c>
      <c r="T157" s="8">
        <f t="shared" si="60"/>
        <v>-3.4901365705614529E-2</v>
      </c>
      <c r="U157" s="8">
        <f t="shared" si="61"/>
        <v>2.6966292134831482E-2</v>
      </c>
      <c r="V157" s="8">
        <f t="shared" si="62"/>
        <v>0.21661593621034148</v>
      </c>
      <c r="W157" s="8">
        <f t="shared" si="63"/>
        <v>0</v>
      </c>
      <c r="X157" s="8">
        <f t="shared" si="64"/>
        <v>5.5493895671476778E-3</v>
      </c>
      <c r="Y157" s="8">
        <f t="shared" si="65"/>
        <v>-1.3900721940720118E-2</v>
      </c>
      <c r="Z157" s="8">
        <f t="shared" si="66"/>
        <v>0.21661593621034148</v>
      </c>
      <c r="AB157" s="26">
        <f t="shared" si="67"/>
        <v>-0.18275887133724103</v>
      </c>
      <c r="AC157" s="26">
        <f t="shared" si="68"/>
        <v>-4.2092510600020457E-2</v>
      </c>
      <c r="AD157" s="26">
        <f t="shared" si="69"/>
        <v>-3.9564935596178179E-2</v>
      </c>
      <c r="AE157" s="26">
        <f t="shared" si="70"/>
        <v>-4.5836920346334811E-2</v>
      </c>
      <c r="AF157" s="26">
        <f t="shared" si="71"/>
        <v>-3.9397937890409122E-2</v>
      </c>
      <c r="AG157" s="26">
        <f t="shared" si="72"/>
        <v>-3.7079367676536135E-2</v>
      </c>
      <c r="AH157" s="26">
        <f t="shared" si="73"/>
        <v>2.1622912089771077E-2</v>
      </c>
      <c r="AI157" s="26">
        <f t="shared" si="74"/>
        <v>0.2042141700813041</v>
      </c>
      <c r="AJ157" s="26">
        <f t="shared" si="75"/>
        <v>-1.0229205971642284E-2</v>
      </c>
      <c r="AK157" s="26">
        <f t="shared" si="76"/>
        <v>7.1163048490190924E-3</v>
      </c>
      <c r="AL157" s="26">
        <f t="shared" si="77"/>
        <v>-1.0376486826964411E-2</v>
      </c>
      <c r="AM157" s="26">
        <f t="shared" si="78"/>
        <v>0.2042141700813041</v>
      </c>
    </row>
    <row r="158" spans="1:39" x14ac:dyDescent="0.2">
      <c r="A158" s="5">
        <v>30132</v>
      </c>
      <c r="B158" s="14">
        <v>7.3124126549000001</v>
      </c>
      <c r="C158" s="14">
        <v>9.7880952382000004</v>
      </c>
      <c r="D158" s="1">
        <v>10.59</v>
      </c>
      <c r="E158" s="1">
        <v>11.4</v>
      </c>
      <c r="F158" s="1">
        <v>11.9</v>
      </c>
      <c r="G158" s="1">
        <v>12.72</v>
      </c>
      <c r="H158" s="1">
        <v>114.25</v>
      </c>
      <c r="I158" s="1">
        <v>651.51</v>
      </c>
      <c r="J158" s="1">
        <v>39.51</v>
      </c>
      <c r="K158" s="1">
        <v>235.56</v>
      </c>
      <c r="L158" s="1">
        <v>219.91</v>
      </c>
      <c r="M158">
        <f t="shared" si="54"/>
        <v>1303.02</v>
      </c>
      <c r="O158" s="8">
        <f t="shared" si="55"/>
        <v>0.14138308828991253</v>
      </c>
      <c r="P158" s="8">
        <f t="shared" si="56"/>
        <v>4.7979920819238409E-2</v>
      </c>
      <c r="Q158" s="8">
        <f t="shared" si="57"/>
        <v>4.6270066100094542E-2</v>
      </c>
      <c r="R158" s="8">
        <f t="shared" si="58"/>
        <v>3.5087719298245723E-3</v>
      </c>
      <c r="S158" s="8">
        <f t="shared" si="59"/>
        <v>5.0420168067226712E-3</v>
      </c>
      <c r="T158" s="8">
        <f t="shared" si="60"/>
        <v>-4.7169811320755262E-3</v>
      </c>
      <c r="U158" s="8">
        <f t="shared" si="61"/>
        <v>6.5032822757111752E-2</v>
      </c>
      <c r="V158" s="8">
        <f t="shared" si="62"/>
        <v>-5.2662276864514634E-2</v>
      </c>
      <c r="W158" s="8">
        <f t="shared" si="63"/>
        <v>0</v>
      </c>
      <c r="X158" s="8">
        <f t="shared" si="64"/>
        <v>-5.5187637969095205E-3</v>
      </c>
      <c r="Y158" s="8">
        <f t="shared" si="65"/>
        <v>3.4104861079532478E-2</v>
      </c>
      <c r="Z158" s="8">
        <f t="shared" si="66"/>
        <v>-5.2662276864514634E-2</v>
      </c>
      <c r="AB158" s="26">
        <f t="shared" si="67"/>
        <v>0.13686216379748747</v>
      </c>
      <c r="AC158" s="26">
        <f t="shared" si="68"/>
        <v>4.5463150800661815E-2</v>
      </c>
      <c r="AD158" s="26">
        <f t="shared" si="69"/>
        <v>4.3977857776643599E-2</v>
      </c>
      <c r="AE158" s="26">
        <f t="shared" si="70"/>
        <v>1.2960126573152539E-3</v>
      </c>
      <c r="AF158" s="26">
        <f t="shared" si="71"/>
        <v>2.8609073952778979E-3</v>
      </c>
      <c r="AG158" s="26">
        <f t="shared" si="72"/>
        <v>-6.8949831029971355E-3</v>
      </c>
      <c r="AH158" s="26">
        <f t="shared" si="73"/>
        <v>5.9689442712051344E-2</v>
      </c>
      <c r="AI158" s="26">
        <f t="shared" si="74"/>
        <v>-6.5064042993552007E-2</v>
      </c>
      <c r="AJ158" s="26">
        <f t="shared" si="75"/>
        <v>-1.0229205971642284E-2</v>
      </c>
      <c r="AK158" s="26">
        <f t="shared" si="76"/>
        <v>-3.9518485150381059E-3</v>
      </c>
      <c r="AL158" s="26">
        <f t="shared" si="77"/>
        <v>3.7629096193288185E-2</v>
      </c>
      <c r="AM158" s="26">
        <f t="shared" si="78"/>
        <v>-6.5064042993552007E-2</v>
      </c>
    </row>
    <row r="159" spans="1:39" x14ac:dyDescent="0.2">
      <c r="A159" s="5">
        <v>30163</v>
      </c>
      <c r="B159" s="14">
        <v>8.3462641389000005</v>
      </c>
      <c r="C159" s="14">
        <v>10.2577272727</v>
      </c>
      <c r="D159" s="1">
        <v>11.08</v>
      </c>
      <c r="E159" s="1">
        <v>11.44</v>
      </c>
      <c r="F159" s="1">
        <v>11.959999999999999</v>
      </c>
      <c r="G159" s="1">
        <v>12.66</v>
      </c>
      <c r="H159" s="1">
        <v>121.68</v>
      </c>
      <c r="I159" s="1">
        <v>617.20000000000005</v>
      </c>
      <c r="J159" s="1">
        <v>39.51</v>
      </c>
      <c r="K159" s="1">
        <v>234.26</v>
      </c>
      <c r="L159" s="1">
        <v>227.41</v>
      </c>
      <c r="M159">
        <f t="shared" si="54"/>
        <v>1234.4000000000001</v>
      </c>
      <c r="O159" s="8">
        <f t="shared" si="55"/>
        <v>0.13632254499316065</v>
      </c>
      <c r="P159" s="8">
        <f t="shared" si="56"/>
        <v>8.327161237492775E-2</v>
      </c>
      <c r="Q159" s="8">
        <f t="shared" si="57"/>
        <v>5.1444043321299704E-2</v>
      </c>
      <c r="R159" s="8">
        <f t="shared" si="58"/>
        <v>5.7692307692307709E-2</v>
      </c>
      <c r="S159" s="8">
        <f t="shared" si="59"/>
        <v>4.0969899665551868E-2</v>
      </c>
      <c r="T159" s="8">
        <f t="shared" si="60"/>
        <v>3.9494470774091628E-2</v>
      </c>
      <c r="U159" s="8">
        <f t="shared" si="61"/>
        <v>5.8349769888230707E-3</v>
      </c>
      <c r="V159" s="8">
        <f t="shared" si="62"/>
        <v>2.4805573558003724E-2</v>
      </c>
      <c r="W159" s="8">
        <f t="shared" si="63"/>
        <v>-3.796507213363709E-2</v>
      </c>
      <c r="X159" s="8">
        <f t="shared" si="64"/>
        <v>2.2837872449415153E-2</v>
      </c>
      <c r="Y159" s="8">
        <f t="shared" si="65"/>
        <v>-3.6497955235038071E-2</v>
      </c>
      <c r="Z159" s="8">
        <f t="shared" si="66"/>
        <v>2.4805573558003724E-2</v>
      </c>
      <c r="AB159" s="26">
        <f t="shared" si="67"/>
        <v>0.1318016205007356</v>
      </c>
      <c r="AC159" s="26">
        <f t="shared" si="68"/>
        <v>8.075484235635115E-2</v>
      </c>
      <c r="AD159" s="26">
        <f t="shared" si="69"/>
        <v>4.915183499784876E-2</v>
      </c>
      <c r="AE159" s="26">
        <f t="shared" si="70"/>
        <v>5.5479548419798394E-2</v>
      </c>
      <c r="AF159" s="26">
        <f t="shared" si="71"/>
        <v>3.8788790254107093E-2</v>
      </c>
      <c r="AG159" s="26">
        <f t="shared" si="72"/>
        <v>3.7316468803170022E-2</v>
      </c>
      <c r="AH159" s="26">
        <f t="shared" si="73"/>
        <v>4.9159694376266563E-4</v>
      </c>
      <c r="AI159" s="26">
        <f t="shared" si="74"/>
        <v>1.2403807428966344E-2</v>
      </c>
      <c r="AJ159" s="26">
        <f t="shared" si="75"/>
        <v>-4.8194278105279376E-2</v>
      </c>
      <c r="AK159" s="26">
        <f t="shared" si="76"/>
        <v>2.4404787731286567E-2</v>
      </c>
      <c r="AL159" s="26">
        <f t="shared" si="77"/>
        <v>-3.2973720121282364E-2</v>
      </c>
      <c r="AM159" s="26">
        <f t="shared" si="78"/>
        <v>1.2403807428966344E-2</v>
      </c>
    </row>
    <row r="160" spans="1:39" x14ac:dyDescent="0.2">
      <c r="A160" s="5">
        <v>30194</v>
      </c>
      <c r="B160" s="14">
        <v>9.4840481074999996</v>
      </c>
      <c r="C160" s="14">
        <v>11.111904762</v>
      </c>
      <c r="D160" s="1">
        <v>11.65</v>
      </c>
      <c r="E160" s="1">
        <v>12.1</v>
      </c>
      <c r="F160" s="1">
        <v>12.45</v>
      </c>
      <c r="G160" s="1">
        <v>13.16</v>
      </c>
      <c r="H160" s="1">
        <v>122.39</v>
      </c>
      <c r="I160" s="1">
        <v>632.51</v>
      </c>
      <c r="J160" s="1">
        <v>38.01</v>
      </c>
      <c r="K160" s="1">
        <v>239.60999999999999</v>
      </c>
      <c r="L160" s="1">
        <v>219.10999999999999</v>
      </c>
      <c r="M160">
        <f t="shared" si="54"/>
        <v>1265.02</v>
      </c>
      <c r="O160" s="8">
        <f t="shared" si="55"/>
        <v>0.1281114431968311</v>
      </c>
      <c r="P160" s="8">
        <f t="shared" si="56"/>
        <v>3.6597385903693214E-2</v>
      </c>
      <c r="Q160" s="8">
        <f t="shared" si="57"/>
        <v>3.2618025751072866E-2</v>
      </c>
      <c r="R160" s="8">
        <f t="shared" si="58"/>
        <v>3.5537190082644665E-2</v>
      </c>
      <c r="S160" s="8">
        <f t="shared" si="59"/>
        <v>4.2570281124498122E-2</v>
      </c>
      <c r="T160" s="8">
        <f t="shared" si="60"/>
        <v>4.1793313069908633E-2</v>
      </c>
      <c r="U160" s="8">
        <f t="shared" si="61"/>
        <v>2.5165454694010991E-2</v>
      </c>
      <c r="V160" s="8">
        <f t="shared" si="62"/>
        <v>6.0078101531991557E-2</v>
      </c>
      <c r="W160" s="8">
        <f t="shared" si="63"/>
        <v>-5.2617732175743281E-2</v>
      </c>
      <c r="X160" s="8">
        <f t="shared" si="64"/>
        <v>-3.7561036684612414E-3</v>
      </c>
      <c r="Y160" s="8">
        <f t="shared" si="65"/>
        <v>-3.765232075213365E-2</v>
      </c>
      <c r="Z160" s="8">
        <f t="shared" si="66"/>
        <v>6.0078101531991557E-2</v>
      </c>
      <c r="AB160" s="26">
        <f t="shared" si="67"/>
        <v>0.12359051870440604</v>
      </c>
      <c r="AC160" s="26">
        <f t="shared" si="68"/>
        <v>3.408061588511662E-2</v>
      </c>
      <c r="AD160" s="26">
        <f t="shared" si="69"/>
        <v>3.0325817427621922E-2</v>
      </c>
      <c r="AE160" s="26">
        <f t="shared" si="70"/>
        <v>3.332443081013535E-2</v>
      </c>
      <c r="AF160" s="26">
        <f t="shared" si="71"/>
        <v>4.0389171713053347E-2</v>
      </c>
      <c r="AG160" s="26">
        <f t="shared" si="72"/>
        <v>3.9615311098987027E-2</v>
      </c>
      <c r="AH160" s="26">
        <f t="shared" si="73"/>
        <v>1.9822074648950586E-2</v>
      </c>
      <c r="AI160" s="26">
        <f t="shared" si="74"/>
        <v>4.7676335402954177E-2</v>
      </c>
      <c r="AJ160" s="26">
        <f t="shared" si="75"/>
        <v>-6.2846938147385567E-2</v>
      </c>
      <c r="AK160" s="26">
        <f t="shared" si="76"/>
        <v>-2.1891883865898269E-3</v>
      </c>
      <c r="AL160" s="26">
        <f t="shared" si="77"/>
        <v>-3.4128085638377943E-2</v>
      </c>
      <c r="AM160" s="26">
        <f t="shared" si="78"/>
        <v>4.7676335402954177E-2</v>
      </c>
    </row>
    <row r="161" spans="1:39" x14ac:dyDescent="0.2">
      <c r="A161" s="5">
        <v>30224</v>
      </c>
      <c r="B161" s="14">
        <v>10.699063197899999</v>
      </c>
      <c r="C161" s="14">
        <v>11.5185714287</v>
      </c>
      <c r="D161" s="1">
        <v>12.03</v>
      </c>
      <c r="E161" s="1">
        <v>12.53</v>
      </c>
      <c r="F161" s="1">
        <v>12.98</v>
      </c>
      <c r="G161" s="1">
        <v>13.709999999999999</v>
      </c>
      <c r="H161" s="1">
        <v>125.47</v>
      </c>
      <c r="I161" s="1">
        <v>670.51</v>
      </c>
      <c r="J161" s="1">
        <v>36.01</v>
      </c>
      <c r="K161" s="1">
        <v>238.70999999999998</v>
      </c>
      <c r="L161" s="1">
        <v>210.85999999999999</v>
      </c>
      <c r="M161">
        <f t="shared" si="54"/>
        <v>1341.02</v>
      </c>
      <c r="O161" s="8">
        <f t="shared" si="55"/>
        <v>0.13516249885166043</v>
      </c>
      <c r="P161" s="8">
        <f t="shared" si="56"/>
        <v>2.107832634479756E-2</v>
      </c>
      <c r="Q161" s="8">
        <f t="shared" si="57"/>
        <v>2.4106400665004246E-2</v>
      </c>
      <c r="R161" s="8">
        <f t="shared" si="58"/>
        <v>1.276935355147657E-2</v>
      </c>
      <c r="S161" s="8">
        <f t="shared" si="59"/>
        <v>6.1633281972264253E-3</v>
      </c>
      <c r="T161" s="8">
        <f t="shared" si="60"/>
        <v>3.8657913931436916E-2</v>
      </c>
      <c r="U161" s="8">
        <f t="shared" si="61"/>
        <v>1.6019765681039244E-2</v>
      </c>
      <c r="V161" s="8">
        <f t="shared" si="62"/>
        <v>-6.1147484750413872E-2</v>
      </c>
      <c r="W161" s="8">
        <f t="shared" si="63"/>
        <v>0</v>
      </c>
      <c r="X161" s="8">
        <f t="shared" si="64"/>
        <v>2.0736458464245322E-2</v>
      </c>
      <c r="Y161" s="8">
        <f t="shared" si="65"/>
        <v>9.484966328370259E-4</v>
      </c>
      <c r="Z161" s="8">
        <f t="shared" si="66"/>
        <v>-6.1147484750413872E-2</v>
      </c>
      <c r="AB161" s="26">
        <f t="shared" si="67"/>
        <v>0.13064157435923537</v>
      </c>
      <c r="AC161" s="26">
        <f t="shared" si="68"/>
        <v>1.8561556326220967E-2</v>
      </c>
      <c r="AD161" s="26">
        <f t="shared" si="69"/>
        <v>2.1814192341553303E-2</v>
      </c>
      <c r="AE161" s="26">
        <f t="shared" si="70"/>
        <v>1.0556594278967251E-2</v>
      </c>
      <c r="AF161" s="26">
        <f t="shared" si="71"/>
        <v>3.9822187857816525E-3</v>
      </c>
      <c r="AG161" s="26">
        <f t="shared" si="72"/>
        <v>3.647991196051531E-2</v>
      </c>
      <c r="AH161" s="26">
        <f t="shared" si="73"/>
        <v>1.0676385635978839E-2</v>
      </c>
      <c r="AI161" s="26">
        <f t="shared" si="74"/>
        <v>-7.3549250879451245E-2</v>
      </c>
      <c r="AJ161" s="26">
        <f t="shared" si="75"/>
        <v>-1.0229205971642284E-2</v>
      </c>
      <c r="AK161" s="26">
        <f t="shared" si="76"/>
        <v>2.2303373746116736E-2</v>
      </c>
      <c r="AL161" s="26">
        <f t="shared" si="77"/>
        <v>4.4727317465927327E-3</v>
      </c>
      <c r="AM161" s="26">
        <f t="shared" si="78"/>
        <v>-7.3549250879451245E-2</v>
      </c>
    </row>
    <row r="162" spans="1:39" x14ac:dyDescent="0.2">
      <c r="A162" s="5">
        <v>30255</v>
      </c>
      <c r="B162" s="14">
        <v>12.145175315099999</v>
      </c>
      <c r="C162" s="14">
        <v>11.7613636363</v>
      </c>
      <c r="D162" s="1">
        <v>12.32</v>
      </c>
      <c r="E162" s="1">
        <v>12.69</v>
      </c>
      <c r="F162" s="1">
        <v>13.06</v>
      </c>
      <c r="G162" s="1">
        <v>14.24</v>
      </c>
      <c r="H162" s="1">
        <v>127.48</v>
      </c>
      <c r="I162" s="1">
        <v>629.51</v>
      </c>
      <c r="J162" s="1">
        <v>36.01</v>
      </c>
      <c r="K162" s="1">
        <v>243.66</v>
      </c>
      <c r="L162" s="1">
        <v>211.06</v>
      </c>
      <c r="M162">
        <f t="shared" si="54"/>
        <v>1259.02</v>
      </c>
      <c r="O162" s="8">
        <f t="shared" si="55"/>
        <v>0.1876511687868736</v>
      </c>
      <c r="P162" s="8">
        <f t="shared" si="56"/>
        <v>7.9356635409124854E-2</v>
      </c>
      <c r="Q162" s="8">
        <f t="shared" si="57"/>
        <v>5.3571428571428603E-2</v>
      </c>
      <c r="R162" s="8">
        <f t="shared" si="58"/>
        <v>5.2009456264775489E-2</v>
      </c>
      <c r="S162" s="8">
        <f t="shared" si="59"/>
        <v>4.1347626339969246E-2</v>
      </c>
      <c r="T162" s="8">
        <f t="shared" si="60"/>
        <v>2.8792134831460592E-2</v>
      </c>
      <c r="U162" s="8">
        <f t="shared" si="61"/>
        <v>0.1023689990586758</v>
      </c>
      <c r="V162" s="8">
        <f t="shared" si="62"/>
        <v>-1.1119759813188024E-2</v>
      </c>
      <c r="W162" s="8">
        <f t="shared" si="63"/>
        <v>0</v>
      </c>
      <c r="X162" s="8">
        <f t="shared" si="64"/>
        <v>-3.2422227694328232E-2</v>
      </c>
      <c r="Y162" s="8">
        <f t="shared" si="65"/>
        <v>2.6295840045484686E-2</v>
      </c>
      <c r="Z162" s="8">
        <f t="shared" si="66"/>
        <v>-1.1119759813188024E-2</v>
      </c>
      <c r="AB162" s="26">
        <f t="shared" si="67"/>
        <v>0.18313024429444855</v>
      </c>
      <c r="AC162" s="26">
        <f t="shared" si="68"/>
        <v>7.6839865390548254E-2</v>
      </c>
      <c r="AD162" s="26">
        <f t="shared" si="69"/>
        <v>5.127922024797766E-2</v>
      </c>
      <c r="AE162" s="26">
        <f t="shared" si="70"/>
        <v>4.9796696992266173E-2</v>
      </c>
      <c r="AF162" s="26">
        <f t="shared" si="71"/>
        <v>3.9166516928524471E-2</v>
      </c>
      <c r="AG162" s="26">
        <f t="shared" si="72"/>
        <v>2.6614132860538983E-2</v>
      </c>
      <c r="AH162" s="26">
        <f t="shared" si="73"/>
        <v>9.7025619013615394E-2</v>
      </c>
      <c r="AI162" s="26">
        <f t="shared" si="74"/>
        <v>-2.3521525942225403E-2</v>
      </c>
      <c r="AJ162" s="26">
        <f t="shared" si="75"/>
        <v>-1.0229205971642284E-2</v>
      </c>
      <c r="AK162" s="26">
        <f t="shared" si="76"/>
        <v>-3.0855312412456818E-2</v>
      </c>
      <c r="AL162" s="26">
        <f t="shared" si="77"/>
        <v>2.9820075159240393E-2</v>
      </c>
      <c r="AM162" s="26">
        <f t="shared" si="78"/>
        <v>-2.3521525942225403E-2</v>
      </c>
    </row>
    <row r="163" spans="1:39" x14ac:dyDescent="0.2">
      <c r="A163" s="5">
        <v>30285</v>
      </c>
      <c r="B163" s="14">
        <v>14.4242316581</v>
      </c>
      <c r="C163" s="14">
        <v>12.694705882299999</v>
      </c>
      <c r="D163" s="1">
        <v>12.98</v>
      </c>
      <c r="E163" s="1">
        <v>13.35</v>
      </c>
      <c r="F163" s="1">
        <v>13.6</v>
      </c>
      <c r="G163" s="1">
        <v>14.65</v>
      </c>
      <c r="H163" s="1">
        <v>140.53</v>
      </c>
      <c r="I163" s="1">
        <v>622.51</v>
      </c>
      <c r="J163" s="1">
        <v>36.01</v>
      </c>
      <c r="K163" s="1">
        <v>235.76</v>
      </c>
      <c r="L163" s="1">
        <v>216.60999999999999</v>
      </c>
      <c r="M163">
        <f t="shared" si="54"/>
        <v>1245.02</v>
      </c>
      <c r="O163" s="8">
        <f t="shared" si="55"/>
        <v>0.13388208402182422</v>
      </c>
      <c r="P163" s="8">
        <f t="shared" si="56"/>
        <v>1.2555235881615001E-2</v>
      </c>
      <c r="Q163" s="8">
        <f t="shared" si="57"/>
        <v>1.8489984591679498E-2</v>
      </c>
      <c r="R163" s="8">
        <f t="shared" si="58"/>
        <v>3.2958801498127244E-2</v>
      </c>
      <c r="S163" s="8">
        <f t="shared" si="59"/>
        <v>3.2352941176470473E-2</v>
      </c>
      <c r="T163" s="8">
        <f t="shared" si="60"/>
        <v>3.4129692832764569E-2</v>
      </c>
      <c r="U163" s="8">
        <f t="shared" si="61"/>
        <v>-3.3871771152067298E-2</v>
      </c>
      <c r="V163" s="8">
        <f t="shared" si="62"/>
        <v>-5.3011196607283373E-2</v>
      </c>
      <c r="W163" s="8">
        <f t="shared" si="63"/>
        <v>2.7770063871146888E-2</v>
      </c>
      <c r="X163" s="8">
        <f t="shared" si="64"/>
        <v>1.3361045130641402E-2</v>
      </c>
      <c r="Y163" s="8">
        <f t="shared" si="65"/>
        <v>-6.2323992428789055E-2</v>
      </c>
      <c r="Z163" s="8">
        <f t="shared" si="66"/>
        <v>-5.3011196607283373E-2</v>
      </c>
      <c r="AB163" s="26">
        <f t="shared" si="67"/>
        <v>0.12936115952939917</v>
      </c>
      <c r="AC163" s="26">
        <f t="shared" si="68"/>
        <v>1.0038465863038408E-2</v>
      </c>
      <c r="AD163" s="26">
        <f t="shared" si="69"/>
        <v>1.6197776268228554E-2</v>
      </c>
      <c r="AE163" s="26">
        <f t="shared" si="70"/>
        <v>3.0746042225617925E-2</v>
      </c>
      <c r="AF163" s="26">
        <f t="shared" si="71"/>
        <v>3.0171831765025699E-2</v>
      </c>
      <c r="AG163" s="26">
        <f t="shared" si="72"/>
        <v>3.1951690861842963E-2</v>
      </c>
      <c r="AH163" s="26">
        <f t="shared" si="73"/>
        <v>-3.9215151197127707E-2</v>
      </c>
      <c r="AI163" s="26">
        <f t="shared" si="74"/>
        <v>-6.5412962736320746E-2</v>
      </c>
      <c r="AJ163" s="26">
        <f t="shared" si="75"/>
        <v>1.7540857899504603E-2</v>
      </c>
      <c r="AK163" s="26">
        <f t="shared" si="76"/>
        <v>1.4927960412512816E-2</v>
      </c>
      <c r="AL163" s="26">
        <f t="shared" si="77"/>
        <v>-5.8799757315033348E-2</v>
      </c>
      <c r="AM163" s="26">
        <f t="shared" si="78"/>
        <v>-6.5412962736320746E-2</v>
      </c>
    </row>
    <row r="164" spans="1:39" x14ac:dyDescent="0.2">
      <c r="A164" s="5">
        <v>30316</v>
      </c>
      <c r="B164" s="14">
        <v>16.355377852900002</v>
      </c>
      <c r="C164" s="14">
        <v>12.8540909091</v>
      </c>
      <c r="D164" s="1">
        <v>13.22</v>
      </c>
      <c r="E164" s="1">
        <v>13.79</v>
      </c>
      <c r="F164" s="1">
        <v>14.04</v>
      </c>
      <c r="G164" s="1">
        <v>15.15</v>
      </c>
      <c r="H164" s="1">
        <v>135.76999999999998</v>
      </c>
      <c r="I164" s="1">
        <v>589.51</v>
      </c>
      <c r="J164" s="1">
        <v>37.01</v>
      </c>
      <c r="K164" s="1">
        <v>238.91</v>
      </c>
      <c r="L164" s="1">
        <v>203.10999999999999</v>
      </c>
      <c r="M164">
        <f t="shared" si="54"/>
        <v>1179.02</v>
      </c>
      <c r="O164" s="8">
        <f t="shared" si="55"/>
        <v>-3.1765083801343241E-2</v>
      </c>
      <c r="P164" s="8">
        <f t="shared" si="56"/>
        <v>-2.1434380879082338E-2</v>
      </c>
      <c r="Q164" s="8">
        <f t="shared" si="57"/>
        <v>-3.0257186081694476E-2</v>
      </c>
      <c r="R164" s="8">
        <f t="shared" si="58"/>
        <v>-1.8854242204496052E-2</v>
      </c>
      <c r="S164" s="8">
        <f t="shared" si="59"/>
        <v>-1.4245014245014231E-2</v>
      </c>
      <c r="T164" s="8">
        <f t="shared" si="60"/>
        <v>-7.2607260726073042E-3</v>
      </c>
      <c r="U164" s="8">
        <f t="shared" si="61"/>
        <v>-4.5739117625395731E-2</v>
      </c>
      <c r="V164" s="8">
        <f t="shared" si="62"/>
        <v>-0.14079489745721019</v>
      </c>
      <c r="W164" s="8">
        <f t="shared" si="63"/>
        <v>2.7019724398811062E-2</v>
      </c>
      <c r="X164" s="8">
        <f t="shared" si="64"/>
        <v>-9.8363400443681748E-3</v>
      </c>
      <c r="Y164" s="8">
        <f t="shared" si="65"/>
        <v>1.7724385800797604E-2</v>
      </c>
      <c r="Z164" s="8">
        <f t="shared" si="66"/>
        <v>-0.14079489745721019</v>
      </c>
      <c r="AB164" s="26">
        <f t="shared" si="67"/>
        <v>-3.6286008293768296E-2</v>
      </c>
      <c r="AC164" s="26">
        <f t="shared" si="68"/>
        <v>-2.3951150897658931E-2</v>
      </c>
      <c r="AD164" s="26">
        <f t="shared" si="69"/>
        <v>-3.254939440514542E-2</v>
      </c>
      <c r="AE164" s="26">
        <f t="shared" si="70"/>
        <v>-2.1067001477005371E-2</v>
      </c>
      <c r="AF164" s="26">
        <f t="shared" si="71"/>
        <v>-1.6426123656459006E-2</v>
      </c>
      <c r="AG164" s="26">
        <f t="shared" si="72"/>
        <v>-9.4387280435289135E-3</v>
      </c>
      <c r="AH164" s="26">
        <f t="shared" si="73"/>
        <v>-5.108249767045614E-2</v>
      </c>
      <c r="AI164" s="26">
        <f t="shared" si="74"/>
        <v>-0.15319666358624756</v>
      </c>
      <c r="AJ164" s="26">
        <f t="shared" si="75"/>
        <v>1.6790518427168777E-2</v>
      </c>
      <c r="AK164" s="26">
        <f t="shared" si="76"/>
        <v>-8.2694247624967611E-3</v>
      </c>
      <c r="AL164" s="26">
        <f t="shared" si="77"/>
        <v>2.1248620914553311E-2</v>
      </c>
      <c r="AM164" s="26">
        <f t="shared" si="78"/>
        <v>-0.15319666358624756</v>
      </c>
    </row>
    <row r="165" spans="1:39" x14ac:dyDescent="0.2">
      <c r="A165" s="5">
        <v>30347</v>
      </c>
      <c r="B165" s="14">
        <v>15.8358479048</v>
      </c>
      <c r="C165" s="14">
        <v>12.5785714287</v>
      </c>
      <c r="D165" s="1">
        <v>12.82</v>
      </c>
      <c r="E165" s="1">
        <v>13.53</v>
      </c>
      <c r="F165" s="1">
        <v>13.84</v>
      </c>
      <c r="G165" s="1">
        <v>15.04</v>
      </c>
      <c r="H165" s="1">
        <v>129.56</v>
      </c>
      <c r="I165" s="1">
        <v>506.51</v>
      </c>
      <c r="J165" s="1">
        <v>38.01</v>
      </c>
      <c r="K165" s="1">
        <v>236.56</v>
      </c>
      <c r="L165" s="1">
        <v>206.70999999999998</v>
      </c>
      <c r="M165">
        <f t="shared" si="54"/>
        <v>1013.02</v>
      </c>
      <c r="O165" s="8">
        <f t="shared" si="55"/>
        <v>-1.6187033762953829E-2</v>
      </c>
      <c r="P165" s="8">
        <f t="shared" si="56"/>
        <v>4.9757082459457314E-2</v>
      </c>
      <c r="Q165" s="8">
        <f t="shared" si="57"/>
        <v>4.2121684867394649E-2</v>
      </c>
      <c r="R165" s="8">
        <f t="shared" si="58"/>
        <v>2.7346637102734661E-2</v>
      </c>
      <c r="S165" s="8">
        <f t="shared" si="59"/>
        <v>3.1791907514450823E-2</v>
      </c>
      <c r="T165" s="8">
        <f t="shared" si="60"/>
        <v>2.2606382978723305E-2</v>
      </c>
      <c r="U165" s="8">
        <f t="shared" si="61"/>
        <v>1.3275702377276932E-2</v>
      </c>
      <c r="V165" s="8">
        <f t="shared" si="62"/>
        <v>-3.1588714931590656E-2</v>
      </c>
      <c r="W165" s="8">
        <f t="shared" si="63"/>
        <v>0</v>
      </c>
      <c r="X165" s="8">
        <f t="shared" si="64"/>
        <v>-6.8270206290159008E-2</v>
      </c>
      <c r="Y165" s="8">
        <f t="shared" si="65"/>
        <v>1.4513085965845773E-2</v>
      </c>
      <c r="Z165" s="8">
        <f t="shared" si="66"/>
        <v>-3.1588714931590656E-2</v>
      </c>
      <c r="AB165" s="26">
        <f t="shared" si="67"/>
        <v>-2.0707958255378883E-2</v>
      </c>
      <c r="AC165" s="26">
        <f t="shared" si="68"/>
        <v>4.724031244088072E-2</v>
      </c>
      <c r="AD165" s="26">
        <f t="shared" si="69"/>
        <v>3.9829476543943705E-2</v>
      </c>
      <c r="AE165" s="26">
        <f t="shared" si="70"/>
        <v>2.5133877830225342E-2</v>
      </c>
      <c r="AF165" s="26">
        <f t="shared" si="71"/>
        <v>2.9610798103006049E-2</v>
      </c>
      <c r="AG165" s="26">
        <f t="shared" si="72"/>
        <v>2.0428381007801696E-2</v>
      </c>
      <c r="AH165" s="26">
        <f t="shared" si="73"/>
        <v>7.9323223322165272E-3</v>
      </c>
      <c r="AI165" s="26">
        <f t="shared" si="74"/>
        <v>-4.3990481060628035E-2</v>
      </c>
      <c r="AJ165" s="26">
        <f t="shared" si="75"/>
        <v>-1.0229205971642284E-2</v>
      </c>
      <c r="AK165" s="26">
        <f t="shared" si="76"/>
        <v>-6.6703291008287591E-2</v>
      </c>
      <c r="AL165" s="26">
        <f t="shared" si="77"/>
        <v>1.803732107960148E-2</v>
      </c>
      <c r="AM165" s="26">
        <f t="shared" si="78"/>
        <v>-4.3990481060628035E-2</v>
      </c>
    </row>
    <row r="166" spans="1:39" x14ac:dyDescent="0.2">
      <c r="A166" s="5">
        <v>30375</v>
      </c>
      <c r="B166" s="14">
        <v>15.5795125001</v>
      </c>
      <c r="C166" s="14">
        <v>13.2044444445</v>
      </c>
      <c r="D166" s="1">
        <v>13.36</v>
      </c>
      <c r="E166" s="1">
        <v>13.9</v>
      </c>
      <c r="F166" s="1">
        <v>14.28</v>
      </c>
      <c r="G166" s="1">
        <v>15.379999999999999</v>
      </c>
      <c r="H166" s="1">
        <v>131.28</v>
      </c>
      <c r="I166" s="1">
        <v>490.51</v>
      </c>
      <c r="J166" s="1">
        <v>38.01</v>
      </c>
      <c r="K166" s="1">
        <v>220.41</v>
      </c>
      <c r="L166" s="1">
        <v>209.70999999999998</v>
      </c>
      <c r="M166">
        <f t="shared" si="54"/>
        <v>981.02</v>
      </c>
      <c r="O166" s="8">
        <f t="shared" si="55"/>
        <v>-9.9857815897000268E-2</v>
      </c>
      <c r="P166" s="8">
        <f t="shared" si="56"/>
        <v>-5.9476454333307061E-3</v>
      </c>
      <c r="Q166" s="8">
        <f t="shared" si="57"/>
        <v>-1.4970059880239361E-3</v>
      </c>
      <c r="R166" s="8">
        <f t="shared" si="58"/>
        <v>7.1942446043160579E-4</v>
      </c>
      <c r="S166" s="8">
        <f t="shared" si="59"/>
        <v>1.4005602240896531E-2</v>
      </c>
      <c r="T166" s="8">
        <f t="shared" si="60"/>
        <v>-1.9505851755525772E-3</v>
      </c>
      <c r="U166" s="8">
        <f t="shared" si="61"/>
        <v>3.6029859841560041E-2</v>
      </c>
      <c r="V166" s="8">
        <f t="shared" si="62"/>
        <v>3.4657805141587339E-2</v>
      </c>
      <c r="W166" s="8">
        <f t="shared" si="63"/>
        <v>0</v>
      </c>
      <c r="X166" s="8">
        <f t="shared" si="64"/>
        <v>1.2930447801823952E-2</v>
      </c>
      <c r="Y166" s="8">
        <f t="shared" si="65"/>
        <v>7.3911592198752096E-3</v>
      </c>
      <c r="Z166" s="8">
        <f t="shared" si="66"/>
        <v>3.4657805141587339E-2</v>
      </c>
      <c r="AB166" s="26">
        <f t="shared" si="67"/>
        <v>-0.10437874038942532</v>
      </c>
      <c r="AC166" s="26">
        <f t="shared" si="68"/>
        <v>-8.4644154519072992E-3</v>
      </c>
      <c r="AD166" s="26">
        <f t="shared" si="69"/>
        <v>-3.7892143114748801E-3</v>
      </c>
      <c r="AE166" s="26">
        <f t="shared" si="70"/>
        <v>-1.4933348120777126E-3</v>
      </c>
      <c r="AF166" s="26">
        <f t="shared" si="71"/>
        <v>1.1824492829451758E-2</v>
      </c>
      <c r="AG166" s="26">
        <f t="shared" si="72"/>
        <v>-4.1285871464741865E-3</v>
      </c>
      <c r="AH166" s="26">
        <f t="shared" si="73"/>
        <v>3.0686479796499636E-2</v>
      </c>
      <c r="AI166" s="26">
        <f t="shared" si="74"/>
        <v>2.2256039012549959E-2</v>
      </c>
      <c r="AJ166" s="26">
        <f t="shared" si="75"/>
        <v>-1.0229205971642284E-2</v>
      </c>
      <c r="AK166" s="26">
        <f t="shared" si="76"/>
        <v>1.4497363083695366E-2</v>
      </c>
      <c r="AL166" s="26">
        <f t="shared" si="77"/>
        <v>1.0915394333630916E-2</v>
      </c>
      <c r="AM166" s="26">
        <f t="shared" si="78"/>
        <v>2.2256039012549959E-2</v>
      </c>
    </row>
    <row r="167" spans="1:39" x14ac:dyDescent="0.2">
      <c r="A167" s="5">
        <v>30406</v>
      </c>
      <c r="B167" s="14">
        <v>14.0237764091</v>
      </c>
      <c r="C167" s="14">
        <v>13.1259090908</v>
      </c>
      <c r="D167" s="1">
        <v>13.34</v>
      </c>
      <c r="E167" s="1">
        <v>13.91</v>
      </c>
      <c r="F167" s="1">
        <v>14.48</v>
      </c>
      <c r="G167" s="1">
        <v>15.35</v>
      </c>
      <c r="H167" s="1">
        <v>136.01</v>
      </c>
      <c r="I167" s="1">
        <v>507.51</v>
      </c>
      <c r="J167" s="1">
        <v>38.01</v>
      </c>
      <c r="K167" s="1">
        <v>223.26</v>
      </c>
      <c r="L167" s="1">
        <v>211.26</v>
      </c>
      <c r="M167">
        <f t="shared" si="54"/>
        <v>1015.02</v>
      </c>
      <c r="O167" s="8">
        <f t="shared" si="55"/>
        <v>2.5793614084240302E-2</v>
      </c>
      <c r="P167" s="8">
        <f t="shared" si="56"/>
        <v>4.2939099676915893E-2</v>
      </c>
      <c r="Q167" s="8">
        <f t="shared" si="57"/>
        <v>4.1229385307346433E-2</v>
      </c>
      <c r="R167" s="8">
        <f t="shared" si="58"/>
        <v>3.5226455787203514E-2</v>
      </c>
      <c r="S167" s="8">
        <f t="shared" si="59"/>
        <v>2.4171270718231996E-2</v>
      </c>
      <c r="T167" s="8">
        <f t="shared" si="60"/>
        <v>1.4332247557003353E-2</v>
      </c>
      <c r="U167" s="8">
        <f t="shared" si="61"/>
        <v>-2.3013013748989009E-2</v>
      </c>
      <c r="V167" s="8">
        <f t="shared" si="62"/>
        <v>-5.0245315363244059E-2</v>
      </c>
      <c r="W167" s="8">
        <f t="shared" si="63"/>
        <v>0</v>
      </c>
      <c r="X167" s="8">
        <f t="shared" si="64"/>
        <v>-4.1655468959957087E-2</v>
      </c>
      <c r="Y167" s="8">
        <f t="shared" si="65"/>
        <v>2.1442771939789829E-2</v>
      </c>
      <c r="Z167" s="8">
        <f t="shared" si="66"/>
        <v>-5.0245315363244059E-2</v>
      </c>
      <c r="AB167" s="26">
        <f t="shared" si="67"/>
        <v>2.1272689591815247E-2</v>
      </c>
      <c r="AC167" s="26">
        <f t="shared" si="68"/>
        <v>4.04223296583393E-2</v>
      </c>
      <c r="AD167" s="26">
        <f t="shared" si="69"/>
        <v>3.893717698389549E-2</v>
      </c>
      <c r="AE167" s="26">
        <f t="shared" si="70"/>
        <v>3.3013696514694199E-2</v>
      </c>
      <c r="AF167" s="26">
        <f t="shared" si="71"/>
        <v>2.1990161306787222E-2</v>
      </c>
      <c r="AG167" s="26">
        <f t="shared" si="72"/>
        <v>1.2154245586081743E-2</v>
      </c>
      <c r="AH167" s="26">
        <f t="shared" si="73"/>
        <v>-2.8356393794049414E-2</v>
      </c>
      <c r="AI167" s="26">
        <f t="shared" si="74"/>
        <v>-6.2647081492281431E-2</v>
      </c>
      <c r="AJ167" s="26">
        <f t="shared" si="75"/>
        <v>-1.0229205971642284E-2</v>
      </c>
      <c r="AK167" s="26">
        <f t="shared" si="76"/>
        <v>-4.008855367808567E-2</v>
      </c>
      <c r="AL167" s="26">
        <f t="shared" si="77"/>
        <v>2.4967007053545535E-2</v>
      </c>
      <c r="AM167" s="26">
        <f t="shared" si="78"/>
        <v>-6.2647081492281431E-2</v>
      </c>
    </row>
    <row r="168" spans="1:39" x14ac:dyDescent="0.2">
      <c r="A168" s="5">
        <v>30436</v>
      </c>
      <c r="B168" s="14">
        <v>14.385500285799999</v>
      </c>
      <c r="C168" s="14">
        <v>13.689523809599999</v>
      </c>
      <c r="D168" s="1">
        <v>13.89</v>
      </c>
      <c r="E168" s="1">
        <v>14.4</v>
      </c>
      <c r="F168" s="1">
        <v>14.83</v>
      </c>
      <c r="G168" s="1">
        <v>15.57</v>
      </c>
      <c r="H168" s="1">
        <v>132.88</v>
      </c>
      <c r="I168" s="1">
        <v>482.01</v>
      </c>
      <c r="J168" s="1">
        <v>38.01</v>
      </c>
      <c r="K168" s="1">
        <v>213.95999999999998</v>
      </c>
      <c r="L168" s="1">
        <v>215.79</v>
      </c>
      <c r="M168">
        <f t="shared" si="54"/>
        <v>964.02</v>
      </c>
      <c r="O168" s="8">
        <f t="shared" si="55"/>
        <v>0.19874048225643692</v>
      </c>
      <c r="P168" s="8">
        <f t="shared" si="56"/>
        <v>3.0788228740610712E-2</v>
      </c>
      <c r="Q168" s="8">
        <f t="shared" si="57"/>
        <v>3.1677465802735671E-2</v>
      </c>
      <c r="R168" s="8">
        <f t="shared" si="58"/>
        <v>3.4027777777777768E-2</v>
      </c>
      <c r="S168" s="8">
        <f t="shared" si="59"/>
        <v>4.1132838840188812E-2</v>
      </c>
      <c r="T168" s="8">
        <f t="shared" si="60"/>
        <v>2.5048169556840083E-2</v>
      </c>
      <c r="U168" s="8">
        <f t="shared" si="61"/>
        <v>-2.1071643588199684E-3</v>
      </c>
      <c r="V168" s="8">
        <f t="shared" si="62"/>
        <v>-5.1866143855936464E-3</v>
      </c>
      <c r="W168" s="8">
        <f t="shared" si="63"/>
        <v>0</v>
      </c>
      <c r="X168" s="8">
        <f t="shared" si="64"/>
        <v>-3.2482707048046344E-2</v>
      </c>
      <c r="Y168" s="8">
        <f t="shared" si="65"/>
        <v>3.7629176514203611E-2</v>
      </c>
      <c r="Z168" s="8">
        <f t="shared" si="66"/>
        <v>-5.1866143855936464E-3</v>
      </c>
      <c r="AB168" s="26">
        <f t="shared" si="67"/>
        <v>0.19421955776401187</v>
      </c>
      <c r="AC168" s="26">
        <f t="shared" si="68"/>
        <v>2.8271458722034119E-2</v>
      </c>
      <c r="AD168" s="26">
        <f t="shared" si="69"/>
        <v>2.9385257479284728E-2</v>
      </c>
      <c r="AE168" s="26">
        <f t="shared" si="70"/>
        <v>3.1815018505268453E-2</v>
      </c>
      <c r="AF168" s="26">
        <f t="shared" si="71"/>
        <v>3.8951729428744038E-2</v>
      </c>
      <c r="AG168" s="26">
        <f t="shared" si="72"/>
        <v>2.2870167585918474E-2</v>
      </c>
      <c r="AH168" s="26">
        <f t="shared" si="73"/>
        <v>-7.4505444038803735E-3</v>
      </c>
      <c r="AI168" s="26">
        <f t="shared" si="74"/>
        <v>-1.7588380514631026E-2</v>
      </c>
      <c r="AJ168" s="26">
        <f t="shared" si="75"/>
        <v>-1.0229205971642284E-2</v>
      </c>
      <c r="AK168" s="26">
        <f t="shared" si="76"/>
        <v>-3.0915791766174931E-2</v>
      </c>
      <c r="AL168" s="26">
        <f t="shared" si="77"/>
        <v>4.1153411627959317E-2</v>
      </c>
      <c r="AM168" s="26">
        <f t="shared" si="78"/>
        <v>-1.7588380514631026E-2</v>
      </c>
    </row>
    <row r="169" spans="1:39" x14ac:dyDescent="0.2">
      <c r="A169" s="5">
        <v>30467</v>
      </c>
      <c r="B169" s="14">
        <v>17.244481550100001</v>
      </c>
      <c r="C169" s="14">
        <v>14.111000000000001</v>
      </c>
      <c r="D169" s="1">
        <v>14.33</v>
      </c>
      <c r="E169" s="1">
        <v>14.89</v>
      </c>
      <c r="F169" s="1">
        <v>15.44</v>
      </c>
      <c r="G169" s="1">
        <v>15.959999999999999</v>
      </c>
      <c r="H169" s="1">
        <v>132.6</v>
      </c>
      <c r="I169" s="1">
        <v>479.51</v>
      </c>
      <c r="J169" s="1">
        <v>38.01</v>
      </c>
      <c r="K169" s="1">
        <v>207.01</v>
      </c>
      <c r="L169" s="1">
        <v>223.91</v>
      </c>
      <c r="M169">
        <f t="shared" si="54"/>
        <v>959.02</v>
      </c>
      <c r="O169" s="8">
        <f t="shared" si="55"/>
        <v>-9.9931566222703161E-2</v>
      </c>
      <c r="P169" s="8">
        <f t="shared" si="56"/>
        <v>-4.4555826844305924E-2</v>
      </c>
      <c r="Q169" s="8">
        <f t="shared" si="57"/>
        <v>-3.9776692254012591E-2</v>
      </c>
      <c r="R169" s="8">
        <f t="shared" si="58"/>
        <v>-3.156480859637345E-2</v>
      </c>
      <c r="S169" s="8">
        <f t="shared" si="59"/>
        <v>-2.2668393782383389E-2</v>
      </c>
      <c r="T169" s="8">
        <f t="shared" si="60"/>
        <v>-9.3984962406014061E-3</v>
      </c>
      <c r="U169" s="8">
        <f t="shared" si="61"/>
        <v>-1.0407239819004488E-2</v>
      </c>
      <c r="V169" s="8">
        <f t="shared" si="62"/>
        <v>-0.108444036620717</v>
      </c>
      <c r="W169" s="8">
        <f t="shared" si="63"/>
        <v>-5.2617732175743281E-2</v>
      </c>
      <c r="X169" s="8">
        <f t="shared" si="64"/>
        <v>-6.7629583111927016E-2</v>
      </c>
      <c r="Y169" s="8">
        <f t="shared" si="65"/>
        <v>1.3174936358358202E-2</v>
      </c>
      <c r="Z169" s="8">
        <f t="shared" si="66"/>
        <v>-0.108444036620717</v>
      </c>
      <c r="AB169" s="26">
        <f t="shared" si="67"/>
        <v>-0.10445249071512822</v>
      </c>
      <c r="AC169" s="26">
        <f t="shared" si="68"/>
        <v>-4.7072596862882517E-2</v>
      </c>
      <c r="AD169" s="26">
        <f t="shared" si="69"/>
        <v>-4.2068900577463535E-2</v>
      </c>
      <c r="AE169" s="26">
        <f t="shared" si="70"/>
        <v>-3.3777567868882766E-2</v>
      </c>
      <c r="AF169" s="26">
        <f t="shared" si="71"/>
        <v>-2.4849503193828164E-2</v>
      </c>
      <c r="AG169" s="26">
        <f t="shared" si="72"/>
        <v>-1.1576498211523015E-2</v>
      </c>
      <c r="AH169" s="26">
        <f t="shared" si="73"/>
        <v>-1.5750619864064893E-2</v>
      </c>
      <c r="AI169" s="26">
        <f t="shared" si="74"/>
        <v>-0.12084580274975437</v>
      </c>
      <c r="AJ169" s="26">
        <f t="shared" si="75"/>
        <v>-6.2846938147385567E-2</v>
      </c>
      <c r="AK169" s="26">
        <f t="shared" si="76"/>
        <v>-6.6062667830055599E-2</v>
      </c>
      <c r="AL169" s="26">
        <f t="shared" si="77"/>
        <v>1.6699171472113909E-2</v>
      </c>
      <c r="AM169" s="26">
        <f t="shared" si="78"/>
        <v>-0.12084580274975437</v>
      </c>
    </row>
    <row r="170" spans="1:39" x14ac:dyDescent="0.2">
      <c r="A170" s="5">
        <v>30497</v>
      </c>
      <c r="B170" s="14">
        <v>15.5212135001</v>
      </c>
      <c r="C170" s="14">
        <v>13.4822727274</v>
      </c>
      <c r="D170" s="1">
        <v>13.76</v>
      </c>
      <c r="E170" s="1">
        <v>14.42</v>
      </c>
      <c r="F170" s="1">
        <v>15.09</v>
      </c>
      <c r="G170" s="1">
        <v>15.81</v>
      </c>
      <c r="H170" s="1">
        <v>131.22</v>
      </c>
      <c r="I170" s="1">
        <v>427.51</v>
      </c>
      <c r="J170" s="1">
        <v>36.01</v>
      </c>
      <c r="K170" s="1">
        <v>193.01</v>
      </c>
      <c r="L170" s="1">
        <v>226.85999999999999</v>
      </c>
      <c r="M170">
        <f t="shared" si="54"/>
        <v>855.02</v>
      </c>
      <c r="O170" s="8">
        <f t="shared" si="55"/>
        <v>1.4909913744728165E-2</v>
      </c>
      <c r="P170" s="8">
        <f t="shared" si="56"/>
        <v>5.9977748562867195E-2</v>
      </c>
      <c r="Q170" s="8">
        <f t="shared" si="57"/>
        <v>4.5784883720930258E-2</v>
      </c>
      <c r="R170" s="8">
        <f t="shared" si="58"/>
        <v>2.6352288488210807E-2</v>
      </c>
      <c r="S170" s="8">
        <f t="shared" si="59"/>
        <v>1.8555334658714395E-2</v>
      </c>
      <c r="T170" s="8">
        <f t="shared" si="60"/>
        <v>2.3402909550917395E-2</v>
      </c>
      <c r="U170" s="8">
        <f t="shared" si="61"/>
        <v>-2.2100289590003541E-3</v>
      </c>
      <c r="V170" s="8">
        <f t="shared" si="62"/>
        <v>-5.0291221257982244E-2</v>
      </c>
      <c r="W170" s="8">
        <f t="shared" si="63"/>
        <v>0</v>
      </c>
      <c r="X170" s="8">
        <f t="shared" si="64"/>
        <v>-4.6629708305269135E-2</v>
      </c>
      <c r="Y170" s="8">
        <f t="shared" si="65"/>
        <v>5.972846689588307E-2</v>
      </c>
      <c r="Z170" s="8">
        <f t="shared" si="66"/>
        <v>-5.0291221257982244E-2</v>
      </c>
      <c r="AB170" s="26">
        <f t="shared" si="67"/>
        <v>1.0388989252303112E-2</v>
      </c>
      <c r="AC170" s="26">
        <f t="shared" si="68"/>
        <v>5.7460978544290602E-2</v>
      </c>
      <c r="AD170" s="26">
        <f t="shared" si="69"/>
        <v>4.3492675397479315E-2</v>
      </c>
      <c r="AE170" s="26">
        <f t="shared" si="70"/>
        <v>2.4139529215701488E-2</v>
      </c>
      <c r="AF170" s="26">
        <f t="shared" si="71"/>
        <v>1.6374225247269621E-2</v>
      </c>
      <c r="AG170" s="26">
        <f t="shared" si="72"/>
        <v>2.1224907579995785E-2</v>
      </c>
      <c r="AH170" s="26">
        <f t="shared" si="73"/>
        <v>-7.5534090040607592E-3</v>
      </c>
      <c r="AI170" s="26">
        <f t="shared" si="74"/>
        <v>-6.2692987387019616E-2</v>
      </c>
      <c r="AJ170" s="26">
        <f t="shared" si="75"/>
        <v>-1.0229205971642284E-2</v>
      </c>
      <c r="AK170" s="26">
        <f t="shared" si="76"/>
        <v>-4.5062793023397718E-2</v>
      </c>
      <c r="AL170" s="26">
        <f t="shared" si="77"/>
        <v>6.325270200963877E-2</v>
      </c>
      <c r="AM170" s="26">
        <f t="shared" si="78"/>
        <v>-6.2692987387019616E-2</v>
      </c>
    </row>
    <row r="171" spans="1:39" x14ac:dyDescent="0.2">
      <c r="A171" s="5">
        <v>30528</v>
      </c>
      <c r="B171" s="14">
        <v>15.7526334546</v>
      </c>
      <c r="C171" s="14">
        <v>14.2909090911</v>
      </c>
      <c r="D171" s="1">
        <v>14.39</v>
      </c>
      <c r="E171" s="1">
        <v>14.799999999999999</v>
      </c>
      <c r="F171" s="1">
        <v>15.37</v>
      </c>
      <c r="G171" s="1">
        <v>16.180000000000003</v>
      </c>
      <c r="H171" s="1">
        <v>130.92999999999998</v>
      </c>
      <c r="I171" s="1">
        <v>406.01</v>
      </c>
      <c r="J171" s="1">
        <v>36.01</v>
      </c>
      <c r="K171" s="1">
        <v>184.01</v>
      </c>
      <c r="L171" s="1">
        <v>240.41</v>
      </c>
      <c r="M171">
        <f t="shared" si="54"/>
        <v>812.02</v>
      </c>
      <c r="O171" s="8">
        <f t="shared" si="55"/>
        <v>3.8920910142866694E-2</v>
      </c>
      <c r="P171" s="8">
        <f t="shared" si="56"/>
        <v>4.5919665566180434E-2</v>
      </c>
      <c r="Q171" s="8">
        <f t="shared" si="57"/>
        <v>3.5441278665740095E-2</v>
      </c>
      <c r="R171" s="8">
        <f t="shared" si="58"/>
        <v>4.2567567567567632E-2</v>
      </c>
      <c r="S171" s="8">
        <f t="shared" si="59"/>
        <v>2.6024723487312995E-2</v>
      </c>
      <c r="T171" s="8">
        <f t="shared" si="60"/>
        <v>1.0506798516687121E-2</v>
      </c>
      <c r="U171" s="8">
        <f t="shared" si="61"/>
        <v>-6.2094248835255272E-2</v>
      </c>
      <c r="V171" s="8">
        <f t="shared" si="62"/>
        <v>5.1722863968867827E-2</v>
      </c>
      <c r="W171" s="8">
        <f t="shared" si="63"/>
        <v>0</v>
      </c>
      <c r="X171" s="8">
        <f t="shared" si="64"/>
        <v>2.7172436280635814E-3</v>
      </c>
      <c r="Y171" s="8">
        <f t="shared" si="65"/>
        <v>-4.1179651428809194E-2</v>
      </c>
      <c r="Z171" s="8">
        <f t="shared" si="66"/>
        <v>5.1722863968867827E-2</v>
      </c>
      <c r="AB171" s="26">
        <f t="shared" si="67"/>
        <v>3.4399985650441639E-2</v>
      </c>
      <c r="AC171" s="26">
        <f t="shared" si="68"/>
        <v>4.3402895547603841E-2</v>
      </c>
      <c r="AD171" s="26">
        <f t="shared" si="69"/>
        <v>3.3149070342289151E-2</v>
      </c>
      <c r="AE171" s="26">
        <f t="shared" si="70"/>
        <v>4.0354808295058317E-2</v>
      </c>
      <c r="AF171" s="26">
        <f t="shared" si="71"/>
        <v>2.3843614075868221E-2</v>
      </c>
      <c r="AG171" s="26">
        <f t="shared" si="72"/>
        <v>8.3287965457655121E-3</v>
      </c>
      <c r="AH171" s="26">
        <f t="shared" si="73"/>
        <v>-6.7437628880315681E-2</v>
      </c>
      <c r="AI171" s="26">
        <f t="shared" si="74"/>
        <v>3.9321097839830448E-2</v>
      </c>
      <c r="AJ171" s="26">
        <f t="shared" si="75"/>
        <v>-1.0229205971642284E-2</v>
      </c>
      <c r="AK171" s="26">
        <f t="shared" si="76"/>
        <v>4.284158909934996E-3</v>
      </c>
      <c r="AL171" s="26">
        <f t="shared" si="77"/>
        <v>-3.7655416315053487E-2</v>
      </c>
      <c r="AM171" s="26">
        <f t="shared" si="78"/>
        <v>3.9321097839830448E-2</v>
      </c>
    </row>
    <row r="172" spans="1:39" x14ac:dyDescent="0.2">
      <c r="A172" s="5">
        <v>30559</v>
      </c>
      <c r="B172" s="14">
        <v>16.365740285800001</v>
      </c>
      <c r="C172" s="14">
        <v>14.947142857199999</v>
      </c>
      <c r="D172" s="1">
        <v>14.9</v>
      </c>
      <c r="E172" s="1">
        <v>15.43</v>
      </c>
      <c r="F172" s="1">
        <v>15.77</v>
      </c>
      <c r="G172" s="1">
        <v>16.350000000000001</v>
      </c>
      <c r="H172" s="1">
        <v>122.80000000000001</v>
      </c>
      <c r="I172" s="1">
        <v>427.01</v>
      </c>
      <c r="J172" s="1">
        <v>36.01</v>
      </c>
      <c r="K172" s="1">
        <v>184.51</v>
      </c>
      <c r="L172" s="1">
        <v>230.51</v>
      </c>
      <c r="M172">
        <f t="shared" si="54"/>
        <v>854.02</v>
      </c>
      <c r="O172" s="8">
        <f t="shared" si="55"/>
        <v>-5.3574749029884239E-2</v>
      </c>
      <c r="P172" s="8">
        <f t="shared" si="56"/>
        <v>2.5868934986042813E-2</v>
      </c>
      <c r="Q172" s="8">
        <f t="shared" si="57"/>
        <v>4.0268456375838868E-2</v>
      </c>
      <c r="R172" s="8">
        <f t="shared" si="58"/>
        <v>3.4348671419313082E-2</v>
      </c>
      <c r="S172" s="8">
        <f t="shared" si="59"/>
        <v>3.8046924540266369E-2</v>
      </c>
      <c r="T172" s="8">
        <f t="shared" si="60"/>
        <v>3.547400611620799E-2</v>
      </c>
      <c r="U172" s="8">
        <f t="shared" si="61"/>
        <v>-5.3827361563517861E-2</v>
      </c>
      <c r="V172" s="8">
        <f t="shared" si="62"/>
        <v>8.1965293552843654E-3</v>
      </c>
      <c r="W172" s="8">
        <f t="shared" si="63"/>
        <v>0</v>
      </c>
      <c r="X172" s="8">
        <f t="shared" si="64"/>
        <v>-2.2762993875670601E-2</v>
      </c>
      <c r="Y172" s="8">
        <f t="shared" si="65"/>
        <v>7.8087718537156459E-3</v>
      </c>
      <c r="Z172" s="8">
        <f t="shared" si="66"/>
        <v>8.1965293552843654E-3</v>
      </c>
      <c r="AB172" s="26">
        <f t="shared" si="67"/>
        <v>-5.8095673522309293E-2</v>
      </c>
      <c r="AC172" s="26">
        <f t="shared" si="68"/>
        <v>2.335216496746622E-2</v>
      </c>
      <c r="AD172" s="26">
        <f t="shared" si="69"/>
        <v>3.7976248052387925E-2</v>
      </c>
      <c r="AE172" s="26">
        <f t="shared" si="70"/>
        <v>3.2135912146803766E-2</v>
      </c>
      <c r="AF172" s="26">
        <f t="shared" si="71"/>
        <v>3.5865815128821595E-2</v>
      </c>
      <c r="AG172" s="26">
        <f t="shared" si="72"/>
        <v>3.3296004145286384E-2</v>
      </c>
      <c r="AH172" s="26">
        <f t="shared" si="73"/>
        <v>-5.917074160857827E-2</v>
      </c>
      <c r="AI172" s="26">
        <f t="shared" si="74"/>
        <v>-4.2052367737530141E-3</v>
      </c>
      <c r="AJ172" s="26">
        <f t="shared" si="75"/>
        <v>-1.0229205971642284E-2</v>
      </c>
      <c r="AK172" s="26">
        <f t="shared" si="76"/>
        <v>-2.1196078593799187E-2</v>
      </c>
      <c r="AL172" s="26">
        <f t="shared" si="77"/>
        <v>1.1333006967471353E-2</v>
      </c>
      <c r="AM172" s="26">
        <f t="shared" si="78"/>
        <v>-4.2052367737530141E-3</v>
      </c>
    </row>
    <row r="173" spans="1:39" x14ac:dyDescent="0.2">
      <c r="A173" s="5">
        <v>30589</v>
      </c>
      <c r="B173" s="14">
        <v>15.4889498573</v>
      </c>
      <c r="C173" s="14">
        <v>15.333809523999999</v>
      </c>
      <c r="D173" s="1">
        <v>15.5</v>
      </c>
      <c r="E173" s="1">
        <v>15.959999999999999</v>
      </c>
      <c r="F173" s="1">
        <v>16.37</v>
      </c>
      <c r="G173" s="1">
        <v>16.930000000000003</v>
      </c>
      <c r="H173" s="1">
        <v>116.19000000000001</v>
      </c>
      <c r="I173" s="1">
        <v>430.51</v>
      </c>
      <c r="J173" s="1">
        <v>36.01</v>
      </c>
      <c r="K173" s="1">
        <v>180.31</v>
      </c>
      <c r="L173" s="1">
        <v>232.31</v>
      </c>
      <c r="M173">
        <f t="shared" si="54"/>
        <v>861.02</v>
      </c>
      <c r="O173" s="8">
        <f t="shared" si="55"/>
        <v>-8.1715902986377986E-2</v>
      </c>
      <c r="P173" s="8">
        <f t="shared" si="56"/>
        <v>-1.1459271463166276E-2</v>
      </c>
      <c r="Q173" s="8">
        <f t="shared" si="57"/>
        <v>-5.8064516129031629E-3</v>
      </c>
      <c r="R173" s="8">
        <f t="shared" si="58"/>
        <v>-8.1453634085212334E-3</v>
      </c>
      <c r="S173" s="8">
        <f t="shared" si="59"/>
        <v>6.7196090409284981E-3</v>
      </c>
      <c r="T173" s="8">
        <f t="shared" si="60"/>
        <v>1.1222681630242093E-2</v>
      </c>
      <c r="U173" s="8">
        <f t="shared" si="61"/>
        <v>4.9143644031327982E-2</v>
      </c>
      <c r="V173" s="8">
        <f t="shared" si="62"/>
        <v>-5.8070660379549999E-3</v>
      </c>
      <c r="W173" s="8">
        <f t="shared" si="63"/>
        <v>-2.7770063871146888E-2</v>
      </c>
      <c r="X173" s="8">
        <f t="shared" si="64"/>
        <v>3.2721424213853822E-2</v>
      </c>
      <c r="Y173" s="8">
        <f t="shared" si="65"/>
        <v>2.1522965003659689E-3</v>
      </c>
      <c r="Z173" s="8">
        <f t="shared" si="66"/>
        <v>-5.8070660379549999E-3</v>
      </c>
      <c r="AB173" s="26">
        <f t="shared" si="67"/>
        <v>-8.6236827478803041E-2</v>
      </c>
      <c r="AC173" s="26">
        <f t="shared" si="68"/>
        <v>-1.3976041481742869E-2</v>
      </c>
      <c r="AD173" s="26">
        <f t="shared" si="69"/>
        <v>-8.0986599363541065E-3</v>
      </c>
      <c r="AE173" s="26">
        <f t="shared" si="70"/>
        <v>-1.0358122681030552E-2</v>
      </c>
      <c r="AF173" s="26">
        <f t="shared" si="71"/>
        <v>4.5384996294837252E-3</v>
      </c>
      <c r="AG173" s="26">
        <f t="shared" si="72"/>
        <v>9.0446796593204835E-3</v>
      </c>
      <c r="AH173" s="26">
        <f t="shared" si="73"/>
        <v>4.3800263986267574E-2</v>
      </c>
      <c r="AI173" s="26">
        <f t="shared" si="74"/>
        <v>-1.8208832166992379E-2</v>
      </c>
      <c r="AJ173" s="26">
        <f t="shared" si="75"/>
        <v>-3.7999269842789174E-2</v>
      </c>
      <c r="AK173" s="26">
        <f t="shared" si="76"/>
        <v>3.428833949572524E-2</v>
      </c>
      <c r="AL173" s="26">
        <f t="shared" si="77"/>
        <v>5.6765316141216757E-3</v>
      </c>
      <c r="AM173" s="26">
        <f t="shared" si="78"/>
        <v>-1.8208832166992379E-2</v>
      </c>
    </row>
    <row r="174" spans="1:39" x14ac:dyDescent="0.2">
      <c r="A174" s="5">
        <v>30620</v>
      </c>
      <c r="B174" s="14">
        <v>14.2232563334</v>
      </c>
      <c r="C174" s="14">
        <v>15.1580952381</v>
      </c>
      <c r="D174" s="1">
        <v>15.41</v>
      </c>
      <c r="E174" s="1">
        <v>15.83</v>
      </c>
      <c r="F174" s="1">
        <v>16.48</v>
      </c>
      <c r="G174" s="1">
        <v>17.12</v>
      </c>
      <c r="H174" s="1">
        <v>121.9</v>
      </c>
      <c r="I174" s="1">
        <v>428.01</v>
      </c>
      <c r="J174" s="1">
        <v>35.01</v>
      </c>
      <c r="K174" s="1">
        <v>186.20999999999998</v>
      </c>
      <c r="L174" s="1">
        <v>232.81</v>
      </c>
      <c r="M174">
        <f t="shared" si="54"/>
        <v>856.02</v>
      </c>
      <c r="O174" s="8">
        <f t="shared" si="55"/>
        <v>-0.20363097114397966</v>
      </c>
      <c r="P174" s="8">
        <f t="shared" si="56"/>
        <v>-0.11580066181323334</v>
      </c>
      <c r="Q174" s="8">
        <f t="shared" si="57"/>
        <v>-7.6573653471771586E-2</v>
      </c>
      <c r="R174" s="8">
        <f t="shared" si="58"/>
        <v>-5.3695514845230607E-2</v>
      </c>
      <c r="S174" s="8">
        <f t="shared" si="59"/>
        <v>-3.94417475728156E-2</v>
      </c>
      <c r="T174" s="8">
        <f t="shared" si="60"/>
        <v>-4.2056074766355089E-2</v>
      </c>
      <c r="U174" s="8">
        <f t="shared" si="61"/>
        <v>3.6587366694011525E-2</v>
      </c>
      <c r="V174" s="8">
        <f t="shared" si="62"/>
        <v>-4.4391486180229478E-2</v>
      </c>
      <c r="W174" s="8">
        <f t="shared" si="63"/>
        <v>2.8563267637817802E-2</v>
      </c>
      <c r="X174" s="8">
        <f t="shared" si="64"/>
        <v>4.9943612050910247E-2</v>
      </c>
      <c r="Y174" s="8">
        <f t="shared" si="65"/>
        <v>-7.9893475366178524E-2</v>
      </c>
      <c r="Z174" s="8">
        <f t="shared" si="66"/>
        <v>-4.4391486180229478E-2</v>
      </c>
      <c r="AB174" s="26">
        <f t="shared" si="67"/>
        <v>-0.20815189563640471</v>
      </c>
      <c r="AC174" s="26">
        <f t="shared" si="68"/>
        <v>-0.11831743183180994</v>
      </c>
      <c r="AD174" s="26">
        <f t="shared" si="69"/>
        <v>-7.8865861795222536E-2</v>
      </c>
      <c r="AE174" s="26">
        <f t="shared" si="70"/>
        <v>-5.5908274117739923E-2</v>
      </c>
      <c r="AF174" s="26">
        <f t="shared" si="71"/>
        <v>-4.1622856984260374E-2</v>
      </c>
      <c r="AG174" s="26">
        <f t="shared" si="72"/>
        <v>-4.4234076737276695E-2</v>
      </c>
      <c r="AH174" s="26">
        <f t="shared" si="73"/>
        <v>3.124398664895112E-2</v>
      </c>
      <c r="AI174" s="26">
        <f t="shared" si="74"/>
        <v>-5.6793252309266858E-2</v>
      </c>
      <c r="AJ174" s="26">
        <f t="shared" si="75"/>
        <v>1.8334061666175516E-2</v>
      </c>
      <c r="AK174" s="26">
        <f t="shared" si="76"/>
        <v>5.1510527332781664E-2</v>
      </c>
      <c r="AL174" s="26">
        <f t="shared" si="77"/>
        <v>-7.6369240252422824E-2</v>
      </c>
      <c r="AM174" s="26">
        <f t="shared" si="78"/>
        <v>-5.6793252309266858E-2</v>
      </c>
    </row>
    <row r="175" spans="1:39" x14ac:dyDescent="0.2">
      <c r="A175" s="5">
        <v>30650</v>
      </c>
      <c r="B175" s="14">
        <v>11.326960833399999</v>
      </c>
      <c r="C175" s="14">
        <v>13.402777777699999</v>
      </c>
      <c r="D175" s="1">
        <v>14.23</v>
      </c>
      <c r="E175" s="1">
        <v>14.98</v>
      </c>
      <c r="F175" s="1">
        <v>15.83</v>
      </c>
      <c r="G175" s="1">
        <v>16.400000000000002</v>
      </c>
      <c r="H175" s="1">
        <v>126.36</v>
      </c>
      <c r="I175" s="1">
        <v>409.01</v>
      </c>
      <c r="J175" s="1">
        <v>36.01</v>
      </c>
      <c r="K175" s="1">
        <v>195.51</v>
      </c>
      <c r="L175" s="1">
        <v>214.20999999999998</v>
      </c>
      <c r="M175">
        <f t="shared" si="54"/>
        <v>818.02</v>
      </c>
      <c r="O175" s="8">
        <f t="shared" si="55"/>
        <v>-1.1882764404297363E-3</v>
      </c>
      <c r="P175" s="8">
        <f t="shared" si="56"/>
        <v>2.4753650504599545E-2</v>
      </c>
      <c r="Q175" s="8">
        <f t="shared" si="57"/>
        <v>7.027406886859211E-4</v>
      </c>
      <c r="R175" s="8">
        <f t="shared" si="58"/>
        <v>2.0026702269693164E-3</v>
      </c>
      <c r="S175" s="8">
        <f t="shared" si="59"/>
        <v>-4.4219835754896186E-3</v>
      </c>
      <c r="T175" s="8">
        <f t="shared" si="60"/>
        <v>9.7560975609756184E-3</v>
      </c>
      <c r="U175" s="8">
        <f t="shared" si="61"/>
        <v>-3.0072807850585637E-2</v>
      </c>
      <c r="V175" s="8">
        <f t="shared" si="62"/>
        <v>-2.2004351971834479E-2</v>
      </c>
      <c r="W175" s="8">
        <f t="shared" si="63"/>
        <v>-2.7770063871146888E-2</v>
      </c>
      <c r="X175" s="8">
        <f t="shared" si="64"/>
        <v>-2.0459311544166581E-2</v>
      </c>
      <c r="Y175" s="8">
        <f t="shared" si="65"/>
        <v>2.6142570374865892E-2</v>
      </c>
      <c r="Z175" s="8">
        <f t="shared" si="66"/>
        <v>-2.2004351971834479E-2</v>
      </c>
      <c r="AB175" s="26">
        <f t="shared" si="67"/>
        <v>-5.7092009328547893E-3</v>
      </c>
      <c r="AC175" s="26">
        <f t="shared" si="68"/>
        <v>2.2236880486022952E-2</v>
      </c>
      <c r="AD175" s="26">
        <f t="shared" si="69"/>
        <v>-1.5894676347650229E-3</v>
      </c>
      <c r="AE175" s="26">
        <f t="shared" si="70"/>
        <v>-2.10089045540002E-4</v>
      </c>
      <c r="AF175" s="26">
        <f t="shared" si="71"/>
        <v>-6.6030929869343915E-3</v>
      </c>
      <c r="AG175" s="26">
        <f t="shared" si="72"/>
        <v>7.5780955900540091E-3</v>
      </c>
      <c r="AH175" s="26">
        <f t="shared" si="73"/>
        <v>-3.5416187895646045E-2</v>
      </c>
      <c r="AI175" s="26">
        <f t="shared" si="74"/>
        <v>-3.4406118100871859E-2</v>
      </c>
      <c r="AJ175" s="26">
        <f t="shared" si="75"/>
        <v>-3.7999269842789174E-2</v>
      </c>
      <c r="AK175" s="26">
        <f t="shared" si="76"/>
        <v>-1.8892396262295167E-2</v>
      </c>
      <c r="AL175" s="26">
        <f t="shared" si="77"/>
        <v>2.9666805488621599E-2</v>
      </c>
      <c r="AM175" s="26">
        <f t="shared" si="78"/>
        <v>-3.4406118100871859E-2</v>
      </c>
    </row>
    <row r="176" spans="1:39" x14ac:dyDescent="0.2">
      <c r="A176" s="5">
        <v>30681</v>
      </c>
      <c r="B176" s="14">
        <v>11.3135012727</v>
      </c>
      <c r="C176" s="14">
        <v>13.734545454599999</v>
      </c>
      <c r="D176" s="1">
        <v>14.24</v>
      </c>
      <c r="E176" s="1">
        <v>15.01</v>
      </c>
      <c r="F176" s="1">
        <v>15.76</v>
      </c>
      <c r="G176" s="1">
        <v>16.560000000000002</v>
      </c>
      <c r="H176" s="1">
        <v>122.56</v>
      </c>
      <c r="I176" s="1">
        <v>400.01</v>
      </c>
      <c r="J176" s="1">
        <v>35.01</v>
      </c>
      <c r="K176" s="1">
        <v>191.51</v>
      </c>
      <c r="L176" s="1">
        <v>219.81</v>
      </c>
      <c r="M176">
        <f t="shared" si="54"/>
        <v>800.02</v>
      </c>
      <c r="O176" s="8">
        <f t="shared" si="55"/>
        <v>0.13598073135964328</v>
      </c>
      <c r="P176" s="8">
        <f t="shared" si="56"/>
        <v>6.3304209686007473E-2</v>
      </c>
      <c r="Q176" s="8">
        <f t="shared" si="57"/>
        <v>6.6713483146067398E-2</v>
      </c>
      <c r="R176" s="8">
        <f t="shared" si="58"/>
        <v>4.9966688874083953E-2</v>
      </c>
      <c r="S176" s="8">
        <f t="shared" si="59"/>
        <v>2.7918781725888575E-2</v>
      </c>
      <c r="T176" s="8">
        <f t="shared" si="60"/>
        <v>3.3212560386473466E-2</v>
      </c>
      <c r="U176" s="8">
        <f t="shared" si="61"/>
        <v>-1.7542428198433324E-2</v>
      </c>
      <c r="V176" s="8">
        <f t="shared" si="62"/>
        <v>-3.2499187520312001E-2</v>
      </c>
      <c r="W176" s="8">
        <f t="shared" si="63"/>
        <v>0</v>
      </c>
      <c r="X176" s="8">
        <f t="shared" si="64"/>
        <v>-1.8797973996135919E-2</v>
      </c>
      <c r="Y176" s="8">
        <f t="shared" si="65"/>
        <v>3.8669760247486362E-2</v>
      </c>
      <c r="Z176" s="8">
        <f t="shared" si="66"/>
        <v>-3.2499187520312001E-2</v>
      </c>
      <c r="AB176" s="26">
        <f t="shared" si="67"/>
        <v>0.13145980686721823</v>
      </c>
      <c r="AC176" s="26">
        <f t="shared" si="68"/>
        <v>6.078743966743088E-2</v>
      </c>
      <c r="AD176" s="26">
        <f t="shared" si="69"/>
        <v>6.4421274822616448E-2</v>
      </c>
      <c r="AE176" s="26">
        <f t="shared" si="70"/>
        <v>4.7753929601574638E-2</v>
      </c>
      <c r="AF176" s="26">
        <f t="shared" si="71"/>
        <v>2.57376723144438E-2</v>
      </c>
      <c r="AG176" s="26">
        <f t="shared" si="72"/>
        <v>3.1034558415551857E-2</v>
      </c>
      <c r="AH176" s="26">
        <f t="shared" si="73"/>
        <v>-2.2885808243493729E-2</v>
      </c>
      <c r="AI176" s="26">
        <f t="shared" si="74"/>
        <v>-4.490095364934938E-2</v>
      </c>
      <c r="AJ176" s="26">
        <f t="shared" si="75"/>
        <v>-1.0229205971642284E-2</v>
      </c>
      <c r="AK176" s="26">
        <f t="shared" si="76"/>
        <v>-1.7231058714264506E-2</v>
      </c>
      <c r="AL176" s="26">
        <f t="shared" si="77"/>
        <v>4.2193995361242069E-2</v>
      </c>
      <c r="AM176" s="26">
        <f t="shared" si="78"/>
        <v>-4.490095364934938E-2</v>
      </c>
    </row>
    <row r="177" spans="1:39" x14ac:dyDescent="0.2">
      <c r="A177" s="5">
        <v>30712</v>
      </c>
      <c r="B177" s="14">
        <v>12.85191945</v>
      </c>
      <c r="C177" s="14">
        <v>14.603999999999999</v>
      </c>
      <c r="D177" s="1">
        <v>15.19</v>
      </c>
      <c r="E177" s="1">
        <v>15.76</v>
      </c>
      <c r="F177" s="1">
        <v>16.200000000000003</v>
      </c>
      <c r="G177" s="1">
        <v>17.110000000000003</v>
      </c>
      <c r="H177" s="1">
        <v>120.41000000000001</v>
      </c>
      <c r="I177" s="1">
        <v>387.01</v>
      </c>
      <c r="J177" s="1">
        <v>35.01</v>
      </c>
      <c r="K177" s="1">
        <v>187.91</v>
      </c>
      <c r="L177" s="1">
        <v>228.31</v>
      </c>
      <c r="M177">
        <f t="shared" si="54"/>
        <v>774.02</v>
      </c>
      <c r="O177" s="8">
        <f t="shared" si="55"/>
        <v>0.10153222633993386</v>
      </c>
      <c r="P177" s="8">
        <f t="shared" si="56"/>
        <v>-1.1534130676526866E-2</v>
      </c>
      <c r="Q177" s="8">
        <f t="shared" si="57"/>
        <v>5.9249506254115403E-3</v>
      </c>
      <c r="R177" s="8">
        <f t="shared" si="58"/>
        <v>-1.9035532994923221E-3</v>
      </c>
      <c r="S177" s="8">
        <f t="shared" si="59"/>
        <v>9.8765432098766315E-3</v>
      </c>
      <c r="T177" s="8">
        <f t="shared" si="60"/>
        <v>4.6756282875510813E-3</v>
      </c>
      <c r="U177" s="8">
        <f t="shared" si="61"/>
        <v>-6.0543144257121595E-2</v>
      </c>
      <c r="V177" s="8">
        <f t="shared" si="62"/>
        <v>-6.2013901449574971E-2</v>
      </c>
      <c r="W177" s="8">
        <f t="shared" si="63"/>
        <v>-2.8563267637817802E-2</v>
      </c>
      <c r="X177" s="8">
        <f t="shared" si="64"/>
        <v>-3.1398009685487782E-2</v>
      </c>
      <c r="Y177" s="8">
        <f t="shared" si="65"/>
        <v>3.9201086242389716E-2</v>
      </c>
      <c r="Z177" s="8">
        <f t="shared" si="66"/>
        <v>-6.2013901449574971E-2</v>
      </c>
      <c r="AB177" s="26">
        <f t="shared" si="67"/>
        <v>9.7011301847508807E-2</v>
      </c>
      <c r="AC177" s="26">
        <f t="shared" si="68"/>
        <v>-1.4050900695103459E-2</v>
      </c>
      <c r="AD177" s="26">
        <f t="shared" si="69"/>
        <v>3.6327423019605963E-3</v>
      </c>
      <c r="AE177" s="26">
        <f t="shared" si="70"/>
        <v>-4.1163125720016409E-3</v>
      </c>
      <c r="AF177" s="26">
        <f t="shared" si="71"/>
        <v>7.6954337984318586E-3</v>
      </c>
      <c r="AG177" s="26">
        <f t="shared" si="72"/>
        <v>2.497626316629472E-3</v>
      </c>
      <c r="AH177" s="26">
        <f t="shared" si="73"/>
        <v>-6.5886524302182004E-2</v>
      </c>
      <c r="AI177" s="26">
        <f t="shared" si="74"/>
        <v>-7.4415667578612343E-2</v>
      </c>
      <c r="AJ177" s="26">
        <f t="shared" si="75"/>
        <v>-3.8792473609460087E-2</v>
      </c>
      <c r="AK177" s="26">
        <f t="shared" si="76"/>
        <v>-2.9831094403616368E-2</v>
      </c>
      <c r="AL177" s="26">
        <f t="shared" si="77"/>
        <v>4.2725321356145422E-2</v>
      </c>
      <c r="AM177" s="26">
        <f t="shared" si="78"/>
        <v>-7.4415667578612343E-2</v>
      </c>
    </row>
    <row r="178" spans="1:39" x14ac:dyDescent="0.2">
      <c r="A178" s="5">
        <v>30741</v>
      </c>
      <c r="B178" s="14">
        <v>14.1568034445</v>
      </c>
      <c r="C178" s="14">
        <v>14.435555555600001</v>
      </c>
      <c r="D178" s="1">
        <v>15.28</v>
      </c>
      <c r="E178" s="1">
        <v>15.73</v>
      </c>
      <c r="F178" s="1">
        <v>16.360000000000003</v>
      </c>
      <c r="G178" s="1">
        <v>17.190000000000001</v>
      </c>
      <c r="H178" s="1">
        <v>113.12</v>
      </c>
      <c r="I178" s="1">
        <v>363.01</v>
      </c>
      <c r="J178" s="1">
        <v>34.01</v>
      </c>
      <c r="K178" s="1">
        <v>182.01</v>
      </c>
      <c r="L178" s="1">
        <v>237.26</v>
      </c>
      <c r="M178">
        <f t="shared" si="54"/>
        <v>726.02</v>
      </c>
      <c r="O178" s="8">
        <f t="shared" si="55"/>
        <v>-6.1579939286272256E-2</v>
      </c>
      <c r="P178" s="8">
        <f t="shared" si="56"/>
        <v>-3.9087599055452338E-2</v>
      </c>
      <c r="Q178" s="8">
        <f t="shared" si="57"/>
        <v>-4.5157068062827155E-2</v>
      </c>
      <c r="R178" s="8">
        <f t="shared" si="58"/>
        <v>-3.2422123331214192E-2</v>
      </c>
      <c r="S178" s="8">
        <f t="shared" si="59"/>
        <v>-1.4058679706601462E-2</v>
      </c>
      <c r="T178" s="8">
        <f t="shared" si="60"/>
        <v>-2.0942408376963262E-2</v>
      </c>
      <c r="U178" s="8">
        <f t="shared" si="61"/>
        <v>-1.0166195190947747E-2</v>
      </c>
      <c r="V178" s="8">
        <f t="shared" si="62"/>
        <v>-0.11845403707886837</v>
      </c>
      <c r="W178" s="8">
        <f t="shared" si="63"/>
        <v>-7.3507791825933477E-2</v>
      </c>
      <c r="X178" s="8">
        <f t="shared" si="64"/>
        <v>-2.1427394099225339E-2</v>
      </c>
      <c r="Y178" s="8">
        <f t="shared" si="65"/>
        <v>4.636264014161684E-2</v>
      </c>
      <c r="Z178" s="8">
        <f t="shared" si="66"/>
        <v>-0.11845403707886837</v>
      </c>
      <c r="AB178" s="26">
        <f t="shared" si="67"/>
        <v>-6.6100863778697311E-2</v>
      </c>
      <c r="AC178" s="26">
        <f t="shared" si="68"/>
        <v>-4.1604369074028931E-2</v>
      </c>
      <c r="AD178" s="26">
        <f t="shared" si="69"/>
        <v>-4.7449276386278098E-2</v>
      </c>
      <c r="AE178" s="26">
        <f t="shared" si="70"/>
        <v>-3.4634882603723507E-2</v>
      </c>
      <c r="AF178" s="26">
        <f t="shared" si="71"/>
        <v>-1.6239789118046237E-2</v>
      </c>
      <c r="AG178" s="26">
        <f t="shared" si="72"/>
        <v>-2.3120410347884871E-2</v>
      </c>
      <c r="AH178" s="26">
        <f t="shared" si="73"/>
        <v>-1.5509575236008152E-2</v>
      </c>
      <c r="AI178" s="26">
        <f t="shared" si="74"/>
        <v>-0.13085580320790574</v>
      </c>
      <c r="AJ178" s="26">
        <f t="shared" si="75"/>
        <v>-8.3736997797575763E-2</v>
      </c>
      <c r="AK178" s="26">
        <f t="shared" si="76"/>
        <v>-1.9860478817353925E-2</v>
      </c>
      <c r="AL178" s="26">
        <f t="shared" si="77"/>
        <v>4.9886875255372547E-2</v>
      </c>
      <c r="AM178" s="26">
        <f t="shared" si="78"/>
        <v>-0.13085580320790574</v>
      </c>
    </row>
    <row r="179" spans="1:39" x14ac:dyDescent="0.2">
      <c r="A179" s="5">
        <v>30772</v>
      </c>
      <c r="B179" s="14">
        <v>13.285028347899999</v>
      </c>
      <c r="C179" s="14">
        <v>13.871304347900001</v>
      </c>
      <c r="D179" s="1">
        <v>14.59</v>
      </c>
      <c r="E179" s="1">
        <v>15.22</v>
      </c>
      <c r="F179" s="1">
        <v>16.130000000000003</v>
      </c>
      <c r="G179" s="1">
        <v>16.830000000000002</v>
      </c>
      <c r="H179" s="1">
        <v>111.97</v>
      </c>
      <c r="I179" s="1">
        <v>320.01</v>
      </c>
      <c r="J179" s="1">
        <v>31.51</v>
      </c>
      <c r="K179" s="1">
        <v>178.10999999999999</v>
      </c>
      <c r="L179" s="1">
        <v>248.26</v>
      </c>
      <c r="M179">
        <f t="shared" si="54"/>
        <v>640.02</v>
      </c>
      <c r="O179" s="8">
        <f t="shared" si="55"/>
        <v>2.0697150867838854E-3</v>
      </c>
      <c r="P179" s="8">
        <f t="shared" si="56"/>
        <v>7.641973482908071E-4</v>
      </c>
      <c r="Q179" s="8">
        <f t="shared" si="57"/>
        <v>-8.2248115147360856E-3</v>
      </c>
      <c r="R179" s="8">
        <f t="shared" si="58"/>
        <v>-2.036793692509864E-2</v>
      </c>
      <c r="S179" s="8">
        <f t="shared" si="59"/>
        <v>-1.0539367637941943E-2</v>
      </c>
      <c r="T179" s="8">
        <f t="shared" si="60"/>
        <v>-2.3767082590611111E-3</v>
      </c>
      <c r="U179" s="8">
        <f t="shared" si="61"/>
        <v>4.001071715638127E-2</v>
      </c>
      <c r="V179" s="8">
        <f t="shared" si="62"/>
        <v>0.13124589856566993</v>
      </c>
      <c r="W179" s="8">
        <f t="shared" si="63"/>
        <v>-0.10472865756902572</v>
      </c>
      <c r="X179" s="8">
        <f t="shared" si="64"/>
        <v>7.5795856493177105E-3</v>
      </c>
      <c r="Y179" s="8">
        <f t="shared" si="65"/>
        <v>-4.9947635543381996E-2</v>
      </c>
      <c r="Z179" s="8">
        <f t="shared" si="66"/>
        <v>0.13124589856566993</v>
      </c>
      <c r="AB179" s="26">
        <f t="shared" si="67"/>
        <v>-2.4512094056411676E-3</v>
      </c>
      <c r="AC179" s="26">
        <f t="shared" si="68"/>
        <v>-1.7525726702857869E-3</v>
      </c>
      <c r="AD179" s="26">
        <f t="shared" si="69"/>
        <v>-1.0517019838187029E-2</v>
      </c>
      <c r="AE179" s="26">
        <f t="shared" si="70"/>
        <v>-2.2580696197607959E-2</v>
      </c>
      <c r="AF179" s="26">
        <f t="shared" si="71"/>
        <v>-1.2720477049386716E-2</v>
      </c>
      <c r="AG179" s="26">
        <f t="shared" si="72"/>
        <v>-4.5547102299827204E-3</v>
      </c>
      <c r="AH179" s="26">
        <f t="shared" si="73"/>
        <v>3.4667337111320862E-2</v>
      </c>
      <c r="AI179" s="26">
        <f t="shared" si="74"/>
        <v>0.11884413243663255</v>
      </c>
      <c r="AJ179" s="26">
        <f t="shared" si="75"/>
        <v>-0.114957863540668</v>
      </c>
      <c r="AK179" s="26">
        <f t="shared" si="76"/>
        <v>9.1465009311891242E-3</v>
      </c>
      <c r="AL179" s="26">
        <f t="shared" si="77"/>
        <v>-4.6423400429626289E-2</v>
      </c>
      <c r="AM179" s="26">
        <f t="shared" si="78"/>
        <v>0.11884413243663255</v>
      </c>
    </row>
    <row r="180" spans="1:39" x14ac:dyDescent="0.2">
      <c r="A180" s="5">
        <v>30802</v>
      </c>
      <c r="B180" s="14">
        <v>13.312524571499999</v>
      </c>
      <c r="C180" s="14">
        <v>13.8819047619</v>
      </c>
      <c r="D180" s="1">
        <v>14.47</v>
      </c>
      <c r="E180" s="1">
        <v>14.91</v>
      </c>
      <c r="F180" s="1">
        <v>15.959999999999999</v>
      </c>
      <c r="G180" s="1">
        <v>16.790000000000003</v>
      </c>
      <c r="H180" s="1">
        <v>116.45</v>
      </c>
      <c r="I180" s="1">
        <v>362.01</v>
      </c>
      <c r="J180" s="1">
        <v>28.21</v>
      </c>
      <c r="K180" s="1">
        <v>179.45999999999998</v>
      </c>
      <c r="L180" s="1">
        <v>235.85999999999999</v>
      </c>
      <c r="M180">
        <f t="shared" si="54"/>
        <v>724.02</v>
      </c>
      <c r="O180" s="8">
        <f t="shared" si="55"/>
        <v>-4.9890824075689455E-2</v>
      </c>
      <c r="P180" s="8">
        <f t="shared" si="56"/>
        <v>-1.7966177277379924E-2</v>
      </c>
      <c r="Q180" s="8">
        <f t="shared" si="57"/>
        <v>-1.3821700069108545E-2</v>
      </c>
      <c r="R180" s="8">
        <f t="shared" si="58"/>
        <v>-8.7189805499665596E-3</v>
      </c>
      <c r="S180" s="8">
        <f t="shared" si="59"/>
        <v>-1.5664160401002492E-2</v>
      </c>
      <c r="T180" s="8">
        <f t="shared" si="60"/>
        <v>-8.3382966051220864E-3</v>
      </c>
      <c r="U180" s="8">
        <f t="shared" si="61"/>
        <v>-3.9158437097466692E-2</v>
      </c>
      <c r="V180" s="8">
        <f t="shared" si="62"/>
        <v>-0.10496947598132644</v>
      </c>
      <c r="W180" s="8">
        <f t="shared" si="63"/>
        <v>0.20028358738036145</v>
      </c>
      <c r="X180" s="8">
        <f t="shared" si="64"/>
        <v>-1.9502953304356696E-3</v>
      </c>
      <c r="Y180" s="8">
        <f t="shared" si="65"/>
        <v>3.1586534384804521E-2</v>
      </c>
      <c r="Z180" s="8">
        <f t="shared" si="66"/>
        <v>-0.10496947598132644</v>
      </c>
      <c r="AB180" s="26">
        <f t="shared" si="67"/>
        <v>-5.441174856811451E-2</v>
      </c>
      <c r="AC180" s="26">
        <f t="shared" si="68"/>
        <v>-2.0482947295956518E-2</v>
      </c>
      <c r="AD180" s="26">
        <f t="shared" si="69"/>
        <v>-1.6113908392559488E-2</v>
      </c>
      <c r="AE180" s="26">
        <f t="shared" si="70"/>
        <v>-1.0931739822475878E-2</v>
      </c>
      <c r="AF180" s="26">
        <f t="shared" si="71"/>
        <v>-1.7845269812447266E-2</v>
      </c>
      <c r="AG180" s="26">
        <f t="shared" si="72"/>
        <v>-1.0516298576043696E-2</v>
      </c>
      <c r="AH180" s="26">
        <f t="shared" si="73"/>
        <v>-4.45018171425271E-2</v>
      </c>
      <c r="AI180" s="26">
        <f t="shared" si="74"/>
        <v>-0.11737124211036382</v>
      </c>
      <c r="AJ180" s="26">
        <f t="shared" si="75"/>
        <v>0.19005438140871916</v>
      </c>
      <c r="AK180" s="26">
        <f t="shared" si="76"/>
        <v>-3.8338004856425505E-4</v>
      </c>
      <c r="AL180" s="26">
        <f t="shared" si="77"/>
        <v>3.5110769498560228E-2</v>
      </c>
      <c r="AM180" s="26">
        <f t="shared" si="78"/>
        <v>-0.11737124211036382</v>
      </c>
    </row>
    <row r="181" spans="1:39" x14ac:dyDescent="0.2">
      <c r="A181" s="5">
        <v>30833</v>
      </c>
      <c r="B181" s="14">
        <v>12.6483517501</v>
      </c>
      <c r="C181" s="14">
        <v>13.6325</v>
      </c>
      <c r="D181" s="1">
        <v>14.27</v>
      </c>
      <c r="E181" s="1">
        <v>14.78</v>
      </c>
      <c r="F181" s="1">
        <v>15.709999999999999</v>
      </c>
      <c r="G181" s="1">
        <v>16.650000000000002</v>
      </c>
      <c r="H181" s="1">
        <v>111.89</v>
      </c>
      <c r="I181" s="1">
        <v>324.01</v>
      </c>
      <c r="J181" s="1">
        <v>33.86</v>
      </c>
      <c r="K181" s="1">
        <v>179.10999999999999</v>
      </c>
      <c r="L181" s="1">
        <v>243.31</v>
      </c>
      <c r="M181">
        <f t="shared" si="54"/>
        <v>648.02</v>
      </c>
      <c r="O181" s="8">
        <f t="shared" si="55"/>
        <v>3.2232994310644303E-2</v>
      </c>
      <c r="P181" s="8">
        <f t="shared" si="56"/>
        <v>4.9664071498257911E-2</v>
      </c>
      <c r="Q181" s="8">
        <f t="shared" si="57"/>
        <v>3.854239663629988E-2</v>
      </c>
      <c r="R181" s="8">
        <f t="shared" si="58"/>
        <v>3.3152909336941816E-2</v>
      </c>
      <c r="S181" s="8">
        <f t="shared" si="59"/>
        <v>2.3551877784850683E-2</v>
      </c>
      <c r="T181" s="8">
        <f t="shared" si="60"/>
        <v>1.6816816816816793E-2</v>
      </c>
      <c r="U181" s="8">
        <f t="shared" si="61"/>
        <v>-2.0287782643667818E-2</v>
      </c>
      <c r="V181" s="8">
        <f t="shared" si="62"/>
        <v>-1.8517946976945199E-2</v>
      </c>
      <c r="W181" s="8">
        <f t="shared" si="63"/>
        <v>6.6450088600118029E-2</v>
      </c>
      <c r="X181" s="8">
        <f t="shared" si="64"/>
        <v>-3.098654458154193E-2</v>
      </c>
      <c r="Y181" s="8">
        <f t="shared" si="65"/>
        <v>4.8086802844108378E-2</v>
      </c>
      <c r="Z181" s="8">
        <f t="shared" si="66"/>
        <v>-1.8517946976945199E-2</v>
      </c>
      <c r="AB181" s="26">
        <f t="shared" si="67"/>
        <v>2.7712069818219248E-2</v>
      </c>
      <c r="AC181" s="26">
        <f t="shared" si="68"/>
        <v>4.7147301479681318E-2</v>
      </c>
      <c r="AD181" s="26">
        <f t="shared" si="69"/>
        <v>3.6250188312848937E-2</v>
      </c>
      <c r="AE181" s="26">
        <f t="shared" si="70"/>
        <v>3.0940150064432497E-2</v>
      </c>
      <c r="AF181" s="26">
        <f t="shared" si="71"/>
        <v>2.1370768373405909E-2</v>
      </c>
      <c r="AG181" s="26">
        <f t="shared" si="72"/>
        <v>1.4638814845895184E-2</v>
      </c>
      <c r="AH181" s="26">
        <f t="shared" si="73"/>
        <v>-2.5631162688728223E-2</v>
      </c>
      <c r="AI181" s="26">
        <f t="shared" si="74"/>
        <v>-3.0919713105982578E-2</v>
      </c>
      <c r="AJ181" s="26">
        <f t="shared" si="75"/>
        <v>5.6220882628475743E-2</v>
      </c>
      <c r="AK181" s="26">
        <f t="shared" si="76"/>
        <v>-2.9419629299670517E-2</v>
      </c>
      <c r="AL181" s="26">
        <f t="shared" si="77"/>
        <v>5.1611037957864085E-2</v>
      </c>
      <c r="AM181" s="26">
        <f t="shared" si="78"/>
        <v>-3.0919713105982578E-2</v>
      </c>
    </row>
    <row r="182" spans="1:39" x14ac:dyDescent="0.2">
      <c r="A182" s="5">
        <v>30863</v>
      </c>
      <c r="B182" s="14">
        <v>13.0560460001</v>
      </c>
      <c r="C182" s="14">
        <v>14.3095454547</v>
      </c>
      <c r="D182" s="1">
        <v>14.82</v>
      </c>
      <c r="E182" s="1">
        <v>15.27</v>
      </c>
      <c r="F182" s="1">
        <v>16.080000000000002</v>
      </c>
      <c r="G182" s="1">
        <v>16.930000000000003</v>
      </c>
      <c r="H182" s="1">
        <v>109.62</v>
      </c>
      <c r="I182" s="1">
        <v>318.01</v>
      </c>
      <c r="J182" s="1">
        <v>36.11</v>
      </c>
      <c r="K182" s="1">
        <v>173.56</v>
      </c>
      <c r="L182" s="1">
        <v>255.01</v>
      </c>
      <c r="M182">
        <f t="shared" si="54"/>
        <v>636.02</v>
      </c>
      <c r="O182" s="8">
        <f t="shared" si="55"/>
        <v>-9.2025349067458628E-2</v>
      </c>
      <c r="P182" s="8">
        <f t="shared" si="56"/>
        <v>-2.469365498146836E-2</v>
      </c>
      <c r="Q182" s="8">
        <f t="shared" si="57"/>
        <v>-1.3495276653171406E-2</v>
      </c>
      <c r="R182" s="8">
        <f t="shared" si="58"/>
        <v>-3.2743942370661028E-3</v>
      </c>
      <c r="S182" s="8">
        <f t="shared" si="59"/>
        <v>8.0845771144277823E-3</v>
      </c>
      <c r="T182" s="8">
        <f t="shared" si="60"/>
        <v>-7.0880094506793334E-3</v>
      </c>
      <c r="U182" s="8">
        <f t="shared" si="61"/>
        <v>-2.2988505747126409E-2</v>
      </c>
      <c r="V182" s="8">
        <f t="shared" si="62"/>
        <v>7.7041602465331316E-2</v>
      </c>
      <c r="W182" s="8">
        <f t="shared" si="63"/>
        <v>-4.8463029631680921E-2</v>
      </c>
      <c r="X182" s="8">
        <f t="shared" si="64"/>
        <v>1.4404240608434371E-3</v>
      </c>
      <c r="Y182" s="8">
        <f t="shared" si="65"/>
        <v>1.2156386024077648E-2</v>
      </c>
      <c r="Z182" s="8">
        <f t="shared" si="66"/>
        <v>7.7041602465331316E-2</v>
      </c>
      <c r="AB182" s="26">
        <f t="shared" si="67"/>
        <v>-9.6546273559883683E-2</v>
      </c>
      <c r="AC182" s="26">
        <f t="shared" si="68"/>
        <v>-2.7210425000044954E-2</v>
      </c>
      <c r="AD182" s="26">
        <f t="shared" si="69"/>
        <v>-1.578748497662235E-2</v>
      </c>
      <c r="AE182" s="26">
        <f t="shared" si="70"/>
        <v>-5.4871535095754216E-3</v>
      </c>
      <c r="AF182" s="26">
        <f t="shared" si="71"/>
        <v>5.9034677029830094E-3</v>
      </c>
      <c r="AG182" s="26">
        <f t="shared" si="72"/>
        <v>-9.2660114216009427E-3</v>
      </c>
      <c r="AH182" s="26">
        <f t="shared" si="73"/>
        <v>-2.8331885792186814E-2</v>
      </c>
      <c r="AI182" s="26">
        <f t="shared" si="74"/>
        <v>6.4639836336293943E-2</v>
      </c>
      <c r="AJ182" s="26">
        <f t="shared" si="75"/>
        <v>-5.8692235603323206E-2</v>
      </c>
      <c r="AK182" s="26">
        <f t="shared" si="76"/>
        <v>3.0073393427148517E-3</v>
      </c>
      <c r="AL182" s="26">
        <f t="shared" si="77"/>
        <v>1.5680621137833355E-2</v>
      </c>
      <c r="AM182" s="26">
        <f t="shared" si="78"/>
        <v>6.4639836336293943E-2</v>
      </c>
    </row>
    <row r="183" spans="1:39" x14ac:dyDescent="0.2">
      <c r="A183" s="5">
        <v>30894</v>
      </c>
      <c r="B183" s="14">
        <v>11.8545588095</v>
      </c>
      <c r="C183" s="14">
        <v>13.9561904763</v>
      </c>
      <c r="D183" s="1">
        <v>14.62</v>
      </c>
      <c r="E183" s="1">
        <v>15.22</v>
      </c>
      <c r="F183" s="1">
        <v>16.21</v>
      </c>
      <c r="G183" s="1">
        <v>16.810000000000002</v>
      </c>
      <c r="H183" s="1">
        <v>107.10000000000001</v>
      </c>
      <c r="I183" s="1">
        <v>342.51</v>
      </c>
      <c r="J183" s="1">
        <v>34.36</v>
      </c>
      <c r="K183" s="1">
        <v>173.81</v>
      </c>
      <c r="L183" s="1">
        <v>258.11</v>
      </c>
      <c r="M183">
        <f t="shared" si="54"/>
        <v>685.02</v>
      </c>
      <c r="O183" s="8">
        <f t="shared" si="55"/>
        <v>-0.24009722878248962</v>
      </c>
      <c r="P183" s="8">
        <f t="shared" si="56"/>
        <v>-6.3856284980732703E-2</v>
      </c>
      <c r="Q183" s="8">
        <f t="shared" si="57"/>
        <v>-6.1559507523939683E-2</v>
      </c>
      <c r="R183" s="8">
        <f t="shared" si="58"/>
        <v>-4.796320630749018E-2</v>
      </c>
      <c r="S183" s="8">
        <f t="shared" si="59"/>
        <v>-3.0845157310302351E-2</v>
      </c>
      <c r="T183" s="8">
        <f t="shared" si="60"/>
        <v>-2.8554431885782328E-2</v>
      </c>
      <c r="U183" s="8">
        <f t="shared" si="61"/>
        <v>0.11596638655462188</v>
      </c>
      <c r="V183" s="8">
        <f t="shared" si="62"/>
        <v>0.20729321771627096</v>
      </c>
      <c r="W183" s="8">
        <f t="shared" si="63"/>
        <v>-1.5133876600698537E-2</v>
      </c>
      <c r="X183" s="8">
        <f t="shared" si="64"/>
        <v>-1.0068465565847728E-2</v>
      </c>
      <c r="Y183" s="8">
        <f t="shared" si="65"/>
        <v>1.1622951454806074E-2</v>
      </c>
      <c r="Z183" s="8">
        <f t="shared" si="66"/>
        <v>0.20729321771627096</v>
      </c>
      <c r="AB183" s="26">
        <f t="shared" si="67"/>
        <v>-0.24461815327491468</v>
      </c>
      <c r="AC183" s="26">
        <f t="shared" si="68"/>
        <v>-6.6373054999309303E-2</v>
      </c>
      <c r="AD183" s="26">
        <f t="shared" si="69"/>
        <v>-6.3851715847390633E-2</v>
      </c>
      <c r="AE183" s="26">
        <f t="shared" si="70"/>
        <v>-5.0175965579999496E-2</v>
      </c>
      <c r="AF183" s="26">
        <f t="shared" si="71"/>
        <v>-3.3026266721747126E-2</v>
      </c>
      <c r="AG183" s="26">
        <f t="shared" si="72"/>
        <v>-3.0732433856703937E-2</v>
      </c>
      <c r="AH183" s="26">
        <f t="shared" si="73"/>
        <v>0.11062300650956147</v>
      </c>
      <c r="AI183" s="26">
        <f t="shared" si="74"/>
        <v>0.19489145158723359</v>
      </c>
      <c r="AJ183" s="26">
        <f t="shared" si="75"/>
        <v>-2.5363082572340823E-2</v>
      </c>
      <c r="AK183" s="26">
        <f t="shared" si="76"/>
        <v>-8.5015502839763148E-3</v>
      </c>
      <c r="AL183" s="26">
        <f t="shared" si="77"/>
        <v>1.5147186568561781E-2</v>
      </c>
      <c r="AM183" s="26">
        <f t="shared" si="78"/>
        <v>0.19489145158723359</v>
      </c>
    </row>
    <row r="184" spans="1:39" x14ac:dyDescent="0.2">
      <c r="A184" s="5">
        <v>30925</v>
      </c>
      <c r="B184" s="14">
        <v>9.0083120909000005</v>
      </c>
      <c r="C184" s="14">
        <v>13.065</v>
      </c>
      <c r="D184" s="1">
        <v>13.72</v>
      </c>
      <c r="E184" s="1">
        <v>14.49</v>
      </c>
      <c r="F184" s="1">
        <v>15.709999999999999</v>
      </c>
      <c r="G184" s="1">
        <v>16.330000000000002</v>
      </c>
      <c r="H184" s="1">
        <v>119.52000000000001</v>
      </c>
      <c r="I184" s="1">
        <v>413.51</v>
      </c>
      <c r="J184" s="1">
        <v>33.839999999999996</v>
      </c>
      <c r="K184" s="1">
        <v>172.06</v>
      </c>
      <c r="L184" s="1">
        <v>261.11</v>
      </c>
      <c r="M184">
        <f t="shared" si="54"/>
        <v>827.02</v>
      </c>
      <c r="O184" s="8">
        <f t="shared" si="55"/>
        <v>-8.938965922522224E-2</v>
      </c>
      <c r="P184" s="8">
        <f t="shared" si="56"/>
        <v>-5.4799263758132377E-2</v>
      </c>
      <c r="Q184" s="8">
        <f t="shared" si="57"/>
        <v>-5.6122448979591955E-2</v>
      </c>
      <c r="R184" s="8">
        <f t="shared" si="58"/>
        <v>-5.2449965493443718E-2</v>
      </c>
      <c r="S184" s="8">
        <f t="shared" si="59"/>
        <v>-4.0101845957988491E-2</v>
      </c>
      <c r="T184" s="8">
        <f t="shared" si="60"/>
        <v>-4.2253521126760618E-2</v>
      </c>
      <c r="U184" s="8">
        <f t="shared" si="61"/>
        <v>7.6137884872824468E-3</v>
      </c>
      <c r="V184" s="8">
        <f t="shared" si="62"/>
        <v>-4.3529781625595509E-2</v>
      </c>
      <c r="W184" s="8">
        <f t="shared" si="63"/>
        <v>0</v>
      </c>
      <c r="X184" s="8">
        <f t="shared" si="64"/>
        <v>-1.5111007787981023E-2</v>
      </c>
      <c r="Y184" s="8">
        <f t="shared" si="65"/>
        <v>2.7574585423767672E-2</v>
      </c>
      <c r="Z184" s="8">
        <f t="shared" si="66"/>
        <v>-4.3529781625595509E-2</v>
      </c>
      <c r="AB184" s="26">
        <f t="shared" si="67"/>
        <v>-9.3910583717647295E-2</v>
      </c>
      <c r="AC184" s="26">
        <f t="shared" si="68"/>
        <v>-5.731603377670897E-2</v>
      </c>
      <c r="AD184" s="26">
        <f t="shared" si="69"/>
        <v>-5.8414657303042898E-2</v>
      </c>
      <c r="AE184" s="26">
        <f t="shared" si="70"/>
        <v>-5.4662724765953033E-2</v>
      </c>
      <c r="AF184" s="26">
        <f t="shared" si="71"/>
        <v>-4.2282955369433266E-2</v>
      </c>
      <c r="AG184" s="26">
        <f t="shared" si="72"/>
        <v>-4.4431523097682224E-2</v>
      </c>
      <c r="AH184" s="26">
        <f t="shared" si="73"/>
        <v>2.2704084422220418E-3</v>
      </c>
      <c r="AI184" s="26">
        <f t="shared" si="74"/>
        <v>-5.5931547754632889E-2</v>
      </c>
      <c r="AJ184" s="26">
        <f t="shared" si="75"/>
        <v>-1.0229205971642284E-2</v>
      </c>
      <c r="AK184" s="26">
        <f t="shared" si="76"/>
        <v>-1.354409250610961E-2</v>
      </c>
      <c r="AL184" s="26">
        <f t="shared" si="77"/>
        <v>3.1098820537523379E-2</v>
      </c>
      <c r="AM184" s="26">
        <f t="shared" si="78"/>
        <v>-5.5931547754632889E-2</v>
      </c>
    </row>
    <row r="185" spans="1:39" x14ac:dyDescent="0.2">
      <c r="A185" s="5">
        <v>30955</v>
      </c>
      <c r="B185" s="14">
        <v>8.2030621429000004</v>
      </c>
      <c r="C185" s="14">
        <v>12.349047619</v>
      </c>
      <c r="D185" s="1">
        <v>12.95</v>
      </c>
      <c r="E185" s="1">
        <v>13.73</v>
      </c>
      <c r="F185" s="1">
        <v>15.08</v>
      </c>
      <c r="G185" s="1">
        <v>15.64</v>
      </c>
      <c r="H185" s="1">
        <v>120.43</v>
      </c>
      <c r="I185" s="1">
        <v>395.51</v>
      </c>
      <c r="J185" s="1">
        <v>33.839999999999996</v>
      </c>
      <c r="K185" s="1">
        <v>169.45999999999998</v>
      </c>
      <c r="L185" s="1">
        <v>268.31</v>
      </c>
      <c r="M185">
        <f t="shared" si="54"/>
        <v>791.02</v>
      </c>
      <c r="O185" s="8">
        <f t="shared" si="55"/>
        <v>-2.7021682761705579E-2</v>
      </c>
      <c r="P185" s="8">
        <f t="shared" si="56"/>
        <v>-0.11600470442723954</v>
      </c>
      <c r="Q185" s="8">
        <f t="shared" si="57"/>
        <v>-6.3320463320463372E-2</v>
      </c>
      <c r="R185" s="8">
        <f t="shared" si="58"/>
        <v>-5.4624908958485041E-2</v>
      </c>
      <c r="S185" s="8">
        <f t="shared" si="59"/>
        <v>-4.8408488063660493E-2</v>
      </c>
      <c r="T185" s="8">
        <f t="shared" si="60"/>
        <v>-5.7544757033248128E-2</v>
      </c>
      <c r="U185" s="8">
        <f t="shared" si="61"/>
        <v>0.11035456281657385</v>
      </c>
      <c r="V185" s="8">
        <f t="shared" si="62"/>
        <v>6.9530479633890474E-2</v>
      </c>
      <c r="W185" s="8">
        <f t="shared" si="63"/>
        <v>5.8215130023640649E-2</v>
      </c>
      <c r="X185" s="8">
        <f t="shared" si="64"/>
        <v>-1.0326920807270157E-2</v>
      </c>
      <c r="Y185" s="8">
        <f t="shared" si="65"/>
        <v>3.2797883045730725E-2</v>
      </c>
      <c r="Z185" s="8">
        <f t="shared" si="66"/>
        <v>6.9530479633890474E-2</v>
      </c>
      <c r="AB185" s="26">
        <f t="shared" si="67"/>
        <v>-3.1542607254130633E-2</v>
      </c>
      <c r="AC185" s="26">
        <f t="shared" si="68"/>
        <v>-0.11852147444581614</v>
      </c>
      <c r="AD185" s="26">
        <f t="shared" si="69"/>
        <v>-6.5612671643914322E-2</v>
      </c>
      <c r="AE185" s="26">
        <f t="shared" si="70"/>
        <v>-5.6837668230994356E-2</v>
      </c>
      <c r="AF185" s="26">
        <f t="shared" si="71"/>
        <v>-5.0589597475105268E-2</v>
      </c>
      <c r="AG185" s="26">
        <f t="shared" si="72"/>
        <v>-5.9722759004169734E-2</v>
      </c>
      <c r="AH185" s="26">
        <f t="shared" si="73"/>
        <v>0.10501118277151344</v>
      </c>
      <c r="AI185" s="26">
        <f t="shared" si="74"/>
        <v>5.7128713504853094E-2</v>
      </c>
      <c r="AJ185" s="26">
        <f t="shared" si="75"/>
        <v>4.7985924051998363E-2</v>
      </c>
      <c r="AK185" s="26">
        <f t="shared" si="76"/>
        <v>-8.7600055253987431E-3</v>
      </c>
      <c r="AL185" s="26">
        <f t="shared" si="77"/>
        <v>3.6322118159486431E-2</v>
      </c>
      <c r="AM185" s="26">
        <f t="shared" si="78"/>
        <v>5.7128713504853094E-2</v>
      </c>
    </row>
    <row r="186" spans="1:39" x14ac:dyDescent="0.2">
      <c r="A186" s="5">
        <v>30986</v>
      </c>
      <c r="B186" s="14">
        <v>7.9814015999999999</v>
      </c>
      <c r="C186" s="14">
        <v>10.916499999999999</v>
      </c>
      <c r="D186" s="1">
        <v>12.129999999999999</v>
      </c>
      <c r="E186" s="1">
        <v>12.98</v>
      </c>
      <c r="F186" s="1">
        <v>14.35</v>
      </c>
      <c r="G186" s="1">
        <v>14.74</v>
      </c>
      <c r="H186" s="1">
        <v>133.72</v>
      </c>
      <c r="I186" s="1">
        <v>423.01</v>
      </c>
      <c r="J186" s="1">
        <v>35.809999999999995</v>
      </c>
      <c r="K186" s="1">
        <v>167.70999999999998</v>
      </c>
      <c r="L186" s="1">
        <v>277.11</v>
      </c>
      <c r="M186">
        <f t="shared" si="54"/>
        <v>846.02</v>
      </c>
      <c r="O186" s="8">
        <f t="shared" si="55"/>
        <v>4.7033709755940567E-2</v>
      </c>
      <c r="P186" s="8">
        <f t="shared" si="56"/>
        <v>-3.2608774259148876E-2</v>
      </c>
      <c r="Q186" s="8">
        <f t="shared" si="57"/>
        <v>-3.6273701566364336E-2</v>
      </c>
      <c r="R186" s="8">
        <f t="shared" si="58"/>
        <v>-3.5439137134052445E-2</v>
      </c>
      <c r="S186" s="8">
        <f t="shared" si="59"/>
        <v>-3.6933797909407651E-2</v>
      </c>
      <c r="T186" s="8">
        <f t="shared" si="60"/>
        <v>-2.917232021709637E-2</v>
      </c>
      <c r="U186" s="8">
        <f t="shared" si="61"/>
        <v>3.612025127131302E-2</v>
      </c>
      <c r="V186" s="8">
        <f t="shared" si="62"/>
        <v>3.5460154606274052E-2</v>
      </c>
      <c r="W186" s="8">
        <f t="shared" si="63"/>
        <v>1.3962580284838655E-3</v>
      </c>
      <c r="X186" s="8">
        <f t="shared" si="64"/>
        <v>-2.6832031482916907E-2</v>
      </c>
      <c r="Y186" s="8">
        <f t="shared" si="65"/>
        <v>-0.10068203962325439</v>
      </c>
      <c r="Z186" s="8">
        <f t="shared" si="66"/>
        <v>3.5460154606274052E-2</v>
      </c>
      <c r="AB186" s="26">
        <f t="shared" si="67"/>
        <v>4.2512785263515512E-2</v>
      </c>
      <c r="AC186" s="26">
        <f t="shared" si="68"/>
        <v>-3.5125544277725469E-2</v>
      </c>
      <c r="AD186" s="26">
        <f t="shared" si="69"/>
        <v>-3.8565909889815279E-2</v>
      </c>
      <c r="AE186" s="26">
        <f t="shared" si="70"/>
        <v>-3.7651896406561761E-2</v>
      </c>
      <c r="AF186" s="26">
        <f t="shared" si="71"/>
        <v>-3.9114907320852425E-2</v>
      </c>
      <c r="AG186" s="26">
        <f t="shared" si="72"/>
        <v>-3.1350322188017976E-2</v>
      </c>
      <c r="AH186" s="26">
        <f t="shared" si="73"/>
        <v>3.0776871226252615E-2</v>
      </c>
      <c r="AI186" s="26">
        <f t="shared" si="74"/>
        <v>2.3058388477236673E-2</v>
      </c>
      <c r="AJ186" s="26">
        <f t="shared" si="75"/>
        <v>-8.8329479431584184E-3</v>
      </c>
      <c r="AK186" s="26">
        <f t="shared" si="76"/>
        <v>-2.5265116201045493E-2</v>
      </c>
      <c r="AL186" s="26">
        <f t="shared" si="77"/>
        <v>-9.7157804509498694E-2</v>
      </c>
      <c r="AM186" s="26">
        <f t="shared" si="78"/>
        <v>2.3058388477236673E-2</v>
      </c>
    </row>
    <row r="187" spans="1:39" x14ac:dyDescent="0.2">
      <c r="A187" s="5">
        <v>31016</v>
      </c>
      <c r="B187" s="14">
        <v>8.3567965263000001</v>
      </c>
      <c r="C187" s="14">
        <v>10.560526315800001</v>
      </c>
      <c r="D187" s="1">
        <v>11.69</v>
      </c>
      <c r="E187" s="1">
        <v>12.52</v>
      </c>
      <c r="F187" s="1">
        <v>13.82</v>
      </c>
      <c r="G187" s="1">
        <v>14.31</v>
      </c>
      <c r="H187" s="1">
        <v>138.54999999999998</v>
      </c>
      <c r="I187" s="1">
        <v>438.01</v>
      </c>
      <c r="J187" s="1">
        <v>35.86</v>
      </c>
      <c r="K187" s="1">
        <v>163.20999999999998</v>
      </c>
      <c r="L187" s="1">
        <v>249.20999999999998</v>
      </c>
      <c r="M187">
        <f t="shared" si="54"/>
        <v>876.02</v>
      </c>
      <c r="O187" s="8">
        <f t="shared" si="55"/>
        <v>-1.6369129051962861E-2</v>
      </c>
      <c r="P187" s="8">
        <f t="shared" si="56"/>
        <v>-9.9676052927899494E-4</v>
      </c>
      <c r="Q187" s="8">
        <f t="shared" si="57"/>
        <v>1.2831479897348119E-2</v>
      </c>
      <c r="R187" s="8">
        <f t="shared" si="58"/>
        <v>-5.5910543130990309E-3</v>
      </c>
      <c r="S187" s="8">
        <f t="shared" si="59"/>
        <v>-1.085383502170767E-2</v>
      </c>
      <c r="T187" s="8">
        <f t="shared" si="60"/>
        <v>-1.1180992313067795E-2</v>
      </c>
      <c r="U187" s="8">
        <f t="shared" si="61"/>
        <v>1.5156983038614236E-2</v>
      </c>
      <c r="V187" s="8">
        <f t="shared" si="62"/>
        <v>2.2830528983356579E-2</v>
      </c>
      <c r="W187" s="8">
        <f t="shared" si="63"/>
        <v>-5.1589514779698864E-2</v>
      </c>
      <c r="X187" s="8">
        <f t="shared" si="64"/>
        <v>-8.5779057655779312E-3</v>
      </c>
      <c r="Y187" s="8">
        <f t="shared" si="65"/>
        <v>-5.8183861000762449E-2</v>
      </c>
      <c r="Z187" s="8">
        <f t="shared" si="66"/>
        <v>2.2830528983356579E-2</v>
      </c>
      <c r="AB187" s="26">
        <f t="shared" si="67"/>
        <v>-2.0890053544387915E-2</v>
      </c>
      <c r="AC187" s="26">
        <f t="shared" si="68"/>
        <v>-3.513530547855589E-3</v>
      </c>
      <c r="AD187" s="26">
        <f t="shared" si="69"/>
        <v>1.0539271573897176E-2</v>
      </c>
      <c r="AE187" s="26">
        <f t="shared" si="70"/>
        <v>-7.8038135856083497E-3</v>
      </c>
      <c r="AF187" s="26">
        <f t="shared" si="71"/>
        <v>-1.3034944433152442E-2</v>
      </c>
      <c r="AG187" s="26">
        <f t="shared" si="72"/>
        <v>-1.3358994283989404E-2</v>
      </c>
      <c r="AH187" s="26">
        <f t="shared" si="73"/>
        <v>9.8136029935538306E-3</v>
      </c>
      <c r="AI187" s="26">
        <f t="shared" si="74"/>
        <v>1.04287628543192E-2</v>
      </c>
      <c r="AJ187" s="26">
        <f t="shared" si="75"/>
        <v>-6.181872075134115E-2</v>
      </c>
      <c r="AK187" s="26">
        <f t="shared" si="76"/>
        <v>-7.0109904837065166E-3</v>
      </c>
      <c r="AL187" s="26">
        <f t="shared" si="77"/>
        <v>-5.4659625887006742E-2</v>
      </c>
      <c r="AM187" s="26">
        <f t="shared" si="78"/>
        <v>1.04287628543192E-2</v>
      </c>
    </row>
    <row r="188" spans="1:39" x14ac:dyDescent="0.2">
      <c r="A188" s="5">
        <v>31047</v>
      </c>
      <c r="B188" s="14">
        <v>8.2200030455000004</v>
      </c>
      <c r="C188" s="14">
        <v>10.549999999999999</v>
      </c>
      <c r="D188" s="1">
        <v>11.84</v>
      </c>
      <c r="E188" s="1">
        <v>12.45</v>
      </c>
      <c r="F188" s="1">
        <v>13.67</v>
      </c>
      <c r="G188" s="1">
        <v>14.15</v>
      </c>
      <c r="H188" s="1">
        <v>140.64999999999998</v>
      </c>
      <c r="I188" s="1">
        <v>448.01</v>
      </c>
      <c r="J188" s="1">
        <v>34.01</v>
      </c>
      <c r="K188" s="1">
        <v>161.81</v>
      </c>
      <c r="L188" s="1">
        <v>234.70999999999998</v>
      </c>
      <c r="M188">
        <f t="shared" si="54"/>
        <v>896.02</v>
      </c>
      <c r="O188" s="8">
        <f t="shared" si="55"/>
        <v>-1.034461995078606E-2</v>
      </c>
      <c r="P188" s="8">
        <f t="shared" si="56"/>
        <v>-7.8537576018957722E-3</v>
      </c>
      <c r="Q188" s="8">
        <f t="shared" si="57"/>
        <v>-3.3783783783785104E-3</v>
      </c>
      <c r="R188" s="8">
        <f t="shared" si="58"/>
        <v>-7.2289156626506035E-3</v>
      </c>
      <c r="S188" s="8">
        <f t="shared" si="59"/>
        <v>-9.5098756400878726E-3</v>
      </c>
      <c r="T188" s="8">
        <f t="shared" si="60"/>
        <v>-1.4134275618374659E-2</v>
      </c>
      <c r="U188" s="8">
        <f t="shared" si="61"/>
        <v>3.3131887664415327E-2</v>
      </c>
      <c r="V188" s="8">
        <f t="shared" si="62"/>
        <v>0.11606883774915744</v>
      </c>
      <c r="W188" s="8">
        <f t="shared" si="63"/>
        <v>-7.938841517200812E-2</v>
      </c>
      <c r="X188" s="8">
        <f t="shared" si="64"/>
        <v>-6.0441258265867437E-2</v>
      </c>
      <c r="Y188" s="8">
        <f t="shared" si="65"/>
        <v>2.1941970942865652E-2</v>
      </c>
      <c r="Z188" s="8">
        <f t="shared" si="66"/>
        <v>0.11606883774915744</v>
      </c>
      <c r="AB188" s="26">
        <f t="shared" si="67"/>
        <v>-1.4865544443211113E-2</v>
      </c>
      <c r="AC188" s="26">
        <f t="shared" si="68"/>
        <v>-1.0370527620472365E-2</v>
      </c>
      <c r="AD188" s="26">
        <f t="shared" si="69"/>
        <v>-5.670586701829454E-3</v>
      </c>
      <c r="AE188" s="26">
        <f t="shared" si="70"/>
        <v>-9.4416749351599223E-3</v>
      </c>
      <c r="AF188" s="26">
        <f t="shared" si="71"/>
        <v>-1.1690985051532645E-2</v>
      </c>
      <c r="AG188" s="26">
        <f t="shared" si="72"/>
        <v>-1.6312277589296268E-2</v>
      </c>
      <c r="AH188" s="26">
        <f t="shared" si="73"/>
        <v>2.7788507619354922E-2</v>
      </c>
      <c r="AI188" s="26">
        <f t="shared" si="74"/>
        <v>0.10366707162012007</v>
      </c>
      <c r="AJ188" s="26">
        <f t="shared" si="75"/>
        <v>-8.9617621143650406E-2</v>
      </c>
      <c r="AK188" s="26">
        <f t="shared" si="76"/>
        <v>-5.887434298399602E-2</v>
      </c>
      <c r="AL188" s="26">
        <f t="shared" si="77"/>
        <v>2.5466206056621359E-2</v>
      </c>
      <c r="AM188" s="26">
        <f t="shared" si="78"/>
        <v>0.10366707162012007</v>
      </c>
    </row>
    <row r="189" spans="1:39" x14ac:dyDescent="0.2">
      <c r="A189" s="5">
        <v>31078</v>
      </c>
      <c r="B189" s="14">
        <v>8.1349702379999993</v>
      </c>
      <c r="C189" s="14">
        <v>10.467142857299999</v>
      </c>
      <c r="D189" s="1">
        <v>11.799999999999999</v>
      </c>
      <c r="E189" s="1">
        <v>12.36</v>
      </c>
      <c r="F189" s="1">
        <v>13.54</v>
      </c>
      <c r="G189" s="1">
        <v>13.95</v>
      </c>
      <c r="H189" s="1">
        <v>145.31</v>
      </c>
      <c r="I189" s="1">
        <v>500.01</v>
      </c>
      <c r="J189" s="1">
        <v>31.310000000000002</v>
      </c>
      <c r="K189" s="1">
        <v>152.03</v>
      </c>
      <c r="L189" s="1">
        <v>239.85999999999999</v>
      </c>
      <c r="M189">
        <f t="shared" si="54"/>
        <v>1000.02</v>
      </c>
      <c r="O189" s="8">
        <f t="shared" si="55"/>
        <v>3.3408581303773444E-2</v>
      </c>
      <c r="P189" s="8">
        <f t="shared" si="56"/>
        <v>2.5565141170627692E-2</v>
      </c>
      <c r="Q189" s="8">
        <f t="shared" si="57"/>
        <v>1.8644067796610209E-2</v>
      </c>
      <c r="R189" s="8">
        <f t="shared" si="58"/>
        <v>1.8608414239482229E-2</v>
      </c>
      <c r="S189" s="8">
        <f t="shared" si="59"/>
        <v>-7.3855243722298347E-4</v>
      </c>
      <c r="T189" s="8">
        <f t="shared" si="60"/>
        <v>7.1684587813614087E-4</v>
      </c>
      <c r="U189" s="8">
        <f t="shared" si="61"/>
        <v>1.899387516344353E-2</v>
      </c>
      <c r="V189" s="8">
        <f t="shared" si="62"/>
        <v>-0.17399652006959865</v>
      </c>
      <c r="W189" s="8">
        <f t="shared" si="63"/>
        <v>-5.7489619929734892E-2</v>
      </c>
      <c r="X189" s="8">
        <f t="shared" si="64"/>
        <v>-5.7225547589292436E-3</v>
      </c>
      <c r="Y189" s="8">
        <f t="shared" si="65"/>
        <v>-8.3381972817476724E-3</v>
      </c>
      <c r="Z189" s="8">
        <f t="shared" si="66"/>
        <v>-0.17399652006959865</v>
      </c>
      <c r="AB189" s="26">
        <f t="shared" si="67"/>
        <v>2.8887656811348389E-2</v>
      </c>
      <c r="AC189" s="26">
        <f t="shared" si="68"/>
        <v>2.3048371152051099E-2</v>
      </c>
      <c r="AD189" s="26">
        <f t="shared" si="69"/>
        <v>1.6351859473159265E-2</v>
      </c>
      <c r="AE189" s="26">
        <f t="shared" si="70"/>
        <v>1.6395654966972911E-2</v>
      </c>
      <c r="AF189" s="26">
        <f t="shared" si="71"/>
        <v>-2.9196618486677568E-3</v>
      </c>
      <c r="AG189" s="26">
        <f t="shared" si="72"/>
        <v>-1.4611560927854685E-3</v>
      </c>
      <c r="AH189" s="26">
        <f t="shared" si="73"/>
        <v>1.3650495118383125E-2</v>
      </c>
      <c r="AI189" s="26">
        <f t="shared" si="74"/>
        <v>-0.18639828619863602</v>
      </c>
      <c r="AJ189" s="26">
        <f t="shared" si="75"/>
        <v>-6.7718825901377178E-2</v>
      </c>
      <c r="AK189" s="26">
        <f t="shared" si="76"/>
        <v>-4.155639477057829E-3</v>
      </c>
      <c r="AL189" s="26">
        <f t="shared" si="77"/>
        <v>-4.8139621679919656E-3</v>
      </c>
      <c r="AM189" s="26">
        <f t="shared" si="78"/>
        <v>-0.18639828619863602</v>
      </c>
    </row>
    <row r="190" spans="1:39" x14ac:dyDescent="0.2">
      <c r="A190" s="5">
        <v>31106</v>
      </c>
      <c r="B190" s="14">
        <v>8.4067480525999994</v>
      </c>
      <c r="C190" s="14">
        <v>10.7347368421</v>
      </c>
      <c r="D190" s="1">
        <v>12.02</v>
      </c>
      <c r="E190" s="1">
        <v>12.59</v>
      </c>
      <c r="F190" s="1">
        <v>13.53</v>
      </c>
      <c r="G190" s="1">
        <v>13.959999999999999</v>
      </c>
      <c r="H190" s="1">
        <v>148.07</v>
      </c>
      <c r="I190" s="1">
        <v>413.01</v>
      </c>
      <c r="J190" s="1">
        <v>29.51</v>
      </c>
      <c r="K190" s="1">
        <v>151.16</v>
      </c>
      <c r="L190" s="1">
        <v>237.85999999999999</v>
      </c>
      <c r="M190">
        <f t="shared" si="54"/>
        <v>826.02</v>
      </c>
      <c r="O190" s="8">
        <f t="shared" si="55"/>
        <v>2.9557196474224279E-2</v>
      </c>
      <c r="P190" s="8">
        <f t="shared" si="56"/>
        <v>-2.0327941533153759E-2</v>
      </c>
      <c r="Q190" s="8">
        <f t="shared" si="57"/>
        <v>-2.3294509151414289E-2</v>
      </c>
      <c r="R190" s="8">
        <f t="shared" si="58"/>
        <v>-2.0651310563939651E-2</v>
      </c>
      <c r="S190" s="8">
        <f t="shared" si="59"/>
        <v>-2.7346637102734661E-2</v>
      </c>
      <c r="T190" s="8">
        <f t="shared" si="60"/>
        <v>-2.4355300859598805E-2</v>
      </c>
      <c r="U190" s="8">
        <f t="shared" si="61"/>
        <v>3.3092456270682913E-2</v>
      </c>
      <c r="V190" s="8">
        <f t="shared" si="62"/>
        <v>1.2106244400861943E-2</v>
      </c>
      <c r="W190" s="8">
        <f t="shared" si="63"/>
        <v>-4.066418163334462E-2</v>
      </c>
      <c r="X190" s="8">
        <f t="shared" si="64"/>
        <v>-1.9184969568668997E-2</v>
      </c>
      <c r="Y190" s="8">
        <f t="shared" si="65"/>
        <v>4.8347767594383306E-3</v>
      </c>
      <c r="Z190" s="8">
        <f t="shared" si="66"/>
        <v>1.2106244400861943E-2</v>
      </c>
      <c r="AB190" s="26">
        <f t="shared" si="67"/>
        <v>2.5036271981799224E-2</v>
      </c>
      <c r="AC190" s="26">
        <f t="shared" si="68"/>
        <v>-2.2844711551730353E-2</v>
      </c>
      <c r="AD190" s="26">
        <f t="shared" si="69"/>
        <v>-2.5586717474865232E-2</v>
      </c>
      <c r="AE190" s="26">
        <f t="shared" si="70"/>
        <v>-2.286406983644897E-2</v>
      </c>
      <c r="AF190" s="26">
        <f t="shared" si="71"/>
        <v>-2.9527746514179436E-2</v>
      </c>
      <c r="AG190" s="26">
        <f t="shared" si="72"/>
        <v>-2.6533302830520415E-2</v>
      </c>
      <c r="AH190" s="26">
        <f t="shared" si="73"/>
        <v>2.7749076225622508E-2</v>
      </c>
      <c r="AI190" s="26">
        <f t="shared" si="74"/>
        <v>-2.9552172817543659E-4</v>
      </c>
      <c r="AJ190" s="26">
        <f t="shared" si="75"/>
        <v>-5.0893387604986906E-2</v>
      </c>
      <c r="AK190" s="26">
        <f t="shared" si="76"/>
        <v>-1.7618054286797583E-2</v>
      </c>
      <c r="AL190" s="26">
        <f t="shared" si="77"/>
        <v>8.3590118731940374E-3</v>
      </c>
      <c r="AM190" s="26">
        <f t="shared" si="78"/>
        <v>-2.9552172817543659E-4</v>
      </c>
    </row>
    <row r="191" spans="1:39" x14ac:dyDescent="0.2">
      <c r="A191" s="5">
        <v>31137</v>
      </c>
      <c r="B191" s="14">
        <v>8.6552279564999992</v>
      </c>
      <c r="C191" s="14">
        <v>10.5165217392</v>
      </c>
      <c r="D191" s="1">
        <v>11.74</v>
      </c>
      <c r="E191" s="1">
        <v>12.33</v>
      </c>
      <c r="F191" s="1">
        <v>13.16</v>
      </c>
      <c r="G191" s="1">
        <v>13.62</v>
      </c>
      <c r="H191" s="1">
        <v>152.97</v>
      </c>
      <c r="I191" s="1">
        <v>418.01</v>
      </c>
      <c r="J191" s="1">
        <v>28.310000000000002</v>
      </c>
      <c r="K191" s="1">
        <v>148.26</v>
      </c>
      <c r="L191" s="1">
        <v>239.01</v>
      </c>
      <c r="M191">
        <f t="shared" si="54"/>
        <v>836.02</v>
      </c>
      <c r="O191" s="8">
        <f t="shared" si="55"/>
        <v>-1.6705990555847983E-2</v>
      </c>
      <c r="P191" s="8">
        <f t="shared" si="56"/>
        <v>-1.0128989588158555E-2</v>
      </c>
      <c r="Q191" s="8">
        <f t="shared" si="57"/>
        <v>-1.8739352640545159E-2</v>
      </c>
      <c r="R191" s="8">
        <f t="shared" si="58"/>
        <v>-2.1086780210867739E-2</v>
      </c>
      <c r="S191" s="8">
        <f t="shared" si="59"/>
        <v>-2.203647416413379E-2</v>
      </c>
      <c r="T191" s="8">
        <f t="shared" si="60"/>
        <v>-2.3494860499265857E-2</v>
      </c>
      <c r="U191" s="8">
        <f t="shared" si="61"/>
        <v>7.4916650323592737E-2</v>
      </c>
      <c r="V191" s="8">
        <f t="shared" si="62"/>
        <v>2.6315159924403808E-2</v>
      </c>
      <c r="W191" s="8">
        <f t="shared" si="63"/>
        <v>3.3557046979865834E-2</v>
      </c>
      <c r="X191" s="8">
        <f t="shared" si="64"/>
        <v>5.0451908808849311E-2</v>
      </c>
      <c r="Y191" s="8">
        <f t="shared" si="65"/>
        <v>-2.9287477511400484E-3</v>
      </c>
      <c r="Z191" s="8">
        <f t="shared" si="66"/>
        <v>2.6315159924403808E-2</v>
      </c>
      <c r="AB191" s="26">
        <f t="shared" si="67"/>
        <v>-2.1226915048273037E-2</v>
      </c>
      <c r="AC191" s="26">
        <f t="shared" si="68"/>
        <v>-1.2645759606735148E-2</v>
      </c>
      <c r="AD191" s="26">
        <f t="shared" si="69"/>
        <v>-2.1031560963996103E-2</v>
      </c>
      <c r="AE191" s="26">
        <f t="shared" si="70"/>
        <v>-2.3299539483377058E-2</v>
      </c>
      <c r="AF191" s="26">
        <f t="shared" si="71"/>
        <v>-2.4217583575578565E-2</v>
      </c>
      <c r="AG191" s="26">
        <f t="shared" si="72"/>
        <v>-2.5672862470187467E-2</v>
      </c>
      <c r="AH191" s="26">
        <f t="shared" si="73"/>
        <v>6.9573270278532329E-2</v>
      </c>
      <c r="AI191" s="26">
        <f t="shared" si="74"/>
        <v>1.3913393795366429E-2</v>
      </c>
      <c r="AJ191" s="26">
        <f t="shared" si="75"/>
        <v>2.3327841008223549E-2</v>
      </c>
      <c r="AK191" s="26">
        <f t="shared" si="76"/>
        <v>5.2018824090720728E-2</v>
      </c>
      <c r="AL191" s="26">
        <f t="shared" si="77"/>
        <v>5.95487362615658E-4</v>
      </c>
      <c r="AM191" s="26">
        <f t="shared" si="78"/>
        <v>1.3913393795366429E-2</v>
      </c>
    </row>
    <row r="192" spans="1:39" x14ac:dyDescent="0.2">
      <c r="A192" s="5">
        <v>31167</v>
      </c>
      <c r="B192" s="14">
        <v>8.510633799999999</v>
      </c>
      <c r="C192" s="14">
        <v>10.41</v>
      </c>
      <c r="D192" s="1">
        <v>11.52</v>
      </c>
      <c r="E192" s="1">
        <v>12.07</v>
      </c>
      <c r="F192" s="1">
        <v>12.87</v>
      </c>
      <c r="G192" s="1">
        <v>13.299999999999999</v>
      </c>
      <c r="H192" s="1">
        <v>164.42999999999998</v>
      </c>
      <c r="I192" s="1">
        <v>429.01</v>
      </c>
      <c r="J192" s="1">
        <v>29.26</v>
      </c>
      <c r="K192" s="1">
        <v>155.73999999999998</v>
      </c>
      <c r="L192" s="1">
        <v>238.31</v>
      </c>
      <c r="M192">
        <f t="shared" si="54"/>
        <v>858.02</v>
      </c>
      <c r="O192" s="8">
        <f t="shared" si="55"/>
        <v>-2.3706129853688918E-3</v>
      </c>
      <c r="P192" s="8">
        <f t="shared" si="56"/>
        <v>-2.0127167050912886E-3</v>
      </c>
      <c r="Q192" s="8">
        <f t="shared" si="57"/>
        <v>-4.3402777777776791E-3</v>
      </c>
      <c r="R192" s="8">
        <f t="shared" si="58"/>
        <v>-9.1135045567524164E-3</v>
      </c>
      <c r="S192" s="8">
        <f t="shared" si="59"/>
        <v>-6.1383061383061266E-2</v>
      </c>
      <c r="T192" s="8">
        <f t="shared" si="60"/>
        <v>-1.5037593984962405E-2</v>
      </c>
      <c r="U192" s="8">
        <f t="shared" si="61"/>
        <v>-1.2345679012345734E-2</v>
      </c>
      <c r="V192" s="8">
        <f t="shared" si="62"/>
        <v>1.748210997412647E-2</v>
      </c>
      <c r="W192" s="8">
        <f t="shared" si="63"/>
        <v>5.9808612440191311E-2</v>
      </c>
      <c r="X192" s="8">
        <f t="shared" si="64"/>
        <v>2.7738538589957784E-2</v>
      </c>
      <c r="Y192" s="8">
        <f t="shared" si="65"/>
        <v>2.3079182577314672E-3</v>
      </c>
      <c r="Z192" s="8">
        <f t="shared" si="66"/>
        <v>1.748210997412647E-2</v>
      </c>
      <c r="AB192" s="26">
        <f t="shared" si="67"/>
        <v>-6.8915374777939447E-3</v>
      </c>
      <c r="AC192" s="26">
        <f t="shared" si="68"/>
        <v>-4.5294867236678827E-3</v>
      </c>
      <c r="AD192" s="26">
        <f t="shared" si="69"/>
        <v>-6.6324861012286226E-3</v>
      </c>
      <c r="AE192" s="26">
        <f t="shared" si="70"/>
        <v>-1.1326263829261735E-2</v>
      </c>
      <c r="AF192" s="26">
        <f t="shared" si="71"/>
        <v>-6.3564170794506034E-2</v>
      </c>
      <c r="AG192" s="26">
        <f t="shared" si="72"/>
        <v>-1.7215595955884015E-2</v>
      </c>
      <c r="AH192" s="26">
        <f t="shared" si="73"/>
        <v>-1.7689059057406139E-2</v>
      </c>
      <c r="AI192" s="26">
        <f t="shared" si="74"/>
        <v>5.08034384508909E-3</v>
      </c>
      <c r="AJ192" s="26">
        <f t="shared" si="75"/>
        <v>4.9579406468549025E-2</v>
      </c>
      <c r="AK192" s="26">
        <f t="shared" si="76"/>
        <v>2.9305453871829198E-2</v>
      </c>
      <c r="AL192" s="26">
        <f t="shared" si="77"/>
        <v>5.832153371487174E-3</v>
      </c>
      <c r="AM192" s="26">
        <f t="shared" si="78"/>
        <v>5.08034384508909E-3</v>
      </c>
    </row>
    <row r="193" spans="1:39" x14ac:dyDescent="0.2">
      <c r="A193" s="5">
        <v>31198</v>
      </c>
      <c r="B193" s="14">
        <v>8.4904583809999998</v>
      </c>
      <c r="C193" s="14">
        <v>10.389047619099999</v>
      </c>
      <c r="D193" s="1">
        <v>11.47</v>
      </c>
      <c r="E193" s="1">
        <v>11.959999999999999</v>
      </c>
      <c r="F193" s="1">
        <v>12.08</v>
      </c>
      <c r="G193" s="1">
        <v>13.1</v>
      </c>
      <c r="H193" s="1">
        <v>162.39999999999998</v>
      </c>
      <c r="I193" s="1">
        <v>436.51</v>
      </c>
      <c r="J193" s="1">
        <v>31.01</v>
      </c>
      <c r="K193" s="1">
        <v>160.06</v>
      </c>
      <c r="L193" s="1">
        <v>238.85999999999999</v>
      </c>
      <c r="M193">
        <f t="shared" si="54"/>
        <v>873.02</v>
      </c>
      <c r="O193" s="8">
        <f t="shared" si="55"/>
        <v>7.4712357806209218E-2</v>
      </c>
      <c r="P193" s="8">
        <f t="shared" si="56"/>
        <v>4.5200365011001997E-2</v>
      </c>
      <c r="Q193" s="8">
        <f t="shared" si="57"/>
        <v>2.4411508282476069E-2</v>
      </c>
      <c r="R193" s="8">
        <f t="shared" si="58"/>
        <v>1.6722408026755842E-2</v>
      </c>
      <c r="S193" s="8">
        <f t="shared" si="59"/>
        <v>6.7052980132450424E-2</v>
      </c>
      <c r="T193" s="8">
        <f t="shared" si="60"/>
        <v>2.1374045801526576E-2</v>
      </c>
      <c r="U193" s="8">
        <f t="shared" si="61"/>
        <v>3.5221674876847464E-2</v>
      </c>
      <c r="V193" s="8">
        <f t="shared" si="62"/>
        <v>-4.6963414354768473E-2</v>
      </c>
      <c r="W193" s="8">
        <f t="shared" si="63"/>
        <v>-2.4185746533376351E-2</v>
      </c>
      <c r="X193" s="8">
        <f t="shared" si="64"/>
        <v>-4.2171685617893306E-2</v>
      </c>
      <c r="Y193" s="8">
        <f t="shared" si="65"/>
        <v>1.8002177007452325E-3</v>
      </c>
      <c r="Z193" s="8">
        <f t="shared" si="66"/>
        <v>-4.6963414354768473E-2</v>
      </c>
      <c r="AB193" s="26">
        <f t="shared" si="67"/>
        <v>7.0191433313784163E-2</v>
      </c>
      <c r="AC193" s="26">
        <f t="shared" si="68"/>
        <v>4.2683594992425404E-2</v>
      </c>
      <c r="AD193" s="26">
        <f t="shared" si="69"/>
        <v>2.2119299959025125E-2</v>
      </c>
      <c r="AE193" s="26">
        <f t="shared" si="70"/>
        <v>1.4509648754246523E-2</v>
      </c>
      <c r="AF193" s="26">
        <f t="shared" si="71"/>
        <v>6.4871870721005656E-2</v>
      </c>
      <c r="AG193" s="26">
        <f t="shared" si="72"/>
        <v>1.9196043830604966E-2</v>
      </c>
      <c r="AH193" s="26">
        <f t="shared" si="73"/>
        <v>2.9878294831787059E-2</v>
      </c>
      <c r="AI193" s="26">
        <f t="shared" si="74"/>
        <v>-5.9365180483805853E-2</v>
      </c>
      <c r="AJ193" s="26">
        <f t="shared" si="75"/>
        <v>-3.4414952505018637E-2</v>
      </c>
      <c r="AK193" s="26">
        <f t="shared" si="76"/>
        <v>-4.0604770336021889E-2</v>
      </c>
      <c r="AL193" s="26">
        <f t="shared" si="77"/>
        <v>5.3244528145009393E-3</v>
      </c>
      <c r="AM193" s="26">
        <f t="shared" si="78"/>
        <v>-5.9365180483805853E-2</v>
      </c>
    </row>
    <row r="194" spans="1:39" x14ac:dyDescent="0.2">
      <c r="A194" s="5">
        <v>31228</v>
      </c>
      <c r="B194" s="14">
        <v>9.1248005454999994</v>
      </c>
      <c r="C194" s="14">
        <v>10.858636363600001</v>
      </c>
      <c r="D194" s="1">
        <v>11.75</v>
      </c>
      <c r="E194" s="1">
        <v>12.16</v>
      </c>
      <c r="F194" s="1">
        <v>12.89</v>
      </c>
      <c r="G194" s="1">
        <v>13.379999999999999</v>
      </c>
      <c r="H194" s="1">
        <v>168.12</v>
      </c>
      <c r="I194" s="1">
        <v>416.01</v>
      </c>
      <c r="J194" s="1">
        <v>30.26</v>
      </c>
      <c r="K194" s="1">
        <v>153.31</v>
      </c>
      <c r="L194" s="1">
        <v>239.29</v>
      </c>
      <c r="M194">
        <f t="shared" si="54"/>
        <v>832.02</v>
      </c>
      <c r="O194" s="8">
        <f t="shared" si="55"/>
        <v>3.3501861544881661E-2</v>
      </c>
      <c r="P194" s="8">
        <f t="shared" si="56"/>
        <v>4.8658378336635888E-2</v>
      </c>
      <c r="Q194" s="8">
        <f t="shared" si="57"/>
        <v>3.4893617021276579E-2</v>
      </c>
      <c r="R194" s="8">
        <f t="shared" si="58"/>
        <v>1.9736842105263275E-2</v>
      </c>
      <c r="S194" s="8">
        <f t="shared" si="59"/>
        <v>8.5337470907680402E-3</v>
      </c>
      <c r="T194" s="8">
        <f t="shared" si="60"/>
        <v>1.494768310911887E-3</v>
      </c>
      <c r="U194" s="8">
        <f t="shared" si="61"/>
        <v>-3.3012134189864484E-2</v>
      </c>
      <c r="V194" s="8">
        <f t="shared" si="62"/>
        <v>1.3533328525756616E-2</v>
      </c>
      <c r="W194" s="8">
        <f t="shared" si="63"/>
        <v>4.4613350958360831E-2</v>
      </c>
      <c r="X194" s="8">
        <f t="shared" si="64"/>
        <v>-8.479551236057703E-3</v>
      </c>
      <c r="Y194" s="8">
        <f t="shared" si="65"/>
        <v>1.0322203184420564E-2</v>
      </c>
      <c r="Z194" s="8">
        <f t="shared" si="66"/>
        <v>1.3533328525756616E-2</v>
      </c>
      <c r="AB194" s="26">
        <f t="shared" si="67"/>
        <v>2.8980937052456607E-2</v>
      </c>
      <c r="AC194" s="26">
        <f t="shared" si="68"/>
        <v>4.6141608318059295E-2</v>
      </c>
      <c r="AD194" s="26">
        <f t="shared" si="69"/>
        <v>3.2601408697825636E-2</v>
      </c>
      <c r="AE194" s="26">
        <f t="shared" si="70"/>
        <v>1.7524082832753956E-2</v>
      </c>
      <c r="AF194" s="26">
        <f t="shared" si="71"/>
        <v>6.3526376793232673E-3</v>
      </c>
      <c r="AG194" s="26">
        <f t="shared" si="72"/>
        <v>-6.8323366000972233E-4</v>
      </c>
      <c r="AH194" s="26">
        <f t="shared" si="73"/>
        <v>-3.8355514234924892E-2</v>
      </c>
      <c r="AI194" s="26">
        <f t="shared" si="74"/>
        <v>1.1315623967192365E-3</v>
      </c>
      <c r="AJ194" s="26">
        <f t="shared" si="75"/>
        <v>3.4384144986718546E-2</v>
      </c>
      <c r="AK194" s="26">
        <f t="shared" si="76"/>
        <v>-6.9126359541862884E-3</v>
      </c>
      <c r="AL194" s="26">
        <f t="shared" si="77"/>
        <v>1.3846438298176271E-2</v>
      </c>
      <c r="AM194" s="26">
        <f t="shared" si="78"/>
        <v>1.1315623967192365E-3</v>
      </c>
    </row>
    <row r="195" spans="1:39" x14ac:dyDescent="0.2">
      <c r="A195" s="5">
        <v>31259</v>
      </c>
      <c r="B195" s="14">
        <v>9.4304983500000006</v>
      </c>
      <c r="C195" s="14">
        <v>11.387</v>
      </c>
      <c r="D195" s="1">
        <v>12.16</v>
      </c>
      <c r="E195" s="1">
        <v>12.4</v>
      </c>
      <c r="F195" s="1">
        <v>13</v>
      </c>
      <c r="G195" s="1">
        <v>13.4</v>
      </c>
      <c r="H195" s="1">
        <v>162.57</v>
      </c>
      <c r="I195" s="1">
        <v>421.64</v>
      </c>
      <c r="J195" s="1">
        <v>31.610000000000003</v>
      </c>
      <c r="K195" s="1">
        <v>152.01</v>
      </c>
      <c r="L195" s="1">
        <v>241.76</v>
      </c>
      <c r="M195">
        <f t="shared" si="54"/>
        <v>843.28</v>
      </c>
      <c r="O195" s="8">
        <f t="shared" si="55"/>
        <v>2.9624843876888018E-2</v>
      </c>
      <c r="P195" s="8">
        <f t="shared" si="56"/>
        <v>4.1194955352594986E-2</v>
      </c>
      <c r="Q195" s="8">
        <f t="shared" si="57"/>
        <v>2.960526315789469E-2</v>
      </c>
      <c r="R195" s="8">
        <f t="shared" si="58"/>
        <v>2.661290322580645E-2</v>
      </c>
      <c r="S195" s="8">
        <f t="shared" si="59"/>
        <v>1.3846153846153841E-2</v>
      </c>
      <c r="T195" s="8">
        <f t="shared" si="60"/>
        <v>1.8656716417910557E-2</v>
      </c>
      <c r="U195" s="8">
        <f t="shared" si="61"/>
        <v>9.1037706833978493E-3</v>
      </c>
      <c r="V195" s="8">
        <f t="shared" si="62"/>
        <v>-1.6601840432596493E-2</v>
      </c>
      <c r="W195" s="8">
        <f t="shared" si="63"/>
        <v>3.1635558367604233E-3</v>
      </c>
      <c r="X195" s="8">
        <f t="shared" si="64"/>
        <v>-1.7104137885665338E-2</v>
      </c>
      <c r="Y195" s="8">
        <f t="shared" si="65"/>
        <v>1.9440767703507555E-2</v>
      </c>
      <c r="Z195" s="8">
        <f t="shared" si="66"/>
        <v>-1.6601840432596493E-2</v>
      </c>
      <c r="AB195" s="26">
        <f t="shared" si="67"/>
        <v>2.5103919384462964E-2</v>
      </c>
      <c r="AC195" s="26">
        <f t="shared" si="68"/>
        <v>3.8678185334018393E-2</v>
      </c>
      <c r="AD195" s="26">
        <f t="shared" si="69"/>
        <v>2.7313054834443747E-2</v>
      </c>
      <c r="AE195" s="26">
        <f t="shared" si="70"/>
        <v>2.4400143953297131E-2</v>
      </c>
      <c r="AF195" s="26">
        <f t="shared" si="71"/>
        <v>1.1665044434709069E-2</v>
      </c>
      <c r="AG195" s="26">
        <f t="shared" si="72"/>
        <v>1.6478714446988948E-2</v>
      </c>
      <c r="AH195" s="26">
        <f t="shared" si="73"/>
        <v>3.7603906383374443E-3</v>
      </c>
      <c r="AI195" s="26">
        <f t="shared" si="74"/>
        <v>-2.9003606561633873E-2</v>
      </c>
      <c r="AJ195" s="26">
        <f t="shared" si="75"/>
        <v>-7.0656501348818606E-3</v>
      </c>
      <c r="AK195" s="26">
        <f t="shared" si="76"/>
        <v>-1.5537222603793924E-2</v>
      </c>
      <c r="AL195" s="26">
        <f t="shared" si="77"/>
        <v>2.2965002817263262E-2</v>
      </c>
      <c r="AM195" s="26">
        <f t="shared" si="78"/>
        <v>-2.9003606561633873E-2</v>
      </c>
    </row>
    <row r="196" spans="1:39" x14ac:dyDescent="0.2">
      <c r="A196" s="5">
        <v>31290</v>
      </c>
      <c r="B196" s="14">
        <v>9.7098753913000007</v>
      </c>
      <c r="C196" s="14">
        <v>11.8560869566</v>
      </c>
      <c r="D196" s="1">
        <v>12.52</v>
      </c>
      <c r="E196" s="1">
        <v>12.73</v>
      </c>
      <c r="F196" s="1">
        <v>13.18</v>
      </c>
      <c r="G196" s="1">
        <v>13.65</v>
      </c>
      <c r="H196" s="1">
        <v>164.04999999999998</v>
      </c>
      <c r="I196" s="1">
        <v>414.64</v>
      </c>
      <c r="J196" s="1">
        <v>31.71</v>
      </c>
      <c r="K196" s="1">
        <v>149.41</v>
      </c>
      <c r="L196" s="1">
        <v>246.45999999999998</v>
      </c>
      <c r="M196">
        <f t="shared" si="54"/>
        <v>829.28</v>
      </c>
      <c r="O196" s="8">
        <f t="shared" si="55"/>
        <v>-3.8086660208982215E-2</v>
      </c>
      <c r="P196" s="8">
        <f t="shared" si="56"/>
        <v>-1.6217613239835837E-2</v>
      </c>
      <c r="Q196" s="8">
        <f t="shared" si="57"/>
        <v>-1.1182108626198173E-2</v>
      </c>
      <c r="R196" s="8">
        <f t="shared" si="58"/>
        <v>-7.8554595443834918E-3</v>
      </c>
      <c r="S196" s="8">
        <f t="shared" si="59"/>
        <v>-4.5523520485584168E-3</v>
      </c>
      <c r="T196" s="8">
        <f t="shared" si="60"/>
        <v>-6.59340659340657E-3</v>
      </c>
      <c r="U196" s="8">
        <f t="shared" si="61"/>
        <v>1.2374276135324713E-2</v>
      </c>
      <c r="V196" s="8">
        <f t="shared" si="62"/>
        <v>-1.8690912598881004E-2</v>
      </c>
      <c r="W196" s="8">
        <f t="shared" si="63"/>
        <v>9.4607379375590828E-3</v>
      </c>
      <c r="X196" s="8">
        <f t="shared" si="64"/>
        <v>2.4764072016598693E-3</v>
      </c>
      <c r="Y196" s="8">
        <f t="shared" si="65"/>
        <v>-4.3820498255294882E-2</v>
      </c>
      <c r="Z196" s="8">
        <f t="shared" si="66"/>
        <v>-1.8690912598881004E-2</v>
      </c>
      <c r="AB196" s="26">
        <f t="shared" si="67"/>
        <v>-4.260758470140727E-2</v>
      </c>
      <c r="AC196" s="26">
        <f t="shared" si="68"/>
        <v>-1.8734383258412431E-2</v>
      </c>
      <c r="AD196" s="26">
        <f t="shared" si="69"/>
        <v>-1.3474316949649116E-2</v>
      </c>
      <c r="AE196" s="26">
        <f t="shared" si="70"/>
        <v>-1.0068218816892811E-2</v>
      </c>
      <c r="AF196" s="26">
        <f t="shared" si="71"/>
        <v>-6.7334614600031897E-3</v>
      </c>
      <c r="AG196" s="26">
        <f t="shared" si="72"/>
        <v>-8.7714085643281793E-3</v>
      </c>
      <c r="AH196" s="26">
        <f t="shared" si="73"/>
        <v>7.0308960902643082E-3</v>
      </c>
      <c r="AI196" s="26">
        <f t="shared" si="74"/>
        <v>-3.1092678727918384E-2</v>
      </c>
      <c r="AJ196" s="26">
        <f t="shared" si="75"/>
        <v>-7.6846803408320112E-4</v>
      </c>
      <c r="AK196" s="26">
        <f t="shared" si="76"/>
        <v>4.0433224835312838E-3</v>
      </c>
      <c r="AL196" s="26">
        <f t="shared" si="77"/>
        <v>-4.0296263141539175E-2</v>
      </c>
      <c r="AM196" s="26">
        <f t="shared" si="78"/>
        <v>-3.1092678727918384E-2</v>
      </c>
    </row>
    <row r="197" spans="1:39" x14ac:dyDescent="0.2">
      <c r="A197" s="5">
        <v>31320</v>
      </c>
      <c r="B197" s="14">
        <v>9.3400586665999992</v>
      </c>
      <c r="C197" s="14">
        <v>11.663809523799999</v>
      </c>
      <c r="D197" s="1">
        <v>12.379999999999999</v>
      </c>
      <c r="E197" s="1">
        <v>12.629999999999999</v>
      </c>
      <c r="F197" s="1">
        <v>13.12</v>
      </c>
      <c r="G197" s="1">
        <v>13.56</v>
      </c>
      <c r="H197" s="1">
        <v>166.07999999999998</v>
      </c>
      <c r="I197" s="1">
        <v>406.89</v>
      </c>
      <c r="J197" s="1">
        <v>32.01</v>
      </c>
      <c r="K197" s="1">
        <v>149.78</v>
      </c>
      <c r="L197" s="1">
        <v>235.66</v>
      </c>
      <c r="M197">
        <f t="shared" si="54"/>
        <v>813.78</v>
      </c>
      <c r="O197" s="8">
        <f t="shared" si="55"/>
        <v>-4.0891987966391596E-2</v>
      </c>
      <c r="P197" s="8">
        <f t="shared" si="56"/>
        <v>-9.6717563476848012E-3</v>
      </c>
      <c r="Q197" s="8">
        <f t="shared" si="57"/>
        <v>-9.6930533117931539E-3</v>
      </c>
      <c r="R197" s="8">
        <f t="shared" si="58"/>
        <v>-1.0292953285827355E-2</v>
      </c>
      <c r="S197" s="8">
        <f t="shared" si="59"/>
        <v>-1.0670731707317027E-2</v>
      </c>
      <c r="T197" s="8">
        <f t="shared" si="60"/>
        <v>-6.6371681415928752E-3</v>
      </c>
      <c r="U197" s="8">
        <f t="shared" si="61"/>
        <v>-1.5173410404624166E-2</v>
      </c>
      <c r="V197" s="8">
        <f t="shared" si="62"/>
        <v>-5.8984000589839991E-2</v>
      </c>
      <c r="W197" s="8">
        <f t="shared" si="63"/>
        <v>-5.6232427366447846E-2</v>
      </c>
      <c r="X197" s="8">
        <f t="shared" si="64"/>
        <v>-1.6691147015622798E-3</v>
      </c>
      <c r="Y197" s="8">
        <f t="shared" si="65"/>
        <v>-6.7894424170414913E-3</v>
      </c>
      <c r="Z197" s="8">
        <f t="shared" si="66"/>
        <v>-5.8984000589839991E-2</v>
      </c>
      <c r="AB197" s="26">
        <f t="shared" si="67"/>
        <v>-4.5412912458816651E-2</v>
      </c>
      <c r="AC197" s="26">
        <f t="shared" si="68"/>
        <v>-1.2188526366261394E-2</v>
      </c>
      <c r="AD197" s="26">
        <f t="shared" si="69"/>
        <v>-1.1985261635244097E-2</v>
      </c>
      <c r="AE197" s="26">
        <f t="shared" si="70"/>
        <v>-1.2505712558336674E-2</v>
      </c>
      <c r="AF197" s="26">
        <f t="shared" si="71"/>
        <v>-1.28518411187618E-2</v>
      </c>
      <c r="AG197" s="26">
        <f t="shared" si="72"/>
        <v>-8.8151701125144845E-3</v>
      </c>
      <c r="AH197" s="26">
        <f t="shared" si="73"/>
        <v>-2.0516790449684571E-2</v>
      </c>
      <c r="AI197" s="26">
        <f t="shared" si="74"/>
        <v>-7.1385766718877364E-2</v>
      </c>
      <c r="AJ197" s="26">
        <f t="shared" si="75"/>
        <v>-6.6461633338090131E-2</v>
      </c>
      <c r="AK197" s="26">
        <f t="shared" si="76"/>
        <v>-1.0219941969086526E-4</v>
      </c>
      <c r="AL197" s="26">
        <f t="shared" si="77"/>
        <v>-3.2652073032857849E-3</v>
      </c>
      <c r="AM197" s="26">
        <f t="shared" si="78"/>
        <v>-7.1385766718877364E-2</v>
      </c>
    </row>
    <row r="198" spans="1:39" x14ac:dyDescent="0.2">
      <c r="A198" s="5">
        <v>31351</v>
      </c>
      <c r="B198" s="14">
        <v>8.9581251000000002</v>
      </c>
      <c r="C198" s="14">
        <v>11.551</v>
      </c>
      <c r="D198" s="1">
        <v>12.26</v>
      </c>
      <c r="E198" s="1">
        <v>12.5</v>
      </c>
      <c r="F198" s="1">
        <v>12.98</v>
      </c>
      <c r="G198" s="1">
        <v>13.47</v>
      </c>
      <c r="H198" s="1">
        <v>163.56</v>
      </c>
      <c r="I198" s="1">
        <v>382.89</v>
      </c>
      <c r="J198" s="1">
        <v>30.21</v>
      </c>
      <c r="K198" s="1">
        <v>149.53</v>
      </c>
      <c r="L198" s="1">
        <v>234.06</v>
      </c>
      <c r="M198">
        <f t="shared" si="54"/>
        <v>765.78</v>
      </c>
      <c r="O198" s="8">
        <f t="shared" si="55"/>
        <v>1.5282292675283138E-2</v>
      </c>
      <c r="P198" s="8">
        <f t="shared" si="56"/>
        <v>1.2899316076530054E-2</v>
      </c>
      <c r="Q198" s="8">
        <f t="shared" si="57"/>
        <v>1.3050570962479524E-2</v>
      </c>
      <c r="R198" s="8">
        <f t="shared" si="58"/>
        <v>9.5999999999998309E-3</v>
      </c>
      <c r="S198" s="8">
        <f t="shared" si="59"/>
        <v>9.244992295839749E-3</v>
      </c>
      <c r="T198" s="8">
        <f t="shared" si="60"/>
        <v>1.1135857461024301E-2</v>
      </c>
      <c r="U198" s="8">
        <f t="shared" si="61"/>
        <v>1.7424798239178196E-2</v>
      </c>
      <c r="V198" s="8">
        <f t="shared" si="62"/>
        <v>5.3853587192143948E-2</v>
      </c>
      <c r="W198" s="8">
        <f t="shared" si="63"/>
        <v>1.6550810989739428E-3</v>
      </c>
      <c r="X198" s="8">
        <f t="shared" si="64"/>
        <v>-2.1534140306293081E-2</v>
      </c>
      <c r="Y198" s="8">
        <f t="shared" si="65"/>
        <v>-6.622233615312334E-3</v>
      </c>
      <c r="Z198" s="8">
        <f t="shared" si="66"/>
        <v>5.3853587192143948E-2</v>
      </c>
      <c r="AB198" s="26">
        <f t="shared" si="67"/>
        <v>1.0761368182858085E-2</v>
      </c>
      <c r="AC198" s="26">
        <f t="shared" si="68"/>
        <v>1.0382546057953461E-2</v>
      </c>
      <c r="AD198" s="26">
        <f t="shared" si="69"/>
        <v>1.0758362639028581E-2</v>
      </c>
      <c r="AE198" s="26">
        <f t="shared" si="70"/>
        <v>7.3872407274905121E-3</v>
      </c>
      <c r="AF198" s="26">
        <f t="shared" si="71"/>
        <v>7.0638828843949761E-3</v>
      </c>
      <c r="AG198" s="26">
        <f t="shared" si="72"/>
        <v>8.9578554901026917E-3</v>
      </c>
      <c r="AH198" s="26">
        <f t="shared" si="73"/>
        <v>1.2081418194117791E-2</v>
      </c>
      <c r="AI198" s="26">
        <f t="shared" si="74"/>
        <v>4.1451821063106568E-2</v>
      </c>
      <c r="AJ198" s="26">
        <f t="shared" si="75"/>
        <v>-8.574124872668341E-3</v>
      </c>
      <c r="AK198" s="26">
        <f t="shared" si="76"/>
        <v>-1.9967225024421668E-2</v>
      </c>
      <c r="AL198" s="26">
        <f t="shared" si="77"/>
        <v>-3.0979985015566276E-3</v>
      </c>
      <c r="AM198" s="26">
        <f t="shared" si="78"/>
        <v>4.1451821063106568E-2</v>
      </c>
    </row>
    <row r="199" spans="1:39" x14ac:dyDescent="0.2">
      <c r="A199" s="5">
        <v>31381</v>
      </c>
      <c r="B199" s="14">
        <v>9.0950257895999993</v>
      </c>
      <c r="C199" s="14">
        <v>11.7</v>
      </c>
      <c r="D199" s="1">
        <v>12.42</v>
      </c>
      <c r="E199" s="1">
        <v>12.62</v>
      </c>
      <c r="F199" s="1">
        <v>13.1</v>
      </c>
      <c r="G199" s="1">
        <v>13.62</v>
      </c>
      <c r="H199" s="1">
        <v>166.41</v>
      </c>
      <c r="I199" s="1">
        <v>403.51</v>
      </c>
      <c r="J199" s="1">
        <v>30.26</v>
      </c>
      <c r="K199" s="1">
        <v>146.31</v>
      </c>
      <c r="L199" s="1">
        <v>232.51</v>
      </c>
      <c r="M199">
        <f t="shared" si="54"/>
        <v>807.02</v>
      </c>
      <c r="O199" s="8">
        <f t="shared" si="55"/>
        <v>2.7046324616394557E-2</v>
      </c>
      <c r="P199" s="8">
        <f t="shared" si="56"/>
        <v>1.1925111931623933E-2</v>
      </c>
      <c r="Q199" s="8">
        <f t="shared" si="57"/>
        <v>1.2882447665056418E-2</v>
      </c>
      <c r="R199" s="8">
        <f t="shared" si="58"/>
        <v>1.188589540412055E-2</v>
      </c>
      <c r="S199" s="8">
        <f t="shared" si="59"/>
        <v>9.1603053435114212E-3</v>
      </c>
      <c r="T199" s="8">
        <f t="shared" si="60"/>
        <v>1.0279001468428861E-2</v>
      </c>
      <c r="U199" s="8">
        <f t="shared" si="61"/>
        <v>-8.8336037497745989E-3</v>
      </c>
      <c r="V199" s="8">
        <f t="shared" si="62"/>
        <v>-5.3282446531684458E-2</v>
      </c>
      <c r="W199" s="8">
        <f t="shared" si="63"/>
        <v>-3.3046926635822871E-2</v>
      </c>
      <c r="X199" s="8">
        <f t="shared" si="64"/>
        <v>-7.8600232383295721E-3</v>
      </c>
      <c r="Y199" s="8">
        <f t="shared" si="65"/>
        <v>-3.4407122274311419E-3</v>
      </c>
      <c r="Z199" s="8">
        <f t="shared" si="66"/>
        <v>-5.3282446531684458E-2</v>
      </c>
      <c r="AB199" s="26">
        <f t="shared" si="67"/>
        <v>2.2525400123969502E-2</v>
      </c>
      <c r="AC199" s="26">
        <f t="shared" si="68"/>
        <v>9.4083419130473397E-3</v>
      </c>
      <c r="AD199" s="26">
        <f t="shared" si="69"/>
        <v>1.0590239341605474E-2</v>
      </c>
      <c r="AE199" s="26">
        <f t="shared" si="70"/>
        <v>9.6731361316112312E-3</v>
      </c>
      <c r="AF199" s="26">
        <f t="shared" si="71"/>
        <v>6.9791959320666484E-3</v>
      </c>
      <c r="AG199" s="26">
        <f t="shared" si="72"/>
        <v>8.1009994975072518E-3</v>
      </c>
      <c r="AH199" s="26">
        <f t="shared" si="73"/>
        <v>-1.4176983794835004E-2</v>
      </c>
      <c r="AI199" s="26">
        <f t="shared" si="74"/>
        <v>-6.568421266072183E-2</v>
      </c>
      <c r="AJ199" s="26">
        <f t="shared" si="75"/>
        <v>-4.3276132607465156E-2</v>
      </c>
      <c r="AK199" s="26">
        <f t="shared" si="76"/>
        <v>-6.2931079564581575E-3</v>
      </c>
      <c r="AL199" s="26">
        <f t="shared" si="77"/>
        <v>8.352288632456446E-5</v>
      </c>
      <c r="AM199" s="26">
        <f t="shared" si="78"/>
        <v>-6.568421266072183E-2</v>
      </c>
    </row>
    <row r="200" spans="1:39" x14ac:dyDescent="0.2">
      <c r="A200" s="5">
        <v>31412</v>
      </c>
      <c r="B200" s="14">
        <v>9.3410128095000005</v>
      </c>
      <c r="C200" s="14">
        <v>11.839523809599999</v>
      </c>
      <c r="D200" s="1">
        <v>12.58</v>
      </c>
      <c r="E200" s="1">
        <v>12.77</v>
      </c>
      <c r="F200" s="1">
        <v>13.22</v>
      </c>
      <c r="G200" s="1">
        <v>13.76</v>
      </c>
      <c r="H200" s="1">
        <v>164.94</v>
      </c>
      <c r="I200" s="1">
        <v>382.01</v>
      </c>
      <c r="J200" s="1">
        <v>29.26</v>
      </c>
      <c r="K200" s="1">
        <v>145.16</v>
      </c>
      <c r="L200" s="1">
        <v>231.70999999999998</v>
      </c>
      <c r="M200">
        <f t="shared" ref="M200:M257" si="79">2*I200</f>
        <v>764.02</v>
      </c>
      <c r="O200" s="8">
        <f t="shared" ref="O200:O256" si="80">+B201/B200-1</f>
        <v>-1.0546261311172866E-2</v>
      </c>
      <c r="P200" s="8">
        <f t="shared" ref="P200:P256" si="81">+C201/C200-1</f>
        <v>-1.3071632549487511E-2</v>
      </c>
      <c r="Q200" s="8">
        <f t="shared" ref="Q200:Q256" si="82">+D201/D200-1</f>
        <v>-2.941176470588247E-2</v>
      </c>
      <c r="R200" s="8">
        <f t="shared" ref="R200:R256" si="83">+E201/E200-1</f>
        <v>-3.9154267815191268E-3</v>
      </c>
      <c r="S200" s="8">
        <f t="shared" ref="S200:S256" si="84">+F201/F200-1</f>
        <v>-6.0514372163389396E-3</v>
      </c>
      <c r="T200" s="8">
        <f t="shared" ref="T200:T256" si="85">+G201/G200-1</f>
        <v>-7.2674418604651292E-3</v>
      </c>
      <c r="U200" s="8">
        <f t="shared" ref="U200:U256" si="86">+H201/H200-1</f>
        <v>-9.2154722929550514E-3</v>
      </c>
      <c r="V200" s="8">
        <f t="shared" ref="V200:V256" si="87">+I201/I200-1</f>
        <v>-2.3219287453208004E-2</v>
      </c>
      <c r="W200" s="8">
        <f t="shared" ref="W200:W256" si="88">+J201/J200-1</f>
        <v>-1.0252904989747069E-2</v>
      </c>
      <c r="X200" s="8">
        <f t="shared" ref="X200:X256" si="89">+K201/K200-1</f>
        <v>-3.4651419123725602E-2</v>
      </c>
      <c r="Y200" s="8">
        <f t="shared" ref="Y200:Y256" si="90">+L201/L200-1</f>
        <v>1.2817746320832102E-2</v>
      </c>
      <c r="Z200" s="8">
        <f t="shared" ref="Z200:Z256" si="91">+M201/M200-1</f>
        <v>-2.3219287453208004E-2</v>
      </c>
      <c r="AB200" s="26">
        <f t="shared" ref="AB200:AB256" si="92">O200-$O$258</f>
        <v>-1.5067185803597919E-2</v>
      </c>
      <c r="AC200" s="26">
        <f t="shared" ref="AC200:AC256" si="93">P200-$P$258</f>
        <v>-1.5588402568064104E-2</v>
      </c>
      <c r="AD200" s="26">
        <f t="shared" ref="AD200:AD256" si="94">Q200-$Q$258</f>
        <v>-3.1703973029333414E-2</v>
      </c>
      <c r="AE200" s="26">
        <f t="shared" ref="AE200:AE256" si="95">R200-$R$258</f>
        <v>-6.1281860540284457E-3</v>
      </c>
      <c r="AF200" s="26">
        <f t="shared" ref="AF200:AF256" si="96">S200-$S$258</f>
        <v>-8.2325466277837125E-3</v>
      </c>
      <c r="AG200" s="26">
        <f t="shared" ref="AG200:AG256" si="97">T200-$T$258</f>
        <v>-9.4454438313867385E-3</v>
      </c>
      <c r="AH200" s="26">
        <f t="shared" ref="AH200:AH256" si="98">U200-$U$258</f>
        <v>-1.4558852338015457E-2</v>
      </c>
      <c r="AI200" s="26">
        <f t="shared" ref="AI200:AI256" si="99">V200-$V$258</f>
        <v>-3.5621053582245384E-2</v>
      </c>
      <c r="AJ200" s="26">
        <f t="shared" ref="AJ200:AJ256" si="100">W200-$W$258</f>
        <v>-2.0482110961389355E-2</v>
      </c>
      <c r="AK200" s="26">
        <f t="shared" ref="AK200:AK256" si="101">X200-$X$258</f>
        <v>-3.3084503841854185E-2</v>
      </c>
      <c r="AL200" s="26">
        <f t="shared" ref="AL200:AL256" si="102">Y200-$Y$258</f>
        <v>1.6341981434587809E-2</v>
      </c>
      <c r="AM200" s="26">
        <f t="shared" ref="AM200:AM256" si="103">Z200-$Z$258</f>
        <v>-3.5621053582245384E-2</v>
      </c>
    </row>
    <row r="201" spans="1:39" x14ac:dyDescent="0.2">
      <c r="A201" s="5">
        <v>31443</v>
      </c>
      <c r="B201" s="14">
        <v>9.2425000475000001</v>
      </c>
      <c r="C201" s="14">
        <v>11.6847619048</v>
      </c>
      <c r="D201" s="1">
        <v>12.209999999999999</v>
      </c>
      <c r="E201" s="1">
        <v>12.72</v>
      </c>
      <c r="F201" s="1">
        <v>13.14</v>
      </c>
      <c r="G201" s="1">
        <v>13.66</v>
      </c>
      <c r="H201" s="1">
        <v>163.41999999999999</v>
      </c>
      <c r="I201" s="1">
        <v>373.14</v>
      </c>
      <c r="J201" s="1">
        <v>28.96</v>
      </c>
      <c r="K201" s="1">
        <v>140.13</v>
      </c>
      <c r="L201" s="1">
        <v>234.67999999999998</v>
      </c>
      <c r="M201">
        <f t="shared" si="79"/>
        <v>746.28</v>
      </c>
      <c r="O201" s="8">
        <f t="shared" si="80"/>
        <v>2.1190029352823547E-2</v>
      </c>
      <c r="P201" s="8">
        <f t="shared" si="81"/>
        <v>1.4321503481492082E-2</v>
      </c>
      <c r="Q201" s="8">
        <f t="shared" si="82"/>
        <v>-9.8280098280097983E-3</v>
      </c>
      <c r="R201" s="8">
        <f t="shared" si="83"/>
        <v>-7.8616352201266171E-4</v>
      </c>
      <c r="S201" s="8">
        <f t="shared" si="84"/>
        <v>-1.5220700152207556E-3</v>
      </c>
      <c r="T201" s="8">
        <f t="shared" si="85"/>
        <v>-4.3923865300147247E-3</v>
      </c>
      <c r="U201" s="8">
        <f t="shared" si="86"/>
        <v>-3.8856933055929521E-2</v>
      </c>
      <c r="V201" s="8">
        <f t="shared" si="87"/>
        <v>5.8610709117221438E-2</v>
      </c>
      <c r="W201" s="8">
        <f t="shared" si="88"/>
        <v>5.0069060773480611E-2</v>
      </c>
      <c r="X201" s="8">
        <f t="shared" si="89"/>
        <v>6.3726539641761226E-2</v>
      </c>
      <c r="Y201" s="8">
        <f t="shared" si="90"/>
        <v>-5.2837906937105439E-3</v>
      </c>
      <c r="Z201" s="8">
        <f t="shared" si="91"/>
        <v>5.8610709117221438E-2</v>
      </c>
      <c r="AB201" s="26">
        <f t="shared" si="92"/>
        <v>1.6669104860398493E-2</v>
      </c>
      <c r="AC201" s="26">
        <f t="shared" si="93"/>
        <v>1.1804733462915488E-2</v>
      </c>
      <c r="AD201" s="26">
        <f t="shared" si="94"/>
        <v>-1.2120218151460742E-2</v>
      </c>
      <c r="AE201" s="26">
        <f t="shared" si="95"/>
        <v>-2.9989227945219801E-3</v>
      </c>
      <c r="AF201" s="26">
        <f t="shared" si="96"/>
        <v>-3.7031794266655289E-3</v>
      </c>
      <c r="AG201" s="26">
        <f t="shared" si="97"/>
        <v>-6.570388500936334E-3</v>
      </c>
      <c r="AH201" s="26">
        <f t="shared" si="98"/>
        <v>-4.420031310098993E-2</v>
      </c>
      <c r="AI201" s="26">
        <f t="shared" si="99"/>
        <v>4.6208942988184058E-2</v>
      </c>
      <c r="AJ201" s="26">
        <f t="shared" si="100"/>
        <v>3.9839854801838326E-2</v>
      </c>
      <c r="AK201" s="26">
        <f t="shared" si="101"/>
        <v>6.5293454923632643E-2</v>
      </c>
      <c r="AL201" s="26">
        <f t="shared" si="102"/>
        <v>-1.7595555799548375E-3</v>
      </c>
      <c r="AM201" s="26">
        <f t="shared" si="103"/>
        <v>4.6208942988184058E-2</v>
      </c>
    </row>
    <row r="202" spans="1:39" x14ac:dyDescent="0.2">
      <c r="A202" s="5">
        <v>31471</v>
      </c>
      <c r="B202" s="14">
        <v>9.4383488947999989</v>
      </c>
      <c r="C202" s="14">
        <v>11.8521052631</v>
      </c>
      <c r="D202" s="1">
        <v>12.09</v>
      </c>
      <c r="E202" s="1">
        <v>12.709999999999999</v>
      </c>
      <c r="F202" s="1">
        <v>13.12</v>
      </c>
      <c r="G202" s="1">
        <v>13.6</v>
      </c>
      <c r="H202" s="1">
        <v>157.07</v>
      </c>
      <c r="I202" s="1">
        <v>395.01</v>
      </c>
      <c r="J202" s="1">
        <v>30.41</v>
      </c>
      <c r="K202" s="1">
        <v>149.06</v>
      </c>
      <c r="L202" s="1">
        <v>233.44</v>
      </c>
      <c r="M202">
        <f t="shared" si="79"/>
        <v>790.02</v>
      </c>
      <c r="O202" s="8">
        <f t="shared" si="80"/>
        <v>4.8308205299679496E-2</v>
      </c>
      <c r="P202" s="8">
        <f t="shared" si="81"/>
        <v>4.0244803392442963E-2</v>
      </c>
      <c r="Q202" s="8">
        <f t="shared" si="82"/>
        <v>4.0529363110008321E-2</v>
      </c>
      <c r="R202" s="8">
        <f t="shared" si="83"/>
        <v>4.0912667191188135E-2</v>
      </c>
      <c r="S202" s="8">
        <f t="shared" si="84"/>
        <v>3.2774390243902385E-2</v>
      </c>
      <c r="T202" s="8">
        <f t="shared" si="85"/>
        <v>2.941176470588247E-2</v>
      </c>
      <c r="U202" s="8">
        <f t="shared" si="86"/>
        <v>1.349716686827529E-2</v>
      </c>
      <c r="V202" s="8">
        <f t="shared" si="87"/>
        <v>-1.7088174982911819E-2</v>
      </c>
      <c r="W202" s="8">
        <f t="shared" si="88"/>
        <v>3.2883919763235792E-3</v>
      </c>
      <c r="X202" s="8">
        <f t="shared" si="89"/>
        <v>-3.5556151885147047E-2</v>
      </c>
      <c r="Y202" s="8">
        <f t="shared" si="90"/>
        <v>-3.7183002056202952E-2</v>
      </c>
      <c r="Z202" s="8">
        <f t="shared" si="91"/>
        <v>-1.7088174982911819E-2</v>
      </c>
      <c r="AB202" s="26">
        <f t="shared" si="92"/>
        <v>4.3787280807254442E-2</v>
      </c>
      <c r="AC202" s="26">
        <f t="shared" si="93"/>
        <v>3.772803337386637E-2</v>
      </c>
      <c r="AD202" s="26">
        <f t="shared" si="94"/>
        <v>3.8237154786557377E-2</v>
      </c>
      <c r="AE202" s="26">
        <f t="shared" si="95"/>
        <v>3.8699907918678819E-2</v>
      </c>
      <c r="AF202" s="26">
        <f t="shared" si="96"/>
        <v>3.059328083245761E-2</v>
      </c>
      <c r="AG202" s="26">
        <f t="shared" si="97"/>
        <v>2.7233762734960861E-2</v>
      </c>
      <c r="AH202" s="26">
        <f t="shared" si="98"/>
        <v>8.1537868232148848E-3</v>
      </c>
      <c r="AI202" s="26">
        <f t="shared" si="99"/>
        <v>-2.9489941111949199E-2</v>
      </c>
      <c r="AJ202" s="26">
        <f t="shared" si="100"/>
        <v>-6.9408139953187047E-3</v>
      </c>
      <c r="AK202" s="26">
        <f t="shared" si="101"/>
        <v>-3.398923660327563E-2</v>
      </c>
      <c r="AL202" s="26">
        <f t="shared" si="102"/>
        <v>-3.3658766942447245E-2</v>
      </c>
      <c r="AM202" s="26">
        <f t="shared" si="103"/>
        <v>-2.9489941111949199E-2</v>
      </c>
    </row>
    <row r="203" spans="1:39" x14ac:dyDescent="0.2">
      <c r="A203" s="5">
        <v>31502</v>
      </c>
      <c r="B203" s="14">
        <v>9.8942985909000001</v>
      </c>
      <c r="C203" s="14">
        <v>12.3290909092</v>
      </c>
      <c r="D203" s="1">
        <v>12.58</v>
      </c>
      <c r="E203" s="1">
        <v>13.23</v>
      </c>
      <c r="F203" s="1">
        <v>13.549999999999999</v>
      </c>
      <c r="G203" s="1">
        <v>14</v>
      </c>
      <c r="H203" s="1">
        <v>159.19</v>
      </c>
      <c r="I203" s="1">
        <v>388.26</v>
      </c>
      <c r="J203" s="1">
        <v>30.51</v>
      </c>
      <c r="K203" s="1">
        <v>143.76</v>
      </c>
      <c r="L203" s="1">
        <v>224.76</v>
      </c>
      <c r="M203">
        <f t="shared" si="79"/>
        <v>776.52</v>
      </c>
      <c r="O203" s="8">
        <f t="shared" si="80"/>
        <v>1.9335033993814088E-2</v>
      </c>
      <c r="P203" s="8">
        <f t="shared" si="81"/>
        <v>2.5758246081470926E-2</v>
      </c>
      <c r="Q203" s="8">
        <f t="shared" si="82"/>
        <v>1.9077901430842648E-2</v>
      </c>
      <c r="R203" s="8">
        <f t="shared" si="83"/>
        <v>1.9652305366591127E-2</v>
      </c>
      <c r="S203" s="8">
        <f t="shared" si="84"/>
        <v>1.6974169741697409E-2</v>
      </c>
      <c r="T203" s="8">
        <f t="shared" si="85"/>
        <v>2.2857142857142909E-2</v>
      </c>
      <c r="U203" s="8">
        <f t="shared" si="86"/>
        <v>5.4651674100132386E-3</v>
      </c>
      <c r="V203" s="8">
        <f t="shared" si="87"/>
        <v>-3.2838819347859705E-2</v>
      </c>
      <c r="W203" s="8">
        <f t="shared" si="88"/>
        <v>6.555227794165841E-3</v>
      </c>
      <c r="X203" s="8">
        <f t="shared" si="89"/>
        <v>-2.7476349471341033E-2</v>
      </c>
      <c r="Y203" s="8">
        <f t="shared" si="90"/>
        <v>1.0010678056593614E-2</v>
      </c>
      <c r="Z203" s="8">
        <f t="shared" si="91"/>
        <v>-3.2838819347859705E-2</v>
      </c>
      <c r="AB203" s="26">
        <f t="shared" si="92"/>
        <v>1.4814109501389035E-2</v>
      </c>
      <c r="AC203" s="26">
        <f t="shared" si="93"/>
        <v>2.3241476062894333E-2</v>
      </c>
      <c r="AD203" s="26">
        <f t="shared" si="94"/>
        <v>1.6785693107391704E-2</v>
      </c>
      <c r="AE203" s="26">
        <f t="shared" si="95"/>
        <v>1.7439546094081809E-2</v>
      </c>
      <c r="AF203" s="26">
        <f t="shared" si="96"/>
        <v>1.4793060330252636E-2</v>
      </c>
      <c r="AG203" s="26">
        <f t="shared" si="97"/>
        <v>2.06791408862213E-2</v>
      </c>
      <c r="AH203" s="26">
        <f t="shared" si="98"/>
        <v>1.2178736495283352E-4</v>
      </c>
      <c r="AI203" s="26">
        <f t="shared" si="99"/>
        <v>-4.5240585476897084E-2</v>
      </c>
      <c r="AJ203" s="26">
        <f t="shared" si="100"/>
        <v>-3.6739781774764429E-3</v>
      </c>
      <c r="AK203" s="26">
        <f t="shared" si="101"/>
        <v>-2.5909434189469619E-2</v>
      </c>
      <c r="AL203" s="26">
        <f t="shared" si="102"/>
        <v>1.3534913170349321E-2</v>
      </c>
      <c r="AM203" s="26">
        <f t="shared" si="103"/>
        <v>-4.5240585476897084E-2</v>
      </c>
    </row>
    <row r="204" spans="1:39" x14ac:dyDescent="0.2">
      <c r="A204" s="5">
        <v>31532</v>
      </c>
      <c r="B204" s="14">
        <v>10.085605190499999</v>
      </c>
      <c r="C204" s="14">
        <v>12.6466666668</v>
      </c>
      <c r="D204" s="1">
        <v>12.82</v>
      </c>
      <c r="E204" s="1">
        <v>13.49</v>
      </c>
      <c r="F204" s="1">
        <v>13.78</v>
      </c>
      <c r="G204" s="1">
        <v>14.32</v>
      </c>
      <c r="H204" s="1">
        <v>160.06</v>
      </c>
      <c r="I204" s="1">
        <v>375.51</v>
      </c>
      <c r="J204" s="1">
        <v>30.71</v>
      </c>
      <c r="K204" s="1">
        <v>139.81</v>
      </c>
      <c r="L204" s="1">
        <v>227.01</v>
      </c>
      <c r="M204">
        <f t="shared" si="79"/>
        <v>751.02</v>
      </c>
      <c r="O204" s="8">
        <f t="shared" si="80"/>
        <v>1.4519400981304997E-2</v>
      </c>
      <c r="P204" s="8">
        <f t="shared" si="81"/>
        <v>6.1041357160663834E-2</v>
      </c>
      <c r="Q204" s="8">
        <f t="shared" si="82"/>
        <v>3.6661466458658198E-2</v>
      </c>
      <c r="R204" s="8">
        <f t="shared" si="83"/>
        <v>4.5959970348406154E-2</v>
      </c>
      <c r="S204" s="8">
        <f t="shared" si="84"/>
        <v>4.3541364296081353E-2</v>
      </c>
      <c r="T204" s="8">
        <f t="shared" si="85"/>
        <v>3.0027932960893899E-2</v>
      </c>
      <c r="U204" s="8">
        <f t="shared" si="86"/>
        <v>-5.935274272147939E-2</v>
      </c>
      <c r="V204" s="8">
        <f t="shared" si="87"/>
        <v>2.4633165561503079E-2</v>
      </c>
      <c r="W204" s="8">
        <f t="shared" si="88"/>
        <v>-1.6281341582546349E-2</v>
      </c>
      <c r="X204" s="8">
        <f t="shared" si="89"/>
        <v>-8.9407052428295275E-3</v>
      </c>
      <c r="Y204" s="8">
        <f t="shared" si="90"/>
        <v>2.0175322673010143E-2</v>
      </c>
      <c r="Z204" s="8">
        <f t="shared" si="91"/>
        <v>2.4633165561503079E-2</v>
      </c>
      <c r="AB204" s="26">
        <f t="shared" si="92"/>
        <v>9.9984764888799444E-3</v>
      </c>
      <c r="AC204" s="26">
        <f t="shared" si="93"/>
        <v>5.8524587142087241E-2</v>
      </c>
      <c r="AD204" s="26">
        <f t="shared" si="94"/>
        <v>3.4369258135207255E-2</v>
      </c>
      <c r="AE204" s="26">
        <f t="shared" si="95"/>
        <v>4.3747211075896839E-2</v>
      </c>
      <c r="AF204" s="26">
        <f t="shared" si="96"/>
        <v>4.1360254884636578E-2</v>
      </c>
      <c r="AG204" s="26">
        <f t="shared" si="97"/>
        <v>2.784993098997229E-2</v>
      </c>
      <c r="AH204" s="26">
        <f t="shared" si="98"/>
        <v>-6.4696122766539799E-2</v>
      </c>
      <c r="AI204" s="26">
        <f t="shared" si="99"/>
        <v>1.2231399432465699E-2</v>
      </c>
      <c r="AJ204" s="26">
        <f t="shared" si="100"/>
        <v>-2.6510547554188635E-2</v>
      </c>
      <c r="AK204" s="26">
        <f t="shared" si="101"/>
        <v>-7.3737899609581129E-3</v>
      </c>
      <c r="AL204" s="26">
        <f t="shared" si="102"/>
        <v>2.369955778676585E-2</v>
      </c>
      <c r="AM204" s="26">
        <f t="shared" si="103"/>
        <v>1.2231399432465699E-2</v>
      </c>
    </row>
    <row r="205" spans="1:39" x14ac:dyDescent="0.2">
      <c r="A205" s="5">
        <v>31563</v>
      </c>
      <c r="B205" s="14">
        <v>10.2320421364</v>
      </c>
      <c r="C205" s="14">
        <v>13.418636363699999</v>
      </c>
      <c r="D205" s="1">
        <v>13.29</v>
      </c>
      <c r="E205" s="1">
        <v>14.11</v>
      </c>
      <c r="F205" s="1">
        <v>14.379999999999999</v>
      </c>
      <c r="G205" s="1">
        <v>14.75</v>
      </c>
      <c r="H205" s="1">
        <v>150.56</v>
      </c>
      <c r="I205" s="1">
        <v>384.76</v>
      </c>
      <c r="J205" s="1">
        <v>30.21</v>
      </c>
      <c r="K205" s="1">
        <v>138.56</v>
      </c>
      <c r="L205" s="1">
        <v>231.59</v>
      </c>
      <c r="M205">
        <f t="shared" si="79"/>
        <v>769.52</v>
      </c>
      <c r="O205" s="8">
        <f t="shared" si="80"/>
        <v>3.5381529725342364E-3</v>
      </c>
      <c r="P205" s="8">
        <f t="shared" si="81"/>
        <v>1.1493029173754055E-2</v>
      </c>
      <c r="Q205" s="8">
        <f t="shared" si="82"/>
        <v>2.0316027088036259E-2</v>
      </c>
      <c r="R205" s="8">
        <f t="shared" si="83"/>
        <v>1.6300496102055417E-2</v>
      </c>
      <c r="S205" s="8">
        <f t="shared" si="84"/>
        <v>2.0166898470097339E-2</v>
      </c>
      <c r="T205" s="8">
        <f t="shared" si="85"/>
        <v>2.1016949152542486E-2</v>
      </c>
      <c r="U205" s="8">
        <f t="shared" si="86"/>
        <v>1.7468119022316708E-2</v>
      </c>
      <c r="V205" s="8">
        <f t="shared" si="87"/>
        <v>-2.9239006133693679E-2</v>
      </c>
      <c r="W205" s="8">
        <f t="shared" si="88"/>
        <v>1.8205892088712261E-2</v>
      </c>
      <c r="X205" s="8">
        <f t="shared" si="89"/>
        <v>-2.0207852193995457E-2</v>
      </c>
      <c r="Y205" s="8">
        <f t="shared" si="90"/>
        <v>2.4698821192624898E-2</v>
      </c>
      <c r="Z205" s="8">
        <f t="shared" si="91"/>
        <v>-2.9239006133693679E-2</v>
      </c>
      <c r="AB205" s="26">
        <f t="shared" si="92"/>
        <v>-9.827715198908165E-4</v>
      </c>
      <c r="AC205" s="26">
        <f t="shared" si="93"/>
        <v>8.9762591551774615E-3</v>
      </c>
      <c r="AD205" s="26">
        <f t="shared" si="94"/>
        <v>1.8023818764585316E-2</v>
      </c>
      <c r="AE205" s="26">
        <f t="shared" si="95"/>
        <v>1.4087736829546098E-2</v>
      </c>
      <c r="AF205" s="26">
        <f t="shared" si="96"/>
        <v>1.7985789058652564E-2</v>
      </c>
      <c r="AG205" s="26">
        <f t="shared" si="97"/>
        <v>1.8838947181620876E-2</v>
      </c>
      <c r="AH205" s="26">
        <f t="shared" si="98"/>
        <v>1.2124738977256303E-2</v>
      </c>
      <c r="AI205" s="26">
        <f t="shared" si="99"/>
        <v>-4.1640772262731059E-2</v>
      </c>
      <c r="AJ205" s="26">
        <f t="shared" si="100"/>
        <v>7.9766861170699772E-3</v>
      </c>
      <c r="AK205" s="26">
        <f t="shared" si="101"/>
        <v>-1.8640936912124043E-2</v>
      </c>
      <c r="AL205" s="26">
        <f t="shared" si="102"/>
        <v>2.8223056306380605E-2</v>
      </c>
      <c r="AM205" s="26">
        <f t="shared" si="103"/>
        <v>-4.1640772262731059E-2</v>
      </c>
    </row>
    <row r="206" spans="1:39" x14ac:dyDescent="0.2">
      <c r="A206" s="5">
        <v>31593</v>
      </c>
      <c r="B206" s="14">
        <v>10.268244666699999</v>
      </c>
      <c r="C206" s="14">
        <v>13.5728571429</v>
      </c>
      <c r="D206" s="1">
        <v>13.56</v>
      </c>
      <c r="E206" s="1">
        <v>14.34</v>
      </c>
      <c r="F206" s="1">
        <v>14.67</v>
      </c>
      <c r="G206" s="1">
        <v>15.06</v>
      </c>
      <c r="H206" s="1">
        <v>153.19</v>
      </c>
      <c r="I206" s="1">
        <v>373.51</v>
      </c>
      <c r="J206" s="1">
        <v>30.76</v>
      </c>
      <c r="K206" s="1">
        <v>135.76</v>
      </c>
      <c r="L206" s="1">
        <v>237.31</v>
      </c>
      <c r="M206">
        <f t="shared" si="79"/>
        <v>747.02</v>
      </c>
      <c r="O206" s="8">
        <f t="shared" si="80"/>
        <v>2.5673604959466134E-2</v>
      </c>
      <c r="P206" s="8">
        <f t="shared" si="81"/>
        <v>-1.4770375042580497E-2</v>
      </c>
      <c r="Q206" s="8">
        <f t="shared" si="82"/>
        <v>-8.1120943952803781E-3</v>
      </c>
      <c r="R206" s="8">
        <f t="shared" si="83"/>
        <v>-1.4644351464435212E-2</v>
      </c>
      <c r="S206" s="8">
        <f t="shared" si="84"/>
        <v>-6.1349693251533388E-3</v>
      </c>
      <c r="T206" s="8">
        <f t="shared" si="85"/>
        <v>6.6401062416998613E-3</v>
      </c>
      <c r="U206" s="8">
        <f t="shared" si="86"/>
        <v>-1.645015993211052E-2</v>
      </c>
      <c r="V206" s="8">
        <f t="shared" si="87"/>
        <v>-8.6664346336108866E-2</v>
      </c>
      <c r="W206" s="8">
        <f t="shared" si="88"/>
        <v>-3.9011703511053319E-2</v>
      </c>
      <c r="X206" s="8">
        <f t="shared" si="89"/>
        <v>-3.697701826753097E-2</v>
      </c>
      <c r="Y206" s="8">
        <f t="shared" si="90"/>
        <v>3.3711179469891661E-2</v>
      </c>
      <c r="Z206" s="8">
        <f t="shared" si="91"/>
        <v>-8.6664346336108866E-2</v>
      </c>
      <c r="AB206" s="26">
        <f t="shared" si="92"/>
        <v>2.115268046704108E-2</v>
      </c>
      <c r="AC206" s="26">
        <f t="shared" si="93"/>
        <v>-1.728714506115709E-2</v>
      </c>
      <c r="AD206" s="26">
        <f t="shared" si="94"/>
        <v>-1.0404302718731322E-2</v>
      </c>
      <c r="AE206" s="26">
        <f t="shared" si="95"/>
        <v>-1.6857110736944531E-2</v>
      </c>
      <c r="AF206" s="26">
        <f t="shared" si="96"/>
        <v>-8.3160787365981117E-3</v>
      </c>
      <c r="AG206" s="26">
        <f t="shared" si="97"/>
        <v>4.462104270778252E-3</v>
      </c>
      <c r="AH206" s="26">
        <f t="shared" si="98"/>
        <v>-2.1793539977170925E-2</v>
      </c>
      <c r="AI206" s="26">
        <f t="shared" si="99"/>
        <v>-9.9066112465146239E-2</v>
      </c>
      <c r="AJ206" s="26">
        <f t="shared" si="100"/>
        <v>-4.9240909482695605E-2</v>
      </c>
      <c r="AK206" s="26">
        <f t="shared" si="101"/>
        <v>-3.5410102985659553E-2</v>
      </c>
      <c r="AL206" s="26">
        <f t="shared" si="102"/>
        <v>3.7235414583647368E-2</v>
      </c>
      <c r="AM206" s="26">
        <f t="shared" si="103"/>
        <v>-9.9066112465146239E-2</v>
      </c>
    </row>
    <row r="207" spans="1:39" x14ac:dyDescent="0.2">
      <c r="A207" s="5">
        <v>31624</v>
      </c>
      <c r="B207" s="14">
        <v>10.531867523899999</v>
      </c>
      <c r="C207" s="14">
        <v>13.3723809525</v>
      </c>
      <c r="D207" s="1">
        <v>13.45</v>
      </c>
      <c r="E207" s="1">
        <v>14.129999999999999</v>
      </c>
      <c r="F207" s="1">
        <v>14.58</v>
      </c>
      <c r="G207" s="1">
        <v>15.16</v>
      </c>
      <c r="H207" s="1">
        <v>150.66999999999999</v>
      </c>
      <c r="I207" s="1">
        <v>341.14</v>
      </c>
      <c r="J207" s="1">
        <v>29.560000000000002</v>
      </c>
      <c r="K207" s="1">
        <v>130.73999999999998</v>
      </c>
      <c r="L207" s="1">
        <v>245.31</v>
      </c>
      <c r="M207">
        <f t="shared" si="79"/>
        <v>682.28</v>
      </c>
      <c r="O207" s="8">
        <f t="shared" si="80"/>
        <v>3.5625194026468687E-2</v>
      </c>
      <c r="P207" s="8">
        <f t="shared" si="81"/>
        <v>-4.8330510332879384E-2</v>
      </c>
      <c r="Q207" s="8">
        <f t="shared" si="82"/>
        <v>-4.2379182156133899E-2</v>
      </c>
      <c r="R207" s="8">
        <f t="shared" si="83"/>
        <v>-4.6001415428166936E-2</v>
      </c>
      <c r="S207" s="8">
        <f t="shared" si="84"/>
        <v>-3.0178326474622708E-2</v>
      </c>
      <c r="T207" s="8">
        <f t="shared" si="85"/>
        <v>-3.4300791556728161E-2</v>
      </c>
      <c r="U207" s="8">
        <f t="shared" si="86"/>
        <v>0.10632508130351104</v>
      </c>
      <c r="V207" s="8">
        <f t="shared" si="87"/>
        <v>2.0138359617752233E-2</v>
      </c>
      <c r="W207" s="8">
        <f t="shared" si="88"/>
        <v>-5.7510148849796994E-2</v>
      </c>
      <c r="X207" s="8">
        <f t="shared" si="89"/>
        <v>1.5297537096525815E-4</v>
      </c>
      <c r="Y207" s="8">
        <f t="shared" si="90"/>
        <v>-1.3860013860013898E-2</v>
      </c>
      <c r="Z207" s="8">
        <f t="shared" si="91"/>
        <v>2.0138359617752233E-2</v>
      </c>
      <c r="AB207" s="26">
        <f t="shared" si="92"/>
        <v>3.1104269534043633E-2</v>
      </c>
      <c r="AC207" s="26">
        <f t="shared" si="93"/>
        <v>-5.0847280351455977E-2</v>
      </c>
      <c r="AD207" s="26">
        <f t="shared" si="94"/>
        <v>-4.4671390479584842E-2</v>
      </c>
      <c r="AE207" s="26">
        <f t="shared" si="95"/>
        <v>-4.8214174700676252E-2</v>
      </c>
      <c r="AF207" s="26">
        <f t="shared" si="96"/>
        <v>-3.2359435886067482E-2</v>
      </c>
      <c r="AG207" s="26">
        <f t="shared" si="97"/>
        <v>-3.6478793527649767E-2</v>
      </c>
      <c r="AH207" s="26">
        <f t="shared" si="98"/>
        <v>0.10098170125845063</v>
      </c>
      <c r="AI207" s="26">
        <f t="shared" si="99"/>
        <v>7.7365934887148533E-3</v>
      </c>
      <c r="AJ207" s="26">
        <f t="shared" si="100"/>
        <v>-6.7739354821439279E-2</v>
      </c>
      <c r="AK207" s="26">
        <f t="shared" si="101"/>
        <v>1.7198906528366727E-3</v>
      </c>
      <c r="AL207" s="26">
        <f t="shared" si="102"/>
        <v>-1.0335778746258191E-2</v>
      </c>
      <c r="AM207" s="26">
        <f t="shared" si="103"/>
        <v>7.7365934887148533E-3</v>
      </c>
    </row>
    <row r="208" spans="1:39" x14ac:dyDescent="0.2">
      <c r="A208" s="5">
        <v>31655</v>
      </c>
      <c r="B208" s="14">
        <v>10.9070673479</v>
      </c>
      <c r="C208" s="14">
        <v>12.7260869567</v>
      </c>
      <c r="D208" s="1">
        <v>12.879999999999999</v>
      </c>
      <c r="E208" s="1">
        <v>13.48</v>
      </c>
      <c r="F208" s="1">
        <v>14.14</v>
      </c>
      <c r="G208" s="1">
        <v>14.64</v>
      </c>
      <c r="H208" s="1">
        <v>166.69</v>
      </c>
      <c r="I208" s="1">
        <v>348.01</v>
      </c>
      <c r="J208" s="1">
        <v>27.860000000000003</v>
      </c>
      <c r="K208" s="1">
        <v>130.76</v>
      </c>
      <c r="L208" s="1">
        <v>241.91</v>
      </c>
      <c r="M208">
        <f t="shared" si="79"/>
        <v>696.02</v>
      </c>
      <c r="O208" s="8">
        <f t="shared" si="80"/>
        <v>-9.5604916861614653E-3</v>
      </c>
      <c r="P208" s="8">
        <f t="shared" si="81"/>
        <v>-1.5201481669756323E-2</v>
      </c>
      <c r="Q208" s="8">
        <f t="shared" si="82"/>
        <v>-1.6304347826086918E-2</v>
      </c>
      <c r="R208" s="8">
        <f t="shared" si="83"/>
        <v>-1.4836795252225587E-2</v>
      </c>
      <c r="S208" s="8">
        <f t="shared" si="84"/>
        <v>-1.3437057991513512E-2</v>
      </c>
      <c r="T208" s="8">
        <f t="shared" si="85"/>
        <v>-1.9125683060109422E-2</v>
      </c>
      <c r="U208" s="8">
        <f t="shared" si="86"/>
        <v>-3.4795128681984755E-3</v>
      </c>
      <c r="V208" s="8">
        <f t="shared" si="87"/>
        <v>-1.2212292750208298E-2</v>
      </c>
      <c r="W208" s="8">
        <f t="shared" si="88"/>
        <v>6.8198133524766558E-2</v>
      </c>
      <c r="X208" s="8">
        <f t="shared" si="89"/>
        <v>-5.620985010706625E-2</v>
      </c>
      <c r="Y208" s="8">
        <f t="shared" si="90"/>
        <v>2.0668843784878765E-2</v>
      </c>
      <c r="Z208" s="8">
        <f t="shared" si="91"/>
        <v>-1.2212292750208298E-2</v>
      </c>
      <c r="AB208" s="26">
        <f t="shared" si="92"/>
        <v>-1.4081416178586518E-2</v>
      </c>
      <c r="AC208" s="26">
        <f t="shared" si="93"/>
        <v>-1.7718251688332916E-2</v>
      </c>
      <c r="AD208" s="26">
        <f t="shared" si="94"/>
        <v>-1.8596556149537861E-2</v>
      </c>
      <c r="AE208" s="26">
        <f t="shared" si="95"/>
        <v>-1.7049554524734906E-2</v>
      </c>
      <c r="AF208" s="26">
        <f t="shared" si="96"/>
        <v>-1.5618167402958285E-2</v>
      </c>
      <c r="AG208" s="26">
        <f t="shared" si="97"/>
        <v>-2.1303685031031031E-2</v>
      </c>
      <c r="AH208" s="26">
        <f t="shared" si="98"/>
        <v>-8.8228929132588806E-3</v>
      </c>
      <c r="AI208" s="26">
        <f t="shared" si="99"/>
        <v>-2.4614058879245677E-2</v>
      </c>
      <c r="AJ208" s="26">
        <f t="shared" si="100"/>
        <v>5.7968927553124272E-2</v>
      </c>
      <c r="AK208" s="26">
        <f t="shared" si="101"/>
        <v>-5.4642934825194833E-2</v>
      </c>
      <c r="AL208" s="26">
        <f t="shared" si="102"/>
        <v>2.4193078898634472E-2</v>
      </c>
      <c r="AM208" s="26">
        <f t="shared" si="103"/>
        <v>-2.4614058879245677E-2</v>
      </c>
    </row>
    <row r="209" spans="1:39" x14ac:dyDescent="0.2">
      <c r="A209" s="5">
        <v>31685</v>
      </c>
      <c r="B209" s="14">
        <v>10.802790421199999</v>
      </c>
      <c r="C209" s="14">
        <v>12.5326315791</v>
      </c>
      <c r="D209" s="1">
        <v>12.67</v>
      </c>
      <c r="E209" s="1">
        <v>13.28</v>
      </c>
      <c r="F209" s="1">
        <v>13.95</v>
      </c>
      <c r="G209" s="1">
        <v>14.36</v>
      </c>
      <c r="H209" s="1">
        <v>166.10999999999999</v>
      </c>
      <c r="I209" s="1">
        <v>343.76</v>
      </c>
      <c r="J209" s="1">
        <v>29.76</v>
      </c>
      <c r="K209" s="1">
        <v>123.41000000000001</v>
      </c>
      <c r="L209" s="1">
        <v>246.91</v>
      </c>
      <c r="M209">
        <f t="shared" si="79"/>
        <v>687.52</v>
      </c>
      <c r="O209" s="8">
        <f t="shared" si="80"/>
        <v>-6.2436878408409835E-2</v>
      </c>
      <c r="P209" s="8">
        <f t="shared" si="81"/>
        <v>-2.8898721813859329E-2</v>
      </c>
      <c r="Q209" s="8">
        <f t="shared" si="82"/>
        <v>-2.3677979479084232E-3</v>
      </c>
      <c r="R209" s="8">
        <f t="shared" si="83"/>
        <v>-1.2048192771084376E-2</v>
      </c>
      <c r="S209" s="8">
        <f t="shared" si="84"/>
        <v>-2.3655913978494647E-2</v>
      </c>
      <c r="T209" s="8">
        <f t="shared" si="85"/>
        <v>-2.8551532033426197E-2</v>
      </c>
      <c r="U209" s="8">
        <f t="shared" si="86"/>
        <v>-6.0201071579002452E-5</v>
      </c>
      <c r="V209" s="8">
        <f t="shared" si="87"/>
        <v>-2.9090062834535746E-2</v>
      </c>
      <c r="W209" s="8">
        <f t="shared" si="88"/>
        <v>-1.6801075268817467E-3</v>
      </c>
      <c r="X209" s="8">
        <f t="shared" si="89"/>
        <v>-1.2559760149096544E-2</v>
      </c>
      <c r="Y209" s="8">
        <f t="shared" si="90"/>
        <v>-4.8600704710218823E-3</v>
      </c>
      <c r="Z209" s="8">
        <f t="shared" si="91"/>
        <v>-2.9090062834535746E-2</v>
      </c>
      <c r="AB209" s="26">
        <f t="shared" si="92"/>
        <v>-6.695780290083489E-2</v>
      </c>
      <c r="AC209" s="26">
        <f t="shared" si="93"/>
        <v>-3.1415491832435923E-2</v>
      </c>
      <c r="AD209" s="26">
        <f t="shared" si="94"/>
        <v>-4.6600062713593668E-3</v>
      </c>
      <c r="AE209" s="26">
        <f t="shared" si="95"/>
        <v>-1.4260952043593695E-2</v>
      </c>
      <c r="AF209" s="26">
        <f t="shared" si="96"/>
        <v>-2.5837023389939422E-2</v>
      </c>
      <c r="AG209" s="26">
        <f t="shared" si="97"/>
        <v>-3.0729534004347806E-2</v>
      </c>
      <c r="AH209" s="26">
        <f t="shared" si="98"/>
        <v>-5.4035811166394075E-3</v>
      </c>
      <c r="AI209" s="26">
        <f t="shared" si="99"/>
        <v>-4.1491828963573125E-2</v>
      </c>
      <c r="AJ209" s="26">
        <f t="shared" si="100"/>
        <v>-1.1909313498524031E-2</v>
      </c>
      <c r="AK209" s="26">
        <f t="shared" si="101"/>
        <v>-1.099284486722513E-2</v>
      </c>
      <c r="AL209" s="26">
        <f t="shared" si="102"/>
        <v>-1.3358353572661759E-3</v>
      </c>
      <c r="AM209" s="26">
        <f t="shared" si="103"/>
        <v>-4.1491828963573125E-2</v>
      </c>
    </row>
    <row r="210" spans="1:39" x14ac:dyDescent="0.2">
      <c r="A210" s="5">
        <v>31716</v>
      </c>
      <c r="B210" s="14">
        <v>10.128297909200001</v>
      </c>
      <c r="C210" s="14">
        <v>12.1704545455</v>
      </c>
      <c r="D210" s="1">
        <v>12.64</v>
      </c>
      <c r="E210" s="1">
        <v>13.12</v>
      </c>
      <c r="F210" s="1">
        <v>13.62</v>
      </c>
      <c r="G210" s="1">
        <v>13.95</v>
      </c>
      <c r="H210" s="1">
        <v>166.1</v>
      </c>
      <c r="I210" s="1">
        <v>333.76</v>
      </c>
      <c r="J210" s="1">
        <v>29.71</v>
      </c>
      <c r="K210" s="1">
        <v>121.86</v>
      </c>
      <c r="L210" s="1">
        <v>245.70999999999998</v>
      </c>
      <c r="M210">
        <f t="shared" si="79"/>
        <v>667.52</v>
      </c>
      <c r="O210" s="8">
        <f t="shared" si="80"/>
        <v>-0.11830806009483252</v>
      </c>
      <c r="P210" s="8">
        <f t="shared" si="81"/>
        <v>-4.8299179320081098E-2</v>
      </c>
      <c r="Q210" s="8">
        <f t="shared" si="82"/>
        <v>-2.6898734177215333E-2</v>
      </c>
      <c r="R210" s="8">
        <f t="shared" si="83"/>
        <v>-3.4298780487804881E-2</v>
      </c>
      <c r="S210" s="8">
        <f t="shared" si="84"/>
        <v>-3.8179148311306865E-2</v>
      </c>
      <c r="T210" s="8">
        <f t="shared" si="85"/>
        <v>-3.2974910394265144E-2</v>
      </c>
      <c r="U210" s="8">
        <f t="shared" si="86"/>
        <v>-1.5111378687537536E-2</v>
      </c>
      <c r="V210" s="8">
        <f t="shared" si="87"/>
        <v>-1.3482742090124678E-2</v>
      </c>
      <c r="W210" s="8">
        <f t="shared" si="88"/>
        <v>-3.1975765735442585E-2</v>
      </c>
      <c r="X210" s="8">
        <f t="shared" si="89"/>
        <v>-1.7643197111439246E-2</v>
      </c>
      <c r="Y210" s="8">
        <f t="shared" si="90"/>
        <v>7.3257091693459397E-3</v>
      </c>
      <c r="Z210" s="8">
        <f t="shared" si="91"/>
        <v>-1.3482742090124678E-2</v>
      </c>
      <c r="AB210" s="26">
        <f t="shared" si="92"/>
        <v>-0.12282898458725758</v>
      </c>
      <c r="AC210" s="26">
        <f t="shared" si="93"/>
        <v>-5.0815949338657691E-2</v>
      </c>
      <c r="AD210" s="26">
        <f t="shared" si="94"/>
        <v>-2.9190942500666277E-2</v>
      </c>
      <c r="AE210" s="26">
        <f t="shared" si="95"/>
        <v>-3.6511539760314196E-2</v>
      </c>
      <c r="AF210" s="26">
        <f t="shared" si="96"/>
        <v>-4.036025772275164E-2</v>
      </c>
      <c r="AG210" s="26">
        <f t="shared" si="97"/>
        <v>-3.515291236518675E-2</v>
      </c>
      <c r="AH210" s="26">
        <f t="shared" si="98"/>
        <v>-2.0454758732597941E-2</v>
      </c>
      <c r="AI210" s="26">
        <f t="shared" si="99"/>
        <v>-2.5884508219162057E-2</v>
      </c>
      <c r="AJ210" s="26">
        <f t="shared" si="100"/>
        <v>-4.2204971707084871E-2</v>
      </c>
      <c r="AK210" s="26">
        <f t="shared" si="101"/>
        <v>-1.6076281829567832E-2</v>
      </c>
      <c r="AL210" s="26">
        <f t="shared" si="102"/>
        <v>1.0849944283101647E-2</v>
      </c>
      <c r="AM210" s="26">
        <f t="shared" si="103"/>
        <v>-2.5884508219162057E-2</v>
      </c>
    </row>
    <row r="211" spans="1:39" x14ac:dyDescent="0.2">
      <c r="A211" s="5">
        <v>31746</v>
      </c>
      <c r="B211" s="14">
        <v>8.9300386315000004</v>
      </c>
      <c r="C211" s="14">
        <v>11.582631578999999</v>
      </c>
      <c r="D211" s="1">
        <v>12.299999999999999</v>
      </c>
      <c r="E211" s="1">
        <v>12.67</v>
      </c>
      <c r="F211" s="1">
        <v>13.1</v>
      </c>
      <c r="G211" s="1">
        <v>13.49</v>
      </c>
      <c r="H211" s="1">
        <v>163.59</v>
      </c>
      <c r="I211" s="1">
        <v>329.26</v>
      </c>
      <c r="J211" s="1">
        <v>28.76</v>
      </c>
      <c r="K211" s="1">
        <v>119.71000000000001</v>
      </c>
      <c r="L211" s="1">
        <v>247.51</v>
      </c>
      <c r="M211">
        <f t="shared" si="79"/>
        <v>658.52</v>
      </c>
      <c r="O211" s="8">
        <f t="shared" si="80"/>
        <v>-6.527869089431737E-2</v>
      </c>
      <c r="P211" s="8">
        <f t="shared" si="81"/>
        <v>-6.3139001272035644E-3</v>
      </c>
      <c r="Q211" s="8">
        <f t="shared" si="82"/>
        <v>-1.300813008130064E-2</v>
      </c>
      <c r="R211" s="8">
        <f t="shared" si="83"/>
        <v>-1.2628255722178405E-2</v>
      </c>
      <c r="S211" s="8">
        <f t="shared" si="84"/>
        <v>-1.2977099236641254E-2</v>
      </c>
      <c r="T211" s="8">
        <f t="shared" si="85"/>
        <v>-5.9303187546330127E-3</v>
      </c>
      <c r="U211" s="8">
        <f t="shared" si="86"/>
        <v>2.2373005684944047E-2</v>
      </c>
      <c r="V211" s="8">
        <f t="shared" si="87"/>
        <v>-6.1501548927898941E-2</v>
      </c>
      <c r="W211" s="8">
        <f t="shared" si="88"/>
        <v>-4.8678720445062496E-2</v>
      </c>
      <c r="X211" s="8">
        <f t="shared" si="89"/>
        <v>-3.2578731935510863E-2</v>
      </c>
      <c r="Y211" s="8">
        <f t="shared" si="90"/>
        <v>1.6564987273241405E-2</v>
      </c>
      <c r="Z211" s="8">
        <f t="shared" si="91"/>
        <v>-6.1501548927898941E-2</v>
      </c>
      <c r="AB211" s="26">
        <f t="shared" si="92"/>
        <v>-6.9799615386742425E-2</v>
      </c>
      <c r="AC211" s="26">
        <f t="shared" si="93"/>
        <v>-8.8306701457801576E-3</v>
      </c>
      <c r="AD211" s="26">
        <f t="shared" si="94"/>
        <v>-1.5300338404751583E-2</v>
      </c>
      <c r="AE211" s="26">
        <f t="shared" si="95"/>
        <v>-1.4841014994687724E-2</v>
      </c>
      <c r="AF211" s="26">
        <f t="shared" si="96"/>
        <v>-1.5158208648086027E-2</v>
      </c>
      <c r="AG211" s="26">
        <f t="shared" si="97"/>
        <v>-8.108320725554622E-3</v>
      </c>
      <c r="AH211" s="26">
        <f t="shared" si="98"/>
        <v>1.7029625639883642E-2</v>
      </c>
      <c r="AI211" s="26">
        <f t="shared" si="99"/>
        <v>-7.3903315056936314E-2</v>
      </c>
      <c r="AJ211" s="26">
        <f t="shared" si="100"/>
        <v>-5.8907926416704781E-2</v>
      </c>
      <c r="AK211" s="26">
        <f t="shared" si="101"/>
        <v>-3.1011816653639449E-2</v>
      </c>
      <c r="AL211" s="26">
        <f t="shared" si="102"/>
        <v>2.0089222386997112E-2</v>
      </c>
      <c r="AM211" s="26">
        <f t="shared" si="103"/>
        <v>-7.3903315056936314E-2</v>
      </c>
    </row>
    <row r="212" spans="1:39" x14ac:dyDescent="0.2">
      <c r="A212" s="5">
        <v>31777</v>
      </c>
      <c r="B212" s="14">
        <v>8.3470973999999991</v>
      </c>
      <c r="C212" s="14">
        <v>11.509499999999999</v>
      </c>
      <c r="D212" s="1">
        <v>12.14</v>
      </c>
      <c r="E212" s="1">
        <v>12.51</v>
      </c>
      <c r="F212" s="1">
        <v>12.93</v>
      </c>
      <c r="G212" s="1">
        <v>13.41</v>
      </c>
      <c r="H212" s="1">
        <v>167.25</v>
      </c>
      <c r="I212" s="1">
        <v>309.01</v>
      </c>
      <c r="J212" s="1">
        <v>27.360000000000003</v>
      </c>
      <c r="K212" s="1">
        <v>115.81</v>
      </c>
      <c r="L212" s="1">
        <v>251.60999999999999</v>
      </c>
      <c r="M212">
        <f t="shared" si="79"/>
        <v>618.02</v>
      </c>
      <c r="O212" s="8">
        <f t="shared" si="80"/>
        <v>-3.8056373608387539E-2</v>
      </c>
      <c r="P212" s="8">
        <f t="shared" si="81"/>
        <v>-1.0010364116599169E-2</v>
      </c>
      <c r="Q212" s="8">
        <f t="shared" si="82"/>
        <v>-4.1186161449753289E-3</v>
      </c>
      <c r="R212" s="8">
        <f t="shared" si="83"/>
        <v>-5.5955235811351312E-3</v>
      </c>
      <c r="S212" s="8">
        <f t="shared" si="84"/>
        <v>-9.2807424593966958E-3</v>
      </c>
      <c r="T212" s="8">
        <f t="shared" si="85"/>
        <v>-1.0439970171513879E-2</v>
      </c>
      <c r="U212" s="8">
        <f t="shared" si="86"/>
        <v>7.4080717488789194E-2</v>
      </c>
      <c r="V212" s="8">
        <f t="shared" si="87"/>
        <v>-7.2813177567069287E-3</v>
      </c>
      <c r="W212" s="8">
        <f t="shared" si="88"/>
        <v>-5.2997076023391876E-2</v>
      </c>
      <c r="X212" s="8">
        <f t="shared" si="89"/>
        <v>-2.3745790518953425E-2</v>
      </c>
      <c r="Y212" s="8">
        <f t="shared" si="90"/>
        <v>1.2718095465204193E-2</v>
      </c>
      <c r="Z212" s="8">
        <f t="shared" si="91"/>
        <v>-7.2813177567069287E-3</v>
      </c>
      <c r="AB212" s="26">
        <f t="shared" si="92"/>
        <v>-4.2577298100812594E-2</v>
      </c>
      <c r="AC212" s="26">
        <f t="shared" si="93"/>
        <v>-1.2527134135175762E-2</v>
      </c>
      <c r="AD212" s="26">
        <f t="shared" si="94"/>
        <v>-6.4108244684262725E-3</v>
      </c>
      <c r="AE212" s="26">
        <f t="shared" si="95"/>
        <v>-7.80828285364445E-3</v>
      </c>
      <c r="AF212" s="26">
        <f t="shared" si="96"/>
        <v>-1.1461851870841469E-2</v>
      </c>
      <c r="AG212" s="26">
        <f t="shared" si="97"/>
        <v>-1.2617972142435489E-2</v>
      </c>
      <c r="AH212" s="26">
        <f t="shared" si="98"/>
        <v>6.8737337443728785E-2</v>
      </c>
      <c r="AI212" s="26">
        <f t="shared" si="99"/>
        <v>-1.9683083885744308E-2</v>
      </c>
      <c r="AJ212" s="26">
        <f t="shared" si="100"/>
        <v>-6.3226281995034161E-2</v>
      </c>
      <c r="AK212" s="26">
        <f t="shared" si="101"/>
        <v>-2.2178875237082011E-2</v>
      </c>
      <c r="AL212" s="26">
        <f t="shared" si="102"/>
        <v>1.62423305789599E-2</v>
      </c>
      <c r="AM212" s="26">
        <f t="shared" si="103"/>
        <v>-1.9683083885744308E-2</v>
      </c>
    </row>
    <row r="213" spans="1:39" x14ac:dyDescent="0.2">
      <c r="A213" s="5">
        <v>31808</v>
      </c>
      <c r="B213" s="14">
        <v>8.0294371427999991</v>
      </c>
      <c r="C213" s="14">
        <v>11.3942857142</v>
      </c>
      <c r="D213" s="1">
        <v>12.09</v>
      </c>
      <c r="E213" s="1">
        <v>12.44</v>
      </c>
      <c r="F213" s="1">
        <v>12.81</v>
      </c>
      <c r="G213" s="1">
        <v>13.27</v>
      </c>
      <c r="H213" s="1">
        <v>179.64</v>
      </c>
      <c r="I213" s="1">
        <v>306.76</v>
      </c>
      <c r="J213" s="1">
        <v>25.91</v>
      </c>
      <c r="K213" s="1">
        <v>113.06</v>
      </c>
      <c r="L213" s="1">
        <v>254.81</v>
      </c>
      <c r="M213">
        <f t="shared" si="79"/>
        <v>613.52</v>
      </c>
      <c r="O213" s="8">
        <f t="shared" si="80"/>
        <v>6.6902644599652783E-2</v>
      </c>
      <c r="P213" s="8">
        <f t="shared" si="81"/>
        <v>1.0935584539951693E-2</v>
      </c>
      <c r="Q213" s="8">
        <f t="shared" si="82"/>
        <v>4.1356492969397696E-3</v>
      </c>
      <c r="R213" s="8">
        <f t="shared" si="83"/>
        <v>4.8231511254019921E-3</v>
      </c>
      <c r="S213" s="8">
        <f t="shared" si="84"/>
        <v>0</v>
      </c>
      <c r="T213" s="8">
        <f t="shared" si="85"/>
        <v>-2.2607385079125297E-3</v>
      </c>
      <c r="U213" s="8">
        <f t="shared" si="86"/>
        <v>8.6283678468048741E-3</v>
      </c>
      <c r="V213" s="8">
        <f t="shared" si="87"/>
        <v>-5.8677793714956294E-2</v>
      </c>
      <c r="W213" s="8">
        <f t="shared" si="88"/>
        <v>3.0876109610189051E-2</v>
      </c>
      <c r="X213" s="8">
        <f t="shared" si="89"/>
        <v>-4.5551034848752781E-2</v>
      </c>
      <c r="Y213" s="8">
        <f t="shared" si="90"/>
        <v>1.8248891330795436E-2</v>
      </c>
      <c r="Z213" s="8">
        <f t="shared" si="91"/>
        <v>-5.8677793714956294E-2</v>
      </c>
      <c r="AB213" s="26">
        <f t="shared" si="92"/>
        <v>6.2381720107227728E-2</v>
      </c>
      <c r="AC213" s="26">
        <f t="shared" si="93"/>
        <v>8.4188145213750995E-3</v>
      </c>
      <c r="AD213" s="26">
        <f t="shared" si="94"/>
        <v>1.8434409734888256E-3</v>
      </c>
      <c r="AE213" s="26">
        <f t="shared" si="95"/>
        <v>2.6103918528926737E-3</v>
      </c>
      <c r="AF213" s="26">
        <f t="shared" si="96"/>
        <v>-2.1811094114447733E-3</v>
      </c>
      <c r="AG213" s="26">
        <f t="shared" si="97"/>
        <v>-4.4387404788341391E-3</v>
      </c>
      <c r="AH213" s="26">
        <f t="shared" si="98"/>
        <v>3.2849878017444691E-3</v>
      </c>
      <c r="AI213" s="26">
        <f t="shared" si="99"/>
        <v>-7.1079559843993667E-2</v>
      </c>
      <c r="AJ213" s="26">
        <f t="shared" si="100"/>
        <v>2.0646903638546765E-2</v>
      </c>
      <c r="AK213" s="26">
        <f t="shared" si="101"/>
        <v>-4.3984119566881363E-2</v>
      </c>
      <c r="AL213" s="26">
        <f t="shared" si="102"/>
        <v>2.1773126444551143E-2</v>
      </c>
      <c r="AM213" s="26">
        <f t="shared" si="103"/>
        <v>-7.1079559843993667E-2</v>
      </c>
    </row>
    <row r="214" spans="1:39" x14ac:dyDescent="0.2">
      <c r="A214" s="5">
        <v>31836</v>
      </c>
      <c r="B214" s="14">
        <v>8.5666277222999998</v>
      </c>
      <c r="C214" s="14">
        <v>11.518888888899999</v>
      </c>
      <c r="D214" s="1">
        <v>12.14</v>
      </c>
      <c r="E214" s="1">
        <v>12.5</v>
      </c>
      <c r="F214" s="1">
        <v>12.81</v>
      </c>
      <c r="G214" s="1">
        <v>13.24</v>
      </c>
      <c r="H214" s="1">
        <v>181.19</v>
      </c>
      <c r="I214" s="1">
        <v>288.76</v>
      </c>
      <c r="J214" s="1">
        <v>26.71</v>
      </c>
      <c r="K214" s="1">
        <v>107.91000000000001</v>
      </c>
      <c r="L214" s="1">
        <v>259.45999999999998</v>
      </c>
      <c r="M214">
        <f t="shared" si="79"/>
        <v>577.52</v>
      </c>
      <c r="O214" s="8">
        <f t="shared" si="80"/>
        <v>3.1079962481259438E-2</v>
      </c>
      <c r="P214" s="8">
        <f t="shared" si="81"/>
        <v>3.0067935348673691E-2</v>
      </c>
      <c r="Q214" s="8">
        <f t="shared" si="82"/>
        <v>3.5420098846787429E-2</v>
      </c>
      <c r="R214" s="8">
        <f t="shared" si="83"/>
        <v>3.3600000000000074E-2</v>
      </c>
      <c r="S214" s="8">
        <f t="shared" si="84"/>
        <v>4.3715846994535346E-2</v>
      </c>
      <c r="T214" s="8">
        <f t="shared" si="85"/>
        <v>3.4743202416918306E-2</v>
      </c>
      <c r="U214" s="8">
        <f t="shared" si="86"/>
        <v>-2.8699155582537772E-3</v>
      </c>
      <c r="V214" s="8">
        <f t="shared" si="87"/>
        <v>0.14285219559495776</v>
      </c>
      <c r="W214" s="8">
        <f t="shared" si="88"/>
        <v>1.8719580681392678E-2</v>
      </c>
      <c r="X214" s="8">
        <f t="shared" si="89"/>
        <v>0.14549161338152161</v>
      </c>
      <c r="Y214" s="8">
        <f t="shared" si="90"/>
        <v>-3.2567640484082339E-2</v>
      </c>
      <c r="Z214" s="8">
        <f t="shared" si="91"/>
        <v>0.14285219559495776</v>
      </c>
      <c r="AB214" s="26">
        <f t="shared" si="92"/>
        <v>2.6559037988834383E-2</v>
      </c>
      <c r="AC214" s="26">
        <f t="shared" si="93"/>
        <v>2.7551165330097098E-2</v>
      </c>
      <c r="AD214" s="26">
        <f t="shared" si="94"/>
        <v>3.3127890523336485E-2</v>
      </c>
      <c r="AE214" s="26">
        <f t="shared" si="95"/>
        <v>3.1387240727490759E-2</v>
      </c>
      <c r="AF214" s="26">
        <f t="shared" si="96"/>
        <v>4.1534737583090571E-2</v>
      </c>
      <c r="AG214" s="26">
        <f t="shared" si="97"/>
        <v>3.25652004459967E-2</v>
      </c>
      <c r="AH214" s="26">
        <f t="shared" si="98"/>
        <v>-8.2132956033141823E-3</v>
      </c>
      <c r="AI214" s="26">
        <f t="shared" si="99"/>
        <v>0.13045042946592039</v>
      </c>
      <c r="AJ214" s="26">
        <f t="shared" si="100"/>
        <v>8.4903747097503941E-3</v>
      </c>
      <c r="AK214" s="26">
        <f t="shared" si="101"/>
        <v>0.14705852866339303</v>
      </c>
      <c r="AL214" s="26">
        <f t="shared" si="102"/>
        <v>-2.9043405370326632E-2</v>
      </c>
      <c r="AM214" s="26">
        <f t="shared" si="103"/>
        <v>0.13045042946592039</v>
      </c>
    </row>
    <row r="215" spans="1:39" x14ac:dyDescent="0.2">
      <c r="A215" s="5">
        <v>31867</v>
      </c>
      <c r="B215" s="14">
        <v>8.8328781905000007</v>
      </c>
      <c r="C215" s="14">
        <v>11.865238095300001</v>
      </c>
      <c r="D215" s="1">
        <v>12.57</v>
      </c>
      <c r="E215" s="1">
        <v>12.92</v>
      </c>
      <c r="F215" s="1">
        <v>13.37</v>
      </c>
      <c r="G215" s="1">
        <v>13.7</v>
      </c>
      <c r="H215" s="1">
        <v>180.67</v>
      </c>
      <c r="I215" s="1">
        <v>330.01</v>
      </c>
      <c r="J215" s="1">
        <v>27.21</v>
      </c>
      <c r="K215" s="1">
        <v>123.61</v>
      </c>
      <c r="L215" s="1">
        <v>251.01</v>
      </c>
      <c r="M215">
        <f t="shared" si="79"/>
        <v>660.02</v>
      </c>
      <c r="O215" s="8">
        <f t="shared" si="80"/>
        <v>-6.8205703011726793E-2</v>
      </c>
      <c r="P215" s="8">
        <f t="shared" si="81"/>
        <v>-3.5437653009808279E-2</v>
      </c>
      <c r="Q215" s="8">
        <f t="shared" si="82"/>
        <v>-2.6252983293556076E-2</v>
      </c>
      <c r="R215" s="8">
        <f t="shared" si="83"/>
        <v>-1.7027863777089869E-2</v>
      </c>
      <c r="S215" s="8">
        <f t="shared" si="84"/>
        <v>-1.6454749439042571E-2</v>
      </c>
      <c r="T215" s="8">
        <f t="shared" si="85"/>
        <v>-1.3138686131386801E-2</v>
      </c>
      <c r="U215" s="8">
        <f t="shared" si="86"/>
        <v>-4.5940111806054285E-3</v>
      </c>
      <c r="V215" s="8">
        <f t="shared" si="87"/>
        <v>-2.7271900851489339E-2</v>
      </c>
      <c r="W215" s="8">
        <f t="shared" si="88"/>
        <v>5.5126791620727644E-2</v>
      </c>
      <c r="X215" s="8">
        <f t="shared" si="89"/>
        <v>4.0449801795972018E-3</v>
      </c>
      <c r="Y215" s="8">
        <f t="shared" si="90"/>
        <v>1.9919525118521353E-3</v>
      </c>
      <c r="Z215" s="8">
        <f t="shared" si="91"/>
        <v>-2.7271900851489339E-2</v>
      </c>
      <c r="AB215" s="26">
        <f t="shared" si="92"/>
        <v>-7.2726627504151847E-2</v>
      </c>
      <c r="AC215" s="26">
        <f t="shared" si="93"/>
        <v>-3.7954423028384872E-2</v>
      </c>
      <c r="AD215" s="26">
        <f t="shared" si="94"/>
        <v>-2.8545191617007019E-2</v>
      </c>
      <c r="AE215" s="26">
        <f t="shared" si="95"/>
        <v>-1.9240623049599188E-2</v>
      </c>
      <c r="AF215" s="26">
        <f t="shared" si="96"/>
        <v>-1.8635858850487345E-2</v>
      </c>
      <c r="AG215" s="26">
        <f t="shared" si="97"/>
        <v>-1.531668810230841E-2</v>
      </c>
      <c r="AH215" s="26">
        <f t="shared" si="98"/>
        <v>-9.9373912256658335E-3</v>
      </c>
      <c r="AI215" s="26">
        <f t="shared" si="99"/>
        <v>-3.9673666980526719E-2</v>
      </c>
      <c r="AJ215" s="26">
        <f t="shared" si="100"/>
        <v>4.4897585649085359E-2</v>
      </c>
      <c r="AK215" s="26">
        <f t="shared" si="101"/>
        <v>5.6118954614686163E-3</v>
      </c>
      <c r="AL215" s="26">
        <f t="shared" si="102"/>
        <v>5.5161876256078421E-3</v>
      </c>
      <c r="AM215" s="26">
        <f t="shared" si="103"/>
        <v>-3.9673666980526719E-2</v>
      </c>
    </row>
    <row r="216" spans="1:39" x14ac:dyDescent="0.2">
      <c r="A216" s="5">
        <v>31897</v>
      </c>
      <c r="B216" s="14">
        <v>8.2304255238999993</v>
      </c>
      <c r="C216" s="14">
        <v>11.4447619048</v>
      </c>
      <c r="D216" s="1">
        <v>12.24</v>
      </c>
      <c r="E216" s="1">
        <v>12.7</v>
      </c>
      <c r="F216" s="1">
        <v>13.15</v>
      </c>
      <c r="G216" s="1">
        <v>13.52</v>
      </c>
      <c r="H216" s="1">
        <v>179.84</v>
      </c>
      <c r="I216" s="1">
        <v>321.01</v>
      </c>
      <c r="J216" s="1">
        <v>28.71</v>
      </c>
      <c r="K216" s="1">
        <v>124.11</v>
      </c>
      <c r="L216" s="1">
        <v>251.51</v>
      </c>
      <c r="M216">
        <f t="shared" si="79"/>
        <v>642.02</v>
      </c>
      <c r="O216" s="8">
        <f t="shared" si="80"/>
        <v>-5.9819096044344544E-2</v>
      </c>
      <c r="P216" s="8">
        <f t="shared" si="81"/>
        <v>-5.1372298339680933E-2</v>
      </c>
      <c r="Q216" s="8">
        <f t="shared" si="82"/>
        <v>-4.166666666666663E-2</v>
      </c>
      <c r="R216" s="8">
        <f t="shared" si="83"/>
        <v>-3.0708661417322758E-2</v>
      </c>
      <c r="S216" s="8">
        <f t="shared" si="84"/>
        <v>-3.3460076045627507E-2</v>
      </c>
      <c r="T216" s="8">
        <f t="shared" si="85"/>
        <v>-2.6627218934911157E-2</v>
      </c>
      <c r="U216" s="8">
        <f t="shared" si="86"/>
        <v>5.4048042704626376E-2</v>
      </c>
      <c r="V216" s="8">
        <f t="shared" si="87"/>
        <v>-1.5575838758917215E-2</v>
      </c>
      <c r="W216" s="8">
        <f t="shared" si="88"/>
        <v>-4.7021943573667624E-2</v>
      </c>
      <c r="X216" s="8">
        <f t="shared" si="89"/>
        <v>3.6258158085569203E-2</v>
      </c>
      <c r="Y216" s="8">
        <f t="shared" si="90"/>
        <v>-1.1927955150888847E-3</v>
      </c>
      <c r="Z216" s="8">
        <f t="shared" si="91"/>
        <v>-1.5575838758917215E-2</v>
      </c>
      <c r="AB216" s="26">
        <f t="shared" si="92"/>
        <v>-6.4340020536769599E-2</v>
      </c>
      <c r="AC216" s="26">
        <f t="shared" si="93"/>
        <v>-5.3889068358257526E-2</v>
      </c>
      <c r="AD216" s="26">
        <f t="shared" si="94"/>
        <v>-4.3958874990117573E-2</v>
      </c>
      <c r="AE216" s="26">
        <f t="shared" si="95"/>
        <v>-3.2921420689832073E-2</v>
      </c>
      <c r="AF216" s="26">
        <f t="shared" si="96"/>
        <v>-3.5641185457072282E-2</v>
      </c>
      <c r="AG216" s="26">
        <f t="shared" si="97"/>
        <v>-2.8805220905832766E-2</v>
      </c>
      <c r="AH216" s="26">
        <f t="shared" si="98"/>
        <v>4.8704662659565967E-2</v>
      </c>
      <c r="AI216" s="26">
        <f t="shared" si="99"/>
        <v>-2.7977604887954595E-2</v>
      </c>
      <c r="AJ216" s="26">
        <f t="shared" si="100"/>
        <v>-5.725114954530991E-2</v>
      </c>
      <c r="AK216" s="26">
        <f t="shared" si="101"/>
        <v>3.782507336744062E-2</v>
      </c>
      <c r="AL216" s="26">
        <f t="shared" si="102"/>
        <v>2.3314395986668217E-3</v>
      </c>
      <c r="AM216" s="26">
        <f t="shared" si="103"/>
        <v>-2.7977604887954595E-2</v>
      </c>
    </row>
    <row r="217" spans="1:39" x14ac:dyDescent="0.2">
      <c r="A217" s="5">
        <v>31928</v>
      </c>
      <c r="B217" s="14">
        <v>7.738088909</v>
      </c>
      <c r="C217" s="14">
        <v>10.8568181818</v>
      </c>
      <c r="D217" s="1">
        <v>11.73</v>
      </c>
      <c r="E217" s="1">
        <v>12.31</v>
      </c>
      <c r="F217" s="1">
        <v>12.709999999999999</v>
      </c>
      <c r="G217" s="1">
        <v>13.16</v>
      </c>
      <c r="H217" s="1">
        <v>189.56</v>
      </c>
      <c r="I217" s="1">
        <v>316.01</v>
      </c>
      <c r="J217" s="1">
        <v>27.360000000000003</v>
      </c>
      <c r="K217" s="1">
        <v>128.60999999999999</v>
      </c>
      <c r="L217" s="1">
        <v>251.20999999999998</v>
      </c>
      <c r="M217">
        <f t="shared" si="79"/>
        <v>632.02</v>
      </c>
      <c r="O217" s="8">
        <f t="shared" si="80"/>
        <v>-7.1425692506216665E-2</v>
      </c>
      <c r="P217" s="8">
        <f t="shared" si="81"/>
        <v>-6.3629893236865964E-2</v>
      </c>
      <c r="Q217" s="8">
        <f t="shared" si="82"/>
        <v>-6.6496163682864595E-2</v>
      </c>
      <c r="R217" s="8">
        <f t="shared" si="83"/>
        <v>-6.8237205523964284E-2</v>
      </c>
      <c r="S217" s="8">
        <f t="shared" si="84"/>
        <v>-5.6648308418567939E-2</v>
      </c>
      <c r="T217" s="8">
        <f t="shared" si="85"/>
        <v>-5.699088145896658E-2</v>
      </c>
      <c r="U217" s="8">
        <f t="shared" si="86"/>
        <v>1.2133361468664283E-2</v>
      </c>
      <c r="V217" s="8">
        <f t="shared" si="87"/>
        <v>5.5377994367267203E-3</v>
      </c>
      <c r="W217" s="8">
        <f t="shared" si="88"/>
        <v>5.482456140350811E-3</v>
      </c>
      <c r="X217" s="8">
        <f t="shared" si="89"/>
        <v>1.8272296088950979E-2</v>
      </c>
      <c r="Y217" s="8">
        <f t="shared" si="90"/>
        <v>-1.1146053102981557E-2</v>
      </c>
      <c r="Z217" s="8">
        <f t="shared" si="91"/>
        <v>5.5377994367267203E-3</v>
      </c>
      <c r="AB217" s="26">
        <f t="shared" si="92"/>
        <v>-7.5946616998641719E-2</v>
      </c>
      <c r="AC217" s="26">
        <f t="shared" si="93"/>
        <v>-6.6146663255442564E-2</v>
      </c>
      <c r="AD217" s="26">
        <f t="shared" si="94"/>
        <v>-6.8788372006315546E-2</v>
      </c>
      <c r="AE217" s="26">
        <f t="shared" si="95"/>
        <v>-7.0449964796473599E-2</v>
      </c>
      <c r="AF217" s="26">
        <f t="shared" si="96"/>
        <v>-5.8829417830012713E-2</v>
      </c>
      <c r="AG217" s="26">
        <f t="shared" si="97"/>
        <v>-5.9168883429888186E-2</v>
      </c>
      <c r="AH217" s="26">
        <f t="shared" si="98"/>
        <v>6.7899814236038782E-3</v>
      </c>
      <c r="AI217" s="26">
        <f t="shared" si="99"/>
        <v>-6.8639666923106593E-3</v>
      </c>
      <c r="AJ217" s="26">
        <f t="shared" si="100"/>
        <v>-4.7467498312914729E-3</v>
      </c>
      <c r="AK217" s="26">
        <f t="shared" si="101"/>
        <v>1.9839211370822393E-2</v>
      </c>
      <c r="AL217" s="26">
        <f t="shared" si="102"/>
        <v>-7.62181798922585E-3</v>
      </c>
      <c r="AM217" s="26">
        <f t="shared" si="103"/>
        <v>-6.8639666923106593E-3</v>
      </c>
    </row>
    <row r="218" spans="1:39" x14ac:dyDescent="0.2">
      <c r="A218" s="5">
        <v>31958</v>
      </c>
      <c r="B218" s="14">
        <v>7.1853905500000002</v>
      </c>
      <c r="C218" s="14">
        <v>10.166</v>
      </c>
      <c r="D218" s="1">
        <v>10.95</v>
      </c>
      <c r="E218" s="1">
        <v>11.47</v>
      </c>
      <c r="F218" s="1">
        <v>11.99</v>
      </c>
      <c r="G218" s="1">
        <v>12.41</v>
      </c>
      <c r="H218" s="1">
        <v>191.85999999999999</v>
      </c>
      <c r="I218" s="1">
        <v>317.76</v>
      </c>
      <c r="J218" s="1">
        <v>27.51</v>
      </c>
      <c r="K218" s="1">
        <v>130.95999999999998</v>
      </c>
      <c r="L218" s="1">
        <v>248.41</v>
      </c>
      <c r="M218">
        <f t="shared" si="79"/>
        <v>635.52</v>
      </c>
      <c r="O218" s="8">
        <f t="shared" si="80"/>
        <v>1.8817424043846787E-2</v>
      </c>
      <c r="P218" s="8">
        <f t="shared" si="81"/>
        <v>1.4835548091678197E-2</v>
      </c>
      <c r="Q218" s="8">
        <f t="shared" si="82"/>
        <v>2.73972602739736E-3</v>
      </c>
      <c r="R218" s="8">
        <f t="shared" si="83"/>
        <v>-3.4873583260680574E-3</v>
      </c>
      <c r="S218" s="8">
        <f t="shared" si="84"/>
        <v>-5.0041701417848916E-3</v>
      </c>
      <c r="T218" s="8">
        <f t="shared" si="85"/>
        <v>2.4174053182917099E-3</v>
      </c>
      <c r="U218" s="8">
        <f t="shared" si="86"/>
        <v>-4.8472844782654345E-3</v>
      </c>
      <c r="V218" s="8">
        <f t="shared" si="87"/>
        <v>2.3602719033232633E-2</v>
      </c>
      <c r="W218" s="8">
        <f t="shared" si="88"/>
        <v>-2.9080334423845944E-2</v>
      </c>
      <c r="X218" s="8">
        <f t="shared" si="89"/>
        <v>7.7504581551618879E-2</v>
      </c>
      <c r="Y218" s="8">
        <f t="shared" si="90"/>
        <v>-4.8105953866591555E-2</v>
      </c>
      <c r="Z218" s="8">
        <f t="shared" si="91"/>
        <v>2.3602719033232633E-2</v>
      </c>
      <c r="AB218" s="26">
        <f t="shared" si="92"/>
        <v>1.4296499551421734E-2</v>
      </c>
      <c r="AC218" s="26">
        <f t="shared" si="93"/>
        <v>1.2318778073101604E-2</v>
      </c>
      <c r="AD218" s="26">
        <f t="shared" si="94"/>
        <v>4.4751770394641606E-4</v>
      </c>
      <c r="AE218" s="26">
        <f t="shared" si="95"/>
        <v>-5.7001175985773762E-3</v>
      </c>
      <c r="AF218" s="26">
        <f t="shared" si="96"/>
        <v>-7.1852795532296645E-3</v>
      </c>
      <c r="AG218" s="26">
        <f t="shared" si="97"/>
        <v>2.3940334737010058E-4</v>
      </c>
      <c r="AH218" s="26">
        <f t="shared" si="98"/>
        <v>-1.019066452332584E-2</v>
      </c>
      <c r="AI218" s="26">
        <f t="shared" si="99"/>
        <v>1.1200952904195254E-2</v>
      </c>
      <c r="AJ218" s="26">
        <f t="shared" si="100"/>
        <v>-3.9309540395488229E-2</v>
      </c>
      <c r="AK218" s="26">
        <f t="shared" si="101"/>
        <v>7.9071496833490296E-2</v>
      </c>
      <c r="AL218" s="26">
        <f t="shared" si="102"/>
        <v>-4.4581718752835849E-2</v>
      </c>
      <c r="AM218" s="26">
        <f t="shared" si="103"/>
        <v>1.1200952904195254E-2</v>
      </c>
    </row>
    <row r="219" spans="1:39" x14ac:dyDescent="0.2">
      <c r="A219" s="5">
        <v>31989</v>
      </c>
      <c r="B219" s="14">
        <v>7.3206010908999994</v>
      </c>
      <c r="C219" s="14">
        <v>10.3168181819</v>
      </c>
      <c r="D219" s="1">
        <v>10.98</v>
      </c>
      <c r="E219" s="1">
        <v>11.43</v>
      </c>
      <c r="F219" s="1">
        <v>11.93</v>
      </c>
      <c r="G219" s="1">
        <v>12.44</v>
      </c>
      <c r="H219" s="1">
        <v>190.92999999999998</v>
      </c>
      <c r="I219" s="1">
        <v>325.26</v>
      </c>
      <c r="J219" s="1">
        <v>26.71</v>
      </c>
      <c r="K219" s="1">
        <v>141.10999999999999</v>
      </c>
      <c r="L219" s="1">
        <v>236.45999999999998</v>
      </c>
      <c r="M219">
        <f t="shared" si="79"/>
        <v>650.52</v>
      </c>
      <c r="O219" s="8">
        <f t="shared" si="80"/>
        <v>7.4988315738497846E-3</v>
      </c>
      <c r="P219" s="8">
        <f t="shared" si="81"/>
        <v>2.4232277393294588E-3</v>
      </c>
      <c r="Q219" s="8">
        <f t="shared" si="82"/>
        <v>7.2859744990891873E-3</v>
      </c>
      <c r="R219" s="8">
        <f t="shared" si="83"/>
        <v>4.3744531933509467E-3</v>
      </c>
      <c r="S219" s="8">
        <f t="shared" si="84"/>
        <v>6.7057837384745245E-3</v>
      </c>
      <c r="T219" s="8">
        <f t="shared" si="85"/>
        <v>5.6270096463022501E-3</v>
      </c>
      <c r="U219" s="8">
        <f t="shared" si="86"/>
        <v>-1.1993924474938411E-2</v>
      </c>
      <c r="V219" s="8">
        <f t="shared" si="87"/>
        <v>2.5364323925475052E-2</v>
      </c>
      <c r="W219" s="8">
        <f t="shared" si="88"/>
        <v>1.6847622613253455E-2</v>
      </c>
      <c r="X219" s="8">
        <f t="shared" si="89"/>
        <v>-1.417333994755865E-2</v>
      </c>
      <c r="Y219" s="8">
        <f t="shared" si="90"/>
        <v>1.0784064958132555E-2</v>
      </c>
      <c r="Z219" s="8">
        <f t="shared" si="91"/>
        <v>2.5364323925475052E-2</v>
      </c>
      <c r="AB219" s="26">
        <f t="shared" si="92"/>
        <v>2.9779070814247317E-3</v>
      </c>
      <c r="AC219" s="26">
        <f t="shared" si="93"/>
        <v>-9.3542279247135242E-5</v>
      </c>
      <c r="AD219" s="26">
        <f t="shared" si="94"/>
        <v>4.9937661756382437E-3</v>
      </c>
      <c r="AE219" s="26">
        <f t="shared" si="95"/>
        <v>2.1616939208416283E-3</v>
      </c>
      <c r="AF219" s="26">
        <f t="shared" si="96"/>
        <v>4.5246743270297516E-3</v>
      </c>
      <c r="AG219" s="26">
        <f t="shared" si="97"/>
        <v>3.4490076753806408E-3</v>
      </c>
      <c r="AH219" s="26">
        <f t="shared" si="98"/>
        <v>-1.7337304519998816E-2</v>
      </c>
      <c r="AI219" s="26">
        <f t="shared" si="99"/>
        <v>1.2962557796437672E-2</v>
      </c>
      <c r="AJ219" s="26">
        <f t="shared" si="100"/>
        <v>6.6184166416111707E-3</v>
      </c>
      <c r="AK219" s="26">
        <f t="shared" si="101"/>
        <v>-1.2606424665687236E-2</v>
      </c>
      <c r="AL219" s="26">
        <f t="shared" si="102"/>
        <v>1.4308300071888262E-2</v>
      </c>
      <c r="AM219" s="26">
        <f t="shared" si="103"/>
        <v>1.2962557796437672E-2</v>
      </c>
    </row>
    <row r="220" spans="1:39" x14ac:dyDescent="0.2">
      <c r="A220" s="5">
        <v>32020</v>
      </c>
      <c r="B220" s="14">
        <v>7.3754970454999995</v>
      </c>
      <c r="C220" s="14">
        <v>10.341818181899999</v>
      </c>
      <c r="D220" s="1">
        <v>11.06</v>
      </c>
      <c r="E220" s="1">
        <v>11.48</v>
      </c>
      <c r="F220" s="1">
        <v>12.01</v>
      </c>
      <c r="G220" s="1">
        <v>12.51</v>
      </c>
      <c r="H220" s="1">
        <v>188.64</v>
      </c>
      <c r="I220" s="1">
        <v>333.51</v>
      </c>
      <c r="J220" s="1">
        <v>27.16</v>
      </c>
      <c r="K220" s="1">
        <v>139.10999999999999</v>
      </c>
      <c r="L220" s="1">
        <v>239.01</v>
      </c>
      <c r="M220">
        <f t="shared" si="79"/>
        <v>667.02</v>
      </c>
      <c r="O220" s="8">
        <f t="shared" si="80"/>
        <v>-5.0582415354313293E-3</v>
      </c>
      <c r="P220" s="8">
        <f t="shared" si="81"/>
        <v>3.9464431188156457E-3</v>
      </c>
      <c r="Q220" s="8">
        <f t="shared" si="82"/>
        <v>1.8083182640145079E-3</v>
      </c>
      <c r="R220" s="8">
        <f t="shared" si="83"/>
        <v>-8.7108013937275963E-4</v>
      </c>
      <c r="S220" s="8">
        <f t="shared" si="84"/>
        <v>-8.3263946711076287E-4</v>
      </c>
      <c r="T220" s="8">
        <f t="shared" si="85"/>
        <v>-1.5987210231813709E-3</v>
      </c>
      <c r="U220" s="8">
        <f t="shared" si="86"/>
        <v>-3.4722222222222099E-2</v>
      </c>
      <c r="V220" s="8">
        <f t="shared" si="87"/>
        <v>-2.4736889448592203E-2</v>
      </c>
      <c r="W220" s="8">
        <f t="shared" si="88"/>
        <v>3.6818851251841034E-2</v>
      </c>
      <c r="X220" s="8">
        <f t="shared" si="89"/>
        <v>1.2579972683487872E-2</v>
      </c>
      <c r="Y220" s="8">
        <f t="shared" si="90"/>
        <v>-9.4138320572361045E-2</v>
      </c>
      <c r="Z220" s="8">
        <f t="shared" si="91"/>
        <v>-2.4736889448592203E-2</v>
      </c>
      <c r="AB220" s="26">
        <f t="shared" si="92"/>
        <v>-9.5791660278563822E-3</v>
      </c>
      <c r="AC220" s="26">
        <f t="shared" si="93"/>
        <v>1.4296731002390517E-3</v>
      </c>
      <c r="AD220" s="26">
        <f t="shared" si="94"/>
        <v>-4.8389005943643608E-4</v>
      </c>
      <c r="AE220" s="26">
        <f t="shared" si="95"/>
        <v>-3.083839411882078E-3</v>
      </c>
      <c r="AF220" s="26">
        <f t="shared" si="96"/>
        <v>-3.0137488785555362E-3</v>
      </c>
      <c r="AG220" s="26">
        <f t="shared" si="97"/>
        <v>-3.7767229941029802E-3</v>
      </c>
      <c r="AH220" s="26">
        <f t="shared" si="98"/>
        <v>-4.0065602267282507E-2</v>
      </c>
      <c r="AI220" s="26">
        <f t="shared" si="99"/>
        <v>-3.7138655577629583E-2</v>
      </c>
      <c r="AJ220" s="26">
        <f t="shared" si="100"/>
        <v>2.6589645280198748E-2</v>
      </c>
      <c r="AK220" s="26">
        <f t="shared" si="101"/>
        <v>1.4146887965359286E-2</v>
      </c>
      <c r="AL220" s="26">
        <f t="shared" si="102"/>
        <v>-9.0614085458605345E-2</v>
      </c>
      <c r="AM220" s="26">
        <f t="shared" si="103"/>
        <v>-3.7138655577629583E-2</v>
      </c>
    </row>
    <row r="221" spans="1:39" x14ac:dyDescent="0.2">
      <c r="A221" s="5">
        <v>32050</v>
      </c>
      <c r="B221" s="14">
        <v>7.33819</v>
      </c>
      <c r="C221" s="14">
        <v>10.3826315791</v>
      </c>
      <c r="D221" s="1">
        <v>11.08</v>
      </c>
      <c r="E221" s="1">
        <v>11.47</v>
      </c>
      <c r="F221" s="1">
        <v>12</v>
      </c>
      <c r="G221" s="1">
        <v>12.49</v>
      </c>
      <c r="H221" s="1">
        <v>182.09</v>
      </c>
      <c r="I221" s="1">
        <v>325.26</v>
      </c>
      <c r="J221" s="1">
        <v>28.16</v>
      </c>
      <c r="K221" s="1">
        <v>140.85999999999999</v>
      </c>
      <c r="L221" s="1">
        <v>216.51</v>
      </c>
      <c r="M221">
        <f t="shared" si="79"/>
        <v>650.52</v>
      </c>
      <c r="O221" s="8">
        <f t="shared" si="80"/>
        <v>8.8602230250238723E-3</v>
      </c>
      <c r="P221" s="8">
        <f t="shared" si="81"/>
        <v>-1.3080826018462277E-2</v>
      </c>
      <c r="Q221" s="8">
        <f t="shared" si="82"/>
        <v>-4.512635379061436E-3</v>
      </c>
      <c r="R221" s="8">
        <f t="shared" si="83"/>
        <v>-8.7183958151715313E-4</v>
      </c>
      <c r="S221" s="8">
        <f t="shared" si="84"/>
        <v>-4.1666666666667629E-3</v>
      </c>
      <c r="T221" s="8">
        <f t="shared" si="85"/>
        <v>-9.60768614891927E-3</v>
      </c>
      <c r="U221" s="8">
        <f t="shared" si="86"/>
        <v>4.25064528529846E-2</v>
      </c>
      <c r="V221" s="8">
        <f t="shared" si="87"/>
        <v>-2.305847629588631E-3</v>
      </c>
      <c r="W221" s="8">
        <f t="shared" si="88"/>
        <v>3.1960227272727293E-2</v>
      </c>
      <c r="X221" s="8">
        <f t="shared" si="89"/>
        <v>2.271759193525491E-2</v>
      </c>
      <c r="Y221" s="8">
        <f t="shared" si="90"/>
        <v>-2.2862685326312859E-2</v>
      </c>
      <c r="Z221" s="8">
        <f t="shared" si="91"/>
        <v>-2.305847629588631E-3</v>
      </c>
      <c r="AB221" s="26">
        <f t="shared" si="92"/>
        <v>4.3392985325988193E-3</v>
      </c>
      <c r="AC221" s="26">
        <f t="shared" si="93"/>
        <v>-1.559759603703887E-2</v>
      </c>
      <c r="AD221" s="26">
        <f t="shared" si="94"/>
        <v>-6.8048437025123795E-3</v>
      </c>
      <c r="AE221" s="26">
        <f t="shared" si="95"/>
        <v>-3.0845988540264715E-3</v>
      </c>
      <c r="AF221" s="26">
        <f t="shared" si="96"/>
        <v>-6.3477760781115358E-3</v>
      </c>
      <c r="AG221" s="26">
        <f t="shared" si="97"/>
        <v>-1.1785688119840879E-2</v>
      </c>
      <c r="AH221" s="26">
        <f t="shared" si="98"/>
        <v>3.7163072807924191E-2</v>
      </c>
      <c r="AI221" s="26">
        <f t="shared" si="99"/>
        <v>-1.4707613758626011E-2</v>
      </c>
      <c r="AJ221" s="26">
        <f t="shared" si="100"/>
        <v>2.1731021301085007E-2</v>
      </c>
      <c r="AK221" s="26">
        <f t="shared" si="101"/>
        <v>2.4284507217126324E-2</v>
      </c>
      <c r="AL221" s="26">
        <f t="shared" si="102"/>
        <v>-1.9338450212557153E-2</v>
      </c>
      <c r="AM221" s="26">
        <f t="shared" si="103"/>
        <v>-1.4707613758626011E-2</v>
      </c>
    </row>
    <row r="222" spans="1:39" x14ac:dyDescent="0.2">
      <c r="A222" s="5">
        <v>32081</v>
      </c>
      <c r="B222" s="14">
        <v>7.4032079999999993</v>
      </c>
      <c r="C222" s="14">
        <v>10.2468181818</v>
      </c>
      <c r="D222" s="1">
        <v>11.03</v>
      </c>
      <c r="E222" s="1">
        <v>11.459999999999999</v>
      </c>
      <c r="F222" s="1">
        <v>11.95</v>
      </c>
      <c r="G222" s="1">
        <v>12.37</v>
      </c>
      <c r="H222" s="1">
        <v>189.82999999999998</v>
      </c>
      <c r="I222" s="1">
        <v>324.51</v>
      </c>
      <c r="J222" s="1">
        <v>29.060000000000002</v>
      </c>
      <c r="K222" s="1">
        <v>144.06</v>
      </c>
      <c r="L222" s="1">
        <v>211.56</v>
      </c>
      <c r="M222">
        <f t="shared" si="79"/>
        <v>649.02</v>
      </c>
      <c r="O222" s="8">
        <f t="shared" si="80"/>
        <v>1.0792533236942736E-2</v>
      </c>
      <c r="P222" s="8">
        <f t="shared" si="81"/>
        <v>-4.4427375046878326E-2</v>
      </c>
      <c r="Q222" s="8">
        <f t="shared" si="82"/>
        <v>-4.261106074342691E-2</v>
      </c>
      <c r="R222" s="8">
        <f t="shared" si="83"/>
        <v>-3.3158813263525211E-2</v>
      </c>
      <c r="S222" s="8">
        <f t="shared" si="84"/>
        <v>-3.3472803347280311E-2</v>
      </c>
      <c r="T222" s="8">
        <f t="shared" si="85"/>
        <v>-2.9911075181891622E-2</v>
      </c>
      <c r="U222" s="8">
        <f t="shared" si="86"/>
        <v>6.5058209977348236E-2</v>
      </c>
      <c r="V222" s="8">
        <f t="shared" si="87"/>
        <v>1.5407845675017295E-3</v>
      </c>
      <c r="W222" s="8">
        <f t="shared" si="88"/>
        <v>4.4735030970405987E-2</v>
      </c>
      <c r="X222" s="8">
        <f t="shared" si="89"/>
        <v>3.3666527835624072E-2</v>
      </c>
      <c r="Y222" s="8">
        <f t="shared" si="90"/>
        <v>-4.4668179239932049E-2</v>
      </c>
      <c r="Z222" s="8">
        <f t="shared" si="91"/>
        <v>1.5407845675017295E-3</v>
      </c>
      <c r="AB222" s="26">
        <f t="shared" si="92"/>
        <v>6.2716087445176833E-3</v>
      </c>
      <c r="AC222" s="26">
        <f t="shared" si="93"/>
        <v>-4.6944145065454919E-2</v>
      </c>
      <c r="AD222" s="26">
        <f t="shared" si="94"/>
        <v>-4.4903269066877853E-2</v>
      </c>
      <c r="AE222" s="26">
        <f t="shared" si="95"/>
        <v>-3.5371572536034526E-2</v>
      </c>
      <c r="AF222" s="26">
        <f t="shared" si="96"/>
        <v>-3.5653912758725086E-2</v>
      </c>
      <c r="AG222" s="26">
        <f t="shared" si="97"/>
        <v>-3.2089077152813228E-2</v>
      </c>
      <c r="AH222" s="26">
        <f t="shared" si="98"/>
        <v>5.9714829932287827E-2</v>
      </c>
      <c r="AI222" s="26">
        <f t="shared" si="99"/>
        <v>-1.086098156153565E-2</v>
      </c>
      <c r="AJ222" s="26">
        <f t="shared" si="100"/>
        <v>3.4505824998763701E-2</v>
      </c>
      <c r="AK222" s="26">
        <f t="shared" si="101"/>
        <v>3.5233443117495489E-2</v>
      </c>
      <c r="AL222" s="26">
        <f t="shared" si="102"/>
        <v>-4.1143944126176342E-2</v>
      </c>
      <c r="AM222" s="26">
        <f t="shared" si="103"/>
        <v>-1.086098156153565E-2</v>
      </c>
    </row>
    <row r="223" spans="1:39" x14ac:dyDescent="0.2">
      <c r="A223" s="5">
        <v>32111</v>
      </c>
      <c r="B223" s="14">
        <v>7.4831073683999998</v>
      </c>
      <c r="C223" s="14">
        <v>9.7915789473999997</v>
      </c>
      <c r="D223" s="1">
        <v>10.56</v>
      </c>
      <c r="E223" s="1">
        <v>11.08</v>
      </c>
      <c r="F223" s="1">
        <v>11.549999999999999</v>
      </c>
      <c r="G223" s="1">
        <v>12</v>
      </c>
      <c r="H223" s="1">
        <v>202.17999999999998</v>
      </c>
      <c r="I223" s="1">
        <v>325.01</v>
      </c>
      <c r="J223" s="1">
        <v>30.360000000000003</v>
      </c>
      <c r="K223" s="1">
        <v>148.91</v>
      </c>
      <c r="L223" s="1">
        <v>202.10999999999999</v>
      </c>
      <c r="M223">
        <f t="shared" si="79"/>
        <v>650.02</v>
      </c>
      <c r="O223" s="8">
        <f t="shared" si="80"/>
        <v>-1.9361607453586283E-2</v>
      </c>
      <c r="P223" s="8">
        <f t="shared" si="81"/>
        <v>-5.3365379680541669E-2</v>
      </c>
      <c r="Q223" s="8">
        <f t="shared" si="82"/>
        <v>-3.6931818181818232E-2</v>
      </c>
      <c r="R223" s="8">
        <f t="shared" si="83"/>
        <v>-3.9711191335740081E-2</v>
      </c>
      <c r="S223" s="8">
        <f t="shared" si="84"/>
        <v>-3.0303030303030276E-2</v>
      </c>
      <c r="T223" s="8">
        <f t="shared" si="85"/>
        <v>-3.4166666666666679E-2</v>
      </c>
      <c r="U223" s="8">
        <f t="shared" si="86"/>
        <v>4.5058858442971639E-2</v>
      </c>
      <c r="V223" s="8">
        <f t="shared" si="87"/>
        <v>6.9228639118796842E-3</v>
      </c>
      <c r="W223" s="8">
        <f t="shared" si="88"/>
        <v>-1.8115942028985477E-2</v>
      </c>
      <c r="X223" s="8">
        <f t="shared" si="89"/>
        <v>-2.95480491572091E-2</v>
      </c>
      <c r="Y223" s="8">
        <f t="shared" si="90"/>
        <v>-9.1534312997871847E-3</v>
      </c>
      <c r="Z223" s="8">
        <f t="shared" si="91"/>
        <v>6.9228639118796842E-3</v>
      </c>
      <c r="AB223" s="26">
        <f t="shared" si="92"/>
        <v>-2.3882531946011337E-2</v>
      </c>
      <c r="AC223" s="26">
        <f t="shared" si="93"/>
        <v>-5.5882149699118262E-2</v>
      </c>
      <c r="AD223" s="26">
        <f t="shared" si="94"/>
        <v>-3.9224026505269176E-2</v>
      </c>
      <c r="AE223" s="26">
        <f t="shared" si="95"/>
        <v>-4.1923950608249397E-2</v>
      </c>
      <c r="AF223" s="26">
        <f t="shared" si="96"/>
        <v>-3.2484139714475051E-2</v>
      </c>
      <c r="AG223" s="26">
        <f t="shared" si="97"/>
        <v>-3.6344668637588284E-2</v>
      </c>
      <c r="AH223" s="26">
        <f t="shared" si="98"/>
        <v>3.971547839791123E-2</v>
      </c>
      <c r="AI223" s="26">
        <f t="shared" si="99"/>
        <v>-5.4789022171576954E-3</v>
      </c>
      <c r="AJ223" s="26">
        <f t="shared" si="100"/>
        <v>-2.8345148000627762E-2</v>
      </c>
      <c r="AK223" s="26">
        <f t="shared" si="101"/>
        <v>-2.7981133875337686E-2</v>
      </c>
      <c r="AL223" s="26">
        <f t="shared" si="102"/>
        <v>-5.6291961860314779E-3</v>
      </c>
      <c r="AM223" s="26">
        <f t="shared" si="103"/>
        <v>-5.4789022171576954E-3</v>
      </c>
    </row>
    <row r="224" spans="1:39" x14ac:dyDescent="0.2">
      <c r="A224" s="5">
        <v>32142</v>
      </c>
      <c r="B224" s="14">
        <v>7.3382223809999996</v>
      </c>
      <c r="C224" s="14">
        <v>9.2690476192000002</v>
      </c>
      <c r="D224" s="1">
        <v>10.17</v>
      </c>
      <c r="E224" s="1">
        <v>10.64</v>
      </c>
      <c r="F224" s="1">
        <v>11.2</v>
      </c>
      <c r="G224" s="1">
        <v>11.59</v>
      </c>
      <c r="H224" s="1">
        <v>211.29</v>
      </c>
      <c r="I224" s="1">
        <v>327.26</v>
      </c>
      <c r="J224" s="1">
        <v>29.810000000000002</v>
      </c>
      <c r="K224" s="1">
        <v>144.51</v>
      </c>
      <c r="L224" s="1">
        <v>200.26</v>
      </c>
      <c r="M224">
        <f t="shared" si="79"/>
        <v>654.52</v>
      </c>
      <c r="O224" s="8">
        <f t="shared" si="80"/>
        <v>-3.6824994797060029E-3</v>
      </c>
      <c r="P224" s="8">
        <f t="shared" si="81"/>
        <v>-7.0382738421652657E-3</v>
      </c>
      <c r="Q224" s="8">
        <f t="shared" si="82"/>
        <v>-1.0816125860373615E-2</v>
      </c>
      <c r="R224" s="8">
        <f t="shared" si="83"/>
        <v>-1.5977443609022535E-2</v>
      </c>
      <c r="S224" s="8">
        <f t="shared" si="84"/>
        <v>-1.3392857142857206E-2</v>
      </c>
      <c r="T224" s="8">
        <f t="shared" si="85"/>
        <v>-1.2079378774805916E-2</v>
      </c>
      <c r="U224" s="8">
        <f t="shared" si="86"/>
        <v>2.36641582658903E-3</v>
      </c>
      <c r="V224" s="8">
        <f t="shared" si="87"/>
        <v>6.8385992788608352E-2</v>
      </c>
      <c r="W224" s="8">
        <f t="shared" si="88"/>
        <v>-0.10734652801073463</v>
      </c>
      <c r="X224" s="8">
        <f t="shared" si="89"/>
        <v>-2.2835789910732873E-2</v>
      </c>
      <c r="Y224" s="8">
        <f t="shared" si="90"/>
        <v>-3.9698392090282586E-2</v>
      </c>
      <c r="Z224" s="8">
        <f t="shared" si="91"/>
        <v>6.8385992788608352E-2</v>
      </c>
      <c r="AB224" s="26">
        <f t="shared" si="92"/>
        <v>-8.2034239721310558E-3</v>
      </c>
      <c r="AC224" s="26">
        <f t="shared" si="93"/>
        <v>-9.5550438607418589E-3</v>
      </c>
      <c r="AD224" s="26">
        <f t="shared" si="94"/>
        <v>-1.3108334183824559E-2</v>
      </c>
      <c r="AE224" s="26">
        <f t="shared" si="95"/>
        <v>-1.8190202881531854E-2</v>
      </c>
      <c r="AF224" s="26">
        <f t="shared" si="96"/>
        <v>-1.5573966554301979E-2</v>
      </c>
      <c r="AG224" s="26">
        <f t="shared" si="97"/>
        <v>-1.4257380745727525E-2</v>
      </c>
      <c r="AH224" s="26">
        <f t="shared" si="98"/>
        <v>-2.976964218471375E-3</v>
      </c>
      <c r="AI224" s="26">
        <f t="shared" si="99"/>
        <v>5.5984226659570972E-2</v>
      </c>
      <c r="AJ224" s="26">
        <f t="shared" si="100"/>
        <v>-0.11757573398237692</v>
      </c>
      <c r="AK224" s="26">
        <f t="shared" si="101"/>
        <v>-2.126887462886146E-2</v>
      </c>
      <c r="AL224" s="26">
        <f t="shared" si="102"/>
        <v>-3.6174156976526879E-2</v>
      </c>
      <c r="AM224" s="26">
        <f t="shared" si="103"/>
        <v>5.5984226659570972E-2</v>
      </c>
    </row>
    <row r="225" spans="1:39" x14ac:dyDescent="0.2">
      <c r="A225" s="5">
        <v>32173</v>
      </c>
      <c r="B225" s="14">
        <v>7.3111993808999998</v>
      </c>
      <c r="C225" s="14">
        <v>9.2038095238000004</v>
      </c>
      <c r="D225" s="1">
        <v>10.06</v>
      </c>
      <c r="E225" s="1">
        <v>10.47</v>
      </c>
      <c r="F225" s="1">
        <v>11.049999999999999</v>
      </c>
      <c r="G225" s="1">
        <v>11.45</v>
      </c>
      <c r="H225" s="1">
        <v>211.79</v>
      </c>
      <c r="I225" s="1">
        <v>349.64</v>
      </c>
      <c r="J225" s="1">
        <v>26.610000000000003</v>
      </c>
      <c r="K225" s="1">
        <v>141.20999999999998</v>
      </c>
      <c r="L225" s="1">
        <v>192.31</v>
      </c>
      <c r="M225">
        <f t="shared" si="79"/>
        <v>699.28</v>
      </c>
      <c r="O225" s="8">
        <f t="shared" si="80"/>
        <v>-1.3813648040270632E-3</v>
      </c>
      <c r="P225" s="8">
        <f t="shared" si="81"/>
        <v>-5.3195255316176748E-2</v>
      </c>
      <c r="Q225" s="8">
        <f t="shared" si="82"/>
        <v>-3.7773359840954313E-2</v>
      </c>
      <c r="R225" s="8">
        <f t="shared" si="83"/>
        <v>-3.1518624641833859E-2</v>
      </c>
      <c r="S225" s="8">
        <f t="shared" si="84"/>
        <v>-3.3484162895927483E-2</v>
      </c>
      <c r="T225" s="8">
        <f t="shared" si="85"/>
        <v>-2.8820960698690001E-2</v>
      </c>
      <c r="U225" s="8">
        <f t="shared" si="86"/>
        <v>7.1485905850134479E-2</v>
      </c>
      <c r="V225" s="8">
        <f t="shared" si="87"/>
        <v>-3.6122869236929422E-2</v>
      </c>
      <c r="W225" s="8">
        <f t="shared" si="88"/>
        <v>-0.35512965050732814</v>
      </c>
      <c r="X225" s="8">
        <f t="shared" si="89"/>
        <v>2.4077614899794764E-2</v>
      </c>
      <c r="Y225" s="8">
        <f t="shared" si="90"/>
        <v>-6.1099266808798292E-2</v>
      </c>
      <c r="Z225" s="8">
        <f t="shared" si="91"/>
        <v>-3.6122869236929422E-2</v>
      </c>
      <c r="AB225" s="26">
        <f t="shared" si="92"/>
        <v>-5.9022892964521161E-3</v>
      </c>
      <c r="AC225" s="26">
        <f t="shared" si="93"/>
        <v>-5.5712025334753341E-2</v>
      </c>
      <c r="AD225" s="26">
        <f t="shared" si="94"/>
        <v>-4.0065568164405256E-2</v>
      </c>
      <c r="AE225" s="26">
        <f t="shared" si="95"/>
        <v>-3.3731383914343174E-2</v>
      </c>
      <c r="AF225" s="26">
        <f t="shared" si="96"/>
        <v>-3.5665272307372257E-2</v>
      </c>
      <c r="AG225" s="26">
        <f t="shared" si="97"/>
        <v>-3.0998962669611611E-2</v>
      </c>
      <c r="AH225" s="26">
        <f t="shared" si="98"/>
        <v>6.6142525805074071E-2</v>
      </c>
      <c r="AI225" s="26">
        <f t="shared" si="99"/>
        <v>-4.8524635365966802E-2</v>
      </c>
      <c r="AJ225" s="26">
        <f t="shared" si="100"/>
        <v>-0.36535885647897043</v>
      </c>
      <c r="AK225" s="26">
        <f t="shared" si="101"/>
        <v>2.5644530181666177E-2</v>
      </c>
      <c r="AL225" s="26">
        <f t="shared" si="102"/>
        <v>-5.7575031695042585E-2</v>
      </c>
      <c r="AM225" s="26">
        <f t="shared" si="103"/>
        <v>-4.8524635365966802E-2</v>
      </c>
    </row>
    <row r="226" spans="1:39" x14ac:dyDescent="0.2">
      <c r="A226" s="5">
        <v>32202</v>
      </c>
      <c r="B226" s="14">
        <v>7.3010999474</v>
      </c>
      <c r="C226" s="14">
        <v>8.7142105263000005</v>
      </c>
      <c r="D226" s="1">
        <v>9.68</v>
      </c>
      <c r="E226" s="1">
        <v>10.14</v>
      </c>
      <c r="F226" s="1">
        <v>10.68</v>
      </c>
      <c r="G226" s="1">
        <v>11.12</v>
      </c>
      <c r="H226" s="1">
        <v>226.92999999999998</v>
      </c>
      <c r="I226" s="1">
        <v>337.01</v>
      </c>
      <c r="J226" s="1">
        <v>17.16</v>
      </c>
      <c r="K226" s="1">
        <v>144.60999999999999</v>
      </c>
      <c r="L226" s="1">
        <v>180.56</v>
      </c>
      <c r="M226">
        <f t="shared" si="79"/>
        <v>674.02</v>
      </c>
      <c r="O226" s="8">
        <f t="shared" si="80"/>
        <v>-7.238518185033227E-2</v>
      </c>
      <c r="P226" s="8">
        <f t="shared" si="81"/>
        <v>-0.10622999335466499</v>
      </c>
      <c r="Q226" s="8">
        <f t="shared" si="82"/>
        <v>-6.9214876033057871E-2</v>
      </c>
      <c r="R226" s="8">
        <f t="shared" si="83"/>
        <v>-6.3116370808678601E-2</v>
      </c>
      <c r="S226" s="8">
        <f t="shared" si="84"/>
        <v>-4.8689138576779034E-2</v>
      </c>
      <c r="T226" s="8">
        <f t="shared" si="85"/>
        <v>-5.5755395683453224E-2</v>
      </c>
      <c r="U226" s="8">
        <f t="shared" si="86"/>
        <v>5.2791609747499413E-2</v>
      </c>
      <c r="V226" s="8">
        <f t="shared" si="87"/>
        <v>2.0029079255808435E-2</v>
      </c>
      <c r="W226" s="8">
        <f t="shared" si="88"/>
        <v>-0.29428904428904434</v>
      </c>
      <c r="X226" s="8">
        <f t="shared" si="89"/>
        <v>1.9016665514141495E-2</v>
      </c>
      <c r="Y226" s="8">
        <f t="shared" si="90"/>
        <v>-1.6338059370846314E-2</v>
      </c>
      <c r="Z226" s="8">
        <f t="shared" si="91"/>
        <v>2.0029079255808435E-2</v>
      </c>
      <c r="AB226" s="26">
        <f t="shared" si="92"/>
        <v>-7.6906106342757324E-2</v>
      </c>
      <c r="AC226" s="26">
        <f t="shared" si="93"/>
        <v>-0.10874676337324159</v>
      </c>
      <c r="AD226" s="26">
        <f t="shared" si="94"/>
        <v>-7.1507084356508821E-2</v>
      </c>
      <c r="AE226" s="26">
        <f t="shared" si="95"/>
        <v>-6.5329130081187917E-2</v>
      </c>
      <c r="AF226" s="26">
        <f t="shared" si="96"/>
        <v>-5.0870247988223809E-2</v>
      </c>
      <c r="AG226" s="26">
        <f t="shared" si="97"/>
        <v>-5.793339765437483E-2</v>
      </c>
      <c r="AH226" s="26">
        <f t="shared" si="98"/>
        <v>4.7448229702439004E-2</v>
      </c>
      <c r="AI226" s="26">
        <f t="shared" si="99"/>
        <v>7.6273131267710556E-3</v>
      </c>
      <c r="AJ226" s="26">
        <f t="shared" si="100"/>
        <v>-0.30451825026068663</v>
      </c>
      <c r="AK226" s="26">
        <f t="shared" si="101"/>
        <v>2.0583580796012909E-2</v>
      </c>
      <c r="AL226" s="26">
        <f t="shared" si="102"/>
        <v>-1.2813824257090607E-2</v>
      </c>
      <c r="AM226" s="26">
        <f t="shared" si="103"/>
        <v>7.6273131267710556E-3</v>
      </c>
    </row>
    <row r="227" spans="1:39" x14ac:dyDescent="0.2">
      <c r="A227" s="5">
        <v>32233</v>
      </c>
      <c r="B227" s="14">
        <v>6.7726084999999996</v>
      </c>
      <c r="C227" s="14">
        <v>7.7885</v>
      </c>
      <c r="D227" s="1">
        <v>9.01</v>
      </c>
      <c r="E227" s="1">
        <v>9.5</v>
      </c>
      <c r="F227" s="1">
        <v>10.16</v>
      </c>
      <c r="G227" s="1">
        <v>10.5</v>
      </c>
      <c r="H227" s="1">
        <v>238.91</v>
      </c>
      <c r="I227" s="1">
        <v>343.76</v>
      </c>
      <c r="J227" s="1">
        <v>12.11</v>
      </c>
      <c r="K227" s="1">
        <v>147.35999999999999</v>
      </c>
      <c r="L227" s="1">
        <v>177.60999999999999</v>
      </c>
      <c r="M227">
        <f t="shared" si="79"/>
        <v>687.52</v>
      </c>
      <c r="O227" s="8">
        <f t="shared" si="80"/>
        <v>-7.7909755569069206E-2</v>
      </c>
      <c r="P227" s="8">
        <f t="shared" si="81"/>
        <v>-6.1553455851576011E-2</v>
      </c>
      <c r="Q227" s="8">
        <f t="shared" si="82"/>
        <v>-2.3307436182020025E-2</v>
      </c>
      <c r="R227" s="8">
        <f t="shared" si="83"/>
        <v>-2.9473684210526208E-2</v>
      </c>
      <c r="S227" s="8">
        <f t="shared" si="84"/>
        <v>-3.1496062992126039E-2</v>
      </c>
      <c r="T227" s="8">
        <f t="shared" si="85"/>
        <v>-2.8571428571428692E-2</v>
      </c>
      <c r="U227" s="8">
        <f t="shared" si="86"/>
        <v>-1.4147586957431679E-2</v>
      </c>
      <c r="V227" s="8">
        <f t="shared" si="87"/>
        <v>5.8180125669071714E-3</v>
      </c>
      <c r="W227" s="8">
        <f t="shared" si="88"/>
        <v>-6.6061106523534141E-2</v>
      </c>
      <c r="X227" s="8">
        <f t="shared" si="89"/>
        <v>5.2592290988056511E-2</v>
      </c>
      <c r="Y227" s="8">
        <f t="shared" si="90"/>
        <v>-5.6303136084679961E-2</v>
      </c>
      <c r="Z227" s="8">
        <f t="shared" si="91"/>
        <v>5.8180125669071714E-3</v>
      </c>
      <c r="AB227" s="26">
        <f t="shared" si="92"/>
        <v>-8.243068006149426E-2</v>
      </c>
      <c r="AC227" s="26">
        <f t="shared" si="93"/>
        <v>-6.4070225870152611E-2</v>
      </c>
      <c r="AD227" s="26">
        <f t="shared" si="94"/>
        <v>-2.5599644505470968E-2</v>
      </c>
      <c r="AE227" s="26">
        <f t="shared" si="95"/>
        <v>-3.1686443483035523E-2</v>
      </c>
      <c r="AF227" s="26">
        <f t="shared" si="96"/>
        <v>-3.3677172403570814E-2</v>
      </c>
      <c r="AG227" s="26">
        <f t="shared" si="97"/>
        <v>-3.0749430542350301E-2</v>
      </c>
      <c r="AH227" s="26">
        <f t="shared" si="98"/>
        <v>-1.9490967002492084E-2</v>
      </c>
      <c r="AI227" s="26">
        <f t="shared" si="99"/>
        <v>-6.5837535621302082E-3</v>
      </c>
      <c r="AJ227" s="26">
        <f t="shared" si="100"/>
        <v>-7.6290312495176427E-2</v>
      </c>
      <c r="AK227" s="26">
        <f t="shared" si="101"/>
        <v>5.4159206269927929E-2</v>
      </c>
      <c r="AL227" s="26">
        <f t="shared" si="102"/>
        <v>-5.2778900970924254E-2</v>
      </c>
      <c r="AM227" s="26">
        <f t="shared" si="103"/>
        <v>-6.5837535621302082E-3</v>
      </c>
    </row>
    <row r="228" spans="1:39" x14ac:dyDescent="0.2">
      <c r="A228" s="5">
        <v>32263</v>
      </c>
      <c r="B228" s="14">
        <v>6.2449562271999994</v>
      </c>
      <c r="C228" s="14">
        <v>7.3090909091</v>
      </c>
      <c r="D228" s="1">
        <v>8.7999999999999989</v>
      </c>
      <c r="E228" s="1">
        <v>9.2200000000000006</v>
      </c>
      <c r="F228" s="1">
        <v>9.84</v>
      </c>
      <c r="G228" s="1">
        <v>10.199999999999999</v>
      </c>
      <c r="H228" s="1">
        <v>235.53</v>
      </c>
      <c r="I228" s="1">
        <v>345.76</v>
      </c>
      <c r="J228" s="1">
        <v>11.31</v>
      </c>
      <c r="K228" s="1">
        <v>155.10999999999999</v>
      </c>
      <c r="L228" s="1">
        <v>167.60999999999999</v>
      </c>
      <c r="M228">
        <f t="shared" si="79"/>
        <v>691.52</v>
      </c>
      <c r="O228" s="8">
        <f t="shared" si="80"/>
        <v>1.4411201540215135E-2</v>
      </c>
      <c r="P228" s="8">
        <f t="shared" si="81"/>
        <v>5.6153755043462539E-2</v>
      </c>
      <c r="Q228" s="8">
        <f t="shared" si="82"/>
        <v>3.4090909090909172E-2</v>
      </c>
      <c r="R228" s="8">
        <f t="shared" si="83"/>
        <v>2.3861171366594158E-2</v>
      </c>
      <c r="S228" s="8">
        <f t="shared" si="84"/>
        <v>1.1178861788617933E-2</v>
      </c>
      <c r="T228" s="8">
        <f t="shared" si="85"/>
        <v>9.8039215686274161E-3</v>
      </c>
      <c r="U228" s="8">
        <f t="shared" si="86"/>
        <v>5.0227147284846785E-2</v>
      </c>
      <c r="V228" s="8">
        <f t="shared" si="87"/>
        <v>-6.5074039796390037E-3</v>
      </c>
      <c r="W228" s="8">
        <f t="shared" si="88"/>
        <v>0.22988505747126431</v>
      </c>
      <c r="X228" s="8">
        <f t="shared" si="89"/>
        <v>-5.0738185803623215E-2</v>
      </c>
      <c r="Y228" s="8">
        <f t="shared" si="90"/>
        <v>4.116699480937891E-2</v>
      </c>
      <c r="Z228" s="8">
        <f t="shared" si="91"/>
        <v>-6.5074039796390037E-3</v>
      </c>
      <c r="AB228" s="26">
        <f t="shared" si="92"/>
        <v>9.8902770477900821E-3</v>
      </c>
      <c r="AC228" s="26">
        <f t="shared" si="93"/>
        <v>5.3636985024885946E-2</v>
      </c>
      <c r="AD228" s="26">
        <f t="shared" si="94"/>
        <v>3.1798700767458228E-2</v>
      </c>
      <c r="AE228" s="26">
        <f t="shared" si="95"/>
        <v>2.1648412094084839E-2</v>
      </c>
      <c r="AF228" s="26">
        <f t="shared" si="96"/>
        <v>8.9977523771731602E-3</v>
      </c>
      <c r="AG228" s="26">
        <f t="shared" si="97"/>
        <v>7.6259195977058068E-3</v>
      </c>
      <c r="AH228" s="26">
        <f t="shared" si="98"/>
        <v>4.4883767239786376E-2</v>
      </c>
      <c r="AI228" s="26">
        <f t="shared" si="99"/>
        <v>-1.8909170108676383E-2</v>
      </c>
      <c r="AJ228" s="26">
        <f t="shared" si="100"/>
        <v>0.21965585149962202</v>
      </c>
      <c r="AK228" s="26">
        <f t="shared" si="101"/>
        <v>-4.9171270521751798E-2</v>
      </c>
      <c r="AL228" s="26">
        <f t="shared" si="102"/>
        <v>4.4691229923134616E-2</v>
      </c>
      <c r="AM228" s="26">
        <f t="shared" si="103"/>
        <v>-1.8909170108676383E-2</v>
      </c>
    </row>
    <row r="229" spans="1:39" x14ac:dyDescent="0.2">
      <c r="A229" s="5">
        <v>32294</v>
      </c>
      <c r="B229" s="14">
        <v>6.3349535499999998</v>
      </c>
      <c r="C229" s="14">
        <v>7.7195238096000001</v>
      </c>
      <c r="D229" s="1">
        <v>9.1</v>
      </c>
      <c r="E229" s="1">
        <v>9.44</v>
      </c>
      <c r="F229" s="1">
        <v>9.9499999999999993</v>
      </c>
      <c r="G229" s="1">
        <v>10.299999999999999</v>
      </c>
      <c r="H229" s="1">
        <v>247.35999999999999</v>
      </c>
      <c r="I229" s="1">
        <v>343.51</v>
      </c>
      <c r="J229" s="1">
        <v>13.91</v>
      </c>
      <c r="K229" s="1">
        <v>147.23999999999998</v>
      </c>
      <c r="L229" s="1">
        <v>174.51</v>
      </c>
      <c r="M229">
        <f t="shared" si="79"/>
        <v>687.02</v>
      </c>
      <c r="O229" s="8">
        <f t="shared" si="80"/>
        <v>1.0995799408821227E-2</v>
      </c>
      <c r="P229" s="8">
        <f t="shared" si="81"/>
        <v>1.1658750231209325E-2</v>
      </c>
      <c r="Q229" s="8">
        <f t="shared" si="82"/>
        <v>4.395604395604602E-3</v>
      </c>
      <c r="R229" s="8">
        <f t="shared" si="83"/>
        <v>6.3559322033899246E-3</v>
      </c>
      <c r="S229" s="8">
        <f t="shared" si="84"/>
        <v>2.0100502512563345E-3</v>
      </c>
      <c r="T229" s="8">
        <f t="shared" si="85"/>
        <v>4.8543689320388328E-3</v>
      </c>
      <c r="U229" s="8">
        <f t="shared" si="86"/>
        <v>1.4108990944372568E-2</v>
      </c>
      <c r="V229" s="8">
        <f t="shared" si="87"/>
        <v>1.1644493610084128E-2</v>
      </c>
      <c r="W229" s="8">
        <f t="shared" si="88"/>
        <v>-7.1890726096333069E-3</v>
      </c>
      <c r="X229" s="8">
        <f t="shared" si="89"/>
        <v>4.054604726976363E-2</v>
      </c>
      <c r="Y229" s="8">
        <f t="shared" si="90"/>
        <v>-6.1314537848833783E-2</v>
      </c>
      <c r="Z229" s="8">
        <f t="shared" si="91"/>
        <v>1.1644493610084128E-2</v>
      </c>
      <c r="AB229" s="26">
        <f t="shared" si="92"/>
        <v>6.4748749163961745E-3</v>
      </c>
      <c r="AC229" s="26">
        <f t="shared" si="93"/>
        <v>9.1419802126327318E-3</v>
      </c>
      <c r="AD229" s="26">
        <f t="shared" si="94"/>
        <v>2.103396072153658E-3</v>
      </c>
      <c r="AE229" s="26">
        <f t="shared" si="95"/>
        <v>4.1431729308806058E-3</v>
      </c>
      <c r="AF229" s="26">
        <f t="shared" si="96"/>
        <v>-1.7105916018843878E-4</v>
      </c>
      <c r="AG229" s="26">
        <f t="shared" si="97"/>
        <v>2.6763669611172235E-3</v>
      </c>
      <c r="AH229" s="26">
        <f t="shared" si="98"/>
        <v>8.765610899312163E-3</v>
      </c>
      <c r="AI229" s="26">
        <f t="shared" si="99"/>
        <v>-7.5727251895325171E-4</v>
      </c>
      <c r="AJ229" s="26">
        <f t="shared" si="100"/>
        <v>-1.7418278581275592E-2</v>
      </c>
      <c r="AK229" s="26">
        <f t="shared" si="101"/>
        <v>4.2112962551635047E-2</v>
      </c>
      <c r="AL229" s="26">
        <f t="shared" si="102"/>
        <v>-5.7790302735078077E-2</v>
      </c>
      <c r="AM229" s="26">
        <f t="shared" si="103"/>
        <v>-7.5727251895325171E-4</v>
      </c>
    </row>
    <row r="230" spans="1:39" x14ac:dyDescent="0.2">
      <c r="A230" s="5">
        <v>32324</v>
      </c>
      <c r="B230" s="14">
        <v>6.4046114285</v>
      </c>
      <c r="C230" s="14">
        <v>7.8095238095999999</v>
      </c>
      <c r="D230" s="1">
        <v>9.14</v>
      </c>
      <c r="E230" s="1">
        <v>9.5</v>
      </c>
      <c r="F230" s="1">
        <v>9.9700000000000006</v>
      </c>
      <c r="G230" s="1">
        <v>10.35</v>
      </c>
      <c r="H230" s="1">
        <v>250.85</v>
      </c>
      <c r="I230" s="1">
        <v>347.51</v>
      </c>
      <c r="J230" s="1">
        <v>13.81</v>
      </c>
      <c r="K230" s="1">
        <v>153.20999999999998</v>
      </c>
      <c r="L230" s="1">
        <v>163.81</v>
      </c>
      <c r="M230">
        <f t="shared" si="79"/>
        <v>695.02</v>
      </c>
      <c r="O230" s="8">
        <f t="shared" si="80"/>
        <v>-6.2083203101226281E-2</v>
      </c>
      <c r="P230" s="8">
        <f t="shared" si="81"/>
        <v>-6.3555986715843393E-2</v>
      </c>
      <c r="Q230" s="8">
        <f t="shared" si="82"/>
        <v>-2.7352297592997843E-2</v>
      </c>
      <c r="R230" s="8">
        <f t="shared" si="83"/>
        <v>-2.210526315789485E-2</v>
      </c>
      <c r="S230" s="8">
        <f t="shared" si="84"/>
        <v>-2.006018054162495E-2</v>
      </c>
      <c r="T230" s="8">
        <f t="shared" si="85"/>
        <v>-1.7391304347826098E-2</v>
      </c>
      <c r="U230" s="8">
        <f t="shared" si="86"/>
        <v>-5.86804863464222E-2</v>
      </c>
      <c r="V230" s="8">
        <f t="shared" si="87"/>
        <v>3.2747259071681301E-2</v>
      </c>
      <c r="W230" s="8">
        <f t="shared" si="88"/>
        <v>-0.11006517016654604</v>
      </c>
      <c r="X230" s="8">
        <f t="shared" si="89"/>
        <v>-2.6434305854709073E-2</v>
      </c>
      <c r="Y230" s="8">
        <f t="shared" si="90"/>
        <v>-6.0741102496795207E-2</v>
      </c>
      <c r="Z230" s="8">
        <f t="shared" si="91"/>
        <v>3.2747259071681301E-2</v>
      </c>
      <c r="AB230" s="26">
        <f t="shared" si="92"/>
        <v>-6.6604127593651336E-2</v>
      </c>
      <c r="AC230" s="26">
        <f t="shared" si="93"/>
        <v>-6.6072756734419993E-2</v>
      </c>
      <c r="AD230" s="26">
        <f t="shared" si="94"/>
        <v>-2.9644505916448786E-2</v>
      </c>
      <c r="AE230" s="26">
        <f t="shared" si="95"/>
        <v>-2.4318022430404169E-2</v>
      </c>
      <c r="AF230" s="26">
        <f t="shared" si="96"/>
        <v>-2.2241289953069725E-2</v>
      </c>
      <c r="AG230" s="26">
        <f t="shared" si="97"/>
        <v>-1.9569306318747707E-2</v>
      </c>
      <c r="AH230" s="26">
        <f t="shared" si="98"/>
        <v>-6.4023866391482609E-2</v>
      </c>
      <c r="AI230" s="26">
        <f t="shared" si="99"/>
        <v>2.0345492942643921E-2</v>
      </c>
      <c r="AJ230" s="26">
        <f t="shared" si="100"/>
        <v>-0.12029437613818833</v>
      </c>
      <c r="AK230" s="26">
        <f t="shared" si="101"/>
        <v>-2.4867390572837659E-2</v>
      </c>
      <c r="AL230" s="26">
        <f t="shared" si="102"/>
        <v>-5.7216867383039501E-2</v>
      </c>
      <c r="AM230" s="26">
        <f t="shared" si="103"/>
        <v>2.0345492942643921E-2</v>
      </c>
    </row>
    <row r="231" spans="1:39" x14ac:dyDescent="0.2">
      <c r="A231" s="5">
        <v>32355</v>
      </c>
      <c r="B231" s="14">
        <v>6.0069926363999997</v>
      </c>
      <c r="C231" s="14">
        <v>7.3131818180999995</v>
      </c>
      <c r="D231" s="1">
        <v>8.89</v>
      </c>
      <c r="E231" s="1">
        <v>9.2899999999999991</v>
      </c>
      <c r="F231" s="1">
        <v>9.77</v>
      </c>
      <c r="G231" s="1">
        <v>10.17</v>
      </c>
      <c r="H231" s="1">
        <v>236.13</v>
      </c>
      <c r="I231" s="1">
        <v>358.89</v>
      </c>
      <c r="J231" s="1">
        <v>12.29</v>
      </c>
      <c r="K231" s="1">
        <v>149.16</v>
      </c>
      <c r="L231" s="1">
        <v>153.85999999999999</v>
      </c>
      <c r="M231">
        <f t="shared" si="79"/>
        <v>717.78</v>
      </c>
      <c r="O231" s="8">
        <f t="shared" si="80"/>
        <v>-5.2352330697789551E-2</v>
      </c>
      <c r="P231" s="8">
        <f t="shared" si="81"/>
        <v>-1.8797226134836365E-2</v>
      </c>
      <c r="Q231" s="8">
        <f t="shared" si="82"/>
        <v>-1.7997750281214864E-2</v>
      </c>
      <c r="R231" s="8">
        <f t="shared" si="83"/>
        <v>-6.4585575888049807E-3</v>
      </c>
      <c r="S231" s="8">
        <f t="shared" si="84"/>
        <v>-1.2282497441146289E-2</v>
      </c>
      <c r="T231" s="8">
        <f t="shared" si="85"/>
        <v>1.9665683382497079E-3</v>
      </c>
      <c r="U231" s="8">
        <f t="shared" si="86"/>
        <v>7.1189598949731092E-2</v>
      </c>
      <c r="V231" s="8">
        <f t="shared" si="87"/>
        <v>7.3476552704171194E-2</v>
      </c>
      <c r="W231" s="8">
        <f t="shared" si="88"/>
        <v>-5.9397884458909589E-2</v>
      </c>
      <c r="X231" s="8">
        <f t="shared" si="89"/>
        <v>-2.3464735854116237E-3</v>
      </c>
      <c r="Y231" s="8">
        <f t="shared" si="90"/>
        <v>4.5495905368517775E-3</v>
      </c>
      <c r="Z231" s="8">
        <f t="shared" si="91"/>
        <v>7.3476552704171194E-2</v>
      </c>
      <c r="AB231" s="26">
        <f t="shared" si="92"/>
        <v>-5.6873255190214606E-2</v>
      </c>
      <c r="AC231" s="26">
        <f t="shared" si="93"/>
        <v>-2.1313996153412958E-2</v>
      </c>
      <c r="AD231" s="26">
        <f t="shared" si="94"/>
        <v>-2.0289958604665807E-2</v>
      </c>
      <c r="AE231" s="26">
        <f t="shared" si="95"/>
        <v>-8.6713168613142995E-3</v>
      </c>
      <c r="AF231" s="26">
        <f t="shared" si="96"/>
        <v>-1.4463606852591062E-2</v>
      </c>
      <c r="AG231" s="26">
        <f t="shared" si="97"/>
        <v>-2.1143363267190143E-4</v>
      </c>
      <c r="AH231" s="26">
        <f t="shared" si="98"/>
        <v>6.5846218904670684E-2</v>
      </c>
      <c r="AI231" s="26">
        <f t="shared" si="99"/>
        <v>6.1074786575133815E-2</v>
      </c>
      <c r="AJ231" s="26">
        <f t="shared" si="100"/>
        <v>-6.9627090430551875E-2</v>
      </c>
      <c r="AK231" s="26">
        <f t="shared" si="101"/>
        <v>-7.795583035402091E-4</v>
      </c>
      <c r="AL231" s="26">
        <f t="shared" si="102"/>
        <v>8.0738256506074843E-3</v>
      </c>
      <c r="AM231" s="26">
        <f t="shared" si="103"/>
        <v>6.1074786575133815E-2</v>
      </c>
    </row>
    <row r="232" spans="1:39" x14ac:dyDescent="0.2">
      <c r="A232" s="5">
        <v>32386</v>
      </c>
      <c r="B232" s="14">
        <v>5.6925125714</v>
      </c>
      <c r="C232" s="14">
        <v>7.1757142856999998</v>
      </c>
      <c r="D232" s="1">
        <v>8.73</v>
      </c>
      <c r="E232" s="1">
        <v>9.23</v>
      </c>
      <c r="F232" s="1">
        <v>9.65</v>
      </c>
      <c r="G232" s="1">
        <v>10.19</v>
      </c>
      <c r="H232" s="1">
        <v>252.94</v>
      </c>
      <c r="I232" s="1">
        <v>385.26</v>
      </c>
      <c r="J232" s="1">
        <v>11.56</v>
      </c>
      <c r="K232" s="1">
        <v>148.81</v>
      </c>
      <c r="L232" s="1">
        <v>154.56</v>
      </c>
      <c r="M232">
        <f t="shared" si="79"/>
        <v>770.52</v>
      </c>
      <c r="O232" s="8">
        <f t="shared" si="80"/>
        <v>-5.813465213105562E-2</v>
      </c>
      <c r="P232" s="8">
        <f t="shared" si="81"/>
        <v>3.9285951290144006E-2</v>
      </c>
      <c r="Q232" s="8">
        <f t="shared" si="82"/>
        <v>1.9473081328751363E-2</v>
      </c>
      <c r="R232" s="8">
        <f t="shared" si="83"/>
        <v>1.5167930660888285E-2</v>
      </c>
      <c r="S232" s="8">
        <f t="shared" si="84"/>
        <v>9.32642487046631E-3</v>
      </c>
      <c r="T232" s="8">
        <f t="shared" si="85"/>
        <v>1.9627085377820208E-3</v>
      </c>
      <c r="U232" s="8">
        <f t="shared" si="86"/>
        <v>-8.5435281094330739E-2</v>
      </c>
      <c r="V232" s="8">
        <f t="shared" si="87"/>
        <v>9.9621035145096792E-2</v>
      </c>
      <c r="W232" s="8">
        <f t="shared" si="88"/>
        <v>0.37629757785467133</v>
      </c>
      <c r="X232" s="8">
        <f t="shared" si="89"/>
        <v>-2.768631140380351E-2</v>
      </c>
      <c r="Y232" s="8">
        <f t="shared" si="90"/>
        <v>-1.2939958592134149E-3</v>
      </c>
      <c r="Z232" s="8">
        <f t="shared" si="91"/>
        <v>9.9621035145096792E-2</v>
      </c>
      <c r="AB232" s="26">
        <f t="shared" si="92"/>
        <v>-6.2655576623480674E-2</v>
      </c>
      <c r="AC232" s="26">
        <f t="shared" si="93"/>
        <v>3.6769181271567412E-2</v>
      </c>
      <c r="AD232" s="26">
        <f t="shared" si="94"/>
        <v>1.7180873005300419E-2</v>
      </c>
      <c r="AE232" s="26">
        <f t="shared" si="95"/>
        <v>1.2955171388378966E-2</v>
      </c>
      <c r="AF232" s="26">
        <f t="shared" si="96"/>
        <v>7.1453154590215371E-3</v>
      </c>
      <c r="AG232" s="26">
        <f t="shared" si="97"/>
        <v>-2.1529343313958851E-4</v>
      </c>
      <c r="AH232" s="26">
        <f t="shared" si="98"/>
        <v>-9.0778661139391148E-2</v>
      </c>
      <c r="AI232" s="26">
        <f t="shared" si="99"/>
        <v>8.721926901605942E-2</v>
      </c>
      <c r="AJ232" s="26">
        <f t="shared" si="100"/>
        <v>0.36606837188302904</v>
      </c>
      <c r="AK232" s="26">
        <f t="shared" si="101"/>
        <v>-2.6119396121932096E-2</v>
      </c>
      <c r="AL232" s="26">
        <f t="shared" si="102"/>
        <v>2.2302392545422915E-3</v>
      </c>
      <c r="AM232" s="26">
        <f t="shared" si="103"/>
        <v>8.721926901605942E-2</v>
      </c>
    </row>
    <row r="233" spans="1:39" x14ac:dyDescent="0.2">
      <c r="A233" s="5">
        <v>32416</v>
      </c>
      <c r="B233" s="14">
        <v>5.3615803333100001</v>
      </c>
      <c r="C233" s="14">
        <v>7.4576190475999997</v>
      </c>
      <c r="D233" s="1">
        <v>8.9</v>
      </c>
      <c r="E233" s="1">
        <v>9.3699999999999992</v>
      </c>
      <c r="F233" s="1">
        <v>9.74</v>
      </c>
      <c r="G233" s="1">
        <v>10.209999999999999</v>
      </c>
      <c r="H233" s="1">
        <v>231.32999999999998</v>
      </c>
      <c r="I233" s="1">
        <v>423.64</v>
      </c>
      <c r="J233" s="1">
        <v>15.91</v>
      </c>
      <c r="K233" s="1">
        <v>144.69</v>
      </c>
      <c r="L233" s="1">
        <v>154.35999999999999</v>
      </c>
      <c r="M233">
        <f t="shared" si="79"/>
        <v>847.28</v>
      </c>
      <c r="O233" s="8">
        <f t="shared" si="80"/>
        <v>-5.8162916717408031E-3</v>
      </c>
      <c r="P233" s="8">
        <f t="shared" si="81"/>
        <v>-2.8501604955056825E-3</v>
      </c>
      <c r="Q233" s="8">
        <f t="shared" si="82"/>
        <v>-3.370786516854074E-3</v>
      </c>
      <c r="R233" s="8">
        <f t="shared" si="83"/>
        <v>-3.2017075773744796E-3</v>
      </c>
      <c r="S233" s="8">
        <f t="shared" si="84"/>
        <v>-1.0266940451745254E-3</v>
      </c>
      <c r="T233" s="8">
        <f t="shared" si="85"/>
        <v>3.9177277179236469E-3</v>
      </c>
      <c r="U233" s="8">
        <f t="shared" si="86"/>
        <v>5.4727013357541265E-2</v>
      </c>
      <c r="V233" s="8">
        <f t="shared" si="87"/>
        <v>-5.4291379473137558E-2</v>
      </c>
      <c r="W233" s="8">
        <f t="shared" si="88"/>
        <v>-4.0854808296668765E-2</v>
      </c>
      <c r="X233" s="8">
        <f t="shared" si="89"/>
        <v>-2.8543783260764344E-2</v>
      </c>
      <c r="Y233" s="8">
        <f t="shared" si="90"/>
        <v>5.862917854366434E-2</v>
      </c>
      <c r="Z233" s="8">
        <f t="shared" si="91"/>
        <v>-5.4291379473137558E-2</v>
      </c>
      <c r="AB233" s="26">
        <f t="shared" si="92"/>
        <v>-1.0337216164165856E-2</v>
      </c>
      <c r="AC233" s="26">
        <f t="shared" si="93"/>
        <v>-5.3669305140822765E-3</v>
      </c>
      <c r="AD233" s="26">
        <f t="shared" si="94"/>
        <v>-5.6629948403050176E-3</v>
      </c>
      <c r="AE233" s="26">
        <f t="shared" si="95"/>
        <v>-5.4144668498837985E-3</v>
      </c>
      <c r="AF233" s="26">
        <f t="shared" si="96"/>
        <v>-3.2078034566192988E-3</v>
      </c>
      <c r="AG233" s="26">
        <f t="shared" si="97"/>
        <v>1.7397257470020376E-3</v>
      </c>
      <c r="AH233" s="26">
        <f t="shared" si="98"/>
        <v>4.9383633312480857E-2</v>
      </c>
      <c r="AI233" s="26">
        <f t="shared" si="99"/>
        <v>-6.669314560217493E-2</v>
      </c>
      <c r="AJ233" s="26">
        <f t="shared" si="100"/>
        <v>-5.1084014268311051E-2</v>
      </c>
      <c r="AK233" s="26">
        <f t="shared" si="101"/>
        <v>-2.697686797889293E-2</v>
      </c>
      <c r="AL233" s="26">
        <f t="shared" si="102"/>
        <v>6.2153413657420047E-2</v>
      </c>
      <c r="AM233" s="26">
        <f t="shared" si="103"/>
        <v>-6.669314560217493E-2</v>
      </c>
    </row>
    <row r="234" spans="1:39" x14ac:dyDescent="0.2">
      <c r="A234" s="5">
        <v>32447</v>
      </c>
      <c r="B234" s="14">
        <v>5.3303958182699995</v>
      </c>
      <c r="C234" s="14">
        <v>7.4363636363999994</v>
      </c>
      <c r="D234" s="1">
        <v>8.8699999999999992</v>
      </c>
      <c r="E234" s="1">
        <v>9.34</v>
      </c>
      <c r="F234" s="1">
        <v>9.73</v>
      </c>
      <c r="G234" s="1">
        <v>10.25</v>
      </c>
      <c r="H234" s="1">
        <v>243.98999999999998</v>
      </c>
      <c r="I234" s="1">
        <v>400.64</v>
      </c>
      <c r="J234" s="1">
        <v>15.26</v>
      </c>
      <c r="K234" s="1">
        <v>140.56</v>
      </c>
      <c r="L234" s="1">
        <v>163.41</v>
      </c>
      <c r="M234">
        <f t="shared" si="79"/>
        <v>801.28</v>
      </c>
      <c r="O234" s="8">
        <f t="shared" si="80"/>
        <v>3.3217550755445746E-2</v>
      </c>
      <c r="P234" s="8">
        <f t="shared" si="81"/>
        <v>-2.3641673457097001E-2</v>
      </c>
      <c r="Q234" s="8">
        <f t="shared" si="82"/>
        <v>-2.0293122886133053E-2</v>
      </c>
      <c r="R234" s="8">
        <f t="shared" si="83"/>
        <v>-1.3918629550321304E-2</v>
      </c>
      <c r="S234" s="8">
        <f t="shared" si="84"/>
        <v>-2.1582733812949728E-2</v>
      </c>
      <c r="T234" s="8">
        <f t="shared" si="85"/>
        <v>-1.6585365853658551E-2</v>
      </c>
      <c r="U234" s="8">
        <f t="shared" si="86"/>
        <v>2.1476290011885668E-2</v>
      </c>
      <c r="V234" s="8">
        <f t="shared" si="87"/>
        <v>-2.8404552715654896E-2</v>
      </c>
      <c r="W234" s="8">
        <f t="shared" si="88"/>
        <v>-3.6041939711664583E-2</v>
      </c>
      <c r="X234" s="8">
        <f t="shared" si="89"/>
        <v>1.9920318725099584E-2</v>
      </c>
      <c r="Y234" s="8">
        <f t="shared" si="90"/>
        <v>-8.2614283091609897E-3</v>
      </c>
      <c r="Z234" s="8">
        <f t="shared" si="91"/>
        <v>-2.8404552715654896E-2</v>
      </c>
      <c r="AB234" s="26">
        <f t="shared" si="92"/>
        <v>2.8696626263020691E-2</v>
      </c>
      <c r="AC234" s="26">
        <f t="shared" si="93"/>
        <v>-2.6158443475673594E-2</v>
      </c>
      <c r="AD234" s="26">
        <f t="shared" si="94"/>
        <v>-2.2585331209583996E-2</v>
      </c>
      <c r="AE234" s="26">
        <f t="shared" si="95"/>
        <v>-1.6131388822830623E-2</v>
      </c>
      <c r="AF234" s="26">
        <f t="shared" si="96"/>
        <v>-2.3763843224394503E-2</v>
      </c>
      <c r="AG234" s="26">
        <f t="shared" si="97"/>
        <v>-1.8763367824580161E-2</v>
      </c>
      <c r="AH234" s="26">
        <f t="shared" si="98"/>
        <v>1.6132909966825263E-2</v>
      </c>
      <c r="AI234" s="26">
        <f t="shared" si="99"/>
        <v>-4.0806318844692276E-2</v>
      </c>
      <c r="AJ234" s="26">
        <f t="shared" si="100"/>
        <v>-4.6271145683306869E-2</v>
      </c>
      <c r="AK234" s="26">
        <f t="shared" si="101"/>
        <v>2.1487234006970998E-2</v>
      </c>
      <c r="AL234" s="26">
        <f t="shared" si="102"/>
        <v>-4.7371931954052829E-3</v>
      </c>
      <c r="AM234" s="26">
        <f t="shared" si="103"/>
        <v>-4.0806318844692276E-2</v>
      </c>
    </row>
    <row r="235" spans="1:39" x14ac:dyDescent="0.2">
      <c r="A235" s="5">
        <v>32477</v>
      </c>
      <c r="B235" s="14">
        <v>5.5074585119099995</v>
      </c>
      <c r="C235" s="14">
        <v>7.2605555555999999</v>
      </c>
      <c r="D235" s="1">
        <v>8.69</v>
      </c>
      <c r="E235" s="1">
        <v>9.2099999999999991</v>
      </c>
      <c r="F235" s="1">
        <v>9.52</v>
      </c>
      <c r="G235" s="1">
        <v>10.08</v>
      </c>
      <c r="H235" s="1">
        <v>249.23</v>
      </c>
      <c r="I235" s="1">
        <v>389.26</v>
      </c>
      <c r="J235" s="1">
        <v>14.709999999999999</v>
      </c>
      <c r="K235" s="1">
        <v>143.35999999999999</v>
      </c>
      <c r="L235" s="1">
        <v>162.06</v>
      </c>
      <c r="M235">
        <f t="shared" si="79"/>
        <v>778.52</v>
      </c>
      <c r="O235" s="8">
        <f t="shared" si="80"/>
        <v>3.3785429574751502E-2</v>
      </c>
      <c r="P235" s="8">
        <f t="shared" si="81"/>
        <v>-1.8983159325004384E-2</v>
      </c>
      <c r="Q235" s="8">
        <f t="shared" si="82"/>
        <v>-2.1864211737629424E-2</v>
      </c>
      <c r="R235" s="8">
        <f t="shared" si="83"/>
        <v>-1.9543973941368087E-2</v>
      </c>
      <c r="S235" s="8">
        <f t="shared" si="84"/>
        <v>-1.0504201680672232E-2</v>
      </c>
      <c r="T235" s="8">
        <f t="shared" si="85"/>
        <v>-9.9206349206348854E-3</v>
      </c>
      <c r="U235" s="8">
        <f t="shared" si="86"/>
        <v>-2.8287124342976422E-2</v>
      </c>
      <c r="V235" s="8">
        <f t="shared" si="87"/>
        <v>4.4957098083542313E-3</v>
      </c>
      <c r="W235" s="8">
        <f t="shared" si="88"/>
        <v>3.7389530931339232E-2</v>
      </c>
      <c r="X235" s="8">
        <f t="shared" si="89"/>
        <v>3.41796875E-2</v>
      </c>
      <c r="Y235" s="8">
        <f t="shared" si="90"/>
        <v>-2.3139577934098488E-2</v>
      </c>
      <c r="Z235" s="8">
        <f t="shared" si="91"/>
        <v>4.4957098083542313E-3</v>
      </c>
      <c r="AB235" s="26">
        <f t="shared" si="92"/>
        <v>2.9264505082326447E-2</v>
      </c>
      <c r="AC235" s="26">
        <f t="shared" si="93"/>
        <v>-2.1499929343580977E-2</v>
      </c>
      <c r="AD235" s="26">
        <f t="shared" si="94"/>
        <v>-2.4156420061080368E-2</v>
      </c>
      <c r="AE235" s="26">
        <f t="shared" si="95"/>
        <v>-2.1756733213877406E-2</v>
      </c>
      <c r="AF235" s="26">
        <f t="shared" si="96"/>
        <v>-1.2685311092117004E-2</v>
      </c>
      <c r="AG235" s="26">
        <f t="shared" si="97"/>
        <v>-1.2098636891556495E-2</v>
      </c>
      <c r="AH235" s="26">
        <f t="shared" si="98"/>
        <v>-3.363050438803683E-2</v>
      </c>
      <c r="AI235" s="26">
        <f t="shared" si="99"/>
        <v>-7.9060563206831483E-3</v>
      </c>
      <c r="AJ235" s="26">
        <f t="shared" si="100"/>
        <v>2.7160324959696946E-2</v>
      </c>
      <c r="AK235" s="26">
        <f t="shared" si="101"/>
        <v>3.5746602781871417E-2</v>
      </c>
      <c r="AL235" s="26">
        <f t="shared" si="102"/>
        <v>-1.9615342820342781E-2</v>
      </c>
      <c r="AM235" s="26">
        <f t="shared" si="103"/>
        <v>-7.9060563206831483E-3</v>
      </c>
    </row>
    <row r="236" spans="1:39" x14ac:dyDescent="0.2">
      <c r="A236" s="5">
        <v>32508</v>
      </c>
      <c r="B236" s="14">
        <v>5.6935303635999999</v>
      </c>
      <c r="C236" s="14">
        <v>7.1227272726999997</v>
      </c>
      <c r="D236" s="1">
        <v>8.5</v>
      </c>
      <c r="E236" s="1">
        <v>9.0299999999999994</v>
      </c>
      <c r="F236" s="1">
        <v>9.42</v>
      </c>
      <c r="G236" s="1">
        <v>9.98</v>
      </c>
      <c r="H236" s="1">
        <v>242.17999999999998</v>
      </c>
      <c r="I236" s="1">
        <v>391.01</v>
      </c>
      <c r="J236" s="1">
        <v>15.26</v>
      </c>
      <c r="K236" s="1">
        <v>148.26</v>
      </c>
      <c r="L236" s="1">
        <v>158.31</v>
      </c>
      <c r="M236">
        <f t="shared" si="79"/>
        <v>782.02</v>
      </c>
      <c r="O236" s="8">
        <f t="shared" si="80"/>
        <v>-1.8522139492608281E-2</v>
      </c>
      <c r="P236" s="8">
        <f t="shared" si="81"/>
        <v>-3.9629865947822251E-3</v>
      </c>
      <c r="Q236" s="8">
        <f t="shared" si="82"/>
        <v>-1.5294117647058902E-2</v>
      </c>
      <c r="R236" s="8">
        <f t="shared" si="83"/>
        <v>-1.7718715393133966E-2</v>
      </c>
      <c r="S236" s="8">
        <f t="shared" si="84"/>
        <v>-1.9108280254777066E-2</v>
      </c>
      <c r="T236" s="8">
        <f t="shared" si="85"/>
        <v>-2.5050100200400771E-2</v>
      </c>
      <c r="U236" s="8">
        <f t="shared" si="86"/>
        <v>0.13176149971095885</v>
      </c>
      <c r="V236" s="8">
        <f t="shared" si="87"/>
        <v>3.4219073680979983E-2</v>
      </c>
      <c r="W236" s="8">
        <f t="shared" si="88"/>
        <v>0.16055045871559637</v>
      </c>
      <c r="X236" s="8">
        <f t="shared" si="89"/>
        <v>2.1246458923512845E-2</v>
      </c>
      <c r="Y236" s="8">
        <f t="shared" si="90"/>
        <v>-2.9372749668372222E-2</v>
      </c>
      <c r="Z236" s="8">
        <f t="shared" si="91"/>
        <v>3.4219073680979983E-2</v>
      </c>
      <c r="AB236" s="26">
        <f t="shared" si="92"/>
        <v>-2.3043063985033335E-2</v>
      </c>
      <c r="AC236" s="26">
        <f t="shared" si="93"/>
        <v>-6.4797566133588192E-3</v>
      </c>
      <c r="AD236" s="26">
        <f t="shared" si="94"/>
        <v>-1.7586325970509846E-2</v>
      </c>
      <c r="AE236" s="26">
        <f t="shared" si="95"/>
        <v>-1.9931474665643285E-2</v>
      </c>
      <c r="AF236" s="26">
        <f t="shared" si="96"/>
        <v>-2.128938966622184E-2</v>
      </c>
      <c r="AG236" s="26">
        <f t="shared" si="97"/>
        <v>-2.722810217132238E-2</v>
      </c>
      <c r="AH236" s="26">
        <f t="shared" si="98"/>
        <v>0.12641811966589844</v>
      </c>
      <c r="AI236" s="26">
        <f t="shared" si="99"/>
        <v>2.1817307551942604E-2</v>
      </c>
      <c r="AJ236" s="26">
        <f t="shared" si="100"/>
        <v>0.15032125274395408</v>
      </c>
      <c r="AK236" s="26">
        <f t="shared" si="101"/>
        <v>2.2813374205384259E-2</v>
      </c>
      <c r="AL236" s="26">
        <f t="shared" si="102"/>
        <v>-2.5848514554616515E-2</v>
      </c>
      <c r="AM236" s="26">
        <f t="shared" si="103"/>
        <v>2.1817307551942604E-2</v>
      </c>
    </row>
    <row r="237" spans="1:39" x14ac:dyDescent="0.2">
      <c r="A237" s="5">
        <v>32539</v>
      </c>
      <c r="B237" s="14">
        <v>5.5880739999999998</v>
      </c>
      <c r="C237" s="14">
        <v>7.0945</v>
      </c>
      <c r="D237" s="1">
        <v>8.3699999999999992</v>
      </c>
      <c r="E237" s="1">
        <v>8.8699999999999992</v>
      </c>
      <c r="F237" s="1">
        <v>9.24</v>
      </c>
      <c r="G237" s="1">
        <v>9.73</v>
      </c>
      <c r="H237" s="1">
        <v>274.08999999999997</v>
      </c>
      <c r="I237" s="1">
        <v>404.39</v>
      </c>
      <c r="J237" s="1">
        <v>17.71</v>
      </c>
      <c r="K237" s="1">
        <v>151.41</v>
      </c>
      <c r="L237" s="1">
        <v>153.66</v>
      </c>
      <c r="M237">
        <f t="shared" si="79"/>
        <v>808.78</v>
      </c>
      <c r="O237" s="8">
        <f t="shared" si="80"/>
        <v>3.1098634985864626E-2</v>
      </c>
      <c r="P237" s="8">
        <f t="shared" si="81"/>
        <v>2.3402116555077956E-2</v>
      </c>
      <c r="Q237" s="8">
        <f t="shared" si="82"/>
        <v>2.389486260454099E-3</v>
      </c>
      <c r="R237" s="8">
        <f t="shared" si="83"/>
        <v>2.2547914317927464E-3</v>
      </c>
      <c r="S237" s="8">
        <f t="shared" si="84"/>
        <v>-3.2467532467533866E-3</v>
      </c>
      <c r="T237" s="8">
        <f t="shared" si="85"/>
        <v>-7.1942446043166131E-3</v>
      </c>
      <c r="U237" s="8">
        <f t="shared" si="86"/>
        <v>3.6922178846364284E-2</v>
      </c>
      <c r="V237" s="8">
        <f t="shared" si="87"/>
        <v>2.7696036004847269E-3</v>
      </c>
      <c r="W237" s="8">
        <f t="shared" si="88"/>
        <v>4.7995482778091514E-2</v>
      </c>
      <c r="X237" s="8">
        <f t="shared" si="89"/>
        <v>2.113466745921655E-2</v>
      </c>
      <c r="Y237" s="8">
        <f t="shared" si="90"/>
        <v>-2.4729923207080784E-3</v>
      </c>
      <c r="Z237" s="8">
        <f t="shared" si="91"/>
        <v>2.7696036004847269E-3</v>
      </c>
      <c r="AB237" s="26">
        <f t="shared" si="92"/>
        <v>2.6577710493439571E-2</v>
      </c>
      <c r="AC237" s="26">
        <f t="shared" si="93"/>
        <v>2.0885346536501363E-2</v>
      </c>
      <c r="AD237" s="26">
        <f t="shared" si="94"/>
        <v>9.7277937003154968E-5</v>
      </c>
      <c r="AE237" s="26">
        <f t="shared" si="95"/>
        <v>4.2032159283428034E-5</v>
      </c>
      <c r="AF237" s="26">
        <f t="shared" si="96"/>
        <v>-5.4278626581981595E-3</v>
      </c>
      <c r="AG237" s="26">
        <f t="shared" si="97"/>
        <v>-9.3722465752382224E-3</v>
      </c>
      <c r="AH237" s="26">
        <f t="shared" si="98"/>
        <v>3.1578798801303876E-2</v>
      </c>
      <c r="AI237" s="26">
        <f t="shared" si="99"/>
        <v>-9.6321625285526527E-3</v>
      </c>
      <c r="AJ237" s="26">
        <f t="shared" si="100"/>
        <v>3.7766276806449228E-2</v>
      </c>
      <c r="AK237" s="26">
        <f t="shared" si="101"/>
        <v>2.2701582741087963E-2</v>
      </c>
      <c r="AL237" s="26">
        <f t="shared" si="102"/>
        <v>1.051242793047628E-3</v>
      </c>
      <c r="AM237" s="26">
        <f t="shared" si="103"/>
        <v>-9.6321625285526527E-3</v>
      </c>
    </row>
    <row r="238" spans="1:39" x14ac:dyDescent="0.2">
      <c r="A238" s="5">
        <v>32567</v>
      </c>
      <c r="B238" s="14">
        <v>5.7618554735999998</v>
      </c>
      <c r="C238" s="14">
        <v>7.2605263159</v>
      </c>
      <c r="D238" s="1">
        <v>8.39</v>
      </c>
      <c r="E238" s="1">
        <v>8.89</v>
      </c>
      <c r="F238" s="1">
        <v>9.2099999999999991</v>
      </c>
      <c r="G238" s="1">
        <v>9.66</v>
      </c>
      <c r="H238" s="1">
        <v>284.20999999999998</v>
      </c>
      <c r="I238" s="1">
        <v>405.51</v>
      </c>
      <c r="J238" s="1">
        <v>18.560000000000002</v>
      </c>
      <c r="K238" s="1">
        <v>154.60999999999999</v>
      </c>
      <c r="L238" s="1">
        <v>153.28</v>
      </c>
      <c r="M238">
        <f t="shared" si="79"/>
        <v>811.02</v>
      </c>
      <c r="O238" s="8">
        <f t="shared" si="80"/>
        <v>-3.4405283316851776E-4</v>
      </c>
      <c r="P238" s="8">
        <f t="shared" si="81"/>
        <v>-2.603051373646359E-4</v>
      </c>
      <c r="Q238" s="8">
        <f t="shared" si="82"/>
        <v>-2.3837902264601807E-3</v>
      </c>
      <c r="R238" s="8">
        <f t="shared" si="83"/>
        <v>-4.4994375703037992E-3</v>
      </c>
      <c r="S238" s="8">
        <f t="shared" si="84"/>
        <v>-7.6004343105319228E-3</v>
      </c>
      <c r="T238" s="8">
        <f t="shared" si="85"/>
        <v>-4.1407867494824835E-3</v>
      </c>
      <c r="U238" s="8">
        <f t="shared" si="86"/>
        <v>2.6388937757292119E-2</v>
      </c>
      <c r="V238" s="8">
        <f t="shared" si="87"/>
        <v>3.4524426031417255E-2</v>
      </c>
      <c r="W238" s="8">
        <f t="shared" si="88"/>
        <v>-0.11045258620689657</v>
      </c>
      <c r="X238" s="8">
        <f t="shared" si="89"/>
        <v>3.9454110342151294E-2</v>
      </c>
      <c r="Y238" s="8">
        <f t="shared" si="90"/>
        <v>-4.9517223382046005E-2</v>
      </c>
      <c r="Z238" s="8">
        <f t="shared" si="91"/>
        <v>3.4524426031417255E-2</v>
      </c>
      <c r="AB238" s="26">
        <f t="shared" si="92"/>
        <v>-4.8649773255935707E-3</v>
      </c>
      <c r="AC238" s="26">
        <f t="shared" si="93"/>
        <v>-2.7770751559412299E-3</v>
      </c>
      <c r="AD238" s="26">
        <f t="shared" si="94"/>
        <v>-4.6759985499111242E-3</v>
      </c>
      <c r="AE238" s="26">
        <f t="shared" si="95"/>
        <v>-6.712196842813118E-3</v>
      </c>
      <c r="AF238" s="26">
        <f t="shared" si="96"/>
        <v>-9.7815437219766956E-3</v>
      </c>
      <c r="AG238" s="26">
        <f t="shared" si="97"/>
        <v>-6.3187887204040928E-3</v>
      </c>
      <c r="AH238" s="26">
        <f t="shared" si="98"/>
        <v>2.1045557712231714E-2</v>
      </c>
      <c r="AI238" s="26">
        <f t="shared" si="99"/>
        <v>2.2122659902379875E-2</v>
      </c>
      <c r="AJ238" s="26">
        <f t="shared" si="100"/>
        <v>-0.12068179217853886</v>
      </c>
      <c r="AK238" s="26">
        <f t="shared" si="101"/>
        <v>4.1021025624022711E-2</v>
      </c>
      <c r="AL238" s="26">
        <f t="shared" si="102"/>
        <v>-4.5992988268290298E-2</v>
      </c>
      <c r="AM238" s="26">
        <f t="shared" si="103"/>
        <v>2.2122659902379875E-2</v>
      </c>
    </row>
    <row r="239" spans="1:39" x14ac:dyDescent="0.2">
      <c r="A239" s="5">
        <v>32598</v>
      </c>
      <c r="B239" s="14">
        <v>5.7598730909000002</v>
      </c>
      <c r="C239" s="14">
        <v>7.2586363636</v>
      </c>
      <c r="D239" s="1">
        <v>8.3699999999999992</v>
      </c>
      <c r="E239" s="1">
        <v>8.85</v>
      </c>
      <c r="F239" s="1">
        <v>9.14</v>
      </c>
      <c r="G239" s="1">
        <v>9.6199999999999992</v>
      </c>
      <c r="H239" s="1">
        <v>291.70999999999998</v>
      </c>
      <c r="I239" s="1">
        <v>419.51</v>
      </c>
      <c r="J239" s="1">
        <v>16.510000000000002</v>
      </c>
      <c r="K239" s="1">
        <v>160.70999999999998</v>
      </c>
      <c r="L239" s="1">
        <v>145.69</v>
      </c>
      <c r="M239">
        <f t="shared" si="79"/>
        <v>839.02</v>
      </c>
      <c r="O239" s="8">
        <f t="shared" si="80"/>
        <v>8.0455979964582092E-3</v>
      </c>
      <c r="P239" s="8">
        <f t="shared" si="81"/>
        <v>0.10666201480797377</v>
      </c>
      <c r="Q239" s="8">
        <f t="shared" si="82"/>
        <v>5.8542413381122982E-2</v>
      </c>
      <c r="R239" s="8">
        <f t="shared" si="83"/>
        <v>3.5028248587570587E-2</v>
      </c>
      <c r="S239" s="8">
        <f t="shared" si="84"/>
        <v>2.5164113785557829E-2</v>
      </c>
      <c r="T239" s="8">
        <f t="shared" si="85"/>
        <v>4.4698544698544618E-2</v>
      </c>
      <c r="U239" s="8">
        <f t="shared" si="86"/>
        <v>-1.1449727469061699E-2</v>
      </c>
      <c r="V239" s="8">
        <f t="shared" si="87"/>
        <v>7.9259135658267921E-2</v>
      </c>
      <c r="W239" s="8">
        <f t="shared" si="88"/>
        <v>0.13930950938824949</v>
      </c>
      <c r="X239" s="8">
        <f t="shared" si="89"/>
        <v>3.3289776616265421E-2</v>
      </c>
      <c r="Y239" s="8">
        <f t="shared" si="90"/>
        <v>-3.4388084288557996E-2</v>
      </c>
      <c r="Z239" s="8">
        <f t="shared" si="91"/>
        <v>7.9259135658267921E-2</v>
      </c>
      <c r="AB239" s="26">
        <f t="shared" si="92"/>
        <v>3.5246735040331562E-3</v>
      </c>
      <c r="AC239" s="26">
        <f t="shared" si="93"/>
        <v>0.10414524478939717</v>
      </c>
      <c r="AD239" s="26">
        <f t="shared" si="94"/>
        <v>5.6250205057672038E-2</v>
      </c>
      <c r="AE239" s="26">
        <f t="shared" si="95"/>
        <v>3.2815489315061272E-2</v>
      </c>
      <c r="AF239" s="26">
        <f t="shared" si="96"/>
        <v>2.2983004374113054E-2</v>
      </c>
      <c r="AG239" s="26">
        <f t="shared" si="97"/>
        <v>4.2520542727623012E-2</v>
      </c>
      <c r="AH239" s="26">
        <f t="shared" si="98"/>
        <v>-1.6793107514122104E-2</v>
      </c>
      <c r="AI239" s="26">
        <f t="shared" si="99"/>
        <v>6.6857369529230548E-2</v>
      </c>
      <c r="AJ239" s="26">
        <f t="shared" si="100"/>
        <v>0.1290803034166072</v>
      </c>
      <c r="AK239" s="26">
        <f t="shared" si="101"/>
        <v>3.4856691898136838E-2</v>
      </c>
      <c r="AL239" s="26">
        <f t="shared" si="102"/>
        <v>-3.0863849174802289E-2</v>
      </c>
      <c r="AM239" s="26">
        <f t="shared" si="103"/>
        <v>6.6857369529230548E-2</v>
      </c>
    </row>
    <row r="240" spans="1:39" x14ac:dyDescent="0.2">
      <c r="A240" s="5">
        <v>32628</v>
      </c>
      <c r="B240" s="14">
        <v>5.8062147142999994</v>
      </c>
      <c r="C240" s="14">
        <v>8.0328571428999993</v>
      </c>
      <c r="D240" s="1">
        <v>8.86</v>
      </c>
      <c r="E240" s="1">
        <v>9.16</v>
      </c>
      <c r="F240" s="1">
        <v>9.3699999999999992</v>
      </c>
      <c r="G240" s="1">
        <v>10.049999999999999</v>
      </c>
      <c r="H240" s="1">
        <v>288.37</v>
      </c>
      <c r="I240" s="1">
        <v>452.76</v>
      </c>
      <c r="J240" s="1">
        <v>18.810000000000002</v>
      </c>
      <c r="K240" s="1">
        <v>166.06</v>
      </c>
      <c r="L240" s="1">
        <v>140.67999999999998</v>
      </c>
      <c r="M240">
        <f t="shared" si="79"/>
        <v>905.52</v>
      </c>
      <c r="O240" s="8">
        <f t="shared" si="80"/>
        <v>5.8896264404033616E-3</v>
      </c>
      <c r="P240" s="8">
        <f t="shared" si="81"/>
        <v>7.3466121281841712E-2</v>
      </c>
      <c r="Q240" s="8">
        <f t="shared" si="82"/>
        <v>5.4176072234763062E-2</v>
      </c>
      <c r="R240" s="8">
        <f t="shared" si="83"/>
        <v>4.8034934497816595E-2</v>
      </c>
      <c r="S240" s="8">
        <f t="shared" si="84"/>
        <v>5.0160085378868846E-2</v>
      </c>
      <c r="T240" s="8">
        <f t="shared" si="85"/>
        <v>4.6766169154228932E-2</v>
      </c>
      <c r="U240" s="8">
        <f t="shared" si="86"/>
        <v>6.0339147622845424E-3</v>
      </c>
      <c r="V240" s="8">
        <f t="shared" si="87"/>
        <v>-2.2086756780634875E-3</v>
      </c>
      <c r="W240" s="8">
        <f t="shared" si="88"/>
        <v>2.6581605528974706E-3</v>
      </c>
      <c r="X240" s="8">
        <f t="shared" si="89"/>
        <v>-1.8667951342888234E-2</v>
      </c>
      <c r="Y240" s="8">
        <f t="shared" si="90"/>
        <v>2.4381575206141592E-2</v>
      </c>
      <c r="Z240" s="8">
        <f t="shared" si="91"/>
        <v>-2.2086756780634875E-3</v>
      </c>
      <c r="AB240" s="26">
        <f t="shared" si="92"/>
        <v>1.3687019479783086E-3</v>
      </c>
      <c r="AC240" s="26">
        <f t="shared" si="93"/>
        <v>7.0949351263265112E-2</v>
      </c>
      <c r="AD240" s="26">
        <f t="shared" si="94"/>
        <v>5.1883863911312118E-2</v>
      </c>
      <c r="AE240" s="26">
        <f t="shared" si="95"/>
        <v>4.5822175225307279E-2</v>
      </c>
      <c r="AF240" s="26">
        <f t="shared" si="96"/>
        <v>4.7978975967424072E-2</v>
      </c>
      <c r="AG240" s="26">
        <f t="shared" si="97"/>
        <v>4.4588167183307326E-2</v>
      </c>
      <c r="AH240" s="26">
        <f t="shared" si="98"/>
        <v>6.9053471722413731E-4</v>
      </c>
      <c r="AI240" s="26">
        <f t="shared" si="99"/>
        <v>-1.4610441807100867E-2</v>
      </c>
      <c r="AJ240" s="26">
        <f t="shared" si="100"/>
        <v>-7.5710454187448133E-3</v>
      </c>
      <c r="AK240" s="26">
        <f t="shared" si="101"/>
        <v>-1.710103606101682E-2</v>
      </c>
      <c r="AL240" s="26">
        <f t="shared" si="102"/>
        <v>2.7905810319897299E-2</v>
      </c>
      <c r="AM240" s="26">
        <f t="shared" si="103"/>
        <v>-1.4610441807100867E-2</v>
      </c>
    </row>
    <row r="241" spans="1:39" x14ac:dyDescent="0.2">
      <c r="A241" s="5">
        <v>32659</v>
      </c>
      <c r="B241" s="14">
        <v>5.8404111499999996</v>
      </c>
      <c r="C241" s="14">
        <v>8.6229999999999993</v>
      </c>
      <c r="D241" s="1">
        <v>9.34</v>
      </c>
      <c r="E241" s="1">
        <v>9.6</v>
      </c>
      <c r="F241" s="1">
        <v>9.84</v>
      </c>
      <c r="G241" s="1">
        <v>10.52</v>
      </c>
      <c r="H241" s="1">
        <v>290.11</v>
      </c>
      <c r="I241" s="1">
        <v>451.76</v>
      </c>
      <c r="J241" s="1">
        <v>18.860000000000003</v>
      </c>
      <c r="K241" s="1">
        <v>162.95999999999998</v>
      </c>
      <c r="L241" s="1">
        <v>144.10999999999999</v>
      </c>
      <c r="M241">
        <f t="shared" si="79"/>
        <v>903.52</v>
      </c>
      <c r="O241" s="8">
        <f t="shared" si="80"/>
        <v>-1.500462685747328E-4</v>
      </c>
      <c r="P241" s="8">
        <f t="shared" si="81"/>
        <v>-2.4437814287370907E-2</v>
      </c>
      <c r="Q241" s="8">
        <f t="shared" si="82"/>
        <v>-1.0706638115631772E-3</v>
      </c>
      <c r="R241" s="8">
        <f t="shared" si="83"/>
        <v>6.2500000000000888E-3</v>
      </c>
      <c r="S241" s="8">
        <f t="shared" si="84"/>
        <v>1.5243902439024515E-2</v>
      </c>
      <c r="T241" s="8">
        <f t="shared" si="85"/>
        <v>9.5057034220524805E-4</v>
      </c>
      <c r="U241" s="8">
        <f t="shared" si="86"/>
        <v>4.7912860639067967E-2</v>
      </c>
      <c r="V241" s="8">
        <f t="shared" si="87"/>
        <v>-1.106782362316272E-2</v>
      </c>
      <c r="W241" s="8">
        <f t="shared" si="88"/>
        <v>3.9766702014846222E-2</v>
      </c>
      <c r="X241" s="8">
        <f t="shared" si="89"/>
        <v>-1.0247913598429026E-2</v>
      </c>
      <c r="Y241" s="8">
        <f t="shared" si="90"/>
        <v>1.8735688016098928E-2</v>
      </c>
      <c r="Z241" s="8">
        <f t="shared" si="91"/>
        <v>-1.106782362316272E-2</v>
      </c>
      <c r="AB241" s="26">
        <f t="shared" si="92"/>
        <v>-4.6709707609997857E-3</v>
      </c>
      <c r="AC241" s="26">
        <f t="shared" si="93"/>
        <v>-2.69545843059475E-2</v>
      </c>
      <c r="AD241" s="26">
        <f t="shared" si="94"/>
        <v>-3.3628721350141212E-3</v>
      </c>
      <c r="AE241" s="26">
        <f t="shared" si="95"/>
        <v>4.03724072749077E-3</v>
      </c>
      <c r="AF241" s="26">
        <f t="shared" si="96"/>
        <v>1.3062793027579742E-2</v>
      </c>
      <c r="AG241" s="26">
        <f t="shared" si="97"/>
        <v>-1.2274316287163613E-3</v>
      </c>
      <c r="AH241" s="26">
        <f t="shared" si="98"/>
        <v>4.2569480594007558E-2</v>
      </c>
      <c r="AI241" s="26">
        <f t="shared" si="99"/>
        <v>-2.34695897522001E-2</v>
      </c>
      <c r="AJ241" s="26">
        <f t="shared" si="100"/>
        <v>2.9537496043203937E-2</v>
      </c>
      <c r="AK241" s="26">
        <f t="shared" si="101"/>
        <v>-8.6809983165576123E-3</v>
      </c>
      <c r="AL241" s="26">
        <f t="shared" si="102"/>
        <v>2.2259923129854635E-2</v>
      </c>
      <c r="AM241" s="26">
        <f t="shared" si="103"/>
        <v>-2.34695897522001E-2</v>
      </c>
    </row>
    <row r="242" spans="1:39" x14ac:dyDescent="0.2">
      <c r="A242" s="5">
        <v>32689</v>
      </c>
      <c r="B242" s="14">
        <v>5.8395348180999997</v>
      </c>
      <c r="C242" s="14">
        <v>8.4122727273999995</v>
      </c>
      <c r="D242" s="1">
        <v>9.33</v>
      </c>
      <c r="E242" s="1">
        <v>9.66</v>
      </c>
      <c r="F242" s="1">
        <v>9.99</v>
      </c>
      <c r="G242" s="1">
        <v>10.53</v>
      </c>
      <c r="H242" s="1">
        <v>304.01</v>
      </c>
      <c r="I242" s="1">
        <v>446.76</v>
      </c>
      <c r="J242" s="1">
        <v>19.610000000000003</v>
      </c>
      <c r="K242" s="1">
        <v>161.29</v>
      </c>
      <c r="L242" s="1">
        <v>146.81</v>
      </c>
      <c r="M242">
        <f t="shared" si="79"/>
        <v>893.52</v>
      </c>
      <c r="O242" s="8">
        <f t="shared" si="80"/>
        <v>4.3108430695495414E-3</v>
      </c>
      <c r="P242" s="8">
        <f t="shared" si="81"/>
        <v>5.2952936671808448E-3</v>
      </c>
      <c r="Q242" s="8">
        <f t="shared" si="82"/>
        <v>1.0718113612004254E-2</v>
      </c>
      <c r="R242" s="8">
        <f t="shared" si="83"/>
        <v>-1.0351966873706209E-3</v>
      </c>
      <c r="S242" s="8">
        <f t="shared" si="84"/>
        <v>2.0020020020019569E-3</v>
      </c>
      <c r="T242" s="8">
        <f t="shared" si="85"/>
        <v>8.5470085470085166E-3</v>
      </c>
      <c r="U242" s="8">
        <f t="shared" si="86"/>
        <v>4.8222097957304033E-2</v>
      </c>
      <c r="V242" s="8">
        <f t="shared" si="87"/>
        <v>3.3575073865162564E-2</v>
      </c>
      <c r="W242" s="8">
        <f t="shared" si="88"/>
        <v>4.8444671086180557E-2</v>
      </c>
      <c r="X242" s="8">
        <f t="shared" si="89"/>
        <v>-1.3516027032054123E-2</v>
      </c>
      <c r="Y242" s="8">
        <f t="shared" si="90"/>
        <v>2.1115727811456875E-2</v>
      </c>
      <c r="Z242" s="8">
        <f t="shared" si="91"/>
        <v>3.3575073865162564E-2</v>
      </c>
      <c r="AB242" s="26">
        <f t="shared" si="92"/>
        <v>-2.100814228755115E-4</v>
      </c>
      <c r="AC242" s="26">
        <f t="shared" si="93"/>
        <v>2.7785236486042508E-3</v>
      </c>
      <c r="AD242" s="26">
        <f t="shared" si="94"/>
        <v>8.4259052885533106E-3</v>
      </c>
      <c r="AE242" s="26">
        <f t="shared" si="95"/>
        <v>-3.2479559598799393E-3</v>
      </c>
      <c r="AF242" s="26">
        <f t="shared" si="96"/>
        <v>-1.7910740944281642E-4</v>
      </c>
      <c r="AG242" s="26">
        <f t="shared" si="97"/>
        <v>6.3690065760869073E-3</v>
      </c>
      <c r="AH242" s="26">
        <f t="shared" si="98"/>
        <v>4.2878717912243625E-2</v>
      </c>
      <c r="AI242" s="26">
        <f t="shared" si="99"/>
        <v>2.1173307736125184E-2</v>
      </c>
      <c r="AJ242" s="26">
        <f t="shared" si="100"/>
        <v>3.8215465114538272E-2</v>
      </c>
      <c r="AK242" s="26">
        <f t="shared" si="101"/>
        <v>-1.1949111750182709E-2</v>
      </c>
      <c r="AL242" s="26">
        <f t="shared" si="102"/>
        <v>2.4639962925212582E-2</v>
      </c>
      <c r="AM242" s="26">
        <f t="shared" si="103"/>
        <v>2.1173307736125184E-2</v>
      </c>
    </row>
    <row r="243" spans="1:39" x14ac:dyDescent="0.2">
      <c r="A243" s="5">
        <v>32720</v>
      </c>
      <c r="B243" s="14">
        <v>5.8647081363</v>
      </c>
      <c r="C243" s="14">
        <v>8.4568181818999992</v>
      </c>
      <c r="D243" s="1">
        <v>9.43</v>
      </c>
      <c r="E243" s="1">
        <v>9.65</v>
      </c>
      <c r="F243" s="1">
        <v>10.01</v>
      </c>
      <c r="G243" s="1">
        <v>10.62</v>
      </c>
      <c r="H243" s="1">
        <v>318.67</v>
      </c>
      <c r="I243" s="1">
        <v>461.76</v>
      </c>
      <c r="J243" s="1">
        <v>20.560000000000002</v>
      </c>
      <c r="K243" s="1">
        <v>159.10999999999999</v>
      </c>
      <c r="L243" s="1">
        <v>149.91</v>
      </c>
      <c r="M243">
        <f t="shared" si="79"/>
        <v>923.52</v>
      </c>
      <c r="O243" s="8">
        <f t="shared" si="80"/>
        <v>6.1239690527308488E-2</v>
      </c>
      <c r="P243" s="8">
        <f t="shared" si="81"/>
        <v>3.7089364091014598E-2</v>
      </c>
      <c r="Q243" s="8">
        <f t="shared" si="82"/>
        <v>2.6511134676564074E-2</v>
      </c>
      <c r="R243" s="8">
        <f t="shared" si="83"/>
        <v>2.2797927461139844E-2</v>
      </c>
      <c r="S243" s="8">
        <f t="shared" si="84"/>
        <v>1.998001998001997E-2</v>
      </c>
      <c r="T243" s="8">
        <f t="shared" si="85"/>
        <v>1.7890772128060339E-2</v>
      </c>
      <c r="U243" s="8">
        <f t="shared" si="86"/>
        <v>3.4957793328521669E-2</v>
      </c>
      <c r="V243" s="8">
        <f t="shared" si="87"/>
        <v>-1.7325017325017344E-2</v>
      </c>
      <c r="W243" s="8">
        <f t="shared" si="88"/>
        <v>8.2684824902723664E-2</v>
      </c>
      <c r="X243" s="8">
        <f t="shared" si="89"/>
        <v>2.6271133178304318E-2</v>
      </c>
      <c r="Y243" s="8">
        <f t="shared" si="90"/>
        <v>-5.4365952905076398E-2</v>
      </c>
      <c r="Z243" s="8">
        <f t="shared" si="91"/>
        <v>-1.7325017325017344E-2</v>
      </c>
      <c r="AB243" s="26">
        <f t="shared" si="92"/>
        <v>5.6718766034883433E-2</v>
      </c>
      <c r="AC243" s="26">
        <f t="shared" si="93"/>
        <v>3.4572594072438005E-2</v>
      </c>
      <c r="AD243" s="26">
        <f t="shared" si="94"/>
        <v>2.4218926353113131E-2</v>
      </c>
      <c r="AE243" s="26">
        <f t="shared" si="95"/>
        <v>2.0585168188630525E-2</v>
      </c>
      <c r="AF243" s="26">
        <f t="shared" si="96"/>
        <v>1.7798910568575195E-2</v>
      </c>
      <c r="AG243" s="26">
        <f t="shared" si="97"/>
        <v>1.571277015713873E-2</v>
      </c>
      <c r="AH243" s="26">
        <f t="shared" si="98"/>
        <v>2.9614413283461264E-2</v>
      </c>
      <c r="AI243" s="26">
        <f t="shared" si="99"/>
        <v>-2.9726783454054724E-2</v>
      </c>
      <c r="AJ243" s="26">
        <f t="shared" si="100"/>
        <v>7.2455618931081378E-2</v>
      </c>
      <c r="AK243" s="26">
        <f t="shared" si="101"/>
        <v>2.7838048460175732E-2</v>
      </c>
      <c r="AL243" s="26">
        <f t="shared" si="102"/>
        <v>-5.0841717791320691E-2</v>
      </c>
      <c r="AM243" s="26">
        <f t="shared" si="103"/>
        <v>-2.9726783454054724E-2</v>
      </c>
    </row>
    <row r="244" spans="1:39" x14ac:dyDescent="0.2">
      <c r="A244" s="5">
        <v>32751</v>
      </c>
      <c r="B244" s="14">
        <v>6.2238610475999998</v>
      </c>
      <c r="C244" s="14">
        <v>8.7704761905000002</v>
      </c>
      <c r="D244" s="1">
        <v>9.68</v>
      </c>
      <c r="E244" s="1">
        <v>9.8699999999999992</v>
      </c>
      <c r="F244" s="1">
        <v>10.209999999999999</v>
      </c>
      <c r="G244" s="1">
        <v>10.81</v>
      </c>
      <c r="H244" s="1">
        <v>329.81</v>
      </c>
      <c r="I244" s="1">
        <v>453.76</v>
      </c>
      <c r="J244" s="1">
        <v>22.26</v>
      </c>
      <c r="K244" s="1">
        <v>163.29</v>
      </c>
      <c r="L244" s="1">
        <v>141.76</v>
      </c>
      <c r="M244">
        <f t="shared" si="79"/>
        <v>907.52</v>
      </c>
      <c r="O244" s="8">
        <f t="shared" si="80"/>
        <v>6.0829932529742337E-2</v>
      </c>
      <c r="P244" s="8">
        <f t="shared" si="81"/>
        <v>7.5415354552406777E-2</v>
      </c>
      <c r="Q244" s="8">
        <f t="shared" si="82"/>
        <v>5.2685950413223104E-2</v>
      </c>
      <c r="R244" s="8">
        <f t="shared" si="83"/>
        <v>4.9645390070921946E-2</v>
      </c>
      <c r="S244" s="8">
        <f t="shared" si="84"/>
        <v>5.0930460333006966E-2</v>
      </c>
      <c r="T244" s="8">
        <f t="shared" si="85"/>
        <v>4.7178538390379332E-2</v>
      </c>
      <c r="U244" s="8">
        <f t="shared" si="86"/>
        <v>-2.416542858009163E-2</v>
      </c>
      <c r="V244" s="8">
        <f t="shared" si="87"/>
        <v>1.2120944992947802E-2</v>
      </c>
      <c r="W244" s="8">
        <f t="shared" si="88"/>
        <v>-0.11859838274932621</v>
      </c>
      <c r="X244" s="8">
        <f t="shared" si="89"/>
        <v>-4.8992589870783254E-3</v>
      </c>
      <c r="Y244" s="8">
        <f t="shared" si="90"/>
        <v>3.3577878103837389E-2</v>
      </c>
      <c r="Z244" s="8">
        <f t="shared" si="91"/>
        <v>1.2120944992947802E-2</v>
      </c>
      <c r="AB244" s="26">
        <f t="shared" si="92"/>
        <v>5.6309008037317282E-2</v>
      </c>
      <c r="AC244" s="26">
        <f t="shared" si="93"/>
        <v>7.2898584533830177E-2</v>
      </c>
      <c r="AD244" s="26">
        <f t="shared" si="94"/>
        <v>5.039374208977216E-2</v>
      </c>
      <c r="AE244" s="26">
        <f t="shared" si="95"/>
        <v>4.7432630798412631E-2</v>
      </c>
      <c r="AF244" s="26">
        <f t="shared" si="96"/>
        <v>4.8749350921562191E-2</v>
      </c>
      <c r="AG244" s="26">
        <f t="shared" si="97"/>
        <v>4.5000536419457726E-2</v>
      </c>
      <c r="AH244" s="26">
        <f t="shared" si="98"/>
        <v>-2.9508808625152035E-2</v>
      </c>
      <c r="AI244" s="26">
        <f t="shared" si="99"/>
        <v>-2.8082113608957765E-4</v>
      </c>
      <c r="AJ244" s="26">
        <f t="shared" si="100"/>
        <v>-0.1288275887209685</v>
      </c>
      <c r="AK244" s="26">
        <f t="shared" si="101"/>
        <v>-3.3323437052069109E-3</v>
      </c>
      <c r="AL244" s="26">
        <f t="shared" si="102"/>
        <v>3.7102113217593095E-2</v>
      </c>
      <c r="AM244" s="26">
        <f t="shared" si="103"/>
        <v>-2.8082113608957765E-4</v>
      </c>
    </row>
    <row r="245" spans="1:39" x14ac:dyDescent="0.2">
      <c r="A245" s="5">
        <v>32781</v>
      </c>
      <c r="B245" s="14">
        <v>6.6024580951999994</v>
      </c>
      <c r="C245" s="14">
        <v>9.4319047620000003</v>
      </c>
      <c r="D245" s="1">
        <v>10.19</v>
      </c>
      <c r="E245" s="1">
        <v>10.36</v>
      </c>
      <c r="F245" s="1">
        <v>10.73</v>
      </c>
      <c r="G245" s="1">
        <v>11.32</v>
      </c>
      <c r="H245" s="1">
        <v>321.83999999999997</v>
      </c>
      <c r="I245" s="1">
        <v>459.26</v>
      </c>
      <c r="J245" s="1">
        <v>19.62</v>
      </c>
      <c r="K245" s="1">
        <v>162.48999999999998</v>
      </c>
      <c r="L245" s="1">
        <v>146.51999999999998</v>
      </c>
      <c r="M245">
        <f t="shared" si="79"/>
        <v>918.52</v>
      </c>
      <c r="O245" s="8">
        <f t="shared" si="80"/>
        <v>-4.1753936961814064E-2</v>
      </c>
      <c r="P245" s="8">
        <f t="shared" si="81"/>
        <v>1.0400363508250576E-2</v>
      </c>
      <c r="Q245" s="8">
        <f t="shared" si="82"/>
        <v>3.3366045142296352E-2</v>
      </c>
      <c r="R245" s="8">
        <f t="shared" si="83"/>
        <v>3.7644787644787625E-2</v>
      </c>
      <c r="S245" s="8">
        <f t="shared" si="84"/>
        <v>2.4231127679403608E-2</v>
      </c>
      <c r="T245" s="8">
        <f t="shared" si="85"/>
        <v>2.7385159010600679E-2</v>
      </c>
      <c r="U245" s="8">
        <f t="shared" si="86"/>
        <v>-0.21762366393238874</v>
      </c>
      <c r="V245" s="8">
        <f t="shared" si="87"/>
        <v>1.850803466446016E-2</v>
      </c>
      <c r="W245" s="8">
        <f t="shared" si="88"/>
        <v>0</v>
      </c>
      <c r="X245" s="8">
        <f t="shared" si="89"/>
        <v>5.951135454489509E-2</v>
      </c>
      <c r="Y245" s="8">
        <f t="shared" si="90"/>
        <v>-5.5282555282555212E-2</v>
      </c>
      <c r="Z245" s="8">
        <f t="shared" si="91"/>
        <v>1.850803466446016E-2</v>
      </c>
      <c r="AB245" s="26">
        <f t="shared" si="92"/>
        <v>-4.6274861454239119E-2</v>
      </c>
      <c r="AC245" s="26">
        <f t="shared" si="93"/>
        <v>7.8835934896739832E-3</v>
      </c>
      <c r="AD245" s="26">
        <f t="shared" si="94"/>
        <v>3.1073836818845409E-2</v>
      </c>
      <c r="AE245" s="26">
        <f t="shared" si="95"/>
        <v>3.543202837227831E-2</v>
      </c>
      <c r="AF245" s="26">
        <f t="shared" si="96"/>
        <v>2.2050018267958833E-2</v>
      </c>
      <c r="AG245" s="26">
        <f t="shared" si="97"/>
        <v>2.520715703967907E-2</v>
      </c>
      <c r="AH245" s="26">
        <f t="shared" si="98"/>
        <v>-0.22296704397744915</v>
      </c>
      <c r="AI245" s="26">
        <f t="shared" si="99"/>
        <v>6.1062685354227805E-3</v>
      </c>
      <c r="AJ245" s="26">
        <f t="shared" si="100"/>
        <v>-1.0229205971642284E-2</v>
      </c>
      <c r="AK245" s="26">
        <f t="shared" si="101"/>
        <v>6.1078269826766507E-2</v>
      </c>
      <c r="AL245" s="26">
        <f t="shared" si="102"/>
        <v>-5.1758320168799506E-2</v>
      </c>
      <c r="AM245" s="26">
        <f t="shared" si="103"/>
        <v>6.1062685354227805E-3</v>
      </c>
    </row>
    <row r="246" spans="1:39" x14ac:dyDescent="0.2">
      <c r="A246" s="5">
        <v>32812</v>
      </c>
      <c r="B246" s="14">
        <v>6.3267794760999996</v>
      </c>
      <c r="C246" s="14">
        <v>9.5300000000999994</v>
      </c>
      <c r="D246" s="1">
        <v>10.53</v>
      </c>
      <c r="E246" s="1">
        <v>10.75</v>
      </c>
      <c r="F246" s="1">
        <v>10.99</v>
      </c>
      <c r="G246" s="1">
        <v>11.629999999999999</v>
      </c>
      <c r="H246" s="1">
        <v>251.79999999999998</v>
      </c>
      <c r="I246" s="1">
        <v>467.76</v>
      </c>
      <c r="J246" s="1">
        <v>19.62</v>
      </c>
      <c r="K246" s="1">
        <v>172.16</v>
      </c>
      <c r="L246" s="1">
        <v>138.41999999999999</v>
      </c>
      <c r="M246">
        <f t="shared" si="79"/>
        <v>935.52</v>
      </c>
      <c r="O246" s="8">
        <f t="shared" si="80"/>
        <v>-7.262776365697643E-2</v>
      </c>
      <c r="P246" s="8">
        <f t="shared" si="81"/>
        <v>-6.9199757008717722E-2</v>
      </c>
      <c r="Q246" s="8">
        <f t="shared" si="82"/>
        <v>-4.8433048433048409E-2</v>
      </c>
      <c r="R246" s="8">
        <f t="shared" si="83"/>
        <v>-4.3720930232558186E-2</v>
      </c>
      <c r="S246" s="8">
        <f t="shared" si="84"/>
        <v>-3.1847133757961776E-2</v>
      </c>
      <c r="T246" s="8">
        <f t="shared" si="85"/>
        <v>-3.3533963886500318E-2</v>
      </c>
      <c r="U246" s="8">
        <f t="shared" si="86"/>
        <v>-8.5345512311358118E-2</v>
      </c>
      <c r="V246" s="8">
        <f t="shared" si="87"/>
        <v>5.3189669916196225E-2</v>
      </c>
      <c r="W246" s="8">
        <f t="shared" si="88"/>
        <v>2.0387359836899765E-3</v>
      </c>
      <c r="X246" s="8">
        <f t="shared" si="89"/>
        <v>6.0467007434944264E-2</v>
      </c>
      <c r="Y246" s="8">
        <f t="shared" si="90"/>
        <v>-4.3274093339112918E-2</v>
      </c>
      <c r="Z246" s="8">
        <f t="shared" si="91"/>
        <v>5.3189669916196225E-2</v>
      </c>
      <c r="AB246" s="26">
        <f t="shared" si="92"/>
        <v>-7.7148688149401484E-2</v>
      </c>
      <c r="AC246" s="26">
        <f t="shared" si="93"/>
        <v>-7.1716527027294322E-2</v>
      </c>
      <c r="AD246" s="26">
        <f t="shared" si="94"/>
        <v>-5.0725256756499353E-2</v>
      </c>
      <c r="AE246" s="26">
        <f t="shared" si="95"/>
        <v>-4.5933689505067501E-2</v>
      </c>
      <c r="AF246" s="26">
        <f t="shared" si="96"/>
        <v>-3.4028243169406551E-2</v>
      </c>
      <c r="AG246" s="26">
        <f t="shared" si="97"/>
        <v>-3.5711965857421923E-2</v>
      </c>
      <c r="AH246" s="26">
        <f t="shared" si="98"/>
        <v>-9.0688892356418527E-2</v>
      </c>
      <c r="AI246" s="26">
        <f t="shared" si="99"/>
        <v>4.0787903787158845E-2</v>
      </c>
      <c r="AJ246" s="26">
        <f t="shared" si="100"/>
        <v>-8.1904699879523073E-3</v>
      </c>
      <c r="AK246" s="26">
        <f t="shared" si="101"/>
        <v>6.2033922716815681E-2</v>
      </c>
      <c r="AL246" s="26">
        <f t="shared" si="102"/>
        <v>-3.9749858225357211E-2</v>
      </c>
      <c r="AM246" s="26">
        <f t="shared" si="103"/>
        <v>4.0787903787158845E-2</v>
      </c>
    </row>
    <row r="247" spans="1:39" x14ac:dyDescent="0.2">
      <c r="A247" s="5">
        <v>32842</v>
      </c>
      <c r="B247" s="14">
        <v>5.8672796315999998</v>
      </c>
      <c r="C247" s="14">
        <v>8.8705263157999994</v>
      </c>
      <c r="D247" s="1">
        <v>10.02</v>
      </c>
      <c r="E247" s="1">
        <v>10.28</v>
      </c>
      <c r="F247" s="1">
        <v>10.64</v>
      </c>
      <c r="G247" s="1">
        <v>11.24</v>
      </c>
      <c r="H247" s="1">
        <v>230.31</v>
      </c>
      <c r="I247" s="1">
        <v>492.64</v>
      </c>
      <c r="J247" s="1">
        <v>19.66</v>
      </c>
      <c r="K247" s="1">
        <v>182.57</v>
      </c>
      <c r="L247" s="1">
        <v>132.42999999999998</v>
      </c>
      <c r="M247">
        <f t="shared" si="79"/>
        <v>985.28</v>
      </c>
      <c r="O247" s="8">
        <f t="shared" si="80"/>
        <v>1.2984506753298319E-2</v>
      </c>
      <c r="P247" s="8">
        <f t="shared" si="81"/>
        <v>1.4339730526861105E-2</v>
      </c>
      <c r="Q247" s="8">
        <f t="shared" si="82"/>
        <v>9.9800399201597223E-3</v>
      </c>
      <c r="R247" s="8">
        <f t="shared" si="83"/>
        <v>5.8365758754863606E-3</v>
      </c>
      <c r="S247" s="8">
        <f t="shared" si="84"/>
        <v>-9.3984962406035155E-4</v>
      </c>
      <c r="T247" s="8">
        <f t="shared" si="85"/>
        <v>5.3380782918148739E-3</v>
      </c>
      <c r="U247" s="8">
        <f t="shared" si="86"/>
        <v>7.2858321392905268E-2</v>
      </c>
      <c r="V247" s="8">
        <f t="shared" si="87"/>
        <v>-1.2443163364728838E-2</v>
      </c>
      <c r="W247" s="8">
        <f t="shared" si="88"/>
        <v>-6.1037639877924654E-2</v>
      </c>
      <c r="X247" s="8">
        <f t="shared" si="89"/>
        <v>3.3083200964013848E-2</v>
      </c>
      <c r="Y247" s="8">
        <f t="shared" si="90"/>
        <v>-8.4346447179641904E-2</v>
      </c>
      <c r="Z247" s="8">
        <f t="shared" si="91"/>
        <v>-1.2443163364728838E-2</v>
      </c>
      <c r="AB247" s="26">
        <f t="shared" si="92"/>
        <v>8.4635822608732664E-3</v>
      </c>
      <c r="AC247" s="26">
        <f t="shared" si="93"/>
        <v>1.1822960508284512E-2</v>
      </c>
      <c r="AD247" s="26">
        <f t="shared" si="94"/>
        <v>7.6878315967087787E-3</v>
      </c>
      <c r="AE247" s="26">
        <f t="shared" si="95"/>
        <v>3.6238166029770422E-3</v>
      </c>
      <c r="AF247" s="26">
        <f t="shared" si="96"/>
        <v>-3.1209590355051249E-3</v>
      </c>
      <c r="AG247" s="26">
        <f t="shared" si="97"/>
        <v>3.1600763208932646E-3</v>
      </c>
      <c r="AH247" s="26">
        <f t="shared" si="98"/>
        <v>6.7514941347844859E-2</v>
      </c>
      <c r="AI247" s="26">
        <f t="shared" si="99"/>
        <v>-2.4844929493766217E-2</v>
      </c>
      <c r="AJ247" s="26">
        <f t="shared" si="100"/>
        <v>-7.126684584956694E-2</v>
      </c>
      <c r="AK247" s="26">
        <f t="shared" si="101"/>
        <v>3.4650116245885265E-2</v>
      </c>
      <c r="AL247" s="26">
        <f t="shared" si="102"/>
        <v>-8.0822212065886204E-2</v>
      </c>
      <c r="AM247" s="26">
        <f t="shared" si="103"/>
        <v>-2.4844929493766217E-2</v>
      </c>
    </row>
    <row r="248" spans="1:39" x14ac:dyDescent="0.2">
      <c r="A248" s="5">
        <v>32873</v>
      </c>
      <c r="B248" s="14">
        <v>5.9434633635999994</v>
      </c>
      <c r="C248" s="14">
        <v>8.9977272728000006</v>
      </c>
      <c r="D248" s="1">
        <v>10.119999999999999</v>
      </c>
      <c r="E248" s="1">
        <v>10.34</v>
      </c>
      <c r="F248" s="1">
        <v>10.629999999999999</v>
      </c>
      <c r="G248" s="1">
        <v>11.299999999999999</v>
      </c>
      <c r="H248" s="1">
        <v>247.09</v>
      </c>
      <c r="I248" s="1">
        <v>486.51</v>
      </c>
      <c r="J248" s="1">
        <v>18.46</v>
      </c>
      <c r="K248" s="1">
        <v>188.60999999999999</v>
      </c>
      <c r="L248" s="1">
        <v>121.26</v>
      </c>
      <c r="M248">
        <f t="shared" si="79"/>
        <v>973.02</v>
      </c>
      <c r="O248" s="8">
        <f t="shared" si="80"/>
        <v>8.0623033858453486E-3</v>
      </c>
      <c r="P248" s="8">
        <f t="shared" si="81"/>
        <v>-3.5779901906252909E-2</v>
      </c>
      <c r="Q248" s="8">
        <f t="shared" si="82"/>
        <v>-2.2727272727272596E-2</v>
      </c>
      <c r="R248" s="8">
        <f t="shared" si="83"/>
        <v>-2.3210831721470093E-2</v>
      </c>
      <c r="S248" s="8">
        <f t="shared" si="84"/>
        <v>-1.7873941674506066E-2</v>
      </c>
      <c r="T248" s="8">
        <f t="shared" si="85"/>
        <v>-1.9469026548672441E-2</v>
      </c>
      <c r="U248" s="8">
        <f t="shared" si="86"/>
        <v>4.043061232749201E-2</v>
      </c>
      <c r="V248" s="8">
        <f t="shared" si="87"/>
        <v>-6.2177550307290663E-2</v>
      </c>
      <c r="W248" s="8">
        <f t="shared" si="88"/>
        <v>-9.4257854821235054E-2</v>
      </c>
      <c r="X248" s="8">
        <f t="shared" si="89"/>
        <v>-6.1979746566990124E-2</v>
      </c>
      <c r="Y248" s="8">
        <f t="shared" si="90"/>
        <v>5.360382648853701E-2</v>
      </c>
      <c r="Z248" s="8">
        <f t="shared" si="91"/>
        <v>-6.2177550307290663E-2</v>
      </c>
      <c r="AB248" s="26">
        <f t="shared" si="92"/>
        <v>3.5413788934202956E-3</v>
      </c>
      <c r="AC248" s="26">
        <f t="shared" si="93"/>
        <v>-3.8296671924829502E-2</v>
      </c>
      <c r="AD248" s="26">
        <f t="shared" si="94"/>
        <v>-2.501948105072354E-2</v>
      </c>
      <c r="AE248" s="26">
        <f t="shared" si="95"/>
        <v>-2.5423590993979412E-2</v>
      </c>
      <c r="AF248" s="26">
        <f t="shared" si="96"/>
        <v>-2.0055051085950841E-2</v>
      </c>
      <c r="AG248" s="26">
        <f t="shared" si="97"/>
        <v>-2.1647028519594051E-2</v>
      </c>
      <c r="AH248" s="26">
        <f t="shared" si="98"/>
        <v>3.5087232282431602E-2</v>
      </c>
      <c r="AI248" s="26">
        <f t="shared" si="99"/>
        <v>-7.4579316436328036E-2</v>
      </c>
      <c r="AJ248" s="26">
        <f t="shared" si="100"/>
        <v>-0.10448706079287734</v>
      </c>
      <c r="AK248" s="26">
        <f t="shared" si="101"/>
        <v>-6.0412831285118707E-2</v>
      </c>
      <c r="AL248" s="26">
        <f t="shared" si="102"/>
        <v>5.7128061602292717E-2</v>
      </c>
      <c r="AM248" s="26">
        <f t="shared" si="103"/>
        <v>-7.4579316436328036E-2</v>
      </c>
    </row>
    <row r="249" spans="1:39" x14ac:dyDescent="0.2">
      <c r="A249" s="5">
        <v>32904</v>
      </c>
      <c r="B249" s="14">
        <v>5.9913813683999999</v>
      </c>
      <c r="C249" s="14">
        <v>8.6757894736000001</v>
      </c>
      <c r="D249" s="1">
        <v>9.89</v>
      </c>
      <c r="E249" s="1">
        <v>10.1</v>
      </c>
      <c r="F249" s="1">
        <v>10.44</v>
      </c>
      <c r="G249" s="1">
        <v>11.08</v>
      </c>
      <c r="H249" s="1">
        <v>257.08</v>
      </c>
      <c r="I249" s="1">
        <v>456.26</v>
      </c>
      <c r="J249" s="1">
        <v>16.720000000000002</v>
      </c>
      <c r="K249" s="1">
        <v>176.92</v>
      </c>
      <c r="L249" s="1">
        <v>127.76</v>
      </c>
      <c r="M249">
        <f t="shared" si="79"/>
        <v>912.52</v>
      </c>
      <c r="O249" s="8">
        <f t="shared" si="80"/>
        <v>-2.6684275056036766E-2</v>
      </c>
      <c r="P249" s="8">
        <f t="shared" si="81"/>
        <v>-5.2305265703007198E-2</v>
      </c>
      <c r="Q249" s="8">
        <f t="shared" si="82"/>
        <v>-4.7522750252780632E-2</v>
      </c>
      <c r="R249" s="8">
        <f t="shared" si="83"/>
        <v>-4.7524752475247567E-2</v>
      </c>
      <c r="S249" s="8">
        <f t="shared" si="84"/>
        <v>-4.6934865900383205E-2</v>
      </c>
      <c r="T249" s="8">
        <f t="shared" si="85"/>
        <v>-4.061371841155248E-2</v>
      </c>
      <c r="U249" s="8">
        <f t="shared" si="86"/>
        <v>4.1815777189979864E-2</v>
      </c>
      <c r="V249" s="8">
        <f t="shared" si="87"/>
        <v>-6.8469732170253872E-2</v>
      </c>
      <c r="W249" s="8">
        <f t="shared" si="88"/>
        <v>5.9808612440190867E-3</v>
      </c>
      <c r="X249" s="8">
        <f t="shared" si="89"/>
        <v>2.4869997739092042E-3</v>
      </c>
      <c r="Y249" s="8">
        <f t="shared" si="90"/>
        <v>5.4790231684407331E-3</v>
      </c>
      <c r="Z249" s="8">
        <f t="shared" si="91"/>
        <v>-6.8469732170253872E-2</v>
      </c>
      <c r="AB249" s="26">
        <f t="shared" si="92"/>
        <v>-3.1205199548461821E-2</v>
      </c>
      <c r="AC249" s="26">
        <f t="shared" si="93"/>
        <v>-5.4822035721583791E-2</v>
      </c>
      <c r="AD249" s="26">
        <f t="shared" si="94"/>
        <v>-4.9814958576231576E-2</v>
      </c>
      <c r="AE249" s="26">
        <f t="shared" si="95"/>
        <v>-4.9737511747756882E-2</v>
      </c>
      <c r="AF249" s="26">
        <f t="shared" si="96"/>
        <v>-4.9115975311827979E-2</v>
      </c>
      <c r="AG249" s="26">
        <f t="shared" si="97"/>
        <v>-4.2791720382474085E-2</v>
      </c>
      <c r="AH249" s="26">
        <f t="shared" si="98"/>
        <v>3.6472397144919455E-2</v>
      </c>
      <c r="AI249" s="26">
        <f t="shared" si="99"/>
        <v>-8.0871498299291245E-2</v>
      </c>
      <c r="AJ249" s="26">
        <f t="shared" si="100"/>
        <v>-4.2483447276231972E-3</v>
      </c>
      <c r="AK249" s="26">
        <f t="shared" si="101"/>
        <v>4.0539150557806188E-3</v>
      </c>
      <c r="AL249" s="26">
        <f t="shared" si="102"/>
        <v>9.0032582821964399E-3</v>
      </c>
      <c r="AM249" s="26">
        <f t="shared" si="103"/>
        <v>-8.0871498299291245E-2</v>
      </c>
    </row>
    <row r="250" spans="1:39" x14ac:dyDescent="0.2">
      <c r="A250" s="5">
        <v>32932</v>
      </c>
      <c r="B250" s="14">
        <v>5.8315057000000001</v>
      </c>
      <c r="C250" s="14">
        <v>8.2219999999999995</v>
      </c>
      <c r="D250" s="1">
        <v>9.42</v>
      </c>
      <c r="E250" s="1">
        <v>9.6199999999999992</v>
      </c>
      <c r="F250" s="1">
        <v>9.9499999999999993</v>
      </c>
      <c r="G250" s="1">
        <v>10.629999999999999</v>
      </c>
      <c r="H250" s="1">
        <v>267.83</v>
      </c>
      <c r="I250" s="1">
        <v>425.02</v>
      </c>
      <c r="J250" s="1">
        <v>16.82</v>
      </c>
      <c r="K250" s="1">
        <v>177.35999999999999</v>
      </c>
      <c r="L250" s="1">
        <v>128.45999999999998</v>
      </c>
      <c r="M250">
        <f t="shared" si="79"/>
        <v>850.04</v>
      </c>
      <c r="O250" s="8">
        <f t="shared" si="80"/>
        <v>7.612329608114754E-3</v>
      </c>
      <c r="P250" s="8">
        <f t="shared" si="81"/>
        <v>1.963977873996603E-2</v>
      </c>
      <c r="Q250" s="8">
        <f t="shared" si="82"/>
        <v>-2.1231422505307851E-3</v>
      </c>
      <c r="R250" s="8">
        <f t="shared" si="83"/>
        <v>-2.0790020790020236E-3</v>
      </c>
      <c r="S250" s="8">
        <f t="shared" si="84"/>
        <v>-5.0251256281406143E-3</v>
      </c>
      <c r="T250" s="8">
        <f t="shared" si="85"/>
        <v>-4.7036688617120292E-3</v>
      </c>
      <c r="U250" s="8">
        <f t="shared" si="86"/>
        <v>-3.3342045327259817E-2</v>
      </c>
      <c r="V250" s="8">
        <f t="shared" si="87"/>
        <v>7.3502423415368723E-2</v>
      </c>
      <c r="W250" s="8">
        <f t="shared" si="88"/>
        <v>-7.7288941736028627E-2</v>
      </c>
      <c r="X250" s="8">
        <f t="shared" si="89"/>
        <v>6.371222372575569E-2</v>
      </c>
      <c r="Y250" s="8">
        <f t="shared" si="90"/>
        <v>-3.378483574653568E-2</v>
      </c>
      <c r="Z250" s="8">
        <f t="shared" si="91"/>
        <v>7.3502423415368723E-2</v>
      </c>
      <c r="AB250" s="26">
        <f t="shared" si="92"/>
        <v>3.0914051156897011E-3</v>
      </c>
      <c r="AC250" s="26">
        <f t="shared" si="93"/>
        <v>1.7123008721389436E-2</v>
      </c>
      <c r="AD250" s="26">
        <f t="shared" si="94"/>
        <v>-4.4153505739817286E-3</v>
      </c>
      <c r="AE250" s="26">
        <f t="shared" si="95"/>
        <v>-4.2917613515113424E-3</v>
      </c>
      <c r="AF250" s="26">
        <f t="shared" si="96"/>
        <v>-7.2062350395853871E-3</v>
      </c>
      <c r="AG250" s="26">
        <f t="shared" si="97"/>
        <v>-6.8816708326336386E-3</v>
      </c>
      <c r="AH250" s="26">
        <f t="shared" si="98"/>
        <v>-3.8685425372320226E-2</v>
      </c>
      <c r="AI250" s="26">
        <f t="shared" si="99"/>
        <v>6.1100657286331343E-2</v>
      </c>
      <c r="AJ250" s="26">
        <f t="shared" si="100"/>
        <v>-8.7518147707670912E-2</v>
      </c>
      <c r="AK250" s="26">
        <f t="shared" si="101"/>
        <v>6.5279139007627107E-2</v>
      </c>
      <c r="AL250" s="26">
        <f t="shared" si="102"/>
        <v>-3.0260600632779973E-2</v>
      </c>
      <c r="AM250" s="26">
        <f t="shared" si="103"/>
        <v>6.1100657286331343E-2</v>
      </c>
    </row>
    <row r="251" spans="1:39" x14ac:dyDescent="0.2">
      <c r="A251" s="5">
        <v>32963</v>
      </c>
      <c r="B251" s="14">
        <v>5.8758970435000002</v>
      </c>
      <c r="C251" s="14">
        <v>8.3834782608000005</v>
      </c>
      <c r="D251" s="1">
        <v>9.4</v>
      </c>
      <c r="E251" s="1">
        <v>9.6</v>
      </c>
      <c r="F251" s="1">
        <v>9.9</v>
      </c>
      <c r="G251" s="1">
        <v>10.58</v>
      </c>
      <c r="H251" s="1">
        <v>258.89999999999998</v>
      </c>
      <c r="I251" s="1">
        <v>456.26</v>
      </c>
      <c r="J251" s="1">
        <v>15.52</v>
      </c>
      <c r="K251" s="1">
        <v>188.66</v>
      </c>
      <c r="L251" s="1">
        <v>124.12</v>
      </c>
      <c r="M251">
        <f t="shared" si="79"/>
        <v>912.52</v>
      </c>
      <c r="O251" s="8">
        <f t="shared" si="80"/>
        <v>3.6238587048687432E-2</v>
      </c>
      <c r="P251" s="8">
        <f t="shared" si="81"/>
        <v>4.1154963186732951E-2</v>
      </c>
      <c r="Q251" s="8">
        <f t="shared" si="82"/>
        <v>2.9787234042553123E-2</v>
      </c>
      <c r="R251" s="8">
        <f t="shared" si="83"/>
        <v>2.8124999999999956E-2</v>
      </c>
      <c r="S251" s="8">
        <f t="shared" si="84"/>
        <v>2.8282828282828243E-2</v>
      </c>
      <c r="T251" s="8">
        <f t="shared" si="85"/>
        <v>3.1190926275992403E-2</v>
      </c>
      <c r="U251" s="8">
        <f t="shared" si="86"/>
        <v>9.4244882193896817E-3</v>
      </c>
      <c r="V251" s="8">
        <f t="shared" si="87"/>
        <v>-1.5868145355718233E-2</v>
      </c>
      <c r="W251" s="8">
        <f t="shared" si="88"/>
        <v>9.9226804123711432E-2</v>
      </c>
      <c r="X251" s="8">
        <f t="shared" si="89"/>
        <v>-4.2404325241175433E-3</v>
      </c>
      <c r="Y251" s="8">
        <f t="shared" si="90"/>
        <v>6.5259426361585771E-3</v>
      </c>
      <c r="Z251" s="8">
        <f t="shared" si="91"/>
        <v>-1.5868145355718233E-2</v>
      </c>
      <c r="AB251" s="26">
        <f t="shared" si="92"/>
        <v>3.1717662556262377E-2</v>
      </c>
      <c r="AC251" s="26">
        <f t="shared" si="93"/>
        <v>3.8638193168156358E-2</v>
      </c>
      <c r="AD251" s="26">
        <f t="shared" si="94"/>
        <v>2.749502571910218E-2</v>
      </c>
      <c r="AE251" s="26">
        <f t="shared" si="95"/>
        <v>2.5912240727490637E-2</v>
      </c>
      <c r="AF251" s="26">
        <f t="shared" si="96"/>
        <v>2.6101718871383468E-2</v>
      </c>
      <c r="AG251" s="26">
        <f t="shared" si="97"/>
        <v>2.9012924305070794E-2</v>
      </c>
      <c r="AH251" s="26">
        <f t="shared" si="98"/>
        <v>4.0811081743292767E-3</v>
      </c>
      <c r="AI251" s="26">
        <f t="shared" si="99"/>
        <v>-2.8269911484755612E-2</v>
      </c>
      <c r="AJ251" s="26">
        <f t="shared" si="100"/>
        <v>8.8997598152069146E-2</v>
      </c>
      <c r="AK251" s="26">
        <f t="shared" si="101"/>
        <v>-2.6735172422461288E-3</v>
      </c>
      <c r="AL251" s="26">
        <f t="shared" si="102"/>
        <v>1.0050177749914284E-2</v>
      </c>
      <c r="AM251" s="26">
        <f t="shared" si="103"/>
        <v>-2.8269911484755612E-2</v>
      </c>
    </row>
    <row r="252" spans="1:39" x14ac:dyDescent="0.2">
      <c r="A252" s="5">
        <v>32993</v>
      </c>
      <c r="B252" s="14">
        <v>6.0888312500000001</v>
      </c>
      <c r="C252" s="14">
        <v>8.7285000000000004</v>
      </c>
      <c r="D252" s="1">
        <v>9.68</v>
      </c>
      <c r="E252" s="1">
        <v>9.8699999999999992</v>
      </c>
      <c r="F252" s="1">
        <v>10.18</v>
      </c>
      <c r="G252" s="1">
        <v>10.91</v>
      </c>
      <c r="H252" s="1">
        <v>261.33999999999997</v>
      </c>
      <c r="I252" s="1">
        <v>449.02</v>
      </c>
      <c r="J252" s="1">
        <v>17.060000000000002</v>
      </c>
      <c r="K252" s="1">
        <v>187.85999999999999</v>
      </c>
      <c r="L252" s="1">
        <v>124.93</v>
      </c>
      <c r="M252">
        <f t="shared" si="79"/>
        <v>898.04</v>
      </c>
      <c r="O252" s="8">
        <f t="shared" si="80"/>
        <v>6.0119613037395325E-2</v>
      </c>
      <c r="P252" s="8">
        <f t="shared" si="81"/>
        <v>4.2452611445265465E-2</v>
      </c>
      <c r="Q252" s="8">
        <f t="shared" si="82"/>
        <v>2.4793388429751984E-2</v>
      </c>
      <c r="R252" s="8">
        <f t="shared" si="83"/>
        <v>2.5329280648429542E-2</v>
      </c>
      <c r="S252" s="8">
        <f t="shared" si="84"/>
        <v>2.3575638506876162E-2</v>
      </c>
      <c r="T252" s="8">
        <f t="shared" si="85"/>
        <v>1.2832263978001635E-2</v>
      </c>
      <c r="U252" s="8">
        <f t="shared" si="86"/>
        <v>3.1759393893013854E-3</v>
      </c>
      <c r="V252" s="8">
        <f t="shared" si="87"/>
        <v>1.278339494900016E-2</v>
      </c>
      <c r="W252" s="8">
        <f t="shared" si="88"/>
        <v>3.5169988276668729E-3</v>
      </c>
      <c r="X252" s="8">
        <f t="shared" si="89"/>
        <v>-2.1452145214521434E-2</v>
      </c>
      <c r="Y252" s="8">
        <f t="shared" si="90"/>
        <v>1.5208516769391611E-3</v>
      </c>
      <c r="Z252" s="8">
        <f t="shared" si="91"/>
        <v>1.278339494900016E-2</v>
      </c>
      <c r="AB252" s="26">
        <f t="shared" si="92"/>
        <v>5.5598688544970271E-2</v>
      </c>
      <c r="AC252" s="26">
        <f t="shared" si="93"/>
        <v>3.9935841426688871E-2</v>
      </c>
      <c r="AD252" s="26">
        <f t="shared" si="94"/>
        <v>2.250118010630104E-2</v>
      </c>
      <c r="AE252" s="26">
        <f t="shared" si="95"/>
        <v>2.3116521375920223E-2</v>
      </c>
      <c r="AF252" s="26">
        <f t="shared" si="96"/>
        <v>2.1394529095431387E-2</v>
      </c>
      <c r="AG252" s="26">
        <f t="shared" si="97"/>
        <v>1.0654262007080025E-2</v>
      </c>
      <c r="AH252" s="26">
        <f t="shared" si="98"/>
        <v>-2.1674406557590196E-3</v>
      </c>
      <c r="AI252" s="26">
        <f t="shared" si="99"/>
        <v>3.8162881996278014E-4</v>
      </c>
      <c r="AJ252" s="26">
        <f t="shared" si="100"/>
        <v>-6.712207143975411E-3</v>
      </c>
      <c r="AK252" s="26">
        <f t="shared" si="101"/>
        <v>-1.9885229932650021E-2</v>
      </c>
      <c r="AL252" s="26">
        <f t="shared" si="102"/>
        <v>5.0450867906948679E-3</v>
      </c>
      <c r="AM252" s="26">
        <f t="shared" si="103"/>
        <v>3.8162881996278014E-4</v>
      </c>
    </row>
    <row r="253" spans="1:39" x14ac:dyDescent="0.2">
      <c r="A253" s="5">
        <v>33024</v>
      </c>
      <c r="B253" s="14">
        <v>6.4548894285999996</v>
      </c>
      <c r="C253" s="14">
        <v>9.0990476190000003</v>
      </c>
      <c r="D253" s="1">
        <v>9.92</v>
      </c>
      <c r="E253" s="1">
        <v>10.119999999999999</v>
      </c>
      <c r="F253" s="1">
        <v>10.42</v>
      </c>
      <c r="G253" s="1">
        <v>11.049999999999999</v>
      </c>
      <c r="H253" s="1">
        <v>262.17</v>
      </c>
      <c r="I253" s="1">
        <v>454.76</v>
      </c>
      <c r="J253" s="1">
        <v>17.12</v>
      </c>
      <c r="K253" s="1">
        <v>183.82999999999998</v>
      </c>
      <c r="L253" s="1">
        <v>125.12</v>
      </c>
      <c r="M253">
        <f t="shared" si="79"/>
        <v>909.52</v>
      </c>
      <c r="O253" s="8">
        <f t="shared" si="80"/>
        <v>3.2826212399730714E-2</v>
      </c>
      <c r="P253" s="8">
        <f t="shared" si="81"/>
        <v>-1.842873997602279E-2</v>
      </c>
      <c r="Q253" s="8">
        <f t="shared" si="82"/>
        <v>-5.0403225806452401E-3</v>
      </c>
      <c r="R253" s="8">
        <f t="shared" si="83"/>
        <v>1.9762845849804478E-3</v>
      </c>
      <c r="S253" s="8">
        <f t="shared" si="84"/>
        <v>9.596928982724684E-4</v>
      </c>
      <c r="T253" s="8">
        <f t="shared" si="85"/>
        <v>-2.7149321266968229E-3</v>
      </c>
      <c r="U253" s="8">
        <f t="shared" si="86"/>
        <v>4.3254376930998761E-2</v>
      </c>
      <c r="V253" s="8">
        <f t="shared" si="87"/>
        <v>-4.1780279707977819E-2</v>
      </c>
      <c r="W253" s="8">
        <f t="shared" si="88"/>
        <v>2.9205607476635587E-2</v>
      </c>
      <c r="X253" s="8">
        <f t="shared" si="89"/>
        <v>-7.0554316488059654E-2</v>
      </c>
      <c r="Y253" s="8">
        <f t="shared" si="90"/>
        <v>6.7295396419437159E-2</v>
      </c>
      <c r="Z253" s="8">
        <f t="shared" si="91"/>
        <v>-4.1780279707977819E-2</v>
      </c>
      <c r="AB253" s="26">
        <f t="shared" si="92"/>
        <v>2.830528790730566E-2</v>
      </c>
      <c r="AC253" s="26">
        <f t="shared" si="93"/>
        <v>-2.0945509994599383E-2</v>
      </c>
      <c r="AD253" s="26">
        <f t="shared" si="94"/>
        <v>-7.3325309040961836E-3</v>
      </c>
      <c r="AE253" s="26">
        <f t="shared" si="95"/>
        <v>-2.3647468752887061E-4</v>
      </c>
      <c r="AF253" s="26">
        <f t="shared" si="96"/>
        <v>-1.2214165131723049E-3</v>
      </c>
      <c r="AG253" s="26">
        <f t="shared" si="97"/>
        <v>-4.8929340976184323E-3</v>
      </c>
      <c r="AH253" s="26">
        <f t="shared" si="98"/>
        <v>3.7910996885938353E-2</v>
      </c>
      <c r="AI253" s="26">
        <f t="shared" si="99"/>
        <v>-5.4182045837015198E-2</v>
      </c>
      <c r="AJ253" s="26">
        <f t="shared" si="100"/>
        <v>1.8976401504993301E-2</v>
      </c>
      <c r="AK253" s="26">
        <f t="shared" si="101"/>
        <v>-6.8987401206188237E-2</v>
      </c>
      <c r="AL253" s="26">
        <f t="shared" si="102"/>
        <v>7.0819631533192859E-2</v>
      </c>
      <c r="AM253" s="26">
        <f t="shared" si="103"/>
        <v>-5.4182045837015198E-2</v>
      </c>
    </row>
    <row r="254" spans="1:39" x14ac:dyDescent="0.2">
      <c r="A254" s="5">
        <v>33054</v>
      </c>
      <c r="B254" s="14">
        <v>6.666779</v>
      </c>
      <c r="C254" s="14">
        <v>8.9313636364000004</v>
      </c>
      <c r="D254" s="1">
        <v>9.8699999999999992</v>
      </c>
      <c r="E254" s="1">
        <v>10.14</v>
      </c>
      <c r="F254" s="1">
        <v>10.43</v>
      </c>
      <c r="G254" s="1">
        <v>11.02</v>
      </c>
      <c r="H254" s="1">
        <v>273.51</v>
      </c>
      <c r="I254" s="1">
        <v>435.76</v>
      </c>
      <c r="J254" s="1">
        <v>17.62</v>
      </c>
      <c r="K254" s="1">
        <v>170.85999999999999</v>
      </c>
      <c r="L254" s="1">
        <v>133.54</v>
      </c>
      <c r="M254">
        <f t="shared" si="79"/>
        <v>871.52</v>
      </c>
      <c r="O254" s="8">
        <f t="shared" si="80"/>
        <v>3.4026326656395822E-2</v>
      </c>
      <c r="P254" s="8">
        <f t="shared" si="81"/>
        <v>1.5074558497571999E-2</v>
      </c>
      <c r="Q254" s="8">
        <f t="shared" si="82"/>
        <v>1.0131712259372039E-2</v>
      </c>
      <c r="R254" s="8">
        <f t="shared" si="83"/>
        <v>1.2820512820512775E-2</v>
      </c>
      <c r="S254" s="8">
        <f t="shared" si="84"/>
        <v>1.2464046021092967E-2</v>
      </c>
      <c r="T254" s="8">
        <f t="shared" si="85"/>
        <v>9.0744101633393193E-3</v>
      </c>
      <c r="U254" s="8">
        <f t="shared" si="86"/>
        <v>-5.4111367043253589E-3</v>
      </c>
      <c r="V254" s="8">
        <f t="shared" si="87"/>
        <v>0</v>
      </c>
      <c r="W254" s="8">
        <f t="shared" si="88"/>
        <v>-0.15323496027241779</v>
      </c>
      <c r="X254" s="8">
        <f t="shared" si="89"/>
        <v>9.3643918997998732E-4</v>
      </c>
      <c r="Y254" s="8">
        <f t="shared" si="90"/>
        <v>-3.5944286356147659E-3</v>
      </c>
      <c r="Z254" s="8">
        <f t="shared" si="91"/>
        <v>0</v>
      </c>
      <c r="AB254" s="26">
        <f t="shared" si="92"/>
        <v>2.9505402163970768E-2</v>
      </c>
      <c r="AC254" s="26">
        <f t="shared" si="93"/>
        <v>1.2557788478995406E-2</v>
      </c>
      <c r="AD254" s="26">
        <f t="shared" si="94"/>
        <v>7.8395039359210952E-3</v>
      </c>
      <c r="AE254" s="26">
        <f t="shared" si="95"/>
        <v>1.0607753548003456E-2</v>
      </c>
      <c r="AF254" s="26">
        <f t="shared" si="96"/>
        <v>1.0282936609648194E-2</v>
      </c>
      <c r="AG254" s="26">
        <f t="shared" si="97"/>
        <v>6.8964081924177099E-3</v>
      </c>
      <c r="AH254" s="26">
        <f t="shared" si="98"/>
        <v>-1.0754516749385764E-2</v>
      </c>
      <c r="AI254" s="26">
        <f t="shared" si="99"/>
        <v>-1.240176612903738E-2</v>
      </c>
      <c r="AJ254" s="26">
        <f t="shared" si="100"/>
        <v>-0.16346416624406007</v>
      </c>
      <c r="AK254" s="26">
        <f t="shared" si="101"/>
        <v>2.5033544718514019E-3</v>
      </c>
      <c r="AL254" s="26">
        <f t="shared" si="102"/>
        <v>-7.0193521859059516E-5</v>
      </c>
      <c r="AM254" s="26">
        <f t="shared" si="103"/>
        <v>-1.240176612903738E-2</v>
      </c>
    </row>
    <row r="255" spans="1:39" x14ac:dyDescent="0.2">
      <c r="A255" s="5">
        <v>33085</v>
      </c>
      <c r="B255" s="14">
        <v>6.8936250000000001</v>
      </c>
      <c r="C255" s="14">
        <v>9.0659999999999989</v>
      </c>
      <c r="D255" s="1">
        <v>9.9700000000000006</v>
      </c>
      <c r="E255" s="1">
        <v>10.27</v>
      </c>
      <c r="F255" s="1">
        <v>10.56</v>
      </c>
      <c r="G255" s="1">
        <v>11.12</v>
      </c>
      <c r="H255" s="1">
        <v>272.02999999999997</v>
      </c>
      <c r="I255" s="1">
        <v>435.76</v>
      </c>
      <c r="J255" s="1">
        <v>14.92</v>
      </c>
      <c r="K255" s="1">
        <v>171.01999999999998</v>
      </c>
      <c r="L255" s="1">
        <v>133.06</v>
      </c>
      <c r="M255">
        <f t="shared" si="79"/>
        <v>871.52</v>
      </c>
      <c r="O255" s="8">
        <f t="shared" si="80"/>
        <v>5.8872061230484718E-2</v>
      </c>
      <c r="P255" s="8">
        <f t="shared" si="81"/>
        <v>2.2549612011912856E-2</v>
      </c>
      <c r="Q255" s="8">
        <f t="shared" si="82"/>
        <v>1.5045135406218435E-2</v>
      </c>
      <c r="R255" s="8">
        <f t="shared" si="83"/>
        <v>1.0710808179162479E-2</v>
      </c>
      <c r="S255" s="8">
        <f t="shared" si="84"/>
        <v>7.575757575757569E-3</v>
      </c>
      <c r="T255" s="8">
        <f t="shared" si="85"/>
        <v>8.9928057553958496E-3</v>
      </c>
      <c r="U255" s="8">
        <f t="shared" si="86"/>
        <v>-3.8598683968679937E-2</v>
      </c>
      <c r="V255" s="8">
        <f t="shared" si="87"/>
        <v>-1.43427574811823E-2</v>
      </c>
      <c r="W255" s="8">
        <f t="shared" si="88"/>
        <v>7.3726541554959946E-2</v>
      </c>
      <c r="X255" s="8">
        <f t="shared" si="89"/>
        <v>-1.6138463337621256E-2</v>
      </c>
      <c r="Y255" s="8">
        <f t="shared" si="90"/>
        <v>2.6078460844731755E-2</v>
      </c>
      <c r="Z255" s="8">
        <f t="shared" si="91"/>
        <v>-1.43427574811823E-2</v>
      </c>
      <c r="AB255" s="26">
        <f t="shared" si="92"/>
        <v>5.4351136738059663E-2</v>
      </c>
      <c r="AC255" s="26">
        <f t="shared" si="93"/>
        <v>2.0032841993336263E-2</v>
      </c>
      <c r="AD255" s="26">
        <f t="shared" si="94"/>
        <v>1.2752927082767491E-2</v>
      </c>
      <c r="AE255" s="26">
        <f t="shared" si="95"/>
        <v>8.4980489066531599E-3</v>
      </c>
      <c r="AF255" s="26">
        <f t="shared" si="96"/>
        <v>5.3946481643127962E-3</v>
      </c>
      <c r="AG255" s="26">
        <f t="shared" si="97"/>
        <v>6.8148037844742403E-3</v>
      </c>
      <c r="AH255" s="26">
        <f t="shared" si="98"/>
        <v>-4.3942064013740345E-2</v>
      </c>
      <c r="AI255" s="26">
        <f t="shared" si="99"/>
        <v>-2.674452361021968E-2</v>
      </c>
      <c r="AJ255" s="26">
        <f t="shared" si="100"/>
        <v>6.349733558331766E-2</v>
      </c>
      <c r="AK255" s="26">
        <f t="shared" si="101"/>
        <v>-1.4571548055749842E-2</v>
      </c>
      <c r="AL255" s="26">
        <f t="shared" si="102"/>
        <v>2.9602695958487461E-2</v>
      </c>
      <c r="AM255" s="26">
        <f t="shared" si="103"/>
        <v>-2.674452361021968E-2</v>
      </c>
    </row>
    <row r="256" spans="1:39" x14ac:dyDescent="0.2">
      <c r="A256" s="5">
        <v>33116</v>
      </c>
      <c r="B256" s="14">
        <v>7.2994669130999998</v>
      </c>
      <c r="C256" s="14">
        <v>9.2704347825000006</v>
      </c>
      <c r="D256" s="1">
        <v>10.119999999999999</v>
      </c>
      <c r="E256" s="1">
        <v>10.379999999999999</v>
      </c>
      <c r="F256" s="1">
        <v>10.64</v>
      </c>
      <c r="G256" s="1">
        <v>11.22</v>
      </c>
      <c r="H256" s="1">
        <v>261.52999999999997</v>
      </c>
      <c r="I256" s="1">
        <v>429.51</v>
      </c>
      <c r="J256" s="1">
        <v>16.020000000000003</v>
      </c>
      <c r="K256" s="1">
        <v>168.26</v>
      </c>
      <c r="L256" s="1">
        <v>136.53</v>
      </c>
      <c r="M256">
        <f t="shared" si="79"/>
        <v>859.02</v>
      </c>
      <c r="O256" s="8">
        <f t="shared" si="80"/>
        <v>2.5469269073109091E-2</v>
      </c>
      <c r="P256" s="8">
        <f t="shared" si="81"/>
        <v>-3.0558644987695338E-2</v>
      </c>
      <c r="Q256" s="8">
        <f t="shared" si="82"/>
        <v>-2.8656126482213384E-2</v>
      </c>
      <c r="R256" s="8">
        <f t="shared" si="83"/>
        <v>-2.9865125240847612E-2</v>
      </c>
      <c r="S256" s="8">
        <f t="shared" si="84"/>
        <v>-2.7255639097744422E-2</v>
      </c>
      <c r="T256" s="8">
        <f t="shared" si="85"/>
        <v>-2.673796791443861E-2</v>
      </c>
      <c r="U256" s="8">
        <f t="shared" si="86"/>
        <v>3.9727755897985162E-2</v>
      </c>
      <c r="V256" s="8">
        <f t="shared" si="87"/>
        <v>-8.0906148867313954E-2</v>
      </c>
      <c r="W256" s="8">
        <f t="shared" si="88"/>
        <v>-5.9925093632958948E-2</v>
      </c>
      <c r="X256" s="8">
        <f t="shared" si="89"/>
        <v>5.1111375252586022E-3</v>
      </c>
      <c r="Y256" s="8">
        <f t="shared" si="90"/>
        <v>-1.9189921628946061E-2</v>
      </c>
      <c r="Z256" s="8">
        <f t="shared" si="91"/>
        <v>-8.0906148867313954E-2</v>
      </c>
      <c r="AB256" s="26">
        <f t="shared" si="92"/>
        <v>2.0948344580684036E-2</v>
      </c>
      <c r="AC256" s="26">
        <f t="shared" si="93"/>
        <v>-3.3075415006271931E-2</v>
      </c>
      <c r="AD256" s="26">
        <f t="shared" si="94"/>
        <v>-3.0948334805664328E-2</v>
      </c>
      <c r="AE256" s="26">
        <f t="shared" si="95"/>
        <v>-3.2077884513356927E-2</v>
      </c>
      <c r="AF256" s="26">
        <f t="shared" si="96"/>
        <v>-2.9436748509189196E-2</v>
      </c>
      <c r="AG256" s="26">
        <f t="shared" si="97"/>
        <v>-2.8915969885360219E-2</v>
      </c>
      <c r="AH256" s="26">
        <f t="shared" si="98"/>
        <v>3.4384375852924753E-2</v>
      </c>
      <c r="AI256" s="26">
        <f t="shared" si="99"/>
        <v>-9.3307914996351327E-2</v>
      </c>
      <c r="AJ256" s="26">
        <f t="shared" si="100"/>
        <v>-7.0154299604601233E-2</v>
      </c>
      <c r="AK256" s="26">
        <f t="shared" si="101"/>
        <v>6.6780528071300168E-3</v>
      </c>
      <c r="AL256" s="26">
        <f t="shared" si="102"/>
        <v>-1.5665686515190354E-2</v>
      </c>
      <c r="AM256" s="26">
        <f t="shared" si="103"/>
        <v>-9.3307914996351327E-2</v>
      </c>
    </row>
    <row r="257" spans="1:26" x14ac:dyDescent="0.2">
      <c r="A257" s="5">
        <v>33146</v>
      </c>
      <c r="B257" s="14">
        <v>7.485379</v>
      </c>
      <c r="C257" s="14">
        <v>8.9871428571000003</v>
      </c>
      <c r="D257" s="1">
        <v>9.83</v>
      </c>
      <c r="E257" s="1">
        <v>10.07</v>
      </c>
      <c r="F257" s="1">
        <v>10.35</v>
      </c>
      <c r="G257" s="1">
        <v>10.92</v>
      </c>
      <c r="H257" s="1">
        <v>271.92</v>
      </c>
      <c r="I257" s="1">
        <v>394.76</v>
      </c>
      <c r="J257" s="1">
        <v>15.06</v>
      </c>
      <c r="K257" s="1">
        <v>169.12</v>
      </c>
      <c r="L257" s="1">
        <v>133.91</v>
      </c>
      <c r="M257">
        <f t="shared" si="79"/>
        <v>789.52</v>
      </c>
    </row>
    <row r="258" spans="1:26" x14ac:dyDescent="0.2">
      <c r="N258" s="25" t="s">
        <v>33</v>
      </c>
      <c r="O258" s="54">
        <f>AVERAGE(O7:O256)</f>
        <v>4.5209244924250529E-3</v>
      </c>
      <c r="P258" s="54">
        <f t="shared" ref="P258:Z258" si="104">AVERAGE(P7:P256)</f>
        <v>2.516770018576594E-3</v>
      </c>
      <c r="Q258" s="54">
        <f t="shared" si="104"/>
        <v>2.292208323450944E-3</v>
      </c>
      <c r="R258" s="54">
        <f t="shared" si="104"/>
        <v>2.2127592725093184E-3</v>
      </c>
      <c r="S258" s="54">
        <f t="shared" si="104"/>
        <v>2.1811094114447733E-3</v>
      </c>
      <c r="T258" s="54">
        <f t="shared" si="104"/>
        <v>2.1780019709216093E-3</v>
      </c>
      <c r="U258" s="54">
        <f t="shared" si="104"/>
        <v>5.3433800450604051E-3</v>
      </c>
      <c r="V258" s="54">
        <f t="shared" si="104"/>
        <v>1.240176612903738E-2</v>
      </c>
      <c r="W258" s="54">
        <f t="shared" si="104"/>
        <v>1.0229205971642284E-2</v>
      </c>
      <c r="X258" s="54">
        <f t="shared" si="104"/>
        <v>-1.5669152818714146E-3</v>
      </c>
      <c r="Y258" s="54">
        <f t="shared" si="104"/>
        <v>-3.5242351137557064E-3</v>
      </c>
      <c r="Z258" s="54">
        <f t="shared" si="104"/>
        <v>1.240176612903738E-2</v>
      </c>
    </row>
    <row r="259" spans="1:26" x14ac:dyDescent="0.2">
      <c r="N259" s="25" t="s">
        <v>34</v>
      </c>
      <c r="O259" s="54">
        <f>STDEV(O7:O256)</f>
        <v>7.3599879892851619E-2</v>
      </c>
      <c r="P259" s="54">
        <f t="shared" ref="P259:Z259" si="105">STDEV(P7:P256)</f>
        <v>3.8393651089741521E-2</v>
      </c>
      <c r="Q259" s="54">
        <f t="shared" si="105"/>
        <v>2.7202528149577642E-2</v>
      </c>
      <c r="R259" s="54">
        <f t="shared" si="105"/>
        <v>2.4434758669712335E-2</v>
      </c>
      <c r="S259" s="54">
        <f t="shared" si="105"/>
        <v>2.3825411931591479E-2</v>
      </c>
      <c r="T259" s="54">
        <f t="shared" si="105"/>
        <v>2.2006590601605546E-2</v>
      </c>
      <c r="U259" s="54">
        <f t="shared" si="105"/>
        <v>4.6503495984036587E-2</v>
      </c>
      <c r="V259" s="54">
        <f t="shared" si="105"/>
        <v>7.4907816212061981E-2</v>
      </c>
      <c r="W259" s="54">
        <f t="shared" si="105"/>
        <v>0.10464112690663466</v>
      </c>
      <c r="X259" s="54">
        <f t="shared" si="105"/>
        <v>2.9133568089123391E-2</v>
      </c>
      <c r="Y259" s="54">
        <f t="shared" si="105"/>
        <v>2.9729017075862747E-2</v>
      </c>
      <c r="Z259" s="54">
        <f t="shared" si="105"/>
        <v>7.4907816212061981E-2</v>
      </c>
    </row>
    <row r="260" spans="1:26" x14ac:dyDescent="0.2">
      <c r="N260" s="24" t="s">
        <v>35</v>
      </c>
      <c r="O260" s="58">
        <f>VAR(O7:O256)</f>
        <v>5.4169423202421836E-3</v>
      </c>
      <c r="P260" s="58">
        <f t="shared" ref="P260:Z260" si="106">VAR(P7:P256)</f>
        <v>1.4740724440008104E-3</v>
      </c>
      <c r="Q260" s="58">
        <f t="shared" si="106"/>
        <v>7.399775377285641E-4</v>
      </c>
      <c r="R260" s="58">
        <f t="shared" si="106"/>
        <v>5.9705743124708211E-4</v>
      </c>
      <c r="S260" s="58">
        <f t="shared" si="106"/>
        <v>5.6765025371002158E-4</v>
      </c>
      <c r="T260" s="58">
        <f t="shared" si="106"/>
        <v>4.8429002990667351E-4</v>
      </c>
      <c r="U260" s="58">
        <f t="shared" si="106"/>
        <v>2.1625751387373067E-3</v>
      </c>
      <c r="V260" s="58">
        <f t="shared" si="106"/>
        <v>5.611180929660055E-3</v>
      </c>
      <c r="W260" s="58">
        <f t="shared" si="106"/>
        <v>1.0949765440290419E-2</v>
      </c>
      <c r="X260" s="58">
        <f t="shared" si="106"/>
        <v>8.4876478960358879E-4</v>
      </c>
      <c r="Y260" s="58">
        <f t="shared" si="106"/>
        <v>8.8381445629693873E-4</v>
      </c>
      <c r="Z260" s="60">
        <f t="shared" si="106"/>
        <v>5.611180929660055E-3</v>
      </c>
    </row>
  </sheetData>
  <mergeCells count="2">
    <mergeCell ref="O5:Z5"/>
    <mergeCell ref="AB5:AM5"/>
  </mergeCells>
  <hyperlinks>
    <hyperlink ref="AU36" r:id="rId1"/>
    <hyperlink ref="AU20" r:id="rId2" location="VBA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K258"/>
  <sheetViews>
    <sheetView topLeftCell="AA20" workbookViewId="0">
      <selection activeCell="D261" sqref="D261"/>
    </sheetView>
  </sheetViews>
  <sheetFormatPr baseColWidth="10" defaultRowHeight="16" x14ac:dyDescent="0.2"/>
  <cols>
    <col min="1" max="1" width="15.83203125" customWidth="1"/>
    <col min="47" max="47" width="12.6640625" bestFit="1" customWidth="1"/>
    <col min="52" max="52" width="12" customWidth="1"/>
  </cols>
  <sheetData>
    <row r="1" spans="1:63" x14ac:dyDescent="0.2">
      <c r="A1" s="45" t="s">
        <v>61</v>
      </c>
    </row>
    <row r="2" spans="1:63" ht="18" x14ac:dyDescent="0.2">
      <c r="A2" s="1">
        <v>7</v>
      </c>
      <c r="B2" s="9" t="s">
        <v>22</v>
      </c>
      <c r="Z2" t="s">
        <v>67</v>
      </c>
      <c r="AB2">
        <f>COUNT(X5:X254)</f>
        <v>250</v>
      </c>
      <c r="AZ2" s="68" t="s">
        <v>74</v>
      </c>
    </row>
    <row r="3" spans="1:63" x14ac:dyDescent="0.2">
      <c r="B3" s="43" t="s">
        <v>17</v>
      </c>
      <c r="C3" s="43"/>
      <c r="D3" s="43"/>
      <c r="E3" s="43"/>
      <c r="F3" s="43"/>
      <c r="G3" s="43"/>
      <c r="H3" s="43"/>
      <c r="I3" s="43"/>
      <c r="J3" s="43"/>
      <c r="K3" s="43"/>
      <c r="L3" s="43"/>
      <c r="N3" s="43" t="s">
        <v>36</v>
      </c>
      <c r="O3" s="43"/>
      <c r="P3" s="43"/>
      <c r="Q3" s="43"/>
      <c r="R3" s="43"/>
      <c r="S3" s="43"/>
      <c r="T3" s="43"/>
      <c r="U3" s="43"/>
      <c r="V3" s="43"/>
      <c r="W3" s="43"/>
      <c r="X3" s="43"/>
      <c r="Z3" s="24" t="s">
        <v>41</v>
      </c>
      <c r="AA3" s="24"/>
      <c r="AM3" s="46" t="s">
        <v>44</v>
      </c>
      <c r="AN3" s="31"/>
      <c r="AO3" s="31"/>
      <c r="AQ3" s="41" t="s">
        <v>51</v>
      </c>
      <c r="AR3" s="41"/>
      <c r="AS3" s="41"/>
      <c r="AT3" s="42" t="s">
        <v>52</v>
      </c>
      <c r="AU3" s="41"/>
      <c r="AV3" s="41"/>
      <c r="AW3" s="41"/>
      <c r="BA3" t="s">
        <v>73</v>
      </c>
    </row>
    <row r="4" spans="1:63" x14ac:dyDescent="0.2">
      <c r="B4" s="4" t="s">
        <v>6</v>
      </c>
      <c r="C4" s="4" t="s">
        <v>7</v>
      </c>
      <c r="D4" s="4" t="s">
        <v>8</v>
      </c>
      <c r="E4" s="4" t="s">
        <v>9</v>
      </c>
      <c r="F4" s="4" t="s">
        <v>10</v>
      </c>
      <c r="G4" s="4" t="s">
        <v>11</v>
      </c>
      <c r="H4" s="4" t="s">
        <v>12</v>
      </c>
      <c r="I4" s="4" t="s">
        <v>13</v>
      </c>
      <c r="J4" s="4" t="s">
        <v>14</v>
      </c>
      <c r="K4" s="4" t="s">
        <v>15</v>
      </c>
      <c r="L4" s="4" t="s">
        <v>16</v>
      </c>
      <c r="N4" s="4" t="s">
        <v>6</v>
      </c>
      <c r="O4" s="4" t="s">
        <v>7</v>
      </c>
      <c r="P4" s="4" t="s">
        <v>8</v>
      </c>
      <c r="Q4" s="4" t="s">
        <v>9</v>
      </c>
      <c r="R4" s="4" t="s">
        <v>10</v>
      </c>
      <c r="S4" s="4" t="s">
        <v>11</v>
      </c>
      <c r="T4" s="4" t="s">
        <v>12</v>
      </c>
      <c r="U4" s="4" t="s">
        <v>13</v>
      </c>
      <c r="V4" s="4" t="s">
        <v>14</v>
      </c>
      <c r="W4" s="4" t="s">
        <v>15</v>
      </c>
      <c r="X4" s="4" t="s">
        <v>16</v>
      </c>
      <c r="Z4" s="27"/>
      <c r="AA4" s="20" t="s">
        <v>6</v>
      </c>
      <c r="AB4" s="20" t="s">
        <v>7</v>
      </c>
      <c r="AC4" s="20" t="s">
        <v>8</v>
      </c>
      <c r="AD4" s="20" t="s">
        <v>9</v>
      </c>
      <c r="AE4" s="20" t="s">
        <v>10</v>
      </c>
      <c r="AF4" s="20" t="s">
        <v>11</v>
      </c>
      <c r="AG4" s="20" t="s">
        <v>12</v>
      </c>
      <c r="AH4" s="20" t="s">
        <v>13</v>
      </c>
      <c r="AI4" s="20" t="s">
        <v>14</v>
      </c>
      <c r="AJ4" s="20" t="s">
        <v>15</v>
      </c>
      <c r="AK4" s="20" t="s">
        <v>16</v>
      </c>
      <c r="AM4" s="40" t="s">
        <v>45</v>
      </c>
      <c r="AN4" s="44" t="s">
        <v>46</v>
      </c>
      <c r="AO4" s="44"/>
      <c r="AP4" s="44"/>
      <c r="AQ4" s="44"/>
      <c r="AR4" s="44"/>
      <c r="AS4" s="44"/>
      <c r="AT4" s="44"/>
      <c r="AU4" s="44"/>
      <c r="AV4" s="44"/>
      <c r="AW4" s="44"/>
      <c r="AX4" s="44"/>
      <c r="AZ4" s="40" t="s">
        <v>45</v>
      </c>
      <c r="BA4" s="44" t="s">
        <v>46</v>
      </c>
      <c r="BB4" s="44"/>
      <c r="BC4" s="44"/>
      <c r="BD4" s="44"/>
      <c r="BE4" s="44"/>
      <c r="BF4" s="44"/>
      <c r="BG4" s="44"/>
      <c r="BH4" s="44"/>
      <c r="BI4" s="44"/>
      <c r="BJ4" s="44"/>
      <c r="BK4" s="44"/>
    </row>
    <row r="5" spans="1:63" x14ac:dyDescent="0.2">
      <c r="A5" s="5">
        <v>25537</v>
      </c>
      <c r="B5" s="8">
        <f>+'Simulation and  VaR'!B18/'Simulation and  VaR'!B17-1</f>
        <v>5.1386968087673734E-2</v>
      </c>
      <c r="C5" s="8">
        <f>+'Simulation and  VaR'!C18/'Simulation and  VaR'!C17-1</f>
        <v>-8.6805555555555802E-3</v>
      </c>
      <c r="D5" s="8">
        <f>+'Simulation and  VaR'!D18/'Simulation and  VaR'!D17-1</f>
        <v>1.9736842105263275E-2</v>
      </c>
      <c r="E5" s="8">
        <f>+'Simulation and  VaR'!E18/'Simulation and  VaR'!E17-1</f>
        <v>1.9230769230769162E-2</v>
      </c>
      <c r="F5" s="8">
        <f>+'Simulation and  VaR'!F18/'Simulation and  VaR'!F17-1</f>
        <v>2.3291925465838581E-2</v>
      </c>
      <c r="G5" s="8">
        <f>+'Simulation and  VaR'!G18/'Simulation and  VaR'!G17-1</f>
        <v>3.1203566121842385E-2</v>
      </c>
      <c r="H5" s="8">
        <f>+'Simulation and  VaR'!H18/'Simulation and  VaR'!H17-1</f>
        <v>2.6273800659504243E-2</v>
      </c>
      <c r="I5" s="8">
        <f>+'Simulation and  VaR'!I18/'Simulation and  VaR'!I17-1</f>
        <v>0</v>
      </c>
      <c r="J5" s="8">
        <f>+'Simulation and  VaR'!J18/'Simulation and  VaR'!J17-1</f>
        <v>0</v>
      </c>
      <c r="K5" s="8">
        <f>+'Simulation and  VaR'!K18/'Simulation and  VaR'!K17-1</f>
        <v>-0.13518272305867973</v>
      </c>
      <c r="L5" s="8">
        <f>+'Simulation and  VaR'!L18/'Simulation and  VaR'!L17-1</f>
        <v>-4.3425138892050352E-4</v>
      </c>
      <c r="N5" s="26">
        <f>B5-$B$256</f>
        <v>4.7375504227368345E-2</v>
      </c>
      <c r="O5" s="26">
        <f>C5-$C$256</f>
        <v>-1.065887186784697E-2</v>
      </c>
      <c r="P5" s="26">
        <f>D5-$D$256</f>
        <v>1.7983966058568626E-2</v>
      </c>
      <c r="Q5" s="26">
        <f>E5-$E$256</f>
        <v>1.7658500992459164E-2</v>
      </c>
      <c r="R5" s="26">
        <f>F5-$F$256</f>
        <v>2.1814024528125118E-2</v>
      </c>
      <c r="S5" s="26">
        <f>G5-$G$256</f>
        <v>2.9744919912112582E-2</v>
      </c>
      <c r="T5" s="26">
        <f>H5-$H$256</f>
        <v>2.0930420614443838E-2</v>
      </c>
      <c r="U5" s="26">
        <f>I5-$I$256</f>
        <v>-1.240176612903738E-2</v>
      </c>
      <c r="V5" s="26">
        <f>J5-$J$256</f>
        <v>-1.0229205971642284E-2</v>
      </c>
      <c r="W5" s="26">
        <f>K5-$K$256</f>
        <v>-0.13361580777680832</v>
      </c>
      <c r="X5" s="26">
        <f>L5-$L$256</f>
        <v>3.0899837248352028E-3</v>
      </c>
      <c r="Z5" s="20" t="s">
        <v>6</v>
      </c>
      <c r="AA5" s="28">
        <f t="array" ref="AA5:AK15">MMULT(TRANSPOSE(N5:X254),N5:X254)/(AB2-1)</f>
        <v>1.6500438212466537E-3</v>
      </c>
      <c r="AB5" s="29">
        <v>5.163847175456976E-4</v>
      </c>
      <c r="AC5" s="29">
        <v>2.3538723377619693E-4</v>
      </c>
      <c r="AD5" s="29">
        <v>1.9341403610910482E-4</v>
      </c>
      <c r="AE5" s="29">
        <v>2.150244865344431E-4</v>
      </c>
      <c r="AF5" s="29">
        <v>2.0888512037025436E-4</v>
      </c>
      <c r="AG5" s="29">
        <v>-2.1437045486306011E-4</v>
      </c>
      <c r="AH5" s="29">
        <v>3.8044533870976341E-5</v>
      </c>
      <c r="AI5" s="29">
        <v>2.4191835956749057E-4</v>
      </c>
      <c r="AJ5" s="29">
        <v>-1.4192864682638441E-4</v>
      </c>
      <c r="AK5" s="29">
        <v>9.6529137427617324E-5</v>
      </c>
      <c r="AM5" s="27">
        <f t="array" ref="AM5:AX15">EIGEN_JK(AA5:AK15)</f>
        <v>1.1435352645397705E-2</v>
      </c>
      <c r="AN5" s="27">
        <v>2.8228906095368659E-2</v>
      </c>
      <c r="AO5" s="27">
        <v>1.7147293773597076E-2</v>
      </c>
      <c r="AP5" s="27">
        <v>0.52625818503849775</v>
      </c>
      <c r="AQ5" s="27">
        <v>0.68327867286981847</v>
      </c>
      <c r="AR5" s="27">
        <v>-0.11614647311125215</v>
      </c>
      <c r="AS5" s="27">
        <v>-0.47144023445109789</v>
      </c>
      <c r="AT5" s="27">
        <v>-9.0937848755017425E-2</v>
      </c>
      <c r="AU5" s="27">
        <v>0.10312324110243383</v>
      </c>
      <c r="AV5" s="27">
        <v>1.6086185417088998E-2</v>
      </c>
      <c r="AW5" s="27">
        <v>8.2565587010860128E-3</v>
      </c>
      <c r="AX5" s="27">
        <v>-1.0712040751984104E-2</v>
      </c>
      <c r="AZ5" s="27">
        <v>1.1591607758921927E-2</v>
      </c>
      <c r="BA5" s="27">
        <v>0.11401955600041436</v>
      </c>
      <c r="BB5" s="27">
        <v>-0.74707494685851539</v>
      </c>
      <c r="BC5" s="27">
        <v>0.25867221695940801</v>
      </c>
      <c r="BD5" s="27">
        <v>-0.39418683377143621</v>
      </c>
      <c r="BE5" s="27">
        <v>-0.44536508005046543</v>
      </c>
      <c r="BF5" s="27">
        <v>-1.8623057758633387E-2</v>
      </c>
      <c r="BG5" s="27">
        <v>4.8522331748479197E-2</v>
      </c>
      <c r="BH5" s="27">
        <v>7.4225567771163875E-2</v>
      </c>
      <c r="BI5" s="27">
        <v>1.5133680531396334E-4</v>
      </c>
      <c r="BJ5" s="27">
        <v>3.9356085937506226E-3</v>
      </c>
      <c r="BK5" s="27">
        <v>2.7843428779849373E-3</v>
      </c>
    </row>
    <row r="6" spans="1:63" x14ac:dyDescent="0.2">
      <c r="A6" s="5">
        <v>25568</v>
      </c>
      <c r="B6" s="8">
        <f>+'Simulation and  VaR'!B19/'Simulation and  VaR'!B18-1</f>
        <v>6.1136490755879791E-3</v>
      </c>
      <c r="C6" s="8">
        <f>+'Simulation and  VaR'!C19/'Simulation and  VaR'!C18-1</f>
        <v>-2.9772329246935181E-2</v>
      </c>
      <c r="D6" s="8">
        <f>+'Simulation and  VaR'!D19/'Simulation and  VaR'!D18-1</f>
        <v>-3.225806451612967E-3</v>
      </c>
      <c r="E6" s="8">
        <f>+'Simulation and  VaR'!E19/'Simulation and  VaR'!E18-1</f>
        <v>-9.4339622641508303E-3</v>
      </c>
      <c r="F6" s="8">
        <f>+'Simulation and  VaR'!F19/'Simulation and  VaR'!F18-1</f>
        <v>-1.5174506828528056E-2</v>
      </c>
      <c r="G6" s="8">
        <f>+'Simulation and  VaR'!G19/'Simulation and  VaR'!G18-1</f>
        <v>-1.2968299711815567E-2</v>
      </c>
      <c r="H6" s="8">
        <f>+'Simulation and  VaR'!H19/'Simulation and  VaR'!H18-1</f>
        <v>-4.3843283582089554E-2</v>
      </c>
      <c r="I6" s="8">
        <f>+'Simulation and  VaR'!I19/'Simulation and  VaR'!I18-1</f>
        <v>5.7126535275635604E-3</v>
      </c>
      <c r="J6" s="8">
        <f>+'Simulation and  VaR'!J19/'Simulation and  VaR'!J18-1</f>
        <v>0</v>
      </c>
      <c r="K6" s="8">
        <f>+'Simulation and  VaR'!K19/'Simulation and  VaR'!K18-1</f>
        <v>1.0803174471267774E-3</v>
      </c>
      <c r="L6" s="8">
        <f>+'Simulation and  VaR'!L19/'Simulation and  VaR'!L18-1</f>
        <v>7.6051788208153503E-4</v>
      </c>
      <c r="N6" s="26">
        <f t="shared" ref="N6:N69" si="0">B6-$B$256</f>
        <v>2.1021852152825872E-3</v>
      </c>
      <c r="O6" s="26">
        <f t="shared" ref="O6:O69" si="1">C6-$C$256</f>
        <v>-3.1750645559226569E-2</v>
      </c>
      <c r="P6" s="26">
        <f t="shared" ref="P6:P69" si="2">D6-$D$256</f>
        <v>-4.9786824983076156E-3</v>
      </c>
      <c r="Q6" s="26">
        <f t="shared" ref="Q6:Q69" si="3">E6-$E$256</f>
        <v>-1.100623050246083E-2</v>
      </c>
      <c r="R6" s="26">
        <f t="shared" ref="R6:R69" si="4">F6-$F$256</f>
        <v>-1.6652407766241519E-2</v>
      </c>
      <c r="S6" s="26">
        <f t="shared" ref="S6:S69" si="5">G6-$G$256</f>
        <v>-1.4426945921545373E-2</v>
      </c>
      <c r="T6" s="26">
        <f t="shared" ref="T6:T69" si="6">H6-$H$256</f>
        <v>-4.9186663627149962E-2</v>
      </c>
      <c r="U6" s="26">
        <f t="shared" ref="U6:U69" si="7">I6-$I$256</f>
        <v>-6.6891126014738192E-3</v>
      </c>
      <c r="V6" s="26">
        <f t="shared" ref="V6:V69" si="8">J6-$J$256</f>
        <v>-1.0229205971642284E-2</v>
      </c>
      <c r="W6" s="26">
        <f t="shared" ref="W6:W69" si="9">K6-$K$256</f>
        <v>2.6472327289981919E-3</v>
      </c>
      <c r="X6" s="26">
        <f t="shared" ref="X6:X69" si="10">L6-$L$256</f>
        <v>4.2847529958372418E-3</v>
      </c>
      <c r="Z6" s="20" t="s">
        <v>7</v>
      </c>
      <c r="AA6" s="29">
        <v>5.163847175456976E-4</v>
      </c>
      <c r="AB6" s="28">
        <v>5.104317528854713E-4</v>
      </c>
      <c r="AC6" s="29">
        <v>2.1192004509188836E-4</v>
      </c>
      <c r="AD6" s="29">
        <v>1.6719198636839705E-4</v>
      </c>
      <c r="AE6" s="29">
        <v>1.6229682699217768E-4</v>
      </c>
      <c r="AF6" s="29">
        <v>1.70109885621337E-4</v>
      </c>
      <c r="AG6" s="29">
        <v>-1.8783184174436311E-4</v>
      </c>
      <c r="AH6" s="29">
        <v>1.9454322058495447E-4</v>
      </c>
      <c r="AI6" s="29">
        <v>2.5198310917740957E-4</v>
      </c>
      <c r="AJ6" s="29">
        <v>1.3935618485323182E-5</v>
      </c>
      <c r="AK6" s="29">
        <v>2.2034714451390216E-6</v>
      </c>
      <c r="AM6" s="33">
        <v>5.3810453676168025E-3</v>
      </c>
      <c r="AN6" s="33">
        <v>2.9270466965560907E-2</v>
      </c>
      <c r="AO6" s="33">
        <v>-2.0817654542186478E-2</v>
      </c>
      <c r="AP6" s="33">
        <v>0.2615400953964776</v>
      </c>
      <c r="AQ6" s="33">
        <v>0.23636123338929557</v>
      </c>
      <c r="AR6" s="33">
        <v>-0.11767268937014878</v>
      </c>
      <c r="AS6" s="33">
        <v>0.48481114785037849</v>
      </c>
      <c r="AT6" s="33">
        <v>2.4513675530893144E-2</v>
      </c>
      <c r="AU6" s="33">
        <v>-0.78758088032937157</v>
      </c>
      <c r="AV6" s="33">
        <v>-4.503682309602388E-2</v>
      </c>
      <c r="AW6" s="33">
        <v>-4.9865667238017372E-2</v>
      </c>
      <c r="AX6" s="27">
        <v>1.2322192963441605E-2</v>
      </c>
      <c r="AZ6" s="27">
        <v>7.7351315871149176E-3</v>
      </c>
      <c r="BA6" s="27">
        <v>0.10527475751065747</v>
      </c>
      <c r="BB6" s="27">
        <v>-0.31186465361553228</v>
      </c>
      <c r="BC6" s="27">
        <v>0.15214864038183473</v>
      </c>
      <c r="BD6" s="27">
        <v>0.1160955659217409</v>
      </c>
      <c r="BE6" s="27">
        <v>0.38833694333973973</v>
      </c>
      <c r="BF6" s="27">
        <v>0.1415461736744266</v>
      </c>
      <c r="BG6" s="27">
        <v>-7.4305336656419474E-2</v>
      </c>
      <c r="BH6" s="27">
        <v>-0.79783822501742652</v>
      </c>
      <c r="BI6" s="27">
        <v>-0.1961085660201311</v>
      </c>
      <c r="BJ6" s="27">
        <v>-5.438463609650307E-2</v>
      </c>
      <c r="BK6" s="27">
        <v>2.6570634081515859E-2</v>
      </c>
    </row>
    <row r="7" spans="1:63" x14ac:dyDescent="0.2">
      <c r="A7" s="5">
        <v>25599</v>
      </c>
      <c r="B7" s="8">
        <f>+'Simulation and  VaR'!B20/'Simulation and  VaR'!B19-1</f>
        <v>-4.0511033631621673E-3</v>
      </c>
      <c r="C7" s="8">
        <f>+'Simulation and  VaR'!C20/'Simulation and  VaR'!C19-1</f>
        <v>5.4151624548735011E-3</v>
      </c>
      <c r="D7" s="8">
        <f>+'Simulation and  VaR'!D20/'Simulation and  VaR'!D19-1</f>
        <v>-1.132686084142398E-2</v>
      </c>
      <c r="E7" s="8">
        <f>+'Simulation and  VaR'!E20/'Simulation and  VaR'!E19-1</f>
        <v>-3.1746031746032743E-3</v>
      </c>
      <c r="F7" s="8">
        <f>+'Simulation and  VaR'!F20/'Simulation and  VaR'!F19-1</f>
        <v>-1.0785824345146411E-2</v>
      </c>
      <c r="G7" s="8">
        <f>+'Simulation and  VaR'!G20/'Simulation and  VaR'!G19-1</f>
        <v>-5.8394160583942201E-3</v>
      </c>
      <c r="H7" s="8">
        <f>+'Simulation and  VaR'!H20/'Simulation and  VaR'!H19-1</f>
        <v>-3.1219512195121868E-2</v>
      </c>
      <c r="I7" s="8">
        <f>+'Simulation and  VaR'!I20/'Simulation and  VaR'!I19-1</f>
        <v>0</v>
      </c>
      <c r="J7" s="8">
        <f>+'Simulation and  VaR'!J20/'Simulation and  VaR'!J19-1</f>
        <v>0</v>
      </c>
      <c r="K7" s="8">
        <f>+'Simulation and  VaR'!K20/'Simulation and  VaR'!K19-1</f>
        <v>4.1505831569477181E-5</v>
      </c>
      <c r="L7" s="8">
        <f>+'Simulation and  VaR'!L20/'Simulation and  VaR'!L19-1</f>
        <v>-1.448395677451364E-4</v>
      </c>
      <c r="N7" s="26">
        <f t="shared" si="0"/>
        <v>-8.0625672234675601E-3</v>
      </c>
      <c r="O7" s="26">
        <f t="shared" si="1"/>
        <v>3.4368461425821114E-3</v>
      </c>
      <c r="P7" s="26">
        <f t="shared" si="2"/>
        <v>-1.3079736888118629E-2</v>
      </c>
      <c r="Q7" s="26">
        <f t="shared" si="3"/>
        <v>-4.7468714129132736E-3</v>
      </c>
      <c r="R7" s="26">
        <f t="shared" si="4"/>
        <v>-1.2263725282859874E-2</v>
      </c>
      <c r="S7" s="26">
        <f t="shared" si="5"/>
        <v>-7.2980622681240257E-3</v>
      </c>
      <c r="T7" s="26">
        <f t="shared" si="6"/>
        <v>-3.6562892240182276E-2</v>
      </c>
      <c r="U7" s="26">
        <f t="shared" si="7"/>
        <v>-1.240176612903738E-2</v>
      </c>
      <c r="V7" s="26">
        <f t="shared" si="8"/>
        <v>-1.0229205971642284E-2</v>
      </c>
      <c r="W7" s="26">
        <f t="shared" si="9"/>
        <v>1.6084211134408917E-3</v>
      </c>
      <c r="X7" s="26">
        <f t="shared" si="10"/>
        <v>3.37939554601057E-3</v>
      </c>
      <c r="Z7" s="20" t="s">
        <v>8</v>
      </c>
      <c r="AA7" s="29">
        <v>2.3538723377619693E-4</v>
      </c>
      <c r="AB7" s="29">
        <v>2.1192004509188836E-4</v>
      </c>
      <c r="AC7" s="28">
        <v>1.8466037046014367E-4</v>
      </c>
      <c r="AD7" s="29">
        <v>1.4858165913924089E-4</v>
      </c>
      <c r="AE7" s="29">
        <v>1.4595829016317624E-4</v>
      </c>
      <c r="AF7" s="29">
        <v>1.4223021911492556E-4</v>
      </c>
      <c r="AG7" s="29">
        <v>-1.1198873930403716E-4</v>
      </c>
      <c r="AH7" s="29">
        <v>4.0961691532984647E-5</v>
      </c>
      <c r="AI7" s="29">
        <v>1.4792650297349672E-4</v>
      </c>
      <c r="AJ7" s="29">
        <v>-8.9461830037862806E-6</v>
      </c>
      <c r="AK7" s="29">
        <v>1.0632105457686843E-5</v>
      </c>
      <c r="AM7" s="33">
        <v>2.4013014890689952E-3</v>
      </c>
      <c r="AN7" s="33">
        <v>1.5343955601954456E-2</v>
      </c>
      <c r="AO7" s="33">
        <v>1.6722780821158828E-3</v>
      </c>
      <c r="AP7" s="33">
        <v>0.13899383756871062</v>
      </c>
      <c r="AQ7" s="33">
        <v>0.11490025505171438</v>
      </c>
      <c r="AR7" s="33">
        <v>-5.7561756349561108E-2</v>
      </c>
      <c r="AS7" s="33">
        <v>0.41175840235555966</v>
      </c>
      <c r="AT7" s="33">
        <v>6.5624799307828593E-2</v>
      </c>
      <c r="AU7" s="33">
        <v>0.28303551394145948</v>
      </c>
      <c r="AV7" s="33">
        <v>0.69687132863906098</v>
      </c>
      <c r="AW7" s="33">
        <v>0.41155497549812747</v>
      </c>
      <c r="AX7" s="27">
        <v>0.23443380857087276</v>
      </c>
      <c r="AZ7" s="27">
        <v>5.048608082653977E-3</v>
      </c>
      <c r="BA7" s="27">
        <v>6.9445219518172535E-2</v>
      </c>
      <c r="BB7" s="27">
        <v>-0.22085988115292174</v>
      </c>
      <c r="BC7" s="27">
        <v>9.1788562848883024E-2</v>
      </c>
      <c r="BD7" s="27">
        <v>0.11302898895820204</v>
      </c>
      <c r="BE7" s="27">
        <v>0.35107126638949426</v>
      </c>
      <c r="BF7" s="27">
        <v>9.8895089197765462E-2</v>
      </c>
      <c r="BG7" s="27">
        <v>-4.2298053603352676E-2</v>
      </c>
      <c r="BH7" s="27">
        <v>0.11496479071996282</v>
      </c>
      <c r="BI7" s="27">
        <v>0.72331884756699405</v>
      </c>
      <c r="BJ7" s="27">
        <v>0.20028021476113214</v>
      </c>
      <c r="BK7" s="27">
        <v>-0.4624477938304411</v>
      </c>
    </row>
    <row r="8" spans="1:63" x14ac:dyDescent="0.2">
      <c r="A8" s="5">
        <v>25627</v>
      </c>
      <c r="B8" s="8">
        <f>+'Simulation and  VaR'!B21/'Simulation and  VaR'!B20-1</f>
        <v>3.8658849574693566E-2</v>
      </c>
      <c r="C8" s="8">
        <f>+'Simulation and  VaR'!C21/'Simulation and  VaR'!C20-1</f>
        <v>3.2315978456014527E-2</v>
      </c>
      <c r="D8" s="8">
        <f>+'Simulation and  VaR'!D21/'Simulation and  VaR'!D20-1</f>
        <v>1.6366612111293755E-3</v>
      </c>
      <c r="E8" s="8">
        <f>+'Simulation and  VaR'!E21/'Simulation and  VaR'!E20-1</f>
        <v>1.5923566878981443E-3</v>
      </c>
      <c r="F8" s="8">
        <f>+'Simulation and  VaR'!F21/'Simulation and  VaR'!F20-1</f>
        <v>3.1152647975076775E-3</v>
      </c>
      <c r="G8" s="8">
        <f>+'Simulation and  VaR'!G21/'Simulation and  VaR'!G20-1</f>
        <v>7.3421439060206151E-3</v>
      </c>
      <c r="H8" s="8">
        <f>+'Simulation and  VaR'!H21/'Simulation and  VaR'!H20-1</f>
        <v>9.3991272239006829E-3</v>
      </c>
      <c r="I8" s="8">
        <f>+'Simulation and  VaR'!I21/'Simulation and  VaR'!I20-1</f>
        <v>0.11928429423459241</v>
      </c>
      <c r="J8" s="8">
        <f>+'Simulation and  VaR'!J21/'Simulation and  VaR'!J20-1</f>
        <v>0</v>
      </c>
      <c r="K8" s="8">
        <f>+'Simulation and  VaR'!K21/'Simulation and  VaR'!K20-1</f>
        <v>-3.9013862372374586E-3</v>
      </c>
      <c r="L8" s="8">
        <f>+'Simulation and  VaR'!L21/'Simulation and  VaR'!L20-1</f>
        <v>-1.4481859345460979E-4</v>
      </c>
      <c r="N8" s="26">
        <f t="shared" si="0"/>
        <v>3.4647385714388176E-2</v>
      </c>
      <c r="O8" s="26">
        <f t="shared" si="1"/>
        <v>3.0337662143723139E-2</v>
      </c>
      <c r="P8" s="26">
        <f t="shared" si="2"/>
        <v>-1.1621483556527334E-4</v>
      </c>
      <c r="Q8" s="26">
        <f t="shared" si="3"/>
        <v>2.0088449588144845E-5</v>
      </c>
      <c r="R8" s="26">
        <f t="shared" si="4"/>
        <v>1.6373638597942145E-3</v>
      </c>
      <c r="S8" s="26">
        <f t="shared" si="5"/>
        <v>5.8834976962908094E-3</v>
      </c>
      <c r="T8" s="26">
        <f t="shared" si="6"/>
        <v>4.0557471788402778E-3</v>
      </c>
      <c r="U8" s="26">
        <f t="shared" si="7"/>
        <v>0.10688252810555504</v>
      </c>
      <c r="V8" s="26">
        <f t="shared" si="8"/>
        <v>-1.0229205971642284E-2</v>
      </c>
      <c r="W8" s="26">
        <f t="shared" si="9"/>
        <v>-2.334470955366044E-3</v>
      </c>
      <c r="X8" s="26">
        <f t="shared" si="10"/>
        <v>3.3794165203010966E-3</v>
      </c>
      <c r="Z8" s="20" t="s">
        <v>9</v>
      </c>
      <c r="AA8" s="29">
        <v>1.9341403610910482E-4</v>
      </c>
      <c r="AB8" s="29">
        <v>1.6719198636839705E-4</v>
      </c>
      <c r="AC8" s="29">
        <v>1.4858165913924089E-4</v>
      </c>
      <c r="AD8" s="28">
        <v>1.3071744160553816E-4</v>
      </c>
      <c r="AE8" s="29">
        <v>1.266162489372662E-4</v>
      </c>
      <c r="AF8" s="29">
        <v>1.2413210718125237E-4</v>
      </c>
      <c r="AG8" s="29">
        <v>-8.8408545482883985E-5</v>
      </c>
      <c r="AH8" s="29">
        <v>7.4905088320282862E-6</v>
      </c>
      <c r="AI8" s="29">
        <v>8.5068139348156013E-5</v>
      </c>
      <c r="AJ8" s="29">
        <v>-1.2947791791773072E-5</v>
      </c>
      <c r="AK8" s="29">
        <v>9.3991186979374358E-6</v>
      </c>
      <c r="AM8" s="33">
        <v>1.8075675009429813E-3</v>
      </c>
      <c r="AN8" s="33">
        <v>8.9277853667460577E-3</v>
      </c>
      <c r="AO8" s="33">
        <v>4.4874486467015055E-3</v>
      </c>
      <c r="AP8" s="33">
        <v>0.11374515485530301</v>
      </c>
      <c r="AQ8" s="33">
        <v>9.6681429745264919E-2</v>
      </c>
      <c r="AR8" s="33">
        <v>-4.5762865969205452E-2</v>
      </c>
      <c r="AS8" s="33">
        <v>0.34610330404586498</v>
      </c>
      <c r="AT8" s="33">
        <v>6.124117204963974E-2</v>
      </c>
      <c r="AU8" s="33">
        <v>0.29716166665775229</v>
      </c>
      <c r="AV8" s="33">
        <v>0.1354897977209388</v>
      </c>
      <c r="AW8" s="33">
        <v>-0.43830358544185039</v>
      </c>
      <c r="AX8" s="27">
        <v>-0.74378095280286805</v>
      </c>
      <c r="AZ8" s="27">
        <v>2.0146025085972857E-3</v>
      </c>
      <c r="BA8" s="27">
        <v>5.6776315338581067E-2</v>
      </c>
      <c r="BB8" s="27">
        <v>-0.19697892586725105</v>
      </c>
      <c r="BC8" s="27">
        <v>7.1590222647557503E-2</v>
      </c>
      <c r="BD8" s="27">
        <v>0.11852154863674855</v>
      </c>
      <c r="BE8" s="27">
        <v>0.3235058124065856</v>
      </c>
      <c r="BF8" s="27">
        <v>9.9256235805855061E-2</v>
      </c>
      <c r="BG8" s="27">
        <v>-2.525576991286196E-2</v>
      </c>
      <c r="BH8" s="27">
        <v>0.26602212348027038</v>
      </c>
      <c r="BI8" s="27">
        <v>0.24660088565431415</v>
      </c>
      <c r="BJ8" s="27">
        <v>-9.2304019701575632E-2</v>
      </c>
      <c r="BK8" s="27">
        <v>0.82677552564985546</v>
      </c>
    </row>
    <row r="9" spans="1:63" x14ac:dyDescent="0.2">
      <c r="A9" s="5">
        <v>25658</v>
      </c>
      <c r="B9" s="8">
        <f>+'Simulation and  VaR'!B22/'Simulation and  VaR'!B21-1</f>
        <v>4.1180027160212296E-2</v>
      </c>
      <c r="C9" s="8">
        <f>+'Simulation and  VaR'!C22/'Simulation and  VaR'!C21-1</f>
        <v>-1.7391304347826209E-2</v>
      </c>
      <c r="D9" s="8">
        <f>+'Simulation and  VaR'!D22/'Simulation and  VaR'!D21-1</f>
        <v>1.6339869281045694E-2</v>
      </c>
      <c r="E9" s="8">
        <f>+'Simulation and  VaR'!E22/'Simulation and  VaR'!E21-1</f>
        <v>1.5898251192368873E-2</v>
      </c>
      <c r="F9" s="8">
        <f>+'Simulation and  VaR'!F22/'Simulation and  VaR'!F21-1</f>
        <v>2.1739130434782705E-2</v>
      </c>
      <c r="G9" s="8">
        <f>+'Simulation and  VaR'!G22/'Simulation and  VaR'!G21-1</f>
        <v>1.7492711370262315E-2</v>
      </c>
      <c r="H9" s="8">
        <f>+'Simulation and  VaR'!H22/'Simulation and  VaR'!H21-1</f>
        <v>8.1919964527214173E-2</v>
      </c>
      <c r="I9" s="8">
        <f>+'Simulation and  VaR'!I22/'Simulation and  VaR'!I21-1</f>
        <v>-7.6122811469169216E-3</v>
      </c>
      <c r="J9" s="8">
        <f>+'Simulation and  VaR'!J22/'Simulation and  VaR'!J21-1</f>
        <v>0</v>
      </c>
      <c r="K9" s="8">
        <f>+'Simulation and  VaR'!K22/'Simulation and  VaR'!K21-1</f>
        <v>7.4999999999980638E-4</v>
      </c>
      <c r="L9" s="8">
        <f>+'Simulation and  VaR'!L22/'Simulation and  VaR'!L21-1</f>
        <v>6.1585807253017322E-4</v>
      </c>
      <c r="N9" s="26">
        <f t="shared" si="0"/>
        <v>3.7168563299906907E-2</v>
      </c>
      <c r="O9" s="26">
        <f t="shared" si="1"/>
        <v>-1.9369620660117597E-2</v>
      </c>
      <c r="P9" s="26">
        <f t="shared" si="2"/>
        <v>1.4586993234351045E-2</v>
      </c>
      <c r="Q9" s="26">
        <f t="shared" si="3"/>
        <v>1.4325982954058873E-2</v>
      </c>
      <c r="R9" s="26">
        <f t="shared" si="4"/>
        <v>2.0261229497069242E-2</v>
      </c>
      <c r="S9" s="26">
        <f t="shared" si="5"/>
        <v>1.6034065160532511E-2</v>
      </c>
      <c r="T9" s="26">
        <f t="shared" si="6"/>
        <v>7.6576584482153764E-2</v>
      </c>
      <c r="U9" s="26">
        <f t="shared" si="7"/>
        <v>-2.0014047275954301E-2</v>
      </c>
      <c r="V9" s="26">
        <f t="shared" si="8"/>
        <v>-1.0229205971642284E-2</v>
      </c>
      <c r="W9" s="26">
        <f t="shared" si="9"/>
        <v>2.3169152818712209E-3</v>
      </c>
      <c r="X9" s="26">
        <f t="shared" si="10"/>
        <v>4.14009318628588E-3</v>
      </c>
      <c r="Z9" s="20" t="s">
        <v>10</v>
      </c>
      <c r="AA9" s="29">
        <v>2.150244865344431E-4</v>
      </c>
      <c r="AB9" s="29">
        <v>1.6229682699217768E-4</v>
      </c>
      <c r="AC9" s="29">
        <v>1.4595829016317624E-4</v>
      </c>
      <c r="AD9" s="29">
        <v>1.266162489372662E-4</v>
      </c>
      <c r="AE9" s="28">
        <v>1.3419041031633965E-4</v>
      </c>
      <c r="AF9" s="29">
        <v>1.2824911499125636E-4</v>
      </c>
      <c r="AG9" s="29">
        <v>-7.6130814261329713E-5</v>
      </c>
      <c r="AH9" s="29">
        <v>-4.0570893322433728E-8</v>
      </c>
      <c r="AI9" s="29">
        <v>7.094407337532569E-5</v>
      </c>
      <c r="AJ9" s="29">
        <v>-2.5125455354529962E-5</v>
      </c>
      <c r="AK9" s="29">
        <v>2.1040912781972763E-5</v>
      </c>
      <c r="AM9" s="33">
        <v>1.0641411674757394E-3</v>
      </c>
      <c r="AN9" s="33">
        <v>7.626855010238796E-3</v>
      </c>
      <c r="AO9" s="33">
        <v>5.7982913694987932E-3</v>
      </c>
      <c r="AP9" s="33">
        <v>0.1146945684723588</v>
      </c>
      <c r="AQ9" s="33">
        <v>0.11069952588022058</v>
      </c>
      <c r="AR9" s="33">
        <v>-3.3962769931084338E-2</v>
      </c>
      <c r="AS9" s="33">
        <v>0.32834012302515098</v>
      </c>
      <c r="AT9" s="33">
        <v>5.7832377388726486E-2</v>
      </c>
      <c r="AU9" s="33">
        <v>0.33992951677509087</v>
      </c>
      <c r="AV9" s="33">
        <v>-0.25762374488958595</v>
      </c>
      <c r="AW9" s="33">
        <v>-0.55665699418212289</v>
      </c>
      <c r="AX9" s="27">
        <v>0.60860875153643867</v>
      </c>
      <c r="AZ9" s="27">
        <v>1.4882792402879993E-3</v>
      </c>
      <c r="BA9" s="27">
        <v>4.8323925109651736E-2</v>
      </c>
      <c r="BB9" s="27">
        <v>-0.18317344357278054</v>
      </c>
      <c r="BC9" s="27">
        <v>6.8539015998643302E-2</v>
      </c>
      <c r="BD9" s="27">
        <v>9.3643839291078015E-2</v>
      </c>
      <c r="BE9" s="27">
        <v>0.32893599846129884</v>
      </c>
      <c r="BF9" s="27">
        <v>7.0347803809019074E-2</v>
      </c>
      <c r="BG9" s="27">
        <v>-2.3340434844468662E-2</v>
      </c>
      <c r="BH9" s="27">
        <v>0.39614419727274841</v>
      </c>
      <c r="BI9" s="27">
        <v>-0.32553281048433258</v>
      </c>
      <c r="BJ9" s="27">
        <v>-0.69059690120603634</v>
      </c>
      <c r="BK9" s="27">
        <v>-0.31165225379716827</v>
      </c>
    </row>
    <row r="10" spans="1:63" x14ac:dyDescent="0.2">
      <c r="A10" s="5">
        <v>25688</v>
      </c>
      <c r="B10" s="8">
        <f>+'Simulation and  VaR'!B23/'Simulation and  VaR'!B22-1</f>
        <v>5.2801335848298825E-2</v>
      </c>
      <c r="C10" s="8">
        <f>+'Simulation and  VaR'!C23/'Simulation and  VaR'!C22-1</f>
        <v>4.0707964601770064E-2</v>
      </c>
      <c r="D10" s="8">
        <f>+'Simulation and  VaR'!D23/'Simulation and  VaR'!D22-1</f>
        <v>9.6463022508037621E-3</v>
      </c>
      <c r="E10" s="8">
        <f>+'Simulation and  VaR'!E23/'Simulation and  VaR'!E22-1</f>
        <v>1.5649452269170583E-2</v>
      </c>
      <c r="F10" s="8">
        <f>+'Simulation and  VaR'!F23/'Simulation and  VaR'!F22-1</f>
        <v>7.5987841945288626E-3</v>
      </c>
      <c r="G10" s="8">
        <f>+'Simulation and  VaR'!G23/'Simulation and  VaR'!G22-1</f>
        <v>8.5959885386819312E-3</v>
      </c>
      <c r="H10" s="8">
        <f>+'Simulation and  VaR'!H23/'Simulation and  VaR'!H22-1</f>
        <v>1.1168032786885274E-2</v>
      </c>
      <c r="I10" s="8">
        <f>+'Simulation and  VaR'!I23/'Simulation and  VaR'!I22-1</f>
        <v>5.625159805676283E-2</v>
      </c>
      <c r="J10" s="8">
        <f>+'Simulation and  VaR'!J23/'Simulation and  VaR'!J22-1</f>
        <v>0</v>
      </c>
      <c r="K10" s="8">
        <f>+'Simulation and  VaR'!K23/'Simulation and  VaR'!K22-1</f>
        <v>-5.2044300108252672E-3</v>
      </c>
      <c r="L10" s="8">
        <f>+'Simulation and  VaR'!L23/'Simulation and  VaR'!L22-1</f>
        <v>-3.6225632713549061E-5</v>
      </c>
      <c r="N10" s="26">
        <f t="shared" si="0"/>
        <v>4.8789871987993436E-2</v>
      </c>
      <c r="O10" s="26">
        <f t="shared" si="1"/>
        <v>3.8729648289478676E-2</v>
      </c>
      <c r="P10" s="26">
        <f t="shared" si="2"/>
        <v>7.8934262041091136E-3</v>
      </c>
      <c r="Q10" s="26">
        <f t="shared" si="3"/>
        <v>1.4077184030860583E-2</v>
      </c>
      <c r="R10" s="26">
        <f t="shared" si="4"/>
        <v>6.1208832568153994E-3</v>
      </c>
      <c r="S10" s="26">
        <f t="shared" si="5"/>
        <v>7.1373423289521256E-3</v>
      </c>
      <c r="T10" s="26">
        <f t="shared" si="6"/>
        <v>5.8246527418248685E-3</v>
      </c>
      <c r="U10" s="26">
        <f t="shared" si="7"/>
        <v>4.3849831927725451E-2</v>
      </c>
      <c r="V10" s="26">
        <f t="shared" si="8"/>
        <v>-1.0229205971642284E-2</v>
      </c>
      <c r="W10" s="26">
        <f t="shared" si="9"/>
        <v>-3.6375147289538527E-3</v>
      </c>
      <c r="X10" s="26">
        <f t="shared" si="10"/>
        <v>3.4880094810421573E-3</v>
      </c>
      <c r="Z10" s="20" t="s">
        <v>11</v>
      </c>
      <c r="AA10" s="29">
        <v>2.0888512037025436E-4</v>
      </c>
      <c r="AB10" s="29">
        <v>1.70109885621337E-4</v>
      </c>
      <c r="AC10" s="29">
        <v>1.4223021911492556E-4</v>
      </c>
      <c r="AD10" s="29">
        <v>1.2413210718125237E-4</v>
      </c>
      <c r="AE10" s="29">
        <v>1.2824911499125636E-4</v>
      </c>
      <c r="AF10" s="28">
        <v>1.3516905314959169E-4</v>
      </c>
      <c r="AG10" s="29">
        <v>-7.2938490974501667E-5</v>
      </c>
      <c r="AH10" s="29">
        <v>-1.113670740192833E-5</v>
      </c>
      <c r="AI10" s="29">
        <v>4.6081484130010388E-5</v>
      </c>
      <c r="AJ10" s="29">
        <v>-2.305048424005226E-5</v>
      </c>
      <c r="AK10" s="29">
        <v>8.8072784138528943E-6</v>
      </c>
      <c r="AM10" s="33">
        <v>4.9857581132614777E-4</v>
      </c>
      <c r="AN10" s="33">
        <v>5.2196712947027773E-3</v>
      </c>
      <c r="AO10" s="33">
        <v>6.1336195133210626E-3</v>
      </c>
      <c r="AP10" s="33">
        <v>0.11323070245245406</v>
      </c>
      <c r="AQ10" s="33">
        <v>0.10947003234757476</v>
      </c>
      <c r="AR10" s="33">
        <v>-4.3626954627711587E-2</v>
      </c>
      <c r="AS10" s="33">
        <v>0.33558047947756281</v>
      </c>
      <c r="AT10" s="33">
        <v>7.2873479064873556E-2</v>
      </c>
      <c r="AU10" s="33">
        <v>0.28479374157959486</v>
      </c>
      <c r="AV10" s="33">
        <v>-0.65352133346098362</v>
      </c>
      <c r="AW10" s="33">
        <v>0.57097090149852103</v>
      </c>
      <c r="AX10" s="27">
        <v>-0.14524724181165594</v>
      </c>
      <c r="AZ10" s="27">
        <v>1.0086087615003138E-3</v>
      </c>
      <c r="BA10" s="27">
        <v>4.2118823663639796E-2</v>
      </c>
      <c r="BB10" s="27">
        <v>-0.1669388316703864</v>
      </c>
      <c r="BC10" s="27">
        <v>6.2563618050611475E-2</v>
      </c>
      <c r="BD10" s="27">
        <v>9.875096256641834E-2</v>
      </c>
      <c r="BE10" s="27">
        <v>0.29749167931500103</v>
      </c>
      <c r="BF10" s="27">
        <v>8.9666943736644147E-2</v>
      </c>
      <c r="BG10" s="27">
        <v>-1.3418411025050499E-3</v>
      </c>
      <c r="BH10" s="27">
        <v>0.33699330427836899</v>
      </c>
      <c r="BI10" s="27">
        <v>-0.52084064006538677</v>
      </c>
      <c r="BJ10" s="27">
        <v>0.68626841114725479</v>
      </c>
      <c r="BK10" s="27">
        <v>-6.5912210036334323E-2</v>
      </c>
    </row>
    <row r="11" spans="1:63" x14ac:dyDescent="0.2">
      <c r="A11" s="5">
        <v>25719</v>
      </c>
      <c r="B11" s="8">
        <f>+'Simulation and  VaR'!B24/'Simulation and  VaR'!B23-1</f>
        <v>-2.3294359405268361E-2</v>
      </c>
      <c r="C11" s="8">
        <f>+'Simulation and  VaR'!C24/'Simulation and  VaR'!C23-1</f>
        <v>-2.5510204081632737E-2</v>
      </c>
      <c r="D11" s="8">
        <f>+'Simulation and  VaR'!D24/'Simulation and  VaR'!D23-1</f>
        <v>1.5923566878981443E-3</v>
      </c>
      <c r="E11" s="8">
        <f>+'Simulation and  VaR'!E24/'Simulation and  VaR'!E23-1</f>
        <v>3.0816640986131016E-3</v>
      </c>
      <c r="F11" s="8">
        <f>+'Simulation and  VaR'!F24/'Simulation and  VaR'!F23-1</f>
        <v>4.5248868778280382E-3</v>
      </c>
      <c r="G11" s="8">
        <f>+'Simulation and  VaR'!G24/'Simulation and  VaR'!G23-1</f>
        <v>5.6818181818181213E-3</v>
      </c>
      <c r="H11" s="8">
        <f>+'Simulation and  VaR'!H24/'Simulation and  VaR'!H23-1</f>
        <v>9.1194649913870496E-3</v>
      </c>
      <c r="I11" s="8">
        <f>+'Simulation and  VaR'!I24/'Simulation and  VaR'!I23-1</f>
        <v>-7.2621641249092095E-3</v>
      </c>
      <c r="J11" s="8">
        <f>+'Simulation and  VaR'!J24/'Simulation and  VaR'!J23-1</f>
        <v>0</v>
      </c>
      <c r="K11" s="8">
        <f>+'Simulation and  VaR'!K24/'Simulation and  VaR'!K23-1</f>
        <v>-1.8415435483195575E-3</v>
      </c>
      <c r="L11" s="8">
        <f>+'Simulation and  VaR'!L24/'Simulation and  VaR'!L23-1</f>
        <v>-1.1578780056998861E-3</v>
      </c>
      <c r="N11" s="26">
        <f t="shared" si="0"/>
        <v>-2.7305823265573754E-2</v>
      </c>
      <c r="O11" s="26">
        <f t="shared" si="1"/>
        <v>-2.7488520393924125E-2</v>
      </c>
      <c r="P11" s="26">
        <f t="shared" si="2"/>
        <v>-1.6051935879650447E-4</v>
      </c>
      <c r="Q11" s="26">
        <f t="shared" si="3"/>
        <v>1.5093958603031022E-3</v>
      </c>
      <c r="R11" s="26">
        <f t="shared" si="4"/>
        <v>3.046985940114575E-3</v>
      </c>
      <c r="S11" s="26">
        <f t="shared" si="5"/>
        <v>4.2231719720883156E-3</v>
      </c>
      <c r="T11" s="26">
        <f t="shared" si="6"/>
        <v>3.7760849463266445E-3</v>
      </c>
      <c r="U11" s="26">
        <f t="shared" si="7"/>
        <v>-1.9663930253946589E-2</v>
      </c>
      <c r="V11" s="26">
        <f t="shared" si="8"/>
        <v>-1.0229205971642284E-2</v>
      </c>
      <c r="W11" s="26">
        <f t="shared" si="9"/>
        <v>-2.7462826644814291E-4</v>
      </c>
      <c r="X11" s="26">
        <f t="shared" si="10"/>
        <v>2.3663571080558203E-3</v>
      </c>
      <c r="Z11" s="20" t="s">
        <v>12</v>
      </c>
      <c r="AA11" s="29">
        <v>-2.1437045486306011E-4</v>
      </c>
      <c r="AB11" s="29">
        <v>-1.8783184174436311E-4</v>
      </c>
      <c r="AC11" s="29">
        <v>-1.1198873930403716E-4</v>
      </c>
      <c r="AD11" s="29">
        <v>-8.8408545482883985E-5</v>
      </c>
      <c r="AE11" s="29">
        <v>-7.6130814261329713E-5</v>
      </c>
      <c r="AF11" s="29">
        <v>-7.2938490974501667E-5</v>
      </c>
      <c r="AG11" s="28">
        <v>2.162575138737308E-3</v>
      </c>
      <c r="AH11" s="29">
        <v>1.1137919489540159E-4</v>
      </c>
      <c r="AI11" s="29">
        <v>-2.7201402861004803E-4</v>
      </c>
      <c r="AJ11" s="29">
        <v>-2.3682559368339155E-6</v>
      </c>
      <c r="AK11" s="29">
        <v>-1.2826715940619476E-5</v>
      </c>
      <c r="AM11" s="33">
        <v>4.2507233358262048E-4</v>
      </c>
      <c r="AN11" s="33">
        <v>-2.6822746323591478E-2</v>
      </c>
      <c r="AO11" s="33">
        <v>-5.4291902237160072E-2</v>
      </c>
      <c r="AP11" s="33">
        <v>-0.76790795860188044</v>
      </c>
      <c r="AQ11" s="33">
        <v>0.62732570160223922</v>
      </c>
      <c r="AR11" s="33">
        <v>-9.0863632648345877E-2</v>
      </c>
      <c r="AS11" s="33">
        <v>6.8317851099557028E-2</v>
      </c>
      <c r="AT11" s="33">
        <v>1.9491692525218749E-3</v>
      </c>
      <c r="AU11" s="33">
        <v>-1.1047183097549294E-2</v>
      </c>
      <c r="AV11" s="33">
        <v>7.7636706054868346E-3</v>
      </c>
      <c r="AW11" s="33">
        <v>-5.3653505191447856E-4</v>
      </c>
      <c r="AX11" s="27">
        <v>-1.6823717842478162E-3</v>
      </c>
      <c r="AZ11" s="27">
        <v>4.1786735649079244E-4</v>
      </c>
      <c r="BA11" s="27">
        <v>-4.9145639984557968E-2</v>
      </c>
      <c r="BB11" s="27">
        <v>0.19510221610188194</v>
      </c>
      <c r="BC11" s="27">
        <v>-7.9911969172200989E-2</v>
      </c>
      <c r="BD11" s="27">
        <v>-0.87903588965751689</v>
      </c>
      <c r="BE11" s="27">
        <v>0.38103249647045767</v>
      </c>
      <c r="BF11" s="27">
        <v>0.18627330784349794</v>
      </c>
      <c r="BG11" s="27">
        <v>-1.6225748687630905E-2</v>
      </c>
      <c r="BH11" s="27">
        <v>-7.7313458385916941E-3</v>
      </c>
      <c r="BI11" s="27">
        <v>7.6232519719156289E-3</v>
      </c>
      <c r="BJ11" s="27">
        <v>5.4078957962833477E-3</v>
      </c>
      <c r="BK11" s="27">
        <v>1.1657474212028E-2</v>
      </c>
    </row>
    <row r="12" spans="1:63" x14ac:dyDescent="0.2">
      <c r="A12" s="5">
        <v>25749</v>
      </c>
      <c r="B12" s="8">
        <f>+'Simulation and  VaR'!B25/'Simulation and  VaR'!B24-1</f>
        <v>-3.8493244961708029E-2</v>
      </c>
      <c r="C12" s="8">
        <f>+'Simulation and  VaR'!C25/'Simulation and  VaR'!C24-1</f>
        <v>-3.839441535776611E-2</v>
      </c>
      <c r="D12" s="8">
        <f>+'Simulation and  VaR'!D25/'Simulation and  VaR'!D24-1</f>
        <v>-6.3593004769475492E-3</v>
      </c>
      <c r="E12" s="8">
        <f>+'Simulation and  VaR'!E25/'Simulation and  VaR'!E24-1</f>
        <v>-7.6804915514592231E-3</v>
      </c>
      <c r="F12" s="8">
        <f>+'Simulation and  VaR'!F25/'Simulation and  VaR'!F24-1</f>
        <v>-7.5075075075076159E-3</v>
      </c>
      <c r="G12" s="8">
        <f>+'Simulation and  VaR'!G25/'Simulation and  VaR'!G24-1</f>
        <v>-1.2711864406779627E-2</v>
      </c>
      <c r="H12" s="8">
        <f>+'Simulation and  VaR'!H25/'Simulation and  VaR'!H24-1</f>
        <v>-1.8475750577367278E-2</v>
      </c>
      <c r="I12" s="8">
        <f>+'Simulation and  VaR'!I25/'Simulation and  VaR'!I24-1</f>
        <v>-5.4864667154352564E-2</v>
      </c>
      <c r="J12" s="8">
        <f>+'Simulation and  VaR'!J25/'Simulation and  VaR'!J24-1</f>
        <v>0</v>
      </c>
      <c r="K12" s="8">
        <f>+'Simulation and  VaR'!K25/'Simulation and  VaR'!K24-1</f>
        <v>2.1384544425344654E-3</v>
      </c>
      <c r="L12" s="8">
        <f>+'Simulation and  VaR'!L25/'Simulation and  VaR'!L24-1</f>
        <v>-3.7489951716825898E-3</v>
      </c>
      <c r="N12" s="26">
        <f t="shared" si="0"/>
        <v>-4.2504708822013418E-2</v>
      </c>
      <c r="O12" s="26">
        <f t="shared" si="1"/>
        <v>-4.0372731670057498E-2</v>
      </c>
      <c r="P12" s="26">
        <f t="shared" si="2"/>
        <v>-8.1121765236421978E-3</v>
      </c>
      <c r="Q12" s="26">
        <f t="shared" si="3"/>
        <v>-9.2527597897692233E-3</v>
      </c>
      <c r="R12" s="26">
        <f t="shared" si="4"/>
        <v>-8.985408445221079E-3</v>
      </c>
      <c r="S12" s="26">
        <f t="shared" si="5"/>
        <v>-1.4170510616509433E-2</v>
      </c>
      <c r="T12" s="26">
        <f t="shared" si="6"/>
        <v>-2.3819130622427683E-2</v>
      </c>
      <c r="U12" s="26">
        <f t="shared" si="7"/>
        <v>-6.7266433283389937E-2</v>
      </c>
      <c r="V12" s="26">
        <f t="shared" si="8"/>
        <v>-1.0229205971642284E-2</v>
      </c>
      <c r="W12" s="26">
        <f t="shared" si="9"/>
        <v>3.7053697244058799E-3</v>
      </c>
      <c r="X12" s="26">
        <f t="shared" si="10"/>
        <v>-2.2476005792688341E-4</v>
      </c>
      <c r="Z12" s="20" t="s">
        <v>13</v>
      </c>
      <c r="AA12" s="29">
        <v>3.8044533870976341E-5</v>
      </c>
      <c r="AB12" s="29">
        <v>1.9454322058495447E-4</v>
      </c>
      <c r="AC12" s="29">
        <v>4.0961691532984647E-5</v>
      </c>
      <c r="AD12" s="29">
        <v>7.4905088320282862E-6</v>
      </c>
      <c r="AE12" s="29">
        <v>-4.0570893322433728E-8</v>
      </c>
      <c r="AF12" s="29">
        <v>-1.113670740192833E-5</v>
      </c>
      <c r="AG12" s="29">
        <v>1.1137919489540159E-4</v>
      </c>
      <c r="AH12" s="28">
        <v>5.6111809296600585E-3</v>
      </c>
      <c r="AI12" s="29">
        <v>1.586362189378795E-3</v>
      </c>
      <c r="AJ12" s="29">
        <v>6.2831333403792333E-4</v>
      </c>
      <c r="AK12" s="29">
        <v>-4.5965559518841115E-4</v>
      </c>
      <c r="AM12" s="33">
        <v>1.6257084911889562E-4</v>
      </c>
      <c r="AN12" s="33">
        <v>0.25945939213353664</v>
      </c>
      <c r="AO12" s="33">
        <v>-0.94400738774605641</v>
      </c>
      <c r="AP12" s="33">
        <v>4.1595559899957953E-2</v>
      </c>
      <c r="AQ12" s="33">
        <v>9.8722679600175174E-3</v>
      </c>
      <c r="AR12" s="33">
        <v>0.19751695140697328</v>
      </c>
      <c r="AS12" s="33">
        <v>-5.9149614049567797E-3</v>
      </c>
      <c r="AT12" s="33">
        <v>1.7001023853026896E-2</v>
      </c>
      <c r="AU12" s="33">
        <v>1.8807717885244109E-2</v>
      </c>
      <c r="AV12" s="33">
        <v>-2.7212070405521842E-3</v>
      </c>
      <c r="AW12" s="33">
        <v>1.0157708277207312E-3</v>
      </c>
      <c r="AX12" s="27">
        <v>-2.0220662340489841E-3</v>
      </c>
      <c r="AZ12" s="27">
        <v>3.1361454276699003E-4</v>
      </c>
      <c r="BA12" s="27">
        <v>0.23280926707496061</v>
      </c>
      <c r="BB12" s="27">
        <v>0.36204378534513509</v>
      </c>
      <c r="BC12" s="27">
        <v>0.88241965325279226</v>
      </c>
      <c r="BD12" s="27">
        <v>-4.4569188263020927E-2</v>
      </c>
      <c r="BE12" s="27">
        <v>1.5545721503313624E-2</v>
      </c>
      <c r="BF12" s="27">
        <v>-0.181503376340479</v>
      </c>
      <c r="BG12" s="27">
        <v>-8.5613568853080482E-3</v>
      </c>
      <c r="BH12" s="27">
        <v>2.7308661139925569E-2</v>
      </c>
      <c r="BI12" s="27">
        <v>-5.9196117681734679E-4</v>
      </c>
      <c r="BJ12" s="27">
        <v>3.5673339717809979E-3</v>
      </c>
      <c r="BK12" s="27">
        <v>7.4836150416861787E-3</v>
      </c>
    </row>
    <row r="13" spans="1:63" x14ac:dyDescent="0.2">
      <c r="A13" s="5">
        <v>25780</v>
      </c>
      <c r="B13" s="8">
        <f>+'Simulation and  VaR'!B26/'Simulation and  VaR'!B25-1</f>
        <v>-4.3797682790390535E-2</v>
      </c>
      <c r="C13" s="8">
        <f>+'Simulation and  VaR'!C26/'Simulation and  VaR'!C25-1</f>
        <v>-1.4519056261342977E-2</v>
      </c>
      <c r="D13" s="8">
        <f>+'Simulation and  VaR'!D26/'Simulation and  VaR'!D25-1</f>
        <v>-3.520000000000012E-2</v>
      </c>
      <c r="E13" s="8">
        <f>+'Simulation and  VaR'!E26/'Simulation and  VaR'!E25-1</f>
        <v>-3.0959752321981449E-2</v>
      </c>
      <c r="F13" s="8">
        <f>+'Simulation and  VaR'!F26/'Simulation and  VaR'!F25-1</f>
        <v>-3.3282904689863835E-2</v>
      </c>
      <c r="G13" s="8">
        <f>+'Simulation and  VaR'!G26/'Simulation and  VaR'!G25-1</f>
        <v>-2.2889842632331958E-2</v>
      </c>
      <c r="H13" s="8">
        <f>+'Simulation and  VaR'!H26/'Simulation and  VaR'!H25-1</f>
        <v>1.1457800511508909E-2</v>
      </c>
      <c r="I13" s="8">
        <f>+'Simulation and  VaR'!I26/'Simulation and  VaR'!I25-1</f>
        <v>2.9669762641898911E-2</v>
      </c>
      <c r="J13" s="8">
        <f>+'Simulation and  VaR'!J26/'Simulation and  VaR'!J25-1</f>
        <v>0</v>
      </c>
      <c r="K13" s="8">
        <f>+'Simulation and  VaR'!K26/'Simulation and  VaR'!K25-1</f>
        <v>5.4393305439326411E-4</v>
      </c>
      <c r="L13" s="8">
        <f>+'Simulation and  VaR'!L26/'Simulation and  VaR'!L25-1</f>
        <v>-2.2658796658789893E-3</v>
      </c>
      <c r="N13" s="26">
        <f t="shared" si="0"/>
        <v>-4.7809146650695925E-2</v>
      </c>
      <c r="O13" s="26">
        <f t="shared" si="1"/>
        <v>-1.6497372573634365E-2</v>
      </c>
      <c r="P13" s="26">
        <f t="shared" si="2"/>
        <v>-3.6952876046694769E-2</v>
      </c>
      <c r="Q13" s="26">
        <f t="shared" si="3"/>
        <v>-3.2532020560291447E-2</v>
      </c>
      <c r="R13" s="26">
        <f t="shared" si="4"/>
        <v>-3.4760805627577294E-2</v>
      </c>
      <c r="S13" s="26">
        <f t="shared" si="5"/>
        <v>-2.4348488842061762E-2</v>
      </c>
      <c r="T13" s="26">
        <f t="shared" si="6"/>
        <v>6.1144204664485037E-3</v>
      </c>
      <c r="U13" s="26">
        <f t="shared" si="7"/>
        <v>1.7267996512861532E-2</v>
      </c>
      <c r="V13" s="26">
        <f t="shared" si="8"/>
        <v>-1.0229205971642284E-2</v>
      </c>
      <c r="W13" s="26">
        <f t="shared" si="9"/>
        <v>2.1108483362646787E-3</v>
      </c>
      <c r="X13" s="26">
        <f t="shared" si="10"/>
        <v>1.2583554478767171E-3</v>
      </c>
      <c r="Z13" s="20" t="s">
        <v>14</v>
      </c>
      <c r="AA13" s="29">
        <v>2.4191835956749057E-4</v>
      </c>
      <c r="AB13" s="29">
        <v>2.5198310917740957E-4</v>
      </c>
      <c r="AC13" s="29">
        <v>1.4792650297349672E-4</v>
      </c>
      <c r="AD13" s="29">
        <v>8.5068139348156013E-5</v>
      </c>
      <c r="AE13" s="29">
        <v>7.094407337532569E-5</v>
      </c>
      <c r="AF13" s="29">
        <v>4.6081484130010388E-5</v>
      </c>
      <c r="AG13" s="29">
        <v>-2.7201402861004803E-4</v>
      </c>
      <c r="AH13" s="29">
        <v>1.586362189378795E-3</v>
      </c>
      <c r="AI13" s="28">
        <v>1.0949765440290428E-2</v>
      </c>
      <c r="AJ13" s="29">
        <v>-1.2834525763443614E-4</v>
      </c>
      <c r="AK13" s="29">
        <v>6.4581455485440622E-4</v>
      </c>
      <c r="AM13" s="33">
        <v>1.5647018054657715E-5</v>
      </c>
      <c r="AN13" s="33">
        <v>0.96312408251889181</v>
      </c>
      <c r="AO13" s="33">
        <v>0.24570074144181148</v>
      </c>
      <c r="AP13" s="33">
        <v>-6.1429200496447532E-2</v>
      </c>
      <c r="AQ13" s="33">
        <v>-2.2234459076715098E-2</v>
      </c>
      <c r="AR13" s="33">
        <v>-8.0353411853930246E-2</v>
      </c>
      <c r="AS13" s="33">
        <v>-1.9541965358763895E-2</v>
      </c>
      <c r="AT13" s="33">
        <v>2.9693802231885193E-2</v>
      </c>
      <c r="AU13" s="33">
        <v>3.43967875052895E-3</v>
      </c>
      <c r="AV13" s="33">
        <v>-4.7659461586502432E-3</v>
      </c>
      <c r="AW13" s="33">
        <v>-6.3095614375381886E-4</v>
      </c>
      <c r="AX13" s="27">
        <v>-6.8162336424337284E-5</v>
      </c>
      <c r="AZ13" s="27">
        <v>6.6861306037697133E-5</v>
      </c>
      <c r="BA13" s="27">
        <v>0.95069232476078269</v>
      </c>
      <c r="BB13" s="27">
        <v>9.6323239970162455E-2</v>
      </c>
      <c r="BC13" s="27">
        <v>-0.27785935897970826</v>
      </c>
      <c r="BD13" s="27">
        <v>-2.0598389757112819E-2</v>
      </c>
      <c r="BE13" s="27">
        <v>-6.4387185735275854E-2</v>
      </c>
      <c r="BF13" s="27">
        <v>6.3857743898988975E-2</v>
      </c>
      <c r="BG13" s="27">
        <v>-2.7564114311286504E-2</v>
      </c>
      <c r="BH13" s="27">
        <v>1.5818879107322228E-2</v>
      </c>
      <c r="BI13" s="27">
        <v>-6.2311447686497169E-3</v>
      </c>
      <c r="BJ13" s="27">
        <v>2.1833260676570849E-4</v>
      </c>
      <c r="BK13" s="27">
        <v>-1.8457354275576794E-3</v>
      </c>
    </row>
    <row r="14" spans="1:63" x14ac:dyDescent="0.2">
      <c r="A14" s="5">
        <v>25811</v>
      </c>
      <c r="B14" s="8">
        <f>+'Simulation and  VaR'!B27/'Simulation and  VaR'!B26-1</f>
        <v>2.3890892183726642E-2</v>
      </c>
      <c r="C14" s="8">
        <f>+'Simulation and  VaR'!C27/'Simulation and  VaR'!C26-1</f>
        <v>7.3664825046040328E-3</v>
      </c>
      <c r="D14" s="8">
        <f>+'Simulation and  VaR'!D27/'Simulation and  VaR'!D26-1</f>
        <v>-8.2918739635157168E-3</v>
      </c>
      <c r="E14" s="8">
        <f>+'Simulation and  VaR'!E27/'Simulation and  VaR'!E26-1</f>
        <v>-3.1948881789136685E-3</v>
      </c>
      <c r="F14" s="8">
        <f>+'Simulation and  VaR'!F27/'Simulation and  VaR'!F26-1</f>
        <v>1.5649452269170805E-3</v>
      </c>
      <c r="G14" s="8">
        <f>+'Simulation and  VaR'!G27/'Simulation and  VaR'!G26-1</f>
        <v>-4.3923865300147247E-3</v>
      </c>
      <c r="H14" s="8">
        <f>+'Simulation and  VaR'!H27/'Simulation and  VaR'!H26-1</f>
        <v>3.8535450591686171E-2</v>
      </c>
      <c r="I14" s="8">
        <f>+'Simulation and  VaR'!I27/'Simulation and  VaR'!I26-1</f>
        <v>-3.3826108744675509E-2</v>
      </c>
      <c r="J14" s="8">
        <f>+'Simulation and  VaR'!J27/'Simulation and  VaR'!J26-1</f>
        <v>0</v>
      </c>
      <c r="K14" s="8">
        <f>+'Simulation and  VaR'!K27/'Simulation and  VaR'!K26-1</f>
        <v>-1.5054572826496138E-3</v>
      </c>
      <c r="L14" s="8">
        <f>+'Simulation and  VaR'!L27/'Simulation and  VaR'!L26-1</f>
        <v>-1.2931139430246708E-3</v>
      </c>
      <c r="N14" s="26">
        <f t="shared" si="0"/>
        <v>1.9879428323421249E-2</v>
      </c>
      <c r="O14" s="26">
        <f t="shared" si="1"/>
        <v>5.388166192312643E-3</v>
      </c>
      <c r="P14" s="26">
        <f t="shared" si="2"/>
        <v>-1.0044750010210365E-2</v>
      </c>
      <c r="Q14" s="26">
        <f t="shared" si="3"/>
        <v>-4.7671564172236678E-3</v>
      </c>
      <c r="R14" s="26">
        <f t="shared" si="4"/>
        <v>8.7044289203617531E-5</v>
      </c>
      <c r="S14" s="26">
        <f t="shared" si="5"/>
        <v>-5.8510327397445303E-3</v>
      </c>
      <c r="T14" s="26">
        <f t="shared" si="6"/>
        <v>3.3192070546625763E-2</v>
      </c>
      <c r="U14" s="26">
        <f t="shared" si="7"/>
        <v>-4.6227874873712889E-2</v>
      </c>
      <c r="V14" s="26">
        <f t="shared" si="8"/>
        <v>-1.0229205971642284E-2</v>
      </c>
      <c r="W14" s="26">
        <f t="shared" si="9"/>
        <v>6.1457999221800792E-5</v>
      </c>
      <c r="X14" s="26">
        <f t="shared" si="10"/>
        <v>2.2311211707310356E-3</v>
      </c>
      <c r="Z14" s="20" t="s">
        <v>15</v>
      </c>
      <c r="AA14" s="29">
        <v>-1.4192864682638441E-4</v>
      </c>
      <c r="AB14" s="29">
        <v>1.3935618485323182E-5</v>
      </c>
      <c r="AC14" s="29">
        <v>-8.9461830037862806E-6</v>
      </c>
      <c r="AD14" s="29">
        <v>-1.2947791791773072E-5</v>
      </c>
      <c r="AE14" s="29">
        <v>-2.5125455354529962E-5</v>
      </c>
      <c r="AF14" s="29">
        <v>-2.305048424005226E-5</v>
      </c>
      <c r="AG14" s="29">
        <v>-2.3682559368339155E-6</v>
      </c>
      <c r="AH14" s="29">
        <v>6.2831333403792333E-4</v>
      </c>
      <c r="AI14" s="29">
        <v>-1.2834525763443614E-4</v>
      </c>
      <c r="AJ14" s="28">
        <v>8.4876478960358836E-4</v>
      </c>
      <c r="AK14" s="29">
        <v>-4.2541335751584308E-4</v>
      </c>
      <c r="AM14" s="33">
        <v>5.5638643106015693E-6</v>
      </c>
      <c r="AN14" s="33">
        <v>1.4093174323721053E-3</v>
      </c>
      <c r="AO14" s="33">
        <v>-0.15225135815914559</v>
      </c>
      <c r="AP14" s="33">
        <v>-3.1933124630127881E-2</v>
      </c>
      <c r="AQ14" s="33">
        <v>-0.14995706716920315</v>
      </c>
      <c r="AR14" s="33">
        <v>-0.65769330678406923</v>
      </c>
      <c r="AS14" s="33">
        <v>5.427558506707067E-2</v>
      </c>
      <c r="AT14" s="33">
        <v>-0.7170893131844206</v>
      </c>
      <c r="AU14" s="33">
        <v>5.8427550156982477E-2</v>
      </c>
      <c r="AV14" s="33">
        <v>-1.2914722380312884E-2</v>
      </c>
      <c r="AW14" s="33">
        <v>2.3996374693860938E-3</v>
      </c>
      <c r="AX14" s="27">
        <v>9.7798338006644184E-4</v>
      </c>
      <c r="AZ14" s="27">
        <v>3.2045499316174503E-5</v>
      </c>
      <c r="BA14" s="27">
        <v>-7.2402817121902281E-3</v>
      </c>
      <c r="BB14" s="27">
        <v>9.5161934395799092E-2</v>
      </c>
      <c r="BC14" s="27">
        <v>0.1165070637243039</v>
      </c>
      <c r="BD14" s="27">
        <v>8.7496466105116022E-2</v>
      </c>
      <c r="BE14" s="27">
        <v>-0.12522914442247174</v>
      </c>
      <c r="BF14" s="27">
        <v>0.67913500941114091</v>
      </c>
      <c r="BG14" s="27">
        <v>0.70138276833902446</v>
      </c>
      <c r="BH14" s="27">
        <v>-1.0357461553788878E-2</v>
      </c>
      <c r="BI14" s="27">
        <v>9.7870105464493359E-3</v>
      </c>
      <c r="BJ14" s="27">
        <v>-2.1387077701841044E-2</v>
      </c>
      <c r="BK14" s="27">
        <v>-1.2541932544795244E-2</v>
      </c>
    </row>
    <row r="15" spans="1:63" x14ac:dyDescent="0.2">
      <c r="A15" s="5">
        <v>25841</v>
      </c>
      <c r="B15" s="8">
        <f>+'Simulation and  VaR'!B28/'Simulation and  VaR'!B27-1</f>
        <v>2.9186973720561005E-2</v>
      </c>
      <c r="C15" s="8">
        <f>+'Simulation and  VaR'!C28/'Simulation and  VaR'!C27-1</f>
        <v>2.1937842778793515E-2</v>
      </c>
      <c r="D15" s="8">
        <f>+'Simulation and  VaR'!D28/'Simulation and  VaR'!D27-1</f>
        <v>2.006688963210701E-2</v>
      </c>
      <c r="E15" s="8">
        <f>+'Simulation and  VaR'!E28/'Simulation and  VaR'!E27-1</f>
        <v>1.4423076923076872E-2</v>
      </c>
      <c r="F15" s="8">
        <f>+'Simulation and  VaR'!F28/'Simulation and  VaR'!F27-1</f>
        <v>1.2499999999999956E-2</v>
      </c>
      <c r="G15" s="8">
        <f>+'Simulation and  VaR'!G28/'Simulation and  VaR'!G27-1</f>
        <v>7.3529411764705621E-3</v>
      </c>
      <c r="H15" s="8">
        <f>+'Simulation and  VaR'!H28/'Simulation and  VaR'!H27-1</f>
        <v>7.206856252434779E-3</v>
      </c>
      <c r="I15" s="8">
        <f>+'Simulation and  VaR'!I28/'Simulation and  VaR'!I27-1</f>
        <v>2.4636929460581047E-2</v>
      </c>
      <c r="J15" s="8">
        <f>+'Simulation and  VaR'!J28/'Simulation and  VaR'!J27-1</f>
        <v>0</v>
      </c>
      <c r="K15" s="8">
        <f>+'Simulation and  VaR'!K28/'Simulation and  VaR'!K27-1</f>
        <v>9.632700925576998E-4</v>
      </c>
      <c r="L15" s="8">
        <f>+'Simulation and  VaR'!L28/'Simulation and  VaR'!L27-1</f>
        <v>-1.828561501587056E-3</v>
      </c>
      <c r="N15" s="26">
        <f t="shared" si="0"/>
        <v>2.5175509860255612E-2</v>
      </c>
      <c r="O15" s="26">
        <f t="shared" si="1"/>
        <v>1.9959526466502127E-2</v>
      </c>
      <c r="P15" s="26">
        <f t="shared" si="2"/>
        <v>1.8314013585412361E-2</v>
      </c>
      <c r="Q15" s="26">
        <f t="shared" si="3"/>
        <v>1.2850808684766872E-2</v>
      </c>
      <c r="R15" s="26">
        <f t="shared" si="4"/>
        <v>1.1022099062286492E-2</v>
      </c>
      <c r="S15" s="26">
        <f t="shared" si="5"/>
        <v>5.8942949667407565E-3</v>
      </c>
      <c r="T15" s="26">
        <f t="shared" si="6"/>
        <v>1.8634762073743739E-3</v>
      </c>
      <c r="U15" s="26">
        <f t="shared" si="7"/>
        <v>1.2235163331543668E-2</v>
      </c>
      <c r="V15" s="26">
        <f t="shared" si="8"/>
        <v>-1.0229205971642284E-2</v>
      </c>
      <c r="W15" s="26">
        <f t="shared" si="9"/>
        <v>2.5301853744291143E-3</v>
      </c>
      <c r="X15" s="26">
        <f t="shared" si="10"/>
        <v>1.6956736121686504E-3</v>
      </c>
      <c r="Z15" s="20" t="s">
        <v>16</v>
      </c>
      <c r="AA15" s="29">
        <v>9.6529137427617324E-5</v>
      </c>
      <c r="AB15" s="29">
        <v>2.2034714451390216E-6</v>
      </c>
      <c r="AC15" s="29">
        <v>1.0632105457686843E-5</v>
      </c>
      <c r="AD15" s="29">
        <v>9.3991186979374358E-6</v>
      </c>
      <c r="AE15" s="29">
        <v>2.1040912781972763E-5</v>
      </c>
      <c r="AF15" s="29">
        <v>8.8072784138528943E-6</v>
      </c>
      <c r="AG15" s="29">
        <v>-1.2826715940619476E-5</v>
      </c>
      <c r="AH15" s="29">
        <v>-4.5965559518841115E-4</v>
      </c>
      <c r="AI15" s="29">
        <v>6.4581455485440622E-4</v>
      </c>
      <c r="AJ15" s="29">
        <v>-4.2541335751584308E-4</v>
      </c>
      <c r="AK15" s="28">
        <v>8.8381445629693851E-4</v>
      </c>
      <c r="AM15" s="33">
        <v>4.4755573569119816E-6</v>
      </c>
      <c r="AN15" s="33">
        <v>4.7929031111729074E-2</v>
      </c>
      <c r="AO15" s="33">
        <v>0.14673626416499988</v>
      </c>
      <c r="AP15" s="33">
        <v>1.4481830690299574E-2</v>
      </c>
      <c r="AQ15" s="33">
        <v>0.11772719032274952</v>
      </c>
      <c r="AR15" s="33">
        <v>0.69131212627631711</v>
      </c>
      <c r="AS15" s="33">
        <v>0.15785512216118575</v>
      </c>
      <c r="AT15" s="33">
        <v>-0.67751422499088698</v>
      </c>
      <c r="AU15" s="33">
        <v>1.0337488557445007E-2</v>
      </c>
      <c r="AV15" s="33">
        <v>-2.9110432805420296E-3</v>
      </c>
      <c r="AW15" s="33">
        <v>8.686659029300315E-3</v>
      </c>
      <c r="AX15" s="27">
        <v>-7.4057724246453047E-3</v>
      </c>
      <c r="AZ15" s="27">
        <v>1.8864127735577562E-5</v>
      </c>
      <c r="BA15" s="27">
        <v>5.7250449208453791E-2</v>
      </c>
      <c r="BB15" s="27">
        <v>-9.024442233139969E-2</v>
      </c>
      <c r="BC15" s="27">
        <v>-0.10930363947736776</v>
      </c>
      <c r="BD15" s="27">
        <v>-5.4993594932050499E-2</v>
      </c>
      <c r="BE15" s="27">
        <v>0.2469446247549639</v>
      </c>
      <c r="BF15" s="27">
        <v>-0.6434698561879586</v>
      </c>
      <c r="BG15" s="27">
        <v>0.70435545337876027</v>
      </c>
      <c r="BH15" s="27">
        <v>-4.7982243744413205E-2</v>
      </c>
      <c r="BI15" s="27">
        <v>9.9797397153485335E-3</v>
      </c>
      <c r="BJ15" s="27">
        <v>2.6053405717296699E-3</v>
      </c>
      <c r="BK15" s="27">
        <v>6.8089843556291586E-3</v>
      </c>
    </row>
    <row r="16" spans="1:63" x14ac:dyDescent="0.2">
      <c r="A16" s="5">
        <v>25872</v>
      </c>
      <c r="B16" s="8">
        <f>+'Simulation and  VaR'!B29/'Simulation and  VaR'!B28-1</f>
        <v>1.8918283176204476E-2</v>
      </c>
      <c r="C16" s="8">
        <f>+'Simulation and  VaR'!C29/'Simulation and  VaR'!C28-1</f>
        <v>2.1466905187835339E-2</v>
      </c>
      <c r="D16" s="8">
        <f>+'Simulation and  VaR'!D29/'Simulation and  VaR'!D28-1</f>
        <v>1.6393442622950838E-2</v>
      </c>
      <c r="E16" s="8">
        <f>+'Simulation and  VaR'!E29/'Simulation and  VaR'!E28-1</f>
        <v>2.0537124802527673E-2</v>
      </c>
      <c r="F16" s="8">
        <f>+'Simulation and  VaR'!F29/'Simulation and  VaR'!F28-1</f>
        <v>1.8518518518518601E-2</v>
      </c>
      <c r="G16" s="8">
        <f>+'Simulation and  VaR'!G29/'Simulation and  VaR'!G28-1</f>
        <v>2.481751824817513E-2</v>
      </c>
      <c r="H16" s="8">
        <f>+'Simulation and  VaR'!H29/'Simulation and  VaR'!H28-1</f>
        <v>4.7959775672017146E-2</v>
      </c>
      <c r="I16" s="8">
        <f>+'Simulation and  VaR'!I29/'Simulation and  VaR'!I28-1</f>
        <v>2.8347253859782207E-2</v>
      </c>
      <c r="J16" s="8">
        <f>+'Simulation and  VaR'!J29/'Simulation and  VaR'!J28-1</f>
        <v>0</v>
      </c>
      <c r="K16" s="8">
        <f>+'Simulation and  VaR'!K29/'Simulation and  VaR'!K28-1</f>
        <v>-1.0878661087866393E-3</v>
      </c>
      <c r="L16" s="8">
        <f>+'Simulation and  VaR'!L29/'Simulation and  VaR'!L28-1</f>
        <v>-1.2533222501343033E-3</v>
      </c>
      <c r="N16" s="26">
        <f t="shared" si="0"/>
        <v>1.4906819315899083E-2</v>
      </c>
      <c r="O16" s="26">
        <f t="shared" si="1"/>
        <v>1.9488588875543951E-2</v>
      </c>
      <c r="P16" s="26">
        <f t="shared" si="2"/>
        <v>1.4640566576256189E-2</v>
      </c>
      <c r="Q16" s="26">
        <f t="shared" si="3"/>
        <v>1.8964856564217675E-2</v>
      </c>
      <c r="R16" s="26">
        <f t="shared" si="4"/>
        <v>1.7040617580805138E-2</v>
      </c>
      <c r="S16" s="26">
        <f t="shared" si="5"/>
        <v>2.3358872038445326E-2</v>
      </c>
      <c r="T16" s="26">
        <f t="shared" si="6"/>
        <v>4.2616395626956738E-2</v>
      </c>
      <c r="U16" s="26">
        <f t="shared" si="7"/>
        <v>1.5945487730744827E-2</v>
      </c>
      <c r="V16" s="26">
        <f t="shared" si="8"/>
        <v>-1.0229205971642284E-2</v>
      </c>
      <c r="W16" s="26">
        <f t="shared" si="9"/>
        <v>4.790491730847753E-4</v>
      </c>
      <c r="X16" s="26">
        <f t="shared" si="10"/>
        <v>2.2709128636214031E-3</v>
      </c>
    </row>
    <row r="17" spans="1:49" x14ac:dyDescent="0.2">
      <c r="A17" s="5">
        <v>25902</v>
      </c>
      <c r="B17" s="8">
        <f>+'Simulation and  VaR'!B30/'Simulation and  VaR'!B29-1</f>
        <v>9.1116184404472333E-2</v>
      </c>
      <c r="C17" s="8">
        <f>+'Simulation and  VaR'!C30/'Simulation and  VaR'!C29-1</f>
        <v>5.7793345008756658E-2</v>
      </c>
      <c r="D17" s="8">
        <f>+'Simulation and  VaR'!D30/'Simulation and  VaR'!D29-1</f>
        <v>4.1935483870967794E-2</v>
      </c>
      <c r="E17" s="8">
        <f>+'Simulation and  VaR'!E30/'Simulation and  VaR'!E29-1</f>
        <v>3.2507739938080427E-2</v>
      </c>
      <c r="F17" s="8">
        <f>+'Simulation and  VaR'!F30/'Simulation and  VaR'!F29-1</f>
        <v>3.9393939393939315E-2</v>
      </c>
      <c r="G17" s="8">
        <f>+'Simulation and  VaR'!G30/'Simulation and  VaR'!G29-1</f>
        <v>3.1339031339031376E-2</v>
      </c>
      <c r="H17" s="8">
        <f>+'Simulation and  VaR'!H30/'Simulation and  VaR'!H29-1</f>
        <v>-4.1612843698099367E-2</v>
      </c>
      <c r="I17" s="8">
        <f>+'Simulation and  VaR'!I30/'Simulation and  VaR'!I29-1</f>
        <v>2.7073590942653158E-2</v>
      </c>
      <c r="J17" s="8">
        <f>+'Simulation and  VaR'!J30/'Simulation and  VaR'!J29-1</f>
        <v>0</v>
      </c>
      <c r="K17" s="8">
        <f>+'Simulation and  VaR'!K30/'Simulation and  VaR'!K29-1</f>
        <v>-1.298483706123843E-3</v>
      </c>
      <c r="L17" s="8">
        <f>+'Simulation and  VaR'!L30/'Simulation and  VaR'!L29-1</f>
        <v>-5.3684972097711725E-4</v>
      </c>
      <c r="N17" s="26">
        <f t="shared" si="0"/>
        <v>8.7104720544166944E-2</v>
      </c>
      <c r="O17" s="26">
        <f t="shared" si="1"/>
        <v>5.581502869646527E-2</v>
      </c>
      <c r="P17" s="26">
        <f t="shared" si="2"/>
        <v>4.0182607824273145E-2</v>
      </c>
      <c r="Q17" s="26">
        <f t="shared" si="3"/>
        <v>3.0935471699770428E-2</v>
      </c>
      <c r="R17" s="26">
        <f t="shared" si="4"/>
        <v>3.7916038456225855E-2</v>
      </c>
      <c r="S17" s="26">
        <f t="shared" si="5"/>
        <v>2.9880385129301572E-2</v>
      </c>
      <c r="T17" s="26">
        <f t="shared" si="6"/>
        <v>-4.6956223743159775E-2</v>
      </c>
      <c r="U17" s="26">
        <f t="shared" si="7"/>
        <v>1.4671824813615779E-2</v>
      </c>
      <c r="V17" s="26">
        <f t="shared" si="8"/>
        <v>-1.0229205971642284E-2</v>
      </c>
      <c r="W17" s="26">
        <f t="shared" si="9"/>
        <v>2.6843157574757154E-4</v>
      </c>
      <c r="X17" s="26">
        <f t="shared" si="10"/>
        <v>2.9873853927785891E-3</v>
      </c>
      <c r="Z17" s="21" t="s">
        <v>37</v>
      </c>
      <c r="AA17" s="16" t="s">
        <v>42</v>
      </c>
      <c r="AB17" s="24"/>
      <c r="AC17" s="24"/>
      <c r="AD17" s="24"/>
      <c r="AE17" s="24"/>
      <c r="AF17" s="24"/>
    </row>
    <row r="18" spans="1:49" x14ac:dyDescent="0.2">
      <c r="A18" s="5">
        <v>25933</v>
      </c>
      <c r="B18" s="8">
        <f>+'Simulation and  VaR'!B31/'Simulation and  VaR'!B30-1</f>
        <v>3.2436922282988556E-2</v>
      </c>
      <c r="C18" s="8">
        <f>+'Simulation and  VaR'!C31/'Simulation and  VaR'!C30-1</f>
        <v>1.6556291390728006E-3</v>
      </c>
      <c r="D18" s="8">
        <f>+'Simulation and  VaR'!D31/'Simulation and  VaR'!D30-1</f>
        <v>2.1671826625387025E-2</v>
      </c>
      <c r="E18" s="8">
        <f>+'Simulation and  VaR'!E31/'Simulation and  VaR'!E30-1</f>
        <v>1.0494752623688264E-2</v>
      </c>
      <c r="F18" s="8">
        <f>+'Simulation and  VaR'!F31/'Simulation and  VaR'!F30-1</f>
        <v>1.1661807580174877E-2</v>
      </c>
      <c r="G18" s="8">
        <f>+'Simulation and  VaR'!G31/'Simulation and  VaR'!G30-1</f>
        <v>1.2430939226519389E-2</v>
      </c>
      <c r="H18" s="8">
        <f>+'Simulation and  VaR'!H31/'Simulation and  VaR'!H30-1</f>
        <v>-8.1833060556464332E-3</v>
      </c>
      <c r="I18" s="8">
        <f>+'Simulation and  VaR'!I31/'Simulation and  VaR'!I30-1</f>
        <v>1.9170860292355707E-2</v>
      </c>
      <c r="J18" s="8">
        <f>+'Simulation and  VaR'!J31/'Simulation and  VaR'!J30-1</f>
        <v>0</v>
      </c>
      <c r="K18" s="8">
        <f>+'Simulation and  VaR'!K31/'Simulation and  VaR'!K30-1</f>
        <v>1.1743488654951673E-3</v>
      </c>
      <c r="L18" s="8">
        <f>+'Simulation and  VaR'!L31/'Simulation and  VaR'!L30-1</f>
        <v>2.1478601227054028E-4</v>
      </c>
      <c r="N18" s="26">
        <f t="shared" si="0"/>
        <v>2.8425458422683163E-2</v>
      </c>
      <c r="O18" s="26">
        <f t="shared" si="1"/>
        <v>-3.226871732185891E-4</v>
      </c>
      <c r="P18" s="26">
        <f t="shared" si="2"/>
        <v>1.9918950578692377E-2</v>
      </c>
      <c r="Q18" s="26">
        <f t="shared" si="3"/>
        <v>8.9224843853782636E-3</v>
      </c>
      <c r="R18" s="26">
        <f t="shared" si="4"/>
        <v>1.0183906642461413E-2</v>
      </c>
      <c r="S18" s="26">
        <f t="shared" si="5"/>
        <v>1.0972293016789583E-2</v>
      </c>
      <c r="T18" s="26">
        <f t="shared" si="6"/>
        <v>-1.3526686100706838E-2</v>
      </c>
      <c r="U18" s="26">
        <f t="shared" si="7"/>
        <v>6.7690941633183274E-3</v>
      </c>
      <c r="V18" s="26">
        <f t="shared" si="8"/>
        <v>-1.0229205971642284E-2</v>
      </c>
      <c r="W18" s="26">
        <f t="shared" si="9"/>
        <v>2.7412641473665818E-3</v>
      </c>
      <c r="X18" s="26">
        <f t="shared" si="10"/>
        <v>3.7390211260262467E-3</v>
      </c>
      <c r="AM18" s="47" t="s">
        <v>54</v>
      </c>
      <c r="AN18" s="48"/>
      <c r="AO18" s="48"/>
      <c r="AQ18" s="41" t="s">
        <v>55</v>
      </c>
      <c r="AT18" s="42" t="s">
        <v>56</v>
      </c>
    </row>
    <row r="19" spans="1:49" x14ac:dyDescent="0.2">
      <c r="A19" s="5">
        <v>25964</v>
      </c>
      <c r="B19" s="8">
        <f>+'Simulation and  VaR'!B32/'Simulation and  VaR'!B31-1</f>
        <v>-1.6543339196827267E-3</v>
      </c>
      <c r="C19" s="8">
        <f>+'Simulation and  VaR'!C32/'Simulation and  VaR'!C31-1</f>
        <v>2.4793388429752206E-2</v>
      </c>
      <c r="D19" s="8">
        <f>+'Simulation and  VaR'!D32/'Simulation and  VaR'!D31-1</f>
        <v>1.060606060606073E-2</v>
      </c>
      <c r="E19" s="8">
        <f>+'Simulation and  VaR'!E32/'Simulation and  VaR'!E31-1</f>
        <v>5.9347181008901906E-3</v>
      </c>
      <c r="F19" s="8">
        <f>+'Simulation and  VaR'!F32/'Simulation and  VaR'!F31-1</f>
        <v>5.7636887608070175E-3</v>
      </c>
      <c r="G19" s="8">
        <f>+'Simulation and  VaR'!G32/'Simulation and  VaR'!G31-1</f>
        <v>-2.7285129604366354E-3</v>
      </c>
      <c r="H19" s="8">
        <f>+'Simulation and  VaR'!H32/'Simulation and  VaR'!H31-1</f>
        <v>-4.7369442826635688E-2</v>
      </c>
      <c r="I19" s="8">
        <f>+'Simulation and  VaR'!I32/'Simulation and  VaR'!I31-1</f>
        <v>4.2323066071008331E-3</v>
      </c>
      <c r="J19" s="8">
        <f>+'Simulation and  VaR'!J32/'Simulation and  VaR'!J31-1</f>
        <v>0</v>
      </c>
      <c r="K19" s="8">
        <f>+'Simulation and  VaR'!K32/'Simulation and  VaR'!K31-1</f>
        <v>1.8851325876587666E-3</v>
      </c>
      <c r="L19" s="8">
        <f>+'Simulation and  VaR'!L32/'Simulation and  VaR'!L31-1</f>
        <v>-3.9361935384329971E-4</v>
      </c>
      <c r="N19" s="26">
        <f t="shared" si="0"/>
        <v>-5.6657977799881186E-3</v>
      </c>
      <c r="O19" s="26">
        <f t="shared" si="1"/>
        <v>2.2815072117460818E-2</v>
      </c>
      <c r="P19" s="26">
        <f t="shared" si="2"/>
        <v>8.8531845593660813E-3</v>
      </c>
      <c r="Q19" s="26">
        <f t="shared" si="3"/>
        <v>4.3624498625801913E-3</v>
      </c>
      <c r="R19" s="26">
        <f t="shared" si="4"/>
        <v>4.2857878230935544E-3</v>
      </c>
      <c r="S19" s="26">
        <f t="shared" si="5"/>
        <v>-4.187159170166441E-3</v>
      </c>
      <c r="T19" s="26">
        <f t="shared" si="6"/>
        <v>-5.2712822871696097E-2</v>
      </c>
      <c r="U19" s="26">
        <f t="shared" si="7"/>
        <v>-8.1694595219365465E-3</v>
      </c>
      <c r="V19" s="26">
        <f t="shared" si="8"/>
        <v>-1.0229205971642284E-2</v>
      </c>
      <c r="W19" s="26">
        <f t="shared" si="9"/>
        <v>3.4520478695301811E-3</v>
      </c>
      <c r="X19" s="26">
        <f t="shared" si="10"/>
        <v>3.1306157599124067E-3</v>
      </c>
      <c r="Z19" s="15" t="s">
        <v>38</v>
      </c>
      <c r="AM19" t="s">
        <v>58</v>
      </c>
    </row>
    <row r="20" spans="1:49" x14ac:dyDescent="0.2">
      <c r="A20" s="5">
        <v>25992</v>
      </c>
      <c r="B20" s="8">
        <f>+'Simulation and  VaR'!B33/'Simulation and  VaR'!B32-1</f>
        <v>-1.8222213629191963E-2</v>
      </c>
      <c r="C20" s="8">
        <f>+'Simulation and  VaR'!C33/'Simulation and  VaR'!C32-1</f>
        <v>1.7741935483870819E-2</v>
      </c>
      <c r="D20" s="8">
        <f>+'Simulation and  VaR'!D33/'Simulation and  VaR'!D32-1</f>
        <v>2.8485757121439192E-2</v>
      </c>
      <c r="E20" s="8">
        <f>+'Simulation and  VaR'!E33/'Simulation and  VaR'!E32-1</f>
        <v>2.6548672566371723E-2</v>
      </c>
      <c r="F20" s="8">
        <f>+'Simulation and  VaR'!F33/'Simulation and  VaR'!F32-1</f>
        <v>2.2922636103151817E-2</v>
      </c>
      <c r="G20" s="8">
        <f>+'Simulation and  VaR'!G33/'Simulation and  VaR'!G32-1</f>
        <v>2.8727770177838563E-2</v>
      </c>
      <c r="H20" s="8">
        <f>+'Simulation and  VaR'!H33/'Simulation and  VaR'!H32-1</f>
        <v>3.4440595068270019E-2</v>
      </c>
      <c r="I20" s="8">
        <f>+'Simulation and  VaR'!I33/'Simulation and  VaR'!I32-1</f>
        <v>1.6389604308124417E-2</v>
      </c>
      <c r="J20" s="8">
        <f>+'Simulation and  VaR'!J33/'Simulation and  VaR'!J32-1</f>
        <v>5.8441558441558517E-2</v>
      </c>
      <c r="K20" s="8">
        <f>+'Simulation and  VaR'!K33/'Simulation and  VaR'!K32-1</f>
        <v>1.2543903662809441E-4</v>
      </c>
      <c r="L20" s="8">
        <f>+'Simulation and  VaR'!L33/'Simulation and  VaR'!L32-1</f>
        <v>3.5796386221820242E-4</v>
      </c>
      <c r="N20" s="26">
        <f t="shared" si="0"/>
        <v>-2.2233677489497356E-2</v>
      </c>
      <c r="O20" s="26">
        <f t="shared" si="1"/>
        <v>1.5763619171579431E-2</v>
      </c>
      <c r="P20" s="26">
        <f t="shared" si="2"/>
        <v>2.6732881074744544E-2</v>
      </c>
      <c r="Q20" s="26">
        <f t="shared" si="3"/>
        <v>2.4976404328061724E-2</v>
      </c>
      <c r="R20" s="26">
        <f t="shared" si="4"/>
        <v>2.1444735165438353E-2</v>
      </c>
      <c r="S20" s="26">
        <f t="shared" si="5"/>
        <v>2.7269123968108759E-2</v>
      </c>
      <c r="T20" s="26">
        <f t="shared" si="6"/>
        <v>2.9097215023209614E-2</v>
      </c>
      <c r="U20" s="26">
        <f t="shared" si="7"/>
        <v>3.9878381790870374E-3</v>
      </c>
      <c r="V20" s="26">
        <f t="shared" si="8"/>
        <v>4.8212352469916231E-2</v>
      </c>
      <c r="W20" s="26">
        <f t="shared" si="9"/>
        <v>1.692354318499509E-3</v>
      </c>
      <c r="X20" s="26">
        <f t="shared" si="10"/>
        <v>3.8821989759739088E-3</v>
      </c>
      <c r="Z20" s="1"/>
      <c r="AM20" s="27">
        <f t="array" ref="AM20:AW30">Cholesky(AA5:AK15)</f>
        <v>4.0620731421857161E-2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27">
        <v>0</v>
      </c>
      <c r="AW20" s="27">
        <v>0</v>
      </c>
    </row>
    <row r="21" spans="1:49" ht="18" x14ac:dyDescent="0.2">
      <c r="A21" s="5">
        <v>26023</v>
      </c>
      <c r="B21" s="8">
        <f>+'Simulation and  VaR'!B34/'Simulation and  VaR'!B33-1</f>
        <v>1.6872681040622783E-2</v>
      </c>
      <c r="C21" s="8">
        <f>+'Simulation and  VaR'!C34/'Simulation and  VaR'!C33-1</f>
        <v>-2.0602218700475405E-2</v>
      </c>
      <c r="D21" s="8">
        <f>+'Simulation and  VaR'!D34/'Simulation and  VaR'!D33-1</f>
        <v>5.8309037900874383E-3</v>
      </c>
      <c r="E21" s="8">
        <f>+'Simulation and  VaR'!E34/'Simulation and  VaR'!E33-1</f>
        <v>1.0057471264367734E-2</v>
      </c>
      <c r="F21" s="8">
        <f>+'Simulation and  VaR'!F34/'Simulation and  VaR'!F33-1</f>
        <v>1.1204481792717047E-2</v>
      </c>
      <c r="G21" s="8">
        <f>+'Simulation and  VaR'!G34/'Simulation and  VaR'!G33-1</f>
        <v>3.9893617021276029E-3</v>
      </c>
      <c r="H21" s="8">
        <f>+'Simulation and  VaR'!H34/'Simulation and  VaR'!H33-1</f>
        <v>2.1473601260835196E-2</v>
      </c>
      <c r="I21" s="8">
        <f>+'Simulation and  VaR'!I34/'Simulation and  VaR'!I33-1</f>
        <v>4.6072333563695889E-3</v>
      </c>
      <c r="J21" s="8">
        <f>+'Simulation and  VaR'!J34/'Simulation and  VaR'!J33-1</f>
        <v>3.0674846625766916E-2</v>
      </c>
      <c r="K21" s="8">
        <f>+'Simulation and  VaR'!K34/'Simulation and  VaR'!K33-1</f>
        <v>5.8530875036577612E-4</v>
      </c>
      <c r="L21" s="8">
        <f>+'Simulation and  VaR'!L34/'Simulation and  VaR'!L33-1</f>
        <v>6.4475041389289167E-4</v>
      </c>
      <c r="N21" s="26">
        <f t="shared" si="0"/>
        <v>1.2861217180317391E-2</v>
      </c>
      <c r="O21" s="26">
        <f t="shared" si="1"/>
        <v>-2.2580535012766793E-2</v>
      </c>
      <c r="P21" s="26">
        <f t="shared" si="2"/>
        <v>4.0780277433927897E-3</v>
      </c>
      <c r="Q21" s="26">
        <f t="shared" si="3"/>
        <v>8.4852030260577343E-3</v>
      </c>
      <c r="R21" s="26">
        <f t="shared" si="4"/>
        <v>9.7265808550035839E-3</v>
      </c>
      <c r="S21" s="26">
        <f t="shared" si="5"/>
        <v>2.5307154923977972E-3</v>
      </c>
      <c r="T21" s="26">
        <f t="shared" si="6"/>
        <v>1.6130221215774791E-2</v>
      </c>
      <c r="U21" s="26">
        <f t="shared" si="7"/>
        <v>-7.7945327726677907E-3</v>
      </c>
      <c r="V21" s="26">
        <f t="shared" si="8"/>
        <v>2.044564065412463E-2</v>
      </c>
      <c r="W21" s="26">
        <f t="shared" si="9"/>
        <v>2.1522240322371907E-3</v>
      </c>
      <c r="X21" s="26">
        <f t="shared" si="10"/>
        <v>4.1689855276485985E-3</v>
      </c>
      <c r="Z21" s="15" t="s">
        <v>39</v>
      </c>
      <c r="AM21" s="27">
        <v>1.2712344152125283E-2</v>
      </c>
      <c r="AN21" s="27">
        <v>1.8676939231131996E-2</v>
      </c>
      <c r="AO21" s="27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27">
        <v>0</v>
      </c>
      <c r="AW21" s="27">
        <v>0</v>
      </c>
    </row>
    <row r="22" spans="1:49" x14ac:dyDescent="0.2">
      <c r="A22" s="5">
        <v>26053</v>
      </c>
      <c r="B22" s="8">
        <f>+'Simulation and  VaR'!B35/'Simulation and  VaR'!B34-1</f>
        <v>-1.327485540025708E-2</v>
      </c>
      <c r="C22" s="8">
        <f>+'Simulation and  VaR'!C35/'Simulation and  VaR'!C34-1</f>
        <v>2.4271844660194164E-2</v>
      </c>
      <c r="D22" s="8">
        <f>+'Simulation and  VaR'!D35/'Simulation and  VaR'!D34-1</f>
        <v>-1.4492753623188359E-2</v>
      </c>
      <c r="E22" s="8">
        <f>+'Simulation and  VaR'!E35/'Simulation and  VaR'!E34-1</f>
        <v>-8.5348506401137225E-3</v>
      </c>
      <c r="F22" s="8">
        <f>+'Simulation and  VaR'!F35/'Simulation and  VaR'!F34-1</f>
        <v>-1.2465373961218829E-2</v>
      </c>
      <c r="G22" s="8">
        <f>+'Simulation and  VaR'!G35/'Simulation and  VaR'!G34-1</f>
        <v>-2.6490066225166586E-3</v>
      </c>
      <c r="H22" s="8">
        <f>+'Simulation and  VaR'!H35/'Simulation and  VaR'!H34-1</f>
        <v>-2.2179363548698872E-3</v>
      </c>
      <c r="I22" s="8">
        <f>+'Simulation and  VaR'!I35/'Simulation and  VaR'!I34-1</f>
        <v>-5.274019720247769E-3</v>
      </c>
      <c r="J22" s="8">
        <f>+'Simulation and  VaR'!J35/'Simulation and  VaR'!J34-1</f>
        <v>0</v>
      </c>
      <c r="K22" s="8">
        <f>+'Simulation and  VaR'!K35/'Simulation and  VaR'!K34-1</f>
        <v>-2.6741319516984108E-3</v>
      </c>
      <c r="L22" s="8">
        <f>+'Simulation and  VaR'!L35/'Simulation and  VaR'!L34-1</f>
        <v>6.4516639907363782E-4</v>
      </c>
      <c r="N22" s="26">
        <f t="shared" si="0"/>
        <v>-1.7286319260562472E-2</v>
      </c>
      <c r="O22" s="26">
        <f t="shared" si="1"/>
        <v>2.2293528347902776E-2</v>
      </c>
      <c r="P22" s="26">
        <f t="shared" si="2"/>
        <v>-1.6245629669883008E-2</v>
      </c>
      <c r="Q22" s="26">
        <f t="shared" si="3"/>
        <v>-1.0107118878423723E-2</v>
      </c>
      <c r="R22" s="26">
        <f t="shared" si="4"/>
        <v>-1.3943274898932292E-2</v>
      </c>
      <c r="S22" s="26">
        <f t="shared" si="5"/>
        <v>-4.1076528322464643E-3</v>
      </c>
      <c r="T22" s="26">
        <f t="shared" si="6"/>
        <v>-7.5613163999302922E-3</v>
      </c>
      <c r="U22" s="26">
        <f t="shared" si="7"/>
        <v>-1.7675785849285149E-2</v>
      </c>
      <c r="V22" s="26">
        <f t="shared" si="8"/>
        <v>-1.0229205971642284E-2</v>
      </c>
      <c r="W22" s="26">
        <f t="shared" si="9"/>
        <v>-1.1072166698269962E-3</v>
      </c>
      <c r="X22" s="26">
        <f t="shared" si="10"/>
        <v>4.1694015128293446E-3</v>
      </c>
      <c r="Z22" s="27"/>
      <c r="AA22" s="20" t="s">
        <v>6</v>
      </c>
      <c r="AB22" s="20" t="s">
        <v>7</v>
      </c>
      <c r="AC22" s="20" t="s">
        <v>8</v>
      </c>
      <c r="AD22" s="20" t="s">
        <v>9</v>
      </c>
      <c r="AE22" s="20" t="s">
        <v>10</v>
      </c>
      <c r="AF22" s="20" t="s">
        <v>11</v>
      </c>
      <c r="AG22" s="20" t="s">
        <v>12</v>
      </c>
      <c r="AH22" s="20" t="s">
        <v>13</v>
      </c>
      <c r="AI22" s="20" t="s">
        <v>14</v>
      </c>
      <c r="AJ22" s="20" t="s">
        <v>15</v>
      </c>
      <c r="AK22" s="20" t="s">
        <v>16</v>
      </c>
      <c r="AM22" s="27">
        <v>5.7947561635864593E-3</v>
      </c>
      <c r="AN22" s="27">
        <v>7.4024500884103664E-3</v>
      </c>
      <c r="AO22" s="27">
        <v>9.812487154300574E-3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>
        <v>0</v>
      </c>
    </row>
    <row r="23" spans="1:49" x14ac:dyDescent="0.2">
      <c r="A23" s="5">
        <v>26084</v>
      </c>
      <c r="B23" s="8">
        <f>+'Simulation and  VaR'!B36/'Simulation and  VaR'!B35-1</f>
        <v>6.7322550605810605E-2</v>
      </c>
      <c r="C23" s="8">
        <f>+'Simulation and  VaR'!C36/'Simulation and  VaR'!C35-1</f>
        <v>3.9494470774091628E-2</v>
      </c>
      <c r="D23" s="8">
        <f>+'Simulation and  VaR'!D36/'Simulation and  VaR'!D35-1</f>
        <v>2.7941176470588358E-2</v>
      </c>
      <c r="E23" s="8">
        <f>+'Simulation and  VaR'!E36/'Simulation and  VaR'!E35-1</f>
        <v>2.2955523672883782E-2</v>
      </c>
      <c r="F23" s="8">
        <f>+'Simulation and  VaR'!F36/'Simulation and  VaR'!F35-1</f>
        <v>2.244039270687237E-2</v>
      </c>
      <c r="G23" s="8">
        <f>+'Simulation and  VaR'!G36/'Simulation and  VaR'!G35-1</f>
        <v>2.3904382470119501E-2</v>
      </c>
      <c r="H23" s="8">
        <f>+'Simulation and  VaR'!H36/'Simulation and  VaR'!H35-1</f>
        <v>-5.5571663284043726E-2</v>
      </c>
      <c r="I23" s="8">
        <f>+'Simulation and  VaR'!I36/'Simulation and  VaR'!I35-1</f>
        <v>-5.6938681420009241E-2</v>
      </c>
      <c r="J23" s="8">
        <f>+'Simulation and  VaR'!J36/'Simulation and  VaR'!J35-1</f>
        <v>0</v>
      </c>
      <c r="K23" s="8">
        <f>+'Simulation and  VaR'!K36/'Simulation and  VaR'!K35-1</f>
        <v>1.2149650173864934E-3</v>
      </c>
      <c r="L23" s="8">
        <f>+'Simulation and  VaR'!L36/'Simulation and  VaR'!L35-1</f>
        <v>6.814730996576035E-4</v>
      </c>
      <c r="N23" s="26">
        <f t="shared" si="0"/>
        <v>6.3311086745505216E-2</v>
      </c>
      <c r="O23" s="26">
        <f t="shared" si="1"/>
        <v>3.751615446180024E-2</v>
      </c>
      <c r="P23" s="26">
        <f t="shared" si="2"/>
        <v>2.6188300423893709E-2</v>
      </c>
      <c r="Q23" s="26">
        <f t="shared" si="3"/>
        <v>2.1383255434573784E-2</v>
      </c>
      <c r="R23" s="26">
        <f t="shared" si="4"/>
        <v>2.0962491769158906E-2</v>
      </c>
      <c r="S23" s="26">
        <f t="shared" si="5"/>
        <v>2.2445736260389697E-2</v>
      </c>
      <c r="T23" s="26">
        <f t="shared" si="6"/>
        <v>-6.0915043329104135E-2</v>
      </c>
      <c r="U23" s="26">
        <f t="shared" si="7"/>
        <v>-6.9340447549046613E-2</v>
      </c>
      <c r="V23" s="26">
        <f t="shared" si="8"/>
        <v>-1.0229205971642284E-2</v>
      </c>
      <c r="W23" s="26">
        <f t="shared" si="9"/>
        <v>2.781880299257908E-3</v>
      </c>
      <c r="X23" s="26">
        <f t="shared" si="10"/>
        <v>4.2057082134133103E-3</v>
      </c>
      <c r="Z23" s="20" t="s">
        <v>6</v>
      </c>
      <c r="AA23" s="29">
        <f t="array" ref="AA23:AK33">MMULT(TRANSPOSE(B257:L257),B257:L257)</f>
        <v>1.6500438212466418E-3</v>
      </c>
      <c r="AB23" s="29">
        <v>9.1773349073506554E-4</v>
      </c>
      <c r="AC23" s="29">
        <v>5.5199429644415361E-4</v>
      </c>
      <c r="AD23" s="29">
        <v>4.6442384397270682E-4</v>
      </c>
      <c r="AE23" s="29">
        <v>4.7055292732383242E-4</v>
      </c>
      <c r="AF23" s="29">
        <v>4.7226566779011274E-4</v>
      </c>
      <c r="AG23" s="29">
        <v>1.8890060205449565E-3</v>
      </c>
      <c r="AH23" s="29">
        <v>3.0428102837479964E-3</v>
      </c>
      <c r="AI23" s="29">
        <v>4.2505991117548622E-3</v>
      </c>
      <c r="AJ23" s="29">
        <v>1.1834268447086654E-3</v>
      </c>
      <c r="AK23" s="29">
        <v>1.2076144180744215E-3</v>
      </c>
      <c r="AM23" s="27">
        <v>4.7614611883879769E-3</v>
      </c>
      <c r="AN23" s="27">
        <v>5.7109278857013718E-3</v>
      </c>
      <c r="AO23" s="27">
        <v>8.0219512851272996E-3</v>
      </c>
      <c r="AP23" s="27">
        <v>3.3285926786520534E-3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27">
        <v>0</v>
      </c>
      <c r="AW23" s="27">
        <v>0</v>
      </c>
    </row>
    <row r="24" spans="1:49" x14ac:dyDescent="0.2">
      <c r="A24" s="5">
        <v>26114</v>
      </c>
      <c r="B24" s="8">
        <f>+'Simulation and  VaR'!B37/'Simulation and  VaR'!B36-1</f>
        <v>8.6941658425222945E-2</v>
      </c>
      <c r="C24" s="8">
        <f>+'Simulation and  VaR'!C37/'Simulation and  VaR'!C36-1</f>
        <v>2.2796352583586588E-2</v>
      </c>
      <c r="D24" s="8">
        <f>+'Simulation and  VaR'!D37/'Simulation and  VaR'!D36-1</f>
        <v>1.4306151645207432E-2</v>
      </c>
      <c r="E24" s="8">
        <f>+'Simulation and  VaR'!E37/'Simulation and  VaR'!E36-1</f>
        <v>1.6830294530154388E-2</v>
      </c>
      <c r="F24" s="8">
        <f>+'Simulation and  VaR'!F37/'Simulation and  VaR'!F36-1</f>
        <v>1.6460905349794164E-2</v>
      </c>
      <c r="G24" s="8">
        <f>+'Simulation and  VaR'!G37/'Simulation and  VaR'!G36-1</f>
        <v>1.8158236057068677E-2</v>
      </c>
      <c r="H24" s="8">
        <f>+'Simulation and  VaR'!H37/'Simulation and  VaR'!H36-1</f>
        <v>-6.017191977077363E-2</v>
      </c>
      <c r="I24" s="8">
        <f>+'Simulation and  VaR'!I37/'Simulation and  VaR'!I36-1</f>
        <v>1.3933023710584136E-2</v>
      </c>
      <c r="J24" s="8">
        <f>+'Simulation and  VaR'!J37/'Simulation and  VaR'!J36-1</f>
        <v>0</v>
      </c>
      <c r="K24" s="8">
        <f>+'Simulation and  VaR'!K37/'Simulation and  VaR'!K36-1</f>
        <v>3.3475604653121493E-4</v>
      </c>
      <c r="L24" s="8">
        <f>+'Simulation and  VaR'!L37/'Simulation and  VaR'!L36-1</f>
        <v>2.5530591025186844E-3</v>
      </c>
      <c r="N24" s="26">
        <f t="shared" si="0"/>
        <v>8.2930194564917556E-2</v>
      </c>
      <c r="O24" s="26">
        <f t="shared" si="1"/>
        <v>2.08180362712952E-2</v>
      </c>
      <c r="P24" s="26">
        <f t="shared" si="2"/>
        <v>1.2553275598512784E-2</v>
      </c>
      <c r="Q24" s="26">
        <f t="shared" si="3"/>
        <v>1.5258026291844388E-2</v>
      </c>
      <c r="R24" s="26">
        <f t="shared" si="4"/>
        <v>1.4983004412080701E-2</v>
      </c>
      <c r="S24" s="26">
        <f t="shared" si="5"/>
        <v>1.6699589847338873E-2</v>
      </c>
      <c r="T24" s="26">
        <f t="shared" si="6"/>
        <v>-6.5515299815834038E-2</v>
      </c>
      <c r="U24" s="26">
        <f t="shared" si="7"/>
        <v>1.5312575815467563E-3</v>
      </c>
      <c r="V24" s="26">
        <f t="shared" si="8"/>
        <v>-1.0229205971642284E-2</v>
      </c>
      <c r="W24" s="26">
        <f t="shared" si="9"/>
        <v>1.9016713284026295E-3</v>
      </c>
      <c r="X24" s="26">
        <f t="shared" si="10"/>
        <v>6.0772942162743912E-3</v>
      </c>
      <c r="Z24" s="20" t="s">
        <v>7</v>
      </c>
      <c r="AA24" s="29">
        <v>9.1773349073506554E-4</v>
      </c>
      <c r="AB24" s="29">
        <v>5.1043175288547368E-4</v>
      </c>
      <c r="AC24" s="29">
        <v>3.0701224174689215E-4</v>
      </c>
      <c r="AD24" s="29">
        <v>2.5830666435734646E-4</v>
      </c>
      <c r="AE24" s="29">
        <v>2.6171558294872356E-4</v>
      </c>
      <c r="AF24" s="29">
        <v>2.6266818751994952E-4</v>
      </c>
      <c r="AG24" s="29">
        <v>1.0506412417244195E-3</v>
      </c>
      <c r="AH24" s="29">
        <v>1.6923725705895627E-3</v>
      </c>
      <c r="AI24" s="29">
        <v>2.3641294311801584E-3</v>
      </c>
      <c r="AJ24" s="29">
        <v>6.5820703380078678E-4</v>
      </c>
      <c r="AK24" s="29">
        <v>6.7165985599346959E-4</v>
      </c>
      <c r="AM24" s="27">
        <v>5.293466636564376E-3</v>
      </c>
      <c r="AN24" s="27">
        <v>5.0867251948873045E-3</v>
      </c>
      <c r="AO24" s="27">
        <v>7.911318624409058E-3</v>
      </c>
      <c r="AP24" s="27">
        <v>2.6730454836937151E-3</v>
      </c>
      <c r="AQ24" s="27">
        <v>3.2497251485012063E-3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>
        <v>0</v>
      </c>
    </row>
    <row r="25" spans="1:49" x14ac:dyDescent="0.2">
      <c r="A25" s="5">
        <v>26145</v>
      </c>
      <c r="B25" s="8">
        <f>+'Simulation and  VaR'!B38/'Simulation and  VaR'!B37-1</f>
        <v>-1.4563374635706561E-3</v>
      </c>
      <c r="C25" s="8">
        <f>+'Simulation and  VaR'!C38/'Simulation and  VaR'!C37-1</f>
        <v>-4.4576523031202298E-3</v>
      </c>
      <c r="D25" s="8">
        <f>+'Simulation and  VaR'!D38/'Simulation and  VaR'!D37-1</f>
        <v>-1.5514809590973289E-2</v>
      </c>
      <c r="E25" s="8">
        <f>+'Simulation and  VaR'!E38/'Simulation and  VaR'!E37-1</f>
        <v>-1.3793103448275223E-3</v>
      </c>
      <c r="F25" s="8">
        <f>+'Simulation and  VaR'!F38/'Simulation and  VaR'!F37-1</f>
        <v>1.3495276653170407E-3</v>
      </c>
      <c r="G25" s="8">
        <f>+'Simulation and  VaR'!G38/'Simulation and  VaR'!G37-1</f>
        <v>2.5477707006369421E-3</v>
      </c>
      <c r="H25" s="8">
        <f>+'Simulation and  VaR'!H38/'Simulation and  VaR'!H37-1</f>
        <v>4.006968641114983E-2</v>
      </c>
      <c r="I25" s="8">
        <f>+'Simulation and  VaR'!I38/'Simulation and  VaR'!I37-1</f>
        <v>-1.3259402121504227E-2</v>
      </c>
      <c r="J25" s="8">
        <f>+'Simulation and  VaR'!J38/'Simulation and  VaR'!J37-1</f>
        <v>0</v>
      </c>
      <c r="K25" s="8">
        <f>+'Simulation and  VaR'!K38/'Simulation and  VaR'!K37-1</f>
        <v>-2.133355642934931E-3</v>
      </c>
      <c r="L25" s="8">
        <f>+'Simulation and  VaR'!L38/'Simulation and  VaR'!L37-1</f>
        <v>-3.5957288468724258E-5</v>
      </c>
      <c r="N25" s="26">
        <f t="shared" si="0"/>
        <v>-5.4678013238760479E-3</v>
      </c>
      <c r="O25" s="26">
        <f t="shared" si="1"/>
        <v>-6.4359686154116195E-3</v>
      </c>
      <c r="P25" s="26">
        <f t="shared" si="2"/>
        <v>-1.7267685637667937E-2</v>
      </c>
      <c r="Q25" s="26">
        <f t="shared" si="3"/>
        <v>-2.9515785831375216E-3</v>
      </c>
      <c r="R25" s="26">
        <f t="shared" si="4"/>
        <v>-1.2837327239642224E-4</v>
      </c>
      <c r="S25" s="26">
        <f t="shared" si="5"/>
        <v>1.0891244909071367E-3</v>
      </c>
      <c r="T25" s="26">
        <f t="shared" si="6"/>
        <v>3.4726306366089421E-2</v>
      </c>
      <c r="U25" s="26">
        <f t="shared" si="7"/>
        <v>-2.5661168250541606E-2</v>
      </c>
      <c r="V25" s="26">
        <f t="shared" si="8"/>
        <v>-1.0229205971642284E-2</v>
      </c>
      <c r="W25" s="26">
        <f t="shared" si="9"/>
        <v>-5.6644036106351641E-4</v>
      </c>
      <c r="X25" s="26">
        <f t="shared" si="10"/>
        <v>3.4882778252869821E-3</v>
      </c>
      <c r="Z25" s="20" t="s">
        <v>8</v>
      </c>
      <c r="AA25" s="29">
        <v>5.5199429644415361E-4</v>
      </c>
      <c r="AB25" s="29">
        <v>3.0701224174689215E-4</v>
      </c>
      <c r="AC25" s="29">
        <v>1.846603704601438E-4</v>
      </c>
      <c r="AD25" s="29">
        <v>1.5536515437021483E-4</v>
      </c>
      <c r="AE25" s="29">
        <v>1.5741553570475179E-4</v>
      </c>
      <c r="AF25" s="29">
        <v>1.5798850410504649E-4</v>
      </c>
      <c r="AG25" s="29">
        <v>6.3193506491341972E-4</v>
      </c>
      <c r="AH25" s="29">
        <v>1.0179207971104235E-3</v>
      </c>
      <c r="AI25" s="29">
        <v>1.4219661538361975E-3</v>
      </c>
      <c r="AJ25" s="29">
        <v>3.9589546660921075E-4</v>
      </c>
      <c r="AK25" s="29">
        <v>4.0398701082809988E-4</v>
      </c>
      <c r="AM25" s="27">
        <v>5.1423278965838041E-3</v>
      </c>
      <c r="AN25" s="27">
        <v>5.60792335193249E-3</v>
      </c>
      <c r="AO25" s="27">
        <v>7.2274550797878541E-3</v>
      </c>
      <c r="AP25" s="27">
        <v>2.8968320842060521E-3</v>
      </c>
      <c r="AQ25" s="27">
        <v>2.332611093319207E-3</v>
      </c>
      <c r="AR25" s="27">
        <v>3.3478194493349362E-3</v>
      </c>
      <c r="AS25" s="27">
        <v>0</v>
      </c>
      <c r="AT25" s="27">
        <v>0</v>
      </c>
      <c r="AU25" s="27">
        <v>0</v>
      </c>
      <c r="AV25" s="27">
        <v>0</v>
      </c>
      <c r="AW25" s="27">
        <v>0</v>
      </c>
    </row>
    <row r="26" spans="1:49" x14ac:dyDescent="0.2">
      <c r="A26" s="5">
        <v>26176</v>
      </c>
      <c r="B26" s="8">
        <f>+'Simulation and  VaR'!B39/'Simulation and  VaR'!B38-1</f>
        <v>1.6047205464883252E-2</v>
      </c>
      <c r="C26" s="8">
        <f>+'Simulation and  VaR'!C39/'Simulation and  VaR'!C38-1</f>
        <v>7.0149253731343286E-2</v>
      </c>
      <c r="D26" s="8">
        <f>+'Simulation and  VaR'!D39/'Simulation and  VaR'!D38-1</f>
        <v>2.4355300859598916E-2</v>
      </c>
      <c r="E26" s="8">
        <f>+'Simulation and  VaR'!E39/'Simulation and  VaR'!E38-1</f>
        <v>1.7955801104972302E-2</v>
      </c>
      <c r="F26" s="8">
        <f>+'Simulation and  VaR'!F39/'Simulation and  VaR'!F38-1</f>
        <v>2.0215633423180446E-2</v>
      </c>
      <c r="G26" s="8">
        <f>+'Simulation and  VaR'!G39/'Simulation and  VaR'!G38-1</f>
        <v>2.414231257941557E-2</v>
      </c>
      <c r="H26" s="8">
        <f>+'Simulation and  VaR'!H39/'Simulation and  VaR'!H38-1</f>
        <v>-2.5020938023450623E-2</v>
      </c>
      <c r="I26" s="8">
        <f>+'Simulation and  VaR'!I39/'Simulation and  VaR'!I38-1</f>
        <v>-1.7102369899828496E-3</v>
      </c>
      <c r="J26" s="8">
        <f>+'Simulation and  VaR'!J39/'Simulation and  VaR'!J38-1</f>
        <v>0</v>
      </c>
      <c r="K26" s="8">
        <f>+'Simulation and  VaR'!K39/'Simulation and  VaR'!K38-1</f>
        <v>-5.4495912806540314E-4</v>
      </c>
      <c r="L26" s="8">
        <f>+'Simulation and  VaR'!L39/'Simulation and  VaR'!L38-1</f>
        <v>-3.5114402583926729E-3</v>
      </c>
      <c r="N26" s="26">
        <f t="shared" si="0"/>
        <v>1.2035741604577859E-2</v>
      </c>
      <c r="O26" s="26">
        <f t="shared" si="1"/>
        <v>6.8170937419051891E-2</v>
      </c>
      <c r="P26" s="26">
        <f t="shared" si="2"/>
        <v>2.2602424812904268E-2</v>
      </c>
      <c r="Q26" s="26">
        <f t="shared" si="3"/>
        <v>1.6383532866662304E-2</v>
      </c>
      <c r="R26" s="26">
        <f t="shared" si="4"/>
        <v>1.8737732485466983E-2</v>
      </c>
      <c r="S26" s="26">
        <f t="shared" si="5"/>
        <v>2.2683666369685766E-2</v>
      </c>
      <c r="T26" s="26">
        <f t="shared" si="6"/>
        <v>-3.0364318068511028E-2</v>
      </c>
      <c r="U26" s="26">
        <f t="shared" si="7"/>
        <v>-1.4112003119020229E-2</v>
      </c>
      <c r="V26" s="26">
        <f t="shared" si="8"/>
        <v>-1.0229205971642284E-2</v>
      </c>
      <c r="W26" s="26">
        <f t="shared" si="9"/>
        <v>1.0219561538060114E-3</v>
      </c>
      <c r="X26" s="26">
        <f t="shared" si="10"/>
        <v>1.2794855363033441E-5</v>
      </c>
      <c r="Z26" s="20" t="s">
        <v>9</v>
      </c>
      <c r="AA26" s="29">
        <v>4.6442384397270682E-4</v>
      </c>
      <c r="AB26" s="29">
        <v>2.5830666435734646E-4</v>
      </c>
      <c r="AC26" s="29">
        <v>1.5536515437021483E-4</v>
      </c>
      <c r="AD26" s="29">
        <v>1.3071744160553705E-4</v>
      </c>
      <c r="AE26" s="29">
        <v>1.3244254272909892E-4</v>
      </c>
      <c r="AF26" s="29">
        <v>1.3292461326615685E-4</v>
      </c>
      <c r="AG26" s="29">
        <v>5.3168250809621355E-4</v>
      </c>
      <c r="AH26" s="29">
        <v>8.5643401118296416E-4</v>
      </c>
      <c r="AI26" s="29">
        <v>1.1963800920006529E-3</v>
      </c>
      <c r="AJ26" s="29">
        <v>3.3308911993915844E-4</v>
      </c>
      <c r="AK26" s="29">
        <v>3.3989699113279098E-4</v>
      </c>
      <c r="AM26" s="27">
        <v>-5.2773657036542642E-3</v>
      </c>
      <c r="AN26" s="27">
        <v>-6.4648790258750059E-3</v>
      </c>
      <c r="AO26" s="27">
        <v>-3.4192908506311928E-3</v>
      </c>
      <c r="AP26" s="27">
        <v>3.2123757251939234E-4</v>
      </c>
      <c r="AQ26" s="27">
        <v>3.348660053359714E-3</v>
      </c>
      <c r="AR26" s="27">
        <v>1.9191829757999066E-3</v>
      </c>
      <c r="AS26" s="27">
        <v>4.5455894647462691E-2</v>
      </c>
      <c r="AT26" s="27">
        <v>0</v>
      </c>
      <c r="AU26" s="27">
        <v>0</v>
      </c>
      <c r="AV26" s="27">
        <v>0</v>
      </c>
      <c r="AW26" s="27">
        <v>0</v>
      </c>
    </row>
    <row r="27" spans="1:49" x14ac:dyDescent="0.2">
      <c r="A27" s="5">
        <v>26206</v>
      </c>
      <c r="B27" s="8">
        <f>+'Simulation and  VaR'!B40/'Simulation and  VaR'!B39-1</f>
        <v>-1.2922832111911475E-2</v>
      </c>
      <c r="C27" s="8">
        <f>+'Simulation and  VaR'!C40/'Simulation and  VaR'!C39-1</f>
        <v>-8.3682008368201055E-3</v>
      </c>
      <c r="D27" s="8">
        <f>+'Simulation and  VaR'!D40/'Simulation and  VaR'!D39-1</f>
        <v>2.657342657342654E-2</v>
      </c>
      <c r="E27" s="8">
        <f>+'Simulation and  VaR'!E40/'Simulation and  VaR'!E39-1</f>
        <v>2.3066485753052923E-2</v>
      </c>
      <c r="F27" s="8">
        <f>+'Simulation and  VaR'!F40/'Simulation and  VaR'!F39-1</f>
        <v>3.0383091149273511E-2</v>
      </c>
      <c r="G27" s="8">
        <f>+'Simulation and  VaR'!G40/'Simulation and  VaR'!G39-1</f>
        <v>2.1091811414392092E-2</v>
      </c>
      <c r="H27" s="8">
        <f>+'Simulation and  VaR'!H40/'Simulation and  VaR'!H39-1</f>
        <v>4.4239235477289807E-2</v>
      </c>
      <c r="I27" s="8">
        <f>+'Simulation and  VaR'!I40/'Simulation and  VaR'!I39-1</f>
        <v>-2.0802741067058261E-2</v>
      </c>
      <c r="J27" s="8">
        <f>+'Simulation and  VaR'!J40/'Simulation and  VaR'!J39-1</f>
        <v>0</v>
      </c>
      <c r="K27" s="8">
        <f>+'Simulation and  VaR'!K40/'Simulation and  VaR'!K39-1</f>
        <v>2.6004529821324063E-3</v>
      </c>
      <c r="L27" s="8">
        <f>+'Simulation and  VaR'!L40/'Simulation and  VaR'!L39-1</f>
        <v>-1.0748150322059669E-4</v>
      </c>
      <c r="N27" s="26">
        <f t="shared" si="0"/>
        <v>-1.6934295972216868E-2</v>
      </c>
      <c r="O27" s="26">
        <f t="shared" si="1"/>
        <v>-1.0346517149111495E-2</v>
      </c>
      <c r="P27" s="26">
        <f t="shared" si="2"/>
        <v>2.4820550526731891E-2</v>
      </c>
      <c r="Q27" s="26">
        <f t="shared" si="3"/>
        <v>2.1494217514742925E-2</v>
      </c>
      <c r="R27" s="26">
        <f t="shared" si="4"/>
        <v>2.8905190211560048E-2</v>
      </c>
      <c r="S27" s="26">
        <f t="shared" si="5"/>
        <v>1.9633165204662288E-2</v>
      </c>
      <c r="T27" s="26">
        <f t="shared" si="6"/>
        <v>3.8895855432229398E-2</v>
      </c>
      <c r="U27" s="26">
        <f t="shared" si="7"/>
        <v>-3.3204507196095641E-2</v>
      </c>
      <c r="V27" s="26">
        <f t="shared" si="8"/>
        <v>-1.0229205971642284E-2</v>
      </c>
      <c r="W27" s="26">
        <f t="shared" si="9"/>
        <v>4.1673682640038208E-3</v>
      </c>
      <c r="X27" s="26">
        <f t="shared" si="10"/>
        <v>3.4167536105351097E-3</v>
      </c>
      <c r="Z27" s="20" t="s">
        <v>10</v>
      </c>
      <c r="AA27" s="29">
        <v>4.7055292732383242E-4</v>
      </c>
      <c r="AB27" s="29">
        <v>2.6171558294872356E-4</v>
      </c>
      <c r="AC27" s="29">
        <v>1.5741553570475179E-4</v>
      </c>
      <c r="AD27" s="29">
        <v>1.3244254272909892E-4</v>
      </c>
      <c r="AE27" s="29">
        <v>1.3419041031633968E-4</v>
      </c>
      <c r="AF27" s="29">
        <v>1.3467884282326867E-4</v>
      </c>
      <c r="AG27" s="29">
        <v>5.3869921589610136E-4</v>
      </c>
      <c r="AH27" s="29">
        <v>8.6773652182578053E-4</v>
      </c>
      <c r="AI27" s="29">
        <v>1.2121689310076575E-3</v>
      </c>
      <c r="AJ27" s="29">
        <v>3.3748495578168712E-4</v>
      </c>
      <c r="AK27" s="29">
        <v>3.4438267165175267E-4</v>
      </c>
      <c r="AM27" s="27">
        <v>9.3657924265010595E-4</v>
      </c>
      <c r="AN27" s="27">
        <v>9.778749112285887E-3</v>
      </c>
      <c r="AO27" s="27">
        <v>-3.7556491496328944E-3</v>
      </c>
      <c r="AP27" s="27">
        <v>-6.8158154337867229E-3</v>
      </c>
      <c r="AQ27" s="27">
        <v>-2.0952570794074898E-3</v>
      </c>
      <c r="AR27" s="27">
        <v>-5.6800859473491536E-3</v>
      </c>
      <c r="AS27" s="27">
        <v>4.1096004097411157E-3</v>
      </c>
      <c r="AT27" s="27">
        <v>7.3488620072041461E-2</v>
      </c>
      <c r="AU27" s="27">
        <v>0</v>
      </c>
      <c r="AV27" s="27">
        <v>0</v>
      </c>
      <c r="AW27" s="27">
        <v>0</v>
      </c>
    </row>
    <row r="28" spans="1:49" x14ac:dyDescent="0.2">
      <c r="A28" s="5">
        <v>26237</v>
      </c>
      <c r="B28" s="8">
        <f>+'Simulation and  VaR'!B41/'Simulation and  VaR'!B40-1</f>
        <v>3.6381699355868768E-2</v>
      </c>
      <c r="C28" s="8">
        <f>+'Simulation and  VaR'!C41/'Simulation and  VaR'!C40-1</f>
        <v>5.6258790436005679E-3</v>
      </c>
      <c r="D28" s="8">
        <f>+'Simulation and  VaR'!D41/'Simulation and  VaR'!D40-1</f>
        <v>2.7247956403269047E-3</v>
      </c>
      <c r="E28" s="8">
        <f>+'Simulation and  VaR'!E41/'Simulation and  VaR'!E40-1</f>
        <v>6.6312997347479641E-3</v>
      </c>
      <c r="F28" s="8">
        <f>+'Simulation and  VaR'!F41/'Simulation and  VaR'!F40-1</f>
        <v>6.4102564102563875E-3</v>
      </c>
      <c r="G28" s="8">
        <f>+'Simulation and  VaR'!G41/'Simulation and  VaR'!G40-1</f>
        <v>3.6452004860265674E-3</v>
      </c>
      <c r="H28" s="8">
        <f>+'Simulation and  VaR'!H41/'Simulation and  VaR'!H40-1</f>
        <v>-3.5269922879177296E-2</v>
      </c>
      <c r="I28" s="8">
        <f>+'Simulation and  VaR'!I41/'Simulation and  VaR'!I40-1</f>
        <v>-0.10997250687328164</v>
      </c>
      <c r="J28" s="8">
        <f>+'Simulation and  VaR'!J41/'Simulation and  VaR'!J40-1</f>
        <v>0</v>
      </c>
      <c r="K28" s="8">
        <f>+'Simulation and  VaR'!K41/'Simulation and  VaR'!K40-1</f>
        <v>2.5937081659972439E-3</v>
      </c>
      <c r="L28" s="8">
        <f>+'Simulation and  VaR'!L41/'Simulation and  VaR'!L40-1</f>
        <v>-1.4310358713492954E-3</v>
      </c>
      <c r="N28" s="26">
        <f t="shared" si="0"/>
        <v>3.2370235495563379E-2</v>
      </c>
      <c r="O28" s="26">
        <f t="shared" si="1"/>
        <v>3.6475627313091782E-3</v>
      </c>
      <c r="P28" s="26">
        <f t="shared" si="2"/>
        <v>9.7191959363225589E-4</v>
      </c>
      <c r="Q28" s="26">
        <f t="shared" si="3"/>
        <v>5.0590314964379648E-3</v>
      </c>
      <c r="R28" s="26">
        <f t="shared" si="4"/>
        <v>4.9323554725429243E-3</v>
      </c>
      <c r="S28" s="26">
        <f t="shared" si="5"/>
        <v>2.1865542762967618E-3</v>
      </c>
      <c r="T28" s="26">
        <f t="shared" si="6"/>
        <v>-4.0613302924237704E-2</v>
      </c>
      <c r="U28" s="26">
        <f t="shared" si="7"/>
        <v>-0.12237427300231901</v>
      </c>
      <c r="V28" s="26">
        <f t="shared" si="8"/>
        <v>-1.0229205971642284E-2</v>
      </c>
      <c r="W28" s="26">
        <f t="shared" si="9"/>
        <v>4.1606234478686584E-3</v>
      </c>
      <c r="X28" s="26">
        <f t="shared" si="10"/>
        <v>2.0931992424064109E-3</v>
      </c>
      <c r="Z28" s="20" t="s">
        <v>11</v>
      </c>
      <c r="AA28" s="29">
        <v>4.7226566779011274E-4</v>
      </c>
      <c r="AB28" s="29">
        <v>2.6266818751994952E-4</v>
      </c>
      <c r="AC28" s="29">
        <v>1.5798850410504649E-4</v>
      </c>
      <c r="AD28" s="29">
        <v>1.3292461326615685E-4</v>
      </c>
      <c r="AE28" s="29">
        <v>1.3467884282326867E-4</v>
      </c>
      <c r="AF28" s="29">
        <v>1.3516905314959072E-4</v>
      </c>
      <c r="AG28" s="29">
        <v>5.4065999839822312E-4</v>
      </c>
      <c r="AH28" s="29">
        <v>8.7089494964271666E-4</v>
      </c>
      <c r="AI28" s="29">
        <v>1.2165810399534292E-3</v>
      </c>
      <c r="AJ28" s="29">
        <v>3.3871334924597923E-4</v>
      </c>
      <c r="AK28" s="29">
        <v>3.4563617174360894E-4</v>
      </c>
      <c r="AM28" s="27">
        <v>5.9555392308204324E-3</v>
      </c>
      <c r="AN28" s="27">
        <v>9.4380691976504814E-3</v>
      </c>
      <c r="AO28" s="27">
        <v>4.4383007546217115E-3</v>
      </c>
      <c r="AP28" s="27">
        <v>-9.8518796775572039E-3</v>
      </c>
      <c r="AQ28" s="27">
        <v>-5.3446145054269738E-3</v>
      </c>
      <c r="AR28" s="27">
        <v>-8.5259350417549867E-3</v>
      </c>
      <c r="AS28" s="27">
        <v>-2.7932072167046679E-3</v>
      </c>
      <c r="AT28" s="27">
        <v>1.8912649741237367E-2</v>
      </c>
      <c r="AU28" s="27">
        <v>0.10120135866910772</v>
      </c>
      <c r="AV28" s="27">
        <v>0</v>
      </c>
      <c r="AW28" s="27">
        <v>0</v>
      </c>
    </row>
    <row r="29" spans="1:49" x14ac:dyDescent="0.2">
      <c r="A29" s="5">
        <v>26267</v>
      </c>
      <c r="B29" s="8">
        <f>+'Simulation and  VaR'!B42/'Simulation and  VaR'!B41-1</f>
        <v>8.0207586461914948E-2</v>
      </c>
      <c r="C29" s="8">
        <f>+'Simulation and  VaR'!C42/'Simulation and  VaR'!C41-1</f>
        <v>7.1328671328671378E-2</v>
      </c>
      <c r="D29" s="8">
        <f>+'Simulation and  VaR'!D42/'Simulation and  VaR'!D41-1</f>
        <v>5.0271739130434812E-2</v>
      </c>
      <c r="E29" s="8">
        <f>+'Simulation and  VaR'!E42/'Simulation and  VaR'!E41-1</f>
        <v>4.6113306982872082E-2</v>
      </c>
      <c r="F29" s="8">
        <f>+'Simulation and  VaR'!F42/'Simulation and  VaR'!F41-1</f>
        <v>4.7133757961783651E-2</v>
      </c>
      <c r="G29" s="8">
        <f>+'Simulation and  VaR'!G42/'Simulation and  VaR'!G41-1</f>
        <v>4.8426150121065437E-2</v>
      </c>
      <c r="H29" s="8">
        <f>+'Simulation and  VaR'!H42/'Simulation and  VaR'!H41-1</f>
        <v>-1.8652739287998266E-2</v>
      </c>
      <c r="I29" s="8">
        <f>+'Simulation and  VaR'!I42/'Simulation and  VaR'!I41-1</f>
        <v>-1.2075259758494772E-2</v>
      </c>
      <c r="J29" s="8">
        <f>+'Simulation and  VaR'!J42/'Simulation and  VaR'!J41-1</f>
        <v>0</v>
      </c>
      <c r="K29" s="8">
        <f>+'Simulation and  VaR'!K42/'Simulation and  VaR'!K41-1</f>
        <v>3.3380622548606631E-4</v>
      </c>
      <c r="L29" s="8">
        <f>+'Simulation and  VaR'!L42/'Simulation and  VaR'!L41-1</f>
        <v>-7.154666812814181E-5</v>
      </c>
      <c r="N29" s="26">
        <f t="shared" si="0"/>
        <v>7.6196122601609559E-2</v>
      </c>
      <c r="O29" s="26">
        <f t="shared" si="1"/>
        <v>6.9350355016379983E-2</v>
      </c>
      <c r="P29" s="26">
        <f t="shared" si="2"/>
        <v>4.8518863083740163E-2</v>
      </c>
      <c r="Q29" s="26">
        <f t="shared" si="3"/>
        <v>4.4541038744562084E-2</v>
      </c>
      <c r="R29" s="26">
        <f t="shared" si="4"/>
        <v>4.5655857024070191E-2</v>
      </c>
      <c r="S29" s="26">
        <f t="shared" si="5"/>
        <v>4.6967503911335633E-2</v>
      </c>
      <c r="T29" s="26">
        <f t="shared" si="6"/>
        <v>-2.3996119333058671E-2</v>
      </c>
      <c r="U29" s="26">
        <f t="shared" si="7"/>
        <v>-2.4477025887532151E-2</v>
      </c>
      <c r="V29" s="26">
        <f t="shared" si="8"/>
        <v>-1.0229205971642284E-2</v>
      </c>
      <c r="W29" s="26">
        <f t="shared" si="9"/>
        <v>1.9007215073574809E-3</v>
      </c>
      <c r="X29" s="26">
        <f t="shared" si="10"/>
        <v>3.4526884456275646E-3</v>
      </c>
      <c r="Z29" s="20" t="s">
        <v>12</v>
      </c>
      <c r="AA29" s="29">
        <v>1.8890060205449565E-3</v>
      </c>
      <c r="AB29" s="29">
        <v>1.0506412417244195E-3</v>
      </c>
      <c r="AC29" s="29">
        <v>6.3193506491341972E-4</v>
      </c>
      <c r="AD29" s="29">
        <v>5.3168250809621355E-4</v>
      </c>
      <c r="AE29" s="29">
        <v>5.3869921589610136E-4</v>
      </c>
      <c r="AF29" s="29">
        <v>5.4065999839822312E-4</v>
      </c>
      <c r="AG29" s="29">
        <v>2.1625751387373071E-3</v>
      </c>
      <c r="AH29" s="29">
        <v>3.4834753303905749E-3</v>
      </c>
      <c r="AI29" s="29">
        <v>4.8661782248677473E-3</v>
      </c>
      <c r="AJ29" s="29">
        <v>1.3548127666332061E-3</v>
      </c>
      <c r="AK29" s="29">
        <v>1.3825032261967384E-3</v>
      </c>
      <c r="AM29" s="27">
        <v>-3.4939953530727314E-3</v>
      </c>
      <c r="AN29" s="27">
        <v>3.1243068876213036E-3</v>
      </c>
      <c r="AO29" s="27">
        <v>-1.2052864382437062E-3</v>
      </c>
      <c r="AP29" s="27">
        <v>-1.3474796091047722E-3</v>
      </c>
      <c r="AQ29" s="27">
        <v>-2.8880346267955333E-3</v>
      </c>
      <c r="AR29" s="27">
        <v>-9.7163264173285213E-4</v>
      </c>
      <c r="AS29" s="27">
        <v>1.592387993380557E-4</v>
      </c>
      <c r="AT29" s="27">
        <v>7.8256821089026946E-3</v>
      </c>
      <c r="AU29" s="27">
        <v>-3.1247499990021111E-3</v>
      </c>
      <c r="AV29" s="27">
        <v>2.7261906423358594E-2</v>
      </c>
      <c r="AW29" s="27">
        <v>0</v>
      </c>
    </row>
    <row r="30" spans="1:49" x14ac:dyDescent="0.2">
      <c r="A30" s="5">
        <v>26298</v>
      </c>
      <c r="B30" s="8">
        <f>+'Simulation and  VaR'!B43/'Simulation and  VaR'!B42-1</f>
        <v>7.8287008659878587E-3</v>
      </c>
      <c r="C30" s="8">
        <f>+'Simulation and  VaR'!C43/'Simulation and  VaR'!C42-1</f>
        <v>1.958224543080922E-2</v>
      </c>
      <c r="D30" s="8">
        <f>+'Simulation and  VaR'!D43/'Simulation and  VaR'!D42-1</f>
        <v>2.4579560155239433E-2</v>
      </c>
      <c r="E30" s="8">
        <f>+'Simulation and  VaR'!E43/'Simulation and  VaR'!E42-1</f>
        <v>2.7707808564231717E-2</v>
      </c>
      <c r="F30" s="8">
        <f>+'Simulation and  VaR'!F43/'Simulation and  VaR'!F42-1</f>
        <v>1.703163017031617E-2</v>
      </c>
      <c r="G30" s="8">
        <f>+'Simulation and  VaR'!G43/'Simulation and  VaR'!G42-1</f>
        <v>2.4249422632794282E-2</v>
      </c>
      <c r="H30" s="8">
        <f>+'Simulation and  VaR'!H43/'Simulation and  VaR'!H42-1</f>
        <v>-7.6463560334528169E-2</v>
      </c>
      <c r="I30" s="8">
        <f>+'Simulation and  VaR'!I43/'Simulation and  VaR'!I42-1</f>
        <v>-9.6645821489483863E-3</v>
      </c>
      <c r="J30" s="8">
        <f>+'Simulation and  VaR'!J43/'Simulation and  VaR'!J42-1</f>
        <v>0</v>
      </c>
      <c r="K30" s="8">
        <f>+'Simulation and  VaR'!K43/'Simulation and  VaR'!K42-1</f>
        <v>1.334779344289716E-3</v>
      </c>
      <c r="L30" s="8">
        <f>+'Simulation and  VaR'!L43/'Simulation and  VaR'!L42-1</f>
        <v>1.7889868011056187E-4</v>
      </c>
      <c r="N30" s="26">
        <f t="shared" si="0"/>
        <v>3.8172370056824669E-3</v>
      </c>
      <c r="O30" s="26">
        <f t="shared" si="1"/>
        <v>1.7603929118517832E-2</v>
      </c>
      <c r="P30" s="26">
        <f t="shared" si="2"/>
        <v>2.2826684108544784E-2</v>
      </c>
      <c r="Q30" s="26">
        <f t="shared" si="3"/>
        <v>2.6135540325921719E-2</v>
      </c>
      <c r="R30" s="26">
        <f t="shared" si="4"/>
        <v>1.5553729232602707E-2</v>
      </c>
      <c r="S30" s="26">
        <f t="shared" si="5"/>
        <v>2.2790776423064478E-2</v>
      </c>
      <c r="T30" s="26">
        <f t="shared" si="6"/>
        <v>-8.1806940379588577E-2</v>
      </c>
      <c r="U30" s="26">
        <f t="shared" si="7"/>
        <v>-2.2066348277985766E-2</v>
      </c>
      <c r="V30" s="26">
        <f t="shared" si="8"/>
        <v>-1.0229205971642284E-2</v>
      </c>
      <c r="W30" s="26">
        <f t="shared" si="9"/>
        <v>2.9016946261611306E-3</v>
      </c>
      <c r="X30" s="26">
        <f t="shared" si="10"/>
        <v>3.7031337938662682E-3</v>
      </c>
      <c r="Z30" s="20" t="s">
        <v>13</v>
      </c>
      <c r="AA30" s="29">
        <v>3.0428102837479964E-3</v>
      </c>
      <c r="AB30" s="29">
        <v>1.6923725705895627E-3</v>
      </c>
      <c r="AC30" s="29">
        <v>1.0179207971104235E-3</v>
      </c>
      <c r="AD30" s="29">
        <v>8.5643401118296416E-4</v>
      </c>
      <c r="AE30" s="29">
        <v>8.6773652182578053E-4</v>
      </c>
      <c r="AF30" s="29">
        <v>8.7089494964271666E-4</v>
      </c>
      <c r="AG30" s="29">
        <v>3.4834753303905749E-3</v>
      </c>
      <c r="AH30" s="29">
        <v>5.6111809296600559E-3</v>
      </c>
      <c r="AI30" s="29">
        <v>7.838438302545242E-3</v>
      </c>
      <c r="AJ30" s="29">
        <v>2.1823319640216486E-3</v>
      </c>
      <c r="AK30" s="29">
        <v>2.2269357472839788E-3</v>
      </c>
      <c r="AM30" s="27">
        <v>2.3763515340267118E-3</v>
      </c>
      <c r="AN30" s="27">
        <v>-1.4994709109058873E-3</v>
      </c>
      <c r="AO30" s="27">
        <v>8.113627269873316E-4</v>
      </c>
      <c r="AP30" s="27">
        <v>4.1720655105601358E-5</v>
      </c>
      <c r="AQ30" s="27">
        <v>2.9413876505509848E-3</v>
      </c>
      <c r="AR30" s="27">
        <v>-2.3447624377818982E-3</v>
      </c>
      <c r="AS30" s="27">
        <v>-2.7649954447978454E-4</v>
      </c>
      <c r="AT30" s="27">
        <v>-6.1221168480392668E-3</v>
      </c>
      <c r="AU30" s="27">
        <v>7.444233923651301E-3</v>
      </c>
      <c r="AV30" s="27">
        <v>-1.2250050317214349E-2</v>
      </c>
      <c r="AW30" s="27">
        <v>2.4861057020957356E-2</v>
      </c>
    </row>
    <row r="31" spans="1:49" x14ac:dyDescent="0.2">
      <c r="A31" s="5">
        <v>26329</v>
      </c>
      <c r="B31" s="8">
        <f>+'Simulation and  VaR'!B44/'Simulation and  VaR'!B43-1</f>
        <v>-9.5636258025680765E-2</v>
      </c>
      <c r="C31" s="8">
        <f>+'Simulation and  VaR'!C44/'Simulation and  VaR'!C43-1</f>
        <v>-7.1702944942381497E-2</v>
      </c>
      <c r="D31" s="8">
        <f>+'Simulation and  VaR'!D44/'Simulation and  VaR'!D43-1</f>
        <v>2.525252525252375E-3</v>
      </c>
      <c r="E31" s="8">
        <f>+'Simulation and  VaR'!E44/'Simulation and  VaR'!E43-1</f>
        <v>-2.450980392156854E-3</v>
      </c>
      <c r="F31" s="8">
        <f>+'Simulation and  VaR'!F44/'Simulation and  VaR'!F43-1</f>
        <v>-4.7846889952152249E-3</v>
      </c>
      <c r="G31" s="8">
        <f>+'Simulation and  VaR'!G44/'Simulation and  VaR'!G43-1</f>
        <v>-9.0191657271702086E-3</v>
      </c>
      <c r="H31" s="8">
        <f>+'Simulation and  VaR'!H44/'Simulation and  VaR'!H43-1</f>
        <v>5.2687286839938841E-2</v>
      </c>
      <c r="I31" s="8">
        <f>+'Simulation and  VaR'!I44/'Simulation and  VaR'!I43-1</f>
        <v>3.7313432835821558E-3</v>
      </c>
      <c r="J31" s="8">
        <f>+'Simulation and  VaR'!J44/'Simulation and  VaR'!J43-1</f>
        <v>0</v>
      </c>
      <c r="K31" s="8">
        <f>+'Simulation and  VaR'!K44/'Simulation and  VaR'!K43-1</f>
        <v>1.7495626093475547E-3</v>
      </c>
      <c r="L31" s="8">
        <f>+'Simulation and  VaR'!L44/'Simulation and  VaR'!L43-1</f>
        <v>-7.1554357365166688E-5</v>
      </c>
      <c r="N31" s="26">
        <f t="shared" si="0"/>
        <v>-9.9647721885986154E-2</v>
      </c>
      <c r="O31" s="26">
        <f t="shared" si="1"/>
        <v>-7.3681261254672892E-2</v>
      </c>
      <c r="P31" s="26">
        <f t="shared" si="2"/>
        <v>7.7237647855772618E-4</v>
      </c>
      <c r="Q31" s="26">
        <f t="shared" si="3"/>
        <v>-4.0232486304668533E-3</v>
      </c>
      <c r="R31" s="26">
        <f t="shared" si="4"/>
        <v>-6.2625899329286881E-3</v>
      </c>
      <c r="S31" s="26">
        <f t="shared" si="5"/>
        <v>-1.0477811936900014E-2</v>
      </c>
      <c r="T31" s="26">
        <f t="shared" si="6"/>
        <v>4.7343906794878432E-2</v>
      </c>
      <c r="U31" s="26">
        <f t="shared" si="7"/>
        <v>-8.6704228454552237E-3</v>
      </c>
      <c r="V31" s="26">
        <f t="shared" si="8"/>
        <v>-1.0229205971642284E-2</v>
      </c>
      <c r="W31" s="26">
        <f t="shared" si="9"/>
        <v>3.3164778912189692E-3</v>
      </c>
      <c r="X31" s="26">
        <f t="shared" si="10"/>
        <v>3.4526807563905397E-3</v>
      </c>
      <c r="Z31" s="20" t="s">
        <v>14</v>
      </c>
      <c r="AA31" s="29">
        <v>4.2505991117548622E-3</v>
      </c>
      <c r="AB31" s="29">
        <v>2.3641294311801584E-3</v>
      </c>
      <c r="AC31" s="29">
        <v>1.4219661538361975E-3</v>
      </c>
      <c r="AD31" s="29">
        <v>1.1963800920006529E-3</v>
      </c>
      <c r="AE31" s="29">
        <v>1.2121689310076575E-3</v>
      </c>
      <c r="AF31" s="29">
        <v>1.2165810399534292E-3</v>
      </c>
      <c r="AG31" s="29">
        <v>4.8661782248677473E-3</v>
      </c>
      <c r="AH31" s="29">
        <v>7.838438302545242E-3</v>
      </c>
      <c r="AI31" s="29">
        <v>1.0949765440290419E-2</v>
      </c>
      <c r="AJ31" s="29">
        <v>3.0485693956570424E-3</v>
      </c>
      <c r="AK31" s="29">
        <v>3.1108778486448625E-3</v>
      </c>
    </row>
    <row r="32" spans="1:49" x14ac:dyDescent="0.2">
      <c r="A32" s="5">
        <v>26358</v>
      </c>
      <c r="B32" s="8">
        <f>+'Simulation and  VaR'!B45/'Simulation and  VaR'!B44-1</f>
        <v>-7.1224766064812872E-2</v>
      </c>
      <c r="C32" s="8">
        <f>+'Simulation and  VaR'!C45/'Simulation and  VaR'!C44-1</f>
        <v>-2.344827586206899E-2</v>
      </c>
      <c r="D32" s="8">
        <f>+'Simulation and  VaR'!D45/'Simulation and  VaR'!D44-1</f>
        <v>-1.133501259445846E-2</v>
      </c>
      <c r="E32" s="8">
        <f>+'Simulation and  VaR'!E45/'Simulation and  VaR'!E44-1</f>
        <v>-8.5995085995086429E-3</v>
      </c>
      <c r="F32" s="8">
        <f>+'Simulation and  VaR'!F45/'Simulation and  VaR'!F44-1</f>
        <v>-1.6826923076923128E-2</v>
      </c>
      <c r="G32" s="8">
        <f>+'Simulation and  VaR'!G45/'Simulation and  VaR'!G44-1</f>
        <v>-1.7064846416382062E-2</v>
      </c>
      <c r="H32" s="8">
        <f>+'Simulation and  VaR'!H45/'Simulation and  VaR'!H44-1</f>
        <v>1.4523516925482038E-3</v>
      </c>
      <c r="I32" s="8">
        <f>+'Simulation and  VaR'!I45/'Simulation and  VaR'!I44-1</f>
        <v>4.0034315127253084E-3</v>
      </c>
      <c r="J32" s="8">
        <f>+'Simulation and  VaR'!J45/'Simulation and  VaR'!J44-1</f>
        <v>0</v>
      </c>
      <c r="K32" s="8">
        <f>+'Simulation and  VaR'!K45/'Simulation and  VaR'!K44-1</f>
        <v>4.9900199600805273E-4</v>
      </c>
      <c r="L32" s="8">
        <f>+'Simulation and  VaR'!L45/'Simulation and  VaR'!L44-1</f>
        <v>-4.6488705383773699E-4</v>
      </c>
      <c r="N32" s="26">
        <f t="shared" si="0"/>
        <v>-7.5236229925118261E-2</v>
      </c>
      <c r="O32" s="26">
        <f t="shared" si="1"/>
        <v>-2.5426592174360378E-2</v>
      </c>
      <c r="P32" s="26">
        <f t="shared" si="2"/>
        <v>-1.3087888641153109E-2</v>
      </c>
      <c r="Q32" s="26">
        <f t="shared" si="3"/>
        <v>-1.0171776837818643E-2</v>
      </c>
      <c r="R32" s="26">
        <f t="shared" si="4"/>
        <v>-1.8304824014636591E-2</v>
      </c>
      <c r="S32" s="26">
        <f t="shared" si="5"/>
        <v>-1.8523492626111866E-2</v>
      </c>
      <c r="T32" s="26">
        <f t="shared" si="6"/>
        <v>-3.8910283525122012E-3</v>
      </c>
      <c r="U32" s="26">
        <f t="shared" si="7"/>
        <v>-8.3983346163120712E-3</v>
      </c>
      <c r="V32" s="26">
        <f t="shared" si="8"/>
        <v>-1.0229205971642284E-2</v>
      </c>
      <c r="W32" s="26">
        <f t="shared" si="9"/>
        <v>2.0659172778794673E-3</v>
      </c>
      <c r="X32" s="26">
        <f t="shared" si="10"/>
        <v>3.0593480599179694E-3</v>
      </c>
      <c r="Z32" s="20" t="s">
        <v>15</v>
      </c>
      <c r="AA32" s="29">
        <v>1.1834268447086654E-3</v>
      </c>
      <c r="AB32" s="29">
        <v>6.5820703380078678E-4</v>
      </c>
      <c r="AC32" s="29">
        <v>3.9589546660921075E-4</v>
      </c>
      <c r="AD32" s="29">
        <v>3.3308911993915844E-4</v>
      </c>
      <c r="AE32" s="29">
        <v>3.3748495578168712E-4</v>
      </c>
      <c r="AF32" s="29">
        <v>3.3871334924597923E-4</v>
      </c>
      <c r="AG32" s="29">
        <v>1.3548127666332061E-3</v>
      </c>
      <c r="AH32" s="29">
        <v>2.1823319640216486E-3</v>
      </c>
      <c r="AI32" s="29">
        <v>3.0485693956570424E-3</v>
      </c>
      <c r="AJ32" s="29">
        <v>8.4876478960358879E-4</v>
      </c>
      <c r="AK32" s="29">
        <v>8.6611234320235926E-4</v>
      </c>
    </row>
    <row r="33" spans="1:40" ht="20" x14ac:dyDescent="0.2">
      <c r="A33" s="5">
        <v>26389</v>
      </c>
      <c r="B33" s="8">
        <f>+'Simulation and  VaR'!B46/'Simulation and  VaR'!B45-1</f>
        <v>-1.9906275754764335E-2</v>
      </c>
      <c r="C33" s="8">
        <f>+'Simulation and  VaR'!C46/'Simulation and  VaR'!C45-1</f>
        <v>4.5197740112994156E-2</v>
      </c>
      <c r="D33" s="8">
        <f>+'Simulation and  VaR'!D46/'Simulation and  VaR'!D45-1</f>
        <v>-1.2738853503184711E-3</v>
      </c>
      <c r="E33" s="8">
        <f>+'Simulation and  VaR'!E46/'Simulation and  VaR'!E45-1</f>
        <v>-3.7174721189592308E-3</v>
      </c>
      <c r="F33" s="8">
        <f>+'Simulation and  VaR'!F46/'Simulation and  VaR'!F45-1</f>
        <v>6.1124694376528677E-3</v>
      </c>
      <c r="G33" s="8">
        <f>+'Simulation and  VaR'!G46/'Simulation and  VaR'!G45-1</f>
        <v>8.101851851851638E-3</v>
      </c>
      <c r="H33" s="8">
        <f>+'Simulation and  VaR'!H46/'Simulation and  VaR'!H45-1</f>
        <v>-9.0473003123605511E-2</v>
      </c>
      <c r="I33" s="8">
        <f>+'Simulation and  VaR'!I46/'Simulation and  VaR'!I45-1</f>
        <v>2.4209626886926738E-2</v>
      </c>
      <c r="J33" s="8">
        <f>+'Simulation and  VaR'!J46/'Simulation and  VaR'!J45-1</f>
        <v>0</v>
      </c>
      <c r="K33" s="8">
        <f>+'Simulation and  VaR'!K46/'Simulation and  VaR'!K45-1</f>
        <v>1.6625103906897643E-4</v>
      </c>
      <c r="L33" s="8">
        <f>+'Simulation and  VaR'!L46/'Simulation and  VaR'!L45-1</f>
        <v>1.3248931312037637E-3</v>
      </c>
      <c r="N33" s="26">
        <f t="shared" si="0"/>
        <v>-2.3917739615069728E-2</v>
      </c>
      <c r="O33" s="26">
        <f t="shared" si="1"/>
        <v>4.3219423800702768E-2</v>
      </c>
      <c r="P33" s="26">
        <f t="shared" si="2"/>
        <v>-3.0267613970131196E-3</v>
      </c>
      <c r="Q33" s="26">
        <f t="shared" si="3"/>
        <v>-5.2897403572692301E-3</v>
      </c>
      <c r="R33" s="26">
        <f t="shared" si="4"/>
        <v>4.6345684999394045E-3</v>
      </c>
      <c r="S33" s="26">
        <f t="shared" si="5"/>
        <v>6.6432056421218324E-3</v>
      </c>
      <c r="T33" s="26">
        <f t="shared" si="6"/>
        <v>-9.581638316866592E-2</v>
      </c>
      <c r="U33" s="26">
        <f t="shared" si="7"/>
        <v>1.1807860757889359E-2</v>
      </c>
      <c r="V33" s="26">
        <f t="shared" si="8"/>
        <v>-1.0229205971642284E-2</v>
      </c>
      <c r="W33" s="26">
        <f t="shared" si="9"/>
        <v>1.733166320940391E-3</v>
      </c>
      <c r="X33" s="26">
        <f t="shared" si="10"/>
        <v>4.8491282449594705E-3</v>
      </c>
      <c r="Z33" s="20" t="s">
        <v>16</v>
      </c>
      <c r="AA33" s="29">
        <v>1.2076144180744215E-3</v>
      </c>
      <c r="AB33" s="29">
        <v>6.7165985599346959E-4</v>
      </c>
      <c r="AC33" s="29">
        <v>4.0398701082809988E-4</v>
      </c>
      <c r="AD33" s="29">
        <v>3.3989699113279098E-4</v>
      </c>
      <c r="AE33" s="29">
        <v>3.4438267165175267E-4</v>
      </c>
      <c r="AF33" s="29">
        <v>3.4563617174360894E-4</v>
      </c>
      <c r="AG33" s="29">
        <v>1.3825032261967384E-3</v>
      </c>
      <c r="AH33" s="29">
        <v>2.2269357472839788E-3</v>
      </c>
      <c r="AI33" s="29">
        <v>3.1108778486448625E-3</v>
      </c>
      <c r="AJ33" s="29">
        <v>8.6611234320235926E-4</v>
      </c>
      <c r="AK33" s="29">
        <v>8.8381445629693873E-4</v>
      </c>
      <c r="AM33" s="39" t="s">
        <v>71</v>
      </c>
      <c r="AN33" s="39"/>
    </row>
    <row r="34" spans="1:40" x14ac:dyDescent="0.2">
      <c r="A34" s="5">
        <v>26419</v>
      </c>
      <c r="B34" s="8">
        <f>+'Simulation and  VaR'!B47/'Simulation and  VaR'!B46-1</f>
        <v>5.1584159059188339E-2</v>
      </c>
      <c r="C34" s="8">
        <f>+'Simulation and  VaR'!C47/'Simulation and  VaR'!C46-1</f>
        <v>7.0270270270270441E-2</v>
      </c>
      <c r="D34" s="8">
        <f>+'Simulation and  VaR'!D47/'Simulation and  VaR'!D46-1</f>
        <v>3.5714285714285587E-2</v>
      </c>
      <c r="E34" s="8">
        <f>+'Simulation and  VaR'!E47/'Simulation and  VaR'!E46-1</f>
        <v>2.6119402985074647E-2</v>
      </c>
      <c r="F34" s="8">
        <f>+'Simulation and  VaR'!F47/'Simulation and  VaR'!F46-1</f>
        <v>3.2806804374240439E-2</v>
      </c>
      <c r="G34" s="8">
        <f>+'Simulation and  VaR'!G47/'Simulation and  VaR'!G46-1</f>
        <v>3.214695752009189E-2</v>
      </c>
      <c r="H34" s="8">
        <f>+'Simulation and  VaR'!H47/'Simulation and  VaR'!H46-1</f>
        <v>-6.0959156138844617E-2</v>
      </c>
      <c r="I34" s="8">
        <f>+'Simulation and  VaR'!I47/'Simulation and  VaR'!I46-1</f>
        <v>2.780867630700623E-4</v>
      </c>
      <c r="J34" s="8">
        <f>+'Simulation and  VaR'!J47/'Simulation and  VaR'!J46-1</f>
        <v>0</v>
      </c>
      <c r="K34" s="8">
        <f>+'Simulation and  VaR'!K47/'Simulation and  VaR'!K46-1</f>
        <v>-9.5578457446798826E-4</v>
      </c>
      <c r="L34" s="8">
        <f>+'Simulation and  VaR'!L47/'Simulation and  VaR'!L46-1</f>
        <v>2.2969712433840161E-3</v>
      </c>
      <c r="N34" s="26">
        <f t="shared" si="0"/>
        <v>4.757269519888295E-2</v>
      </c>
      <c r="O34" s="26">
        <f t="shared" si="1"/>
        <v>6.8291953957979046E-2</v>
      </c>
      <c r="P34" s="26">
        <f t="shared" si="2"/>
        <v>3.3961409667590939E-2</v>
      </c>
      <c r="Q34" s="26">
        <f t="shared" si="3"/>
        <v>2.4547134746764648E-2</v>
      </c>
      <c r="R34" s="26">
        <f t="shared" si="4"/>
        <v>3.1328903436526979E-2</v>
      </c>
      <c r="S34" s="26">
        <f t="shared" si="5"/>
        <v>3.0688311310362086E-2</v>
      </c>
      <c r="T34" s="26">
        <f t="shared" si="6"/>
        <v>-6.6302536183905025E-2</v>
      </c>
      <c r="U34" s="26">
        <f t="shared" si="7"/>
        <v>-1.2123679365967317E-2</v>
      </c>
      <c r="V34" s="26">
        <f t="shared" si="8"/>
        <v>-1.0229205971642284E-2</v>
      </c>
      <c r="W34" s="26">
        <f t="shared" si="9"/>
        <v>6.1113070740342629E-4</v>
      </c>
      <c r="X34" s="26">
        <f t="shared" si="10"/>
        <v>5.821206357139723E-3</v>
      </c>
      <c r="AM34" t="s">
        <v>75</v>
      </c>
    </row>
    <row r="35" spans="1:40" x14ac:dyDescent="0.2">
      <c r="A35" s="5">
        <v>26450</v>
      </c>
      <c r="B35" s="8">
        <f>+'Simulation and  VaR'!B48/'Simulation and  VaR'!B47-1</f>
        <v>-2.3794037813598679E-2</v>
      </c>
      <c r="C35" s="8">
        <f>+'Simulation and  VaR'!C48/'Simulation and  VaR'!C47-1</f>
        <v>-8.8383838383838675E-3</v>
      </c>
      <c r="D35" s="8">
        <f>+'Simulation and  VaR'!D48/'Simulation and  VaR'!D47-1</f>
        <v>4.556650246305427E-2</v>
      </c>
      <c r="E35" s="8">
        <f>+'Simulation and  VaR'!E48/'Simulation and  VaR'!E47-1</f>
        <v>4.1212121212121255E-2</v>
      </c>
      <c r="F35" s="8">
        <f>+'Simulation and  VaR'!F48/'Simulation and  VaR'!F47-1</f>
        <v>3.1764705882352917E-2</v>
      </c>
      <c r="G35" s="8">
        <f>+'Simulation and  VaR'!G48/'Simulation and  VaR'!G47-1</f>
        <v>3.0033370411568283E-2</v>
      </c>
      <c r="H35" s="8">
        <f>+'Simulation and  VaR'!H48/'Simulation and  VaR'!H47-1</f>
        <v>-5.0026123301985304E-2</v>
      </c>
      <c r="I35" s="8">
        <f>+'Simulation and  VaR'!I48/'Simulation and  VaR'!I47-1</f>
        <v>-1.5568529329997305E-2</v>
      </c>
      <c r="J35" s="8">
        <f>+'Simulation and  VaR'!J48/'Simulation and  VaR'!J47-1</f>
        <v>0</v>
      </c>
      <c r="K35" s="8">
        <f>+'Simulation and  VaR'!K48/'Simulation and  VaR'!K47-1</f>
        <v>-2.5789276652385951E-3</v>
      </c>
      <c r="L35" s="8">
        <f>+'Simulation and  VaR'!L48/'Simulation and  VaR'!L47-1</f>
        <v>-7.1775209732005685E-5</v>
      </c>
      <c r="N35" s="26">
        <f t="shared" si="0"/>
        <v>-2.7805501673904071E-2</v>
      </c>
      <c r="O35" s="26">
        <f t="shared" si="1"/>
        <v>-1.0816700150675257E-2</v>
      </c>
      <c r="P35" s="26">
        <f t="shared" si="2"/>
        <v>4.3813626416359622E-2</v>
      </c>
      <c r="Q35" s="26">
        <f t="shared" si="3"/>
        <v>3.9639852973811257E-2</v>
      </c>
      <c r="R35" s="26">
        <f t="shared" si="4"/>
        <v>3.0286804944639454E-2</v>
      </c>
      <c r="S35" s="26">
        <f t="shared" si="5"/>
        <v>2.8574724201838479E-2</v>
      </c>
      <c r="T35" s="26">
        <f t="shared" si="6"/>
        <v>-5.5369503347045712E-2</v>
      </c>
      <c r="U35" s="26">
        <f t="shared" si="7"/>
        <v>-2.7970295459034684E-2</v>
      </c>
      <c r="V35" s="26">
        <f t="shared" si="8"/>
        <v>-1.0229205971642284E-2</v>
      </c>
      <c r="W35" s="26">
        <f t="shared" si="9"/>
        <v>-1.0120123833671805E-3</v>
      </c>
      <c r="X35" s="26">
        <f t="shared" si="10"/>
        <v>3.4524599040237007E-3</v>
      </c>
      <c r="Z35" s="17" t="s">
        <v>40</v>
      </c>
      <c r="AA35" s="23"/>
      <c r="AM35" t="s">
        <v>76</v>
      </c>
    </row>
    <row r="36" spans="1:40" x14ac:dyDescent="0.2">
      <c r="A36" s="5">
        <v>26480</v>
      </c>
      <c r="B36" s="8">
        <f>+'Simulation and  VaR'!B49/'Simulation and  VaR'!B48-1</f>
        <v>-3.3481515255718963E-2</v>
      </c>
      <c r="C36" s="8">
        <f>+'Simulation and  VaR'!C49/'Simulation and  VaR'!C48-1</f>
        <v>-4.84076433121019E-2</v>
      </c>
      <c r="D36" s="8">
        <f>+'Simulation and  VaR'!D49/'Simulation and  VaR'!D48-1</f>
        <v>-4.7114252061249973E-3</v>
      </c>
      <c r="E36" s="8">
        <f>+'Simulation and  VaR'!E49/'Simulation and  VaR'!E48-1</f>
        <v>6.9848661233993248E-3</v>
      </c>
      <c r="F36" s="8">
        <f>+'Simulation and  VaR'!F49/'Simulation and  VaR'!F48-1</f>
        <v>1.8244013683010207E-2</v>
      </c>
      <c r="G36" s="8">
        <f>+'Simulation and  VaR'!G49/'Simulation and  VaR'!G48-1</f>
        <v>1.6198704103671746E-2</v>
      </c>
      <c r="H36" s="8">
        <f>+'Simulation and  VaR'!H49/'Simulation and  VaR'!H48-1</f>
        <v>7.3284751821806715E-2</v>
      </c>
      <c r="I36" s="8">
        <f>+'Simulation and  VaR'!I49/'Simulation and  VaR'!I48-1</f>
        <v>-2.8240609997176591E-3</v>
      </c>
      <c r="J36" s="8">
        <f>+'Simulation and  VaR'!J49/'Simulation and  VaR'!J48-1</f>
        <v>-1.1904761904761862E-2</v>
      </c>
      <c r="K36" s="8">
        <f>+'Simulation and  VaR'!K49/'Simulation and  VaR'!K48-1</f>
        <v>-2.9609241419575882E-3</v>
      </c>
      <c r="L36" s="8">
        <f>+'Simulation and  VaR'!L49/'Simulation and  VaR'!L48-1</f>
        <v>1.3655912205554621E-3</v>
      </c>
      <c r="N36" s="26">
        <f t="shared" si="0"/>
        <v>-3.7492979116024353E-2</v>
      </c>
      <c r="O36" s="26">
        <f t="shared" si="1"/>
        <v>-5.0385959624393288E-2</v>
      </c>
      <c r="P36" s="26">
        <f t="shared" si="2"/>
        <v>-6.4643012528196458E-3</v>
      </c>
      <c r="Q36" s="26">
        <f t="shared" si="3"/>
        <v>5.4125978850893255E-3</v>
      </c>
      <c r="R36" s="26">
        <f t="shared" si="4"/>
        <v>1.6766112745296744E-2</v>
      </c>
      <c r="S36" s="26">
        <f t="shared" si="5"/>
        <v>1.474005789394194E-2</v>
      </c>
      <c r="T36" s="26">
        <f t="shared" si="6"/>
        <v>6.7941371776746307E-2</v>
      </c>
      <c r="U36" s="26">
        <f t="shared" si="7"/>
        <v>-1.5225827128755039E-2</v>
      </c>
      <c r="V36" s="26">
        <f t="shared" si="8"/>
        <v>-2.2133967876404148E-2</v>
      </c>
      <c r="W36" s="26">
        <f t="shared" si="9"/>
        <v>-1.3940088600861737E-3</v>
      </c>
      <c r="X36" s="26">
        <f t="shared" si="10"/>
        <v>4.8898263343111689E-3</v>
      </c>
      <c r="Z36" s="27"/>
      <c r="AA36" s="20" t="s">
        <v>6</v>
      </c>
      <c r="AB36" s="20" t="s">
        <v>7</v>
      </c>
      <c r="AC36" s="20" t="s">
        <v>8</v>
      </c>
      <c r="AD36" s="20" t="s">
        <v>9</v>
      </c>
      <c r="AE36" s="20" t="s">
        <v>10</v>
      </c>
      <c r="AF36" s="20" t="s">
        <v>11</v>
      </c>
      <c r="AG36" s="20" t="s">
        <v>12</v>
      </c>
      <c r="AH36" s="20" t="s">
        <v>13</v>
      </c>
      <c r="AI36" s="20" t="s">
        <v>14</v>
      </c>
      <c r="AJ36" s="20" t="s">
        <v>15</v>
      </c>
      <c r="AK36" s="20" t="s">
        <v>16</v>
      </c>
    </row>
    <row r="37" spans="1:40" x14ac:dyDescent="0.2">
      <c r="A37" s="5">
        <v>26511</v>
      </c>
      <c r="B37" s="8">
        <f>+'Simulation and  VaR'!B50/'Simulation and  VaR'!B49-1</f>
        <v>-6.2942215367065568E-3</v>
      </c>
      <c r="C37" s="8">
        <f>+'Simulation and  VaR'!C50/'Simulation and  VaR'!C49-1</f>
        <v>9.3708165997323789E-3</v>
      </c>
      <c r="D37" s="8">
        <f>+'Simulation and  VaR'!D50/'Simulation and  VaR'!D49-1</f>
        <v>-3.6686390532544189E-2</v>
      </c>
      <c r="E37" s="8">
        <f>+'Simulation and  VaR'!E50/'Simulation and  VaR'!E49-1</f>
        <v>-1.7341040462427793E-2</v>
      </c>
      <c r="F37" s="8">
        <f>+'Simulation and  VaR'!F50/'Simulation and  VaR'!F49-1</f>
        <v>-7.838745800671898E-3</v>
      </c>
      <c r="G37" s="8">
        <f>+'Simulation and  VaR'!G50/'Simulation and  VaR'!G49-1</f>
        <v>4.2507970244420878E-3</v>
      </c>
      <c r="H37" s="8">
        <f>+'Simulation and  VaR'!H50/'Simulation and  VaR'!H49-1</f>
        <v>4.4452984883422975E-2</v>
      </c>
      <c r="I37" s="8">
        <f>+'Simulation and  VaR'!I50/'Simulation and  VaR'!I49-1</f>
        <v>-1.4160294534125706E-3</v>
      </c>
      <c r="J37" s="8">
        <f>+'Simulation and  VaR'!J50/'Simulation and  VaR'!J49-1</f>
        <v>0</v>
      </c>
      <c r="K37" s="8">
        <f>+'Simulation and  VaR'!K50/'Simulation and  VaR'!K49-1</f>
        <v>-1.0875020913501121E-3</v>
      </c>
      <c r="L37" s="8">
        <f>+'Simulation and  VaR'!L50/'Simulation and  VaR'!L49-1</f>
        <v>-3.1881613326438796E-3</v>
      </c>
      <c r="N37" s="26">
        <f t="shared" si="0"/>
        <v>-1.030568539701195E-2</v>
      </c>
      <c r="O37" s="26">
        <f t="shared" si="1"/>
        <v>7.3925002874409892E-3</v>
      </c>
      <c r="P37" s="26">
        <f t="shared" si="2"/>
        <v>-3.8439266579238837E-2</v>
      </c>
      <c r="Q37" s="26">
        <f t="shared" si="3"/>
        <v>-1.8913308700737791E-2</v>
      </c>
      <c r="R37" s="26">
        <f t="shared" si="4"/>
        <v>-9.3166467383853611E-3</v>
      </c>
      <c r="S37" s="26">
        <f t="shared" si="5"/>
        <v>2.7921508147122822E-3</v>
      </c>
      <c r="T37" s="26">
        <f t="shared" si="6"/>
        <v>3.9109604838362566E-2</v>
      </c>
      <c r="U37" s="26">
        <f t="shared" si="7"/>
        <v>-1.381779558244995E-2</v>
      </c>
      <c r="V37" s="26">
        <f t="shared" si="8"/>
        <v>-1.0229205971642284E-2</v>
      </c>
      <c r="W37" s="26">
        <f t="shared" si="9"/>
        <v>4.7941319052130244E-4</v>
      </c>
      <c r="X37" s="26">
        <f t="shared" si="10"/>
        <v>3.360737811118268E-4</v>
      </c>
      <c r="Z37" s="20" t="s">
        <v>6</v>
      </c>
      <c r="AA37" s="66">
        <f t="array" ref="AA37:AK47">AA5:AK15/AA23:AK33</f>
        <v>1.0000000000000073</v>
      </c>
      <c r="AB37" s="57">
        <v>0.56267393830434953</v>
      </c>
      <c r="AC37" s="57">
        <v>0.42643055425122772</v>
      </c>
      <c r="AD37" s="57">
        <v>0.41646017666670737</v>
      </c>
      <c r="AE37" s="57">
        <v>0.45696131943615392</v>
      </c>
      <c r="AF37" s="57">
        <v>0.44230426773916665</v>
      </c>
      <c r="AG37" s="57">
        <v>-0.11348320361690362</v>
      </c>
      <c r="AH37" s="57">
        <v>1.2503090999191314E-2</v>
      </c>
      <c r="AI37" s="57">
        <v>5.6913943942272748E-2</v>
      </c>
      <c r="AJ37" s="57">
        <v>-0.11993022421366842</v>
      </c>
      <c r="AK37" s="57">
        <v>7.9933740424808788E-2</v>
      </c>
    </row>
    <row r="38" spans="1:40" x14ac:dyDescent="0.2">
      <c r="A38" s="5">
        <v>26542</v>
      </c>
      <c r="B38" s="8">
        <f>+'Simulation and  VaR'!B51/'Simulation and  VaR'!B50-1</f>
        <v>-4.5883241684948617E-2</v>
      </c>
      <c r="C38" s="8">
        <f>+'Simulation and  VaR'!C51/'Simulation and  VaR'!C50-1</f>
        <v>-1.8567639257294544E-2</v>
      </c>
      <c r="D38" s="8">
        <f>+'Simulation and  VaR'!D51/'Simulation and  VaR'!D50-1</f>
        <v>-4.9140049140050657E-3</v>
      </c>
      <c r="E38" s="8">
        <f>+'Simulation and  VaR'!E51/'Simulation and  VaR'!E50-1</f>
        <v>-2.3529411764705577E-3</v>
      </c>
      <c r="F38" s="8">
        <f>+'Simulation and  VaR'!F51/'Simulation and  VaR'!F50-1</f>
        <v>-7.900677200902928E-3</v>
      </c>
      <c r="G38" s="8">
        <f>+'Simulation and  VaR'!G51/'Simulation and  VaR'!G50-1</f>
        <v>-5.2910052910051242E-3</v>
      </c>
      <c r="H38" s="8">
        <f>+'Simulation and  VaR'!H51/'Simulation and  VaR'!H50-1</f>
        <v>3.2993989942352586E-2</v>
      </c>
      <c r="I38" s="8">
        <f>+'Simulation and  VaR'!I51/'Simulation and  VaR'!I50-1</f>
        <v>2.7793533749290944E-2</v>
      </c>
      <c r="J38" s="8">
        <f>+'Simulation and  VaR'!J51/'Simulation and  VaR'!J50-1</f>
        <v>0</v>
      </c>
      <c r="K38" s="8">
        <f>+'Simulation and  VaR'!K51/'Simulation and  VaR'!K50-1</f>
        <v>-1.1724311196716908E-3</v>
      </c>
      <c r="L38" s="8">
        <f>+'Simulation and  VaR'!L51/'Simulation and  VaR'!L50-1</f>
        <v>-7.1592775255113761E-4</v>
      </c>
      <c r="N38" s="26">
        <f t="shared" si="0"/>
        <v>-4.9894705545254006E-2</v>
      </c>
      <c r="O38" s="26">
        <f t="shared" si="1"/>
        <v>-2.0545955569585932E-2</v>
      </c>
      <c r="P38" s="26">
        <f t="shared" si="2"/>
        <v>-6.6668809606997143E-3</v>
      </c>
      <c r="Q38" s="26">
        <f t="shared" si="3"/>
        <v>-3.9252094147805569E-3</v>
      </c>
      <c r="R38" s="26">
        <f t="shared" si="4"/>
        <v>-9.3785781386163912E-3</v>
      </c>
      <c r="S38" s="26">
        <f t="shared" si="5"/>
        <v>-6.7496515007349298E-3</v>
      </c>
      <c r="T38" s="26">
        <f t="shared" si="6"/>
        <v>2.7650609897292181E-2</v>
      </c>
      <c r="U38" s="26">
        <f t="shared" si="7"/>
        <v>1.5391767620253564E-2</v>
      </c>
      <c r="V38" s="26">
        <f t="shared" si="8"/>
        <v>-1.0229205971642284E-2</v>
      </c>
      <c r="W38" s="26">
        <f t="shared" si="9"/>
        <v>3.9448416219972377E-4</v>
      </c>
      <c r="X38" s="26">
        <f t="shared" si="10"/>
        <v>2.8083073612045688E-3</v>
      </c>
      <c r="Z38" s="20" t="s">
        <v>7</v>
      </c>
      <c r="AA38" s="57">
        <v>0.56267393830434953</v>
      </c>
      <c r="AB38" s="66">
        <v>0.99999999999999534</v>
      </c>
      <c r="AC38" s="57">
        <v>0.69026578186611864</v>
      </c>
      <c r="AD38" s="57">
        <v>0.64726160582949732</v>
      </c>
      <c r="AE38" s="57">
        <v>0.62012672368834665</v>
      </c>
      <c r="AF38" s="57">
        <v>0.64762271833324792</v>
      </c>
      <c r="AG38" s="57">
        <v>-0.17877828728298761</v>
      </c>
      <c r="AH38" s="57">
        <v>0.11495295064796666</v>
      </c>
      <c r="AI38" s="57">
        <v>0.10658600407153732</v>
      </c>
      <c r="AJ38" s="57">
        <v>2.1172089889183624E-2</v>
      </c>
      <c r="AK38" s="57">
        <v>3.2806359133669073E-3</v>
      </c>
    </row>
    <row r="39" spans="1:40" x14ac:dyDescent="0.2">
      <c r="A39" s="5">
        <v>26572</v>
      </c>
      <c r="B39" s="8">
        <f>+'Simulation and  VaR'!B52/'Simulation and  VaR'!B51-1</f>
        <v>-3.6434140263821635E-2</v>
      </c>
      <c r="C39" s="8">
        <f>+'Simulation and  VaR'!C52/'Simulation and  VaR'!C51-1</f>
        <v>-8.1081081081080253E-3</v>
      </c>
      <c r="D39" s="8">
        <f>+'Simulation and  VaR'!D52/'Simulation and  VaR'!D51-1</f>
        <v>-7.4074074074074181E-3</v>
      </c>
      <c r="E39" s="8">
        <f>+'Simulation and  VaR'!E52/'Simulation and  VaR'!E51-1</f>
        <v>-3.5377358490567001E-3</v>
      </c>
      <c r="F39" s="8">
        <f>+'Simulation and  VaR'!F52/'Simulation and  VaR'!F51-1</f>
        <v>-7.9635949943115403E-3</v>
      </c>
      <c r="G39" s="8">
        <f>+'Simulation and  VaR'!G52/'Simulation and  VaR'!G51-1</f>
        <v>-6.38297872340432E-3</v>
      </c>
      <c r="H39" s="8">
        <f>+'Simulation and  VaR'!H52/'Simulation and  VaR'!H51-1</f>
        <v>-1.1398717644264922E-2</v>
      </c>
      <c r="I39" s="8">
        <f>+'Simulation and  VaR'!I52/'Simulation and  VaR'!I51-1</f>
        <v>4.8841059602649173E-2</v>
      </c>
      <c r="J39" s="8">
        <f>+'Simulation and  VaR'!J52/'Simulation and  VaR'!J51-1</f>
        <v>0</v>
      </c>
      <c r="K39" s="8">
        <f>+'Simulation and  VaR'!K52/'Simulation and  VaR'!K51-1</f>
        <v>8.8035549593357132E-4</v>
      </c>
      <c r="L39" s="8">
        <f>+'Simulation and  VaR'!L52/'Simulation and  VaR'!L51-1</f>
        <v>-4.6513656320201768E-4</v>
      </c>
      <c r="N39" s="26">
        <f t="shared" si="0"/>
        <v>-4.0445604124127024E-2</v>
      </c>
      <c r="O39" s="26">
        <f t="shared" si="1"/>
        <v>-1.0086424420399415E-2</v>
      </c>
      <c r="P39" s="26">
        <f t="shared" si="2"/>
        <v>-9.1602834541020667E-3</v>
      </c>
      <c r="Q39" s="26">
        <f t="shared" si="3"/>
        <v>-5.1100040873666994E-3</v>
      </c>
      <c r="R39" s="26">
        <f t="shared" si="4"/>
        <v>-9.4414959320250035E-3</v>
      </c>
      <c r="S39" s="26">
        <f t="shared" si="5"/>
        <v>-7.8416249331341257E-3</v>
      </c>
      <c r="T39" s="26">
        <f t="shared" si="6"/>
        <v>-1.6742097689325327E-2</v>
      </c>
      <c r="U39" s="26">
        <f t="shared" si="7"/>
        <v>3.6439293473611793E-2</v>
      </c>
      <c r="V39" s="26">
        <f t="shared" si="8"/>
        <v>-1.0229205971642284E-2</v>
      </c>
      <c r="W39" s="26">
        <f t="shared" si="9"/>
        <v>2.4472707778049859E-3</v>
      </c>
      <c r="X39" s="26">
        <f t="shared" si="10"/>
        <v>3.0590985505536887E-3</v>
      </c>
      <c r="Z39" s="20" t="s">
        <v>8</v>
      </c>
      <c r="AA39" s="57">
        <v>0.42643055425122772</v>
      </c>
      <c r="AB39" s="57">
        <v>0.69026578186611864</v>
      </c>
      <c r="AC39" s="66">
        <v>0.99999999999999922</v>
      </c>
      <c r="AD39" s="57">
        <v>0.9563383742096393</v>
      </c>
      <c r="AE39" s="57">
        <v>0.92721655146500448</v>
      </c>
      <c r="AF39" s="57">
        <v>0.90025676184867698</v>
      </c>
      <c r="AG39" s="57">
        <v>-0.17721558040046495</v>
      </c>
      <c r="AH39" s="57">
        <v>4.024054882193466E-2</v>
      </c>
      <c r="AI39" s="57">
        <v>0.10402955272487943</v>
      </c>
      <c r="AJ39" s="57">
        <v>-2.2597336313065382E-2</v>
      </c>
      <c r="AK39" s="57">
        <v>2.631793887603703E-2</v>
      </c>
    </row>
    <row r="40" spans="1:40" x14ac:dyDescent="0.2">
      <c r="A40" s="5">
        <v>26603</v>
      </c>
      <c r="B40" s="8">
        <f>+'Simulation and  VaR'!B53/'Simulation and  VaR'!B52-1</f>
        <v>-0.10633114667987198</v>
      </c>
      <c r="C40" s="8">
        <f>+'Simulation and  VaR'!C53/'Simulation and  VaR'!C52-1</f>
        <v>-6.6757493188010941E-2</v>
      </c>
      <c r="D40" s="8">
        <f>+'Simulation and  VaR'!D53/'Simulation and  VaR'!D52-1</f>
        <v>2.4875621890549926E-3</v>
      </c>
      <c r="E40" s="8">
        <f>+'Simulation and  VaR'!E53/'Simulation and  VaR'!E52-1</f>
        <v>-2.3668639053253671E-3</v>
      </c>
      <c r="F40" s="8">
        <f>+'Simulation and  VaR'!F53/'Simulation and  VaR'!F52-1</f>
        <v>3.4403669724769603E-3</v>
      </c>
      <c r="G40" s="8">
        <f>+'Simulation and  VaR'!G53/'Simulation and  VaR'!G52-1</f>
        <v>5.3533190578158862E-3</v>
      </c>
      <c r="H40" s="8">
        <f>+'Simulation and  VaR'!H53/'Simulation and  VaR'!H52-1</f>
        <v>4.7441748738890288E-2</v>
      </c>
      <c r="I40" s="8">
        <f>+'Simulation and  VaR'!I53/'Simulation and  VaR'!I52-1</f>
        <v>-1.1838989739542338E-2</v>
      </c>
      <c r="J40" s="8">
        <f>+'Simulation and  VaR'!J53/'Simulation and  VaR'!J52-1</f>
        <v>0</v>
      </c>
      <c r="K40" s="8">
        <f>+'Simulation and  VaR'!K53/'Simulation and  VaR'!K52-1</f>
        <v>1.2565445026178068E-3</v>
      </c>
      <c r="L40" s="8">
        <f>+'Simulation and  VaR'!L53/'Simulation and  VaR'!L52-1</f>
        <v>-2.8615598191084057E-4</v>
      </c>
      <c r="N40" s="26">
        <f t="shared" si="0"/>
        <v>-0.11034261054017737</v>
      </c>
      <c r="O40" s="26">
        <f t="shared" si="1"/>
        <v>-6.8735809500302336E-2</v>
      </c>
      <c r="P40" s="26">
        <f t="shared" si="2"/>
        <v>7.346861423603438E-4</v>
      </c>
      <c r="Q40" s="26">
        <f t="shared" si="3"/>
        <v>-3.9391321436353663E-3</v>
      </c>
      <c r="R40" s="26">
        <f t="shared" si="4"/>
        <v>1.9624660347634972E-3</v>
      </c>
      <c r="S40" s="26">
        <f t="shared" si="5"/>
        <v>3.8946728480860806E-3</v>
      </c>
      <c r="T40" s="26">
        <f t="shared" si="6"/>
        <v>4.209836869382988E-2</v>
      </c>
      <c r="U40" s="26">
        <f t="shared" si="7"/>
        <v>-2.4240755868579718E-2</v>
      </c>
      <c r="V40" s="26">
        <f t="shared" si="8"/>
        <v>-1.0229205971642284E-2</v>
      </c>
      <c r="W40" s="26">
        <f t="shared" si="9"/>
        <v>2.8234597844892214E-3</v>
      </c>
      <c r="X40" s="26">
        <f t="shared" si="10"/>
        <v>3.2380791318448658E-3</v>
      </c>
      <c r="Z40" s="20" t="s">
        <v>9</v>
      </c>
      <c r="AA40" s="57">
        <v>0.41646017666670737</v>
      </c>
      <c r="AB40" s="57">
        <v>0.64726160582949732</v>
      </c>
      <c r="AC40" s="57">
        <v>0.9563383742096393</v>
      </c>
      <c r="AD40" s="66">
        <v>1.0000000000000084</v>
      </c>
      <c r="AE40" s="57">
        <v>0.95600889508932219</v>
      </c>
      <c r="AF40" s="57">
        <v>0.93385343866076087</v>
      </c>
      <c r="AG40" s="57">
        <v>-0.16628071101952732</v>
      </c>
      <c r="AH40" s="57">
        <v>8.7461599308531583E-3</v>
      </c>
      <c r="AI40" s="57">
        <v>7.1104609577630443E-2</v>
      </c>
      <c r="AJ40" s="57">
        <v>-3.8871854457864299E-2</v>
      </c>
      <c r="AK40" s="57">
        <v>2.7652844665122051E-2</v>
      </c>
    </row>
    <row r="41" spans="1:40" x14ac:dyDescent="0.2">
      <c r="A41" s="5">
        <v>26633</v>
      </c>
      <c r="B41" s="8">
        <f>+'Simulation and  VaR'!B54/'Simulation and  VaR'!B53-1</f>
        <v>-7.8474707209443051E-2</v>
      </c>
      <c r="C41" s="8">
        <f>+'Simulation and  VaR'!C54/'Simulation and  VaR'!C53-1</f>
        <v>-6.5693430656934337E-2</v>
      </c>
      <c r="D41" s="8">
        <f>+'Simulation and  VaR'!D54/'Simulation and  VaR'!D53-1</f>
        <v>-5.0868486352357412E-2</v>
      </c>
      <c r="E41" s="8">
        <f>+'Simulation and  VaR'!E54/'Simulation and  VaR'!E53-1</f>
        <v>-3.4400948991696212E-2</v>
      </c>
      <c r="F41" s="8">
        <f>+'Simulation and  VaR'!F54/'Simulation and  VaR'!F53-1</f>
        <v>-2.9714285714285693E-2</v>
      </c>
      <c r="G41" s="8">
        <f>+'Simulation and  VaR'!G54/'Simulation and  VaR'!G53-1</f>
        <v>-2.7689030883919274E-2</v>
      </c>
      <c r="H41" s="8">
        <f>+'Simulation and  VaR'!H54/'Simulation and  VaR'!H53-1</f>
        <v>5.5039559683522477E-2</v>
      </c>
      <c r="I41" s="8">
        <f>+'Simulation and  VaR'!I54/'Simulation and  VaR'!I53-1</f>
        <v>-3.9936102236420856E-3</v>
      </c>
      <c r="J41" s="8">
        <f>+'Simulation and  VaR'!J54/'Simulation and  VaR'!J53-1</f>
        <v>7.5301204819277157E-2</v>
      </c>
      <c r="K41" s="8">
        <f>+'Simulation and  VaR'!K54/'Simulation and  VaR'!K53-1</f>
        <v>1.2549675800044291E-4</v>
      </c>
      <c r="L41" s="8">
        <f>+'Simulation and  VaR'!L54/'Simulation and  VaR'!L53-1</f>
        <v>-1.072969731809037E-4</v>
      </c>
      <c r="N41" s="26">
        <f t="shared" si="0"/>
        <v>-8.248617106974844E-2</v>
      </c>
      <c r="O41" s="26">
        <f t="shared" si="1"/>
        <v>-6.7671746969225732E-2</v>
      </c>
      <c r="P41" s="26">
        <f t="shared" si="2"/>
        <v>-5.262136239905206E-2</v>
      </c>
      <c r="Q41" s="26">
        <f t="shared" si="3"/>
        <v>-3.597321723000621E-2</v>
      </c>
      <c r="R41" s="26">
        <f t="shared" si="4"/>
        <v>-3.1192186651999156E-2</v>
      </c>
      <c r="S41" s="26">
        <f t="shared" si="5"/>
        <v>-2.9147677093649078E-2</v>
      </c>
      <c r="T41" s="26">
        <f t="shared" si="6"/>
        <v>4.9696179638462068E-2</v>
      </c>
      <c r="U41" s="26">
        <f t="shared" si="7"/>
        <v>-1.6395376352679465E-2</v>
      </c>
      <c r="V41" s="26">
        <f t="shared" si="8"/>
        <v>6.5071998847634871E-2</v>
      </c>
      <c r="W41" s="26">
        <f t="shared" si="9"/>
        <v>1.6924120398718575E-3</v>
      </c>
      <c r="X41" s="26">
        <f t="shared" si="10"/>
        <v>3.4169381405748027E-3</v>
      </c>
      <c r="Z41" s="20" t="s">
        <v>10</v>
      </c>
      <c r="AA41" s="57">
        <v>0.45696131943615392</v>
      </c>
      <c r="AB41" s="57">
        <v>0.62012672368834665</v>
      </c>
      <c r="AC41" s="57">
        <v>0.92721655146500448</v>
      </c>
      <c r="AD41" s="57">
        <v>0.95600889508932219</v>
      </c>
      <c r="AE41" s="66">
        <v>0.99999999999999978</v>
      </c>
      <c r="AF41" s="57">
        <v>0.9522588129120646</v>
      </c>
      <c r="AG41" s="57">
        <v>-0.14132341762311573</v>
      </c>
      <c r="AH41" s="57">
        <v>-4.6754852771518283E-5</v>
      </c>
      <c r="AI41" s="57">
        <v>5.8526556456409889E-2</v>
      </c>
      <c r="AJ41" s="57">
        <v>-7.444911224660089E-2</v>
      </c>
      <c r="AK41" s="57">
        <v>6.1097478224019924E-2</v>
      </c>
    </row>
    <row r="42" spans="1:40" x14ac:dyDescent="0.2">
      <c r="A42" s="5">
        <v>26664</v>
      </c>
      <c r="B42" s="8">
        <f>+'Simulation and  VaR'!B55/'Simulation and  VaR'!B54-1</f>
        <v>-8.9119639564739672E-2</v>
      </c>
      <c r="C42" s="8">
        <f>+'Simulation and  VaR'!C55/'Simulation and  VaR'!C54-1</f>
        <v>-2.3437499999999889E-2</v>
      </c>
      <c r="D42" s="8">
        <f>+'Simulation and  VaR'!D55/'Simulation and  VaR'!D54-1</f>
        <v>-3.6601307189542354E-2</v>
      </c>
      <c r="E42" s="8">
        <f>+'Simulation and  VaR'!E55/'Simulation and  VaR'!E54-1</f>
        <v>-2.825552825552835E-2</v>
      </c>
      <c r="F42" s="8">
        <f>+'Simulation and  VaR'!F55/'Simulation and  VaR'!F54-1</f>
        <v>-3.8869257950530089E-2</v>
      </c>
      <c r="G42" s="8">
        <f>+'Simulation and  VaR'!G55/'Simulation and  VaR'!G54-1</f>
        <v>-4.1621029572836643E-2</v>
      </c>
      <c r="H42" s="8">
        <f>+'Simulation and  VaR'!H55/'Simulation and  VaR'!H54-1</f>
        <v>4.173459406586244E-2</v>
      </c>
      <c r="I42" s="8">
        <f>+'Simulation and  VaR'!I55/'Simulation and  VaR'!I54-1</f>
        <v>1.7375033413525864E-2</v>
      </c>
      <c r="J42" s="8">
        <f>+'Simulation and  VaR'!J55/'Simulation and  VaR'!J54-1</f>
        <v>0</v>
      </c>
      <c r="K42" s="8">
        <f>+'Simulation and  VaR'!K55/'Simulation and  VaR'!K54-1</f>
        <v>6.1067425129663899E-3</v>
      </c>
      <c r="L42" s="8">
        <f>+'Simulation and  VaR'!L55/'Simulation and  VaR'!L54-1</f>
        <v>9.6660622816346908E-4</v>
      </c>
      <c r="N42" s="26">
        <f t="shared" si="0"/>
        <v>-9.3131103425045061E-2</v>
      </c>
      <c r="O42" s="26">
        <f t="shared" si="1"/>
        <v>-2.5415816312291277E-2</v>
      </c>
      <c r="P42" s="26">
        <f t="shared" si="2"/>
        <v>-3.8354183236237002E-2</v>
      </c>
      <c r="Q42" s="26">
        <f t="shared" si="3"/>
        <v>-2.9827796493838349E-2</v>
      </c>
      <c r="R42" s="26">
        <f t="shared" si="4"/>
        <v>-4.0347158888243549E-2</v>
      </c>
      <c r="S42" s="26">
        <f t="shared" si="5"/>
        <v>-4.3079675782566447E-2</v>
      </c>
      <c r="T42" s="26">
        <f t="shared" si="6"/>
        <v>3.6391214020802032E-2</v>
      </c>
      <c r="U42" s="26">
        <f t="shared" si="7"/>
        <v>4.9732672844884848E-3</v>
      </c>
      <c r="V42" s="26">
        <f t="shared" si="8"/>
        <v>-1.0229205971642284E-2</v>
      </c>
      <c r="W42" s="26">
        <f t="shared" si="9"/>
        <v>7.6736577948378045E-3</v>
      </c>
      <c r="X42" s="26">
        <f t="shared" si="10"/>
        <v>4.4908413419191759E-3</v>
      </c>
      <c r="Z42" s="20" t="s">
        <v>11</v>
      </c>
      <c r="AA42" s="57">
        <v>0.44230426773916665</v>
      </c>
      <c r="AB42" s="57">
        <v>0.64762271833324792</v>
      </c>
      <c r="AC42" s="57">
        <v>0.90025676184867698</v>
      </c>
      <c r="AD42" s="57">
        <v>0.93385343866076087</v>
      </c>
      <c r="AE42" s="57">
        <v>0.9522588129120646</v>
      </c>
      <c r="AF42" s="66">
        <v>1.0000000000000073</v>
      </c>
      <c r="AG42" s="57">
        <v>-0.13490639438943441</v>
      </c>
      <c r="AH42" s="57">
        <v>-1.2787658725655886E-2</v>
      </c>
      <c r="AI42" s="57">
        <v>3.7877858208093057E-2</v>
      </c>
      <c r="AJ42" s="57">
        <v>-6.8053072875237097E-2</v>
      </c>
      <c r="AK42" s="57">
        <v>2.5481356217502856E-2</v>
      </c>
    </row>
    <row r="43" spans="1:40" x14ac:dyDescent="0.2">
      <c r="A43" s="5">
        <v>26695</v>
      </c>
      <c r="B43" s="8">
        <f>+'Simulation and  VaR'!B56/'Simulation and  VaR'!B55-1</f>
        <v>-0.17013564733210651</v>
      </c>
      <c r="C43" s="8">
        <f>+'Simulation and  VaR'!C56/'Simulation and  VaR'!C55-1</f>
        <v>-2.079999999999993E-2</v>
      </c>
      <c r="D43" s="8">
        <f>+'Simulation and  VaR'!D56/'Simulation and  VaR'!D55-1</f>
        <v>-3.7991858887381325E-2</v>
      </c>
      <c r="E43" s="8">
        <f>+'Simulation and  VaR'!E56/'Simulation and  VaR'!E55-1</f>
        <v>-2.9077117572692823E-2</v>
      </c>
      <c r="F43" s="8">
        <f>+'Simulation and  VaR'!F56/'Simulation and  VaR'!F55-1</f>
        <v>-3.6764705882353033E-2</v>
      </c>
      <c r="G43" s="8">
        <f>+'Simulation and  VaR'!G56/'Simulation and  VaR'!G55-1</f>
        <v>-3.9999999999999925E-2</v>
      </c>
      <c r="H43" s="8">
        <f>+'Simulation and  VaR'!H56/'Simulation and  VaR'!H55-1</f>
        <v>9.4940010432966737E-3</v>
      </c>
      <c r="I43" s="8">
        <f>+'Simulation and  VaR'!I56/'Simulation and  VaR'!I55-1</f>
        <v>1.8392012611665898E-2</v>
      </c>
      <c r="J43" s="8">
        <f>+'Simulation and  VaR'!J56/'Simulation and  VaR'!J55-1</f>
        <v>0</v>
      </c>
      <c r="K43" s="8">
        <f>+'Simulation and  VaR'!K56/'Simulation and  VaR'!K55-1</f>
        <v>5.3213602727197884E-3</v>
      </c>
      <c r="L43" s="8">
        <f>+'Simulation and  VaR'!L56/'Simulation and  VaR'!L55-1</f>
        <v>-1.3228562531766297E-3</v>
      </c>
      <c r="N43" s="26">
        <f t="shared" si="0"/>
        <v>-0.17414711119241191</v>
      </c>
      <c r="O43" s="26">
        <f t="shared" si="1"/>
        <v>-2.2778316312291318E-2</v>
      </c>
      <c r="P43" s="26">
        <f t="shared" si="2"/>
        <v>-3.9744734934075973E-2</v>
      </c>
      <c r="Q43" s="26">
        <f t="shared" si="3"/>
        <v>-3.0649385811002822E-2</v>
      </c>
      <c r="R43" s="26">
        <f t="shared" si="4"/>
        <v>-3.8242606820066492E-2</v>
      </c>
      <c r="S43" s="26">
        <f t="shared" si="5"/>
        <v>-4.1458646209729728E-2</v>
      </c>
      <c r="T43" s="26">
        <f t="shared" si="6"/>
        <v>4.1506209982362686E-3</v>
      </c>
      <c r="U43" s="26">
        <f t="shared" si="7"/>
        <v>5.9902464826285182E-3</v>
      </c>
      <c r="V43" s="26">
        <f t="shared" si="8"/>
        <v>-1.0229205971642284E-2</v>
      </c>
      <c r="W43" s="26">
        <f t="shared" si="9"/>
        <v>6.8882755545912029E-3</v>
      </c>
      <c r="X43" s="26">
        <f t="shared" si="10"/>
        <v>2.2013788605790767E-3</v>
      </c>
      <c r="Z43" s="20" t="s">
        <v>12</v>
      </c>
      <c r="AA43" s="57">
        <v>-0.11348320361690362</v>
      </c>
      <c r="AB43" s="57">
        <v>-0.17877828728298761</v>
      </c>
      <c r="AC43" s="57">
        <v>-0.17721558040046495</v>
      </c>
      <c r="AD43" s="57">
        <v>-0.16628071101952732</v>
      </c>
      <c r="AE43" s="57">
        <v>-0.14132341762311573</v>
      </c>
      <c r="AF43" s="57">
        <v>-0.13490639438943441</v>
      </c>
      <c r="AG43" s="66">
        <v>1.0000000000000004</v>
      </c>
      <c r="AH43" s="57">
        <v>3.1973585092940363E-2</v>
      </c>
      <c r="AI43" s="57">
        <v>-5.5898903829697033E-2</v>
      </c>
      <c r="AJ43" s="57">
        <v>-1.748031901647324E-3</v>
      </c>
      <c r="AK43" s="57">
        <v>-9.2778922302450811E-3</v>
      </c>
    </row>
    <row r="44" spans="1:40" x14ac:dyDescent="0.2">
      <c r="A44" s="5">
        <v>26723</v>
      </c>
      <c r="B44" s="8">
        <f>+'Simulation and  VaR'!B57/'Simulation and  VaR'!B56-1</f>
        <v>-8.4511022051649731E-2</v>
      </c>
      <c r="C44" s="8">
        <f>+'Simulation and  VaR'!C57/'Simulation and  VaR'!C56-1</f>
        <v>-6.6993464052287566E-2</v>
      </c>
      <c r="D44" s="8">
        <f>+'Simulation and  VaR'!D57/'Simulation and  VaR'!D56-1</f>
        <v>1.833568406205921E-2</v>
      </c>
      <c r="E44" s="8">
        <f>+'Simulation and  VaR'!E57/'Simulation and  VaR'!E56-1</f>
        <v>7.8125E-3</v>
      </c>
      <c r="F44" s="8">
        <f>+'Simulation and  VaR'!F57/'Simulation and  VaR'!F56-1</f>
        <v>1.3994910941475869E-2</v>
      </c>
      <c r="G44" s="8">
        <f>+'Simulation and  VaR'!G57/'Simulation and  VaR'!G56-1</f>
        <v>8.3333333333333037E-3</v>
      </c>
      <c r="H44" s="8">
        <f>+'Simulation and  VaR'!H57/'Simulation and  VaR'!H56-1</f>
        <v>3.6792062835882655E-2</v>
      </c>
      <c r="I44" s="8">
        <f>+'Simulation and  VaR'!I57/'Simulation and  VaR'!I56-1</f>
        <v>1.8059855521155299E-3</v>
      </c>
      <c r="J44" s="8">
        <f>+'Simulation and  VaR'!J57/'Simulation and  VaR'!J56-1</f>
        <v>0</v>
      </c>
      <c r="K44" s="8">
        <f>+'Simulation and  VaR'!K57/'Simulation and  VaR'!K56-1</f>
        <v>2.894715077330634E-4</v>
      </c>
      <c r="L44" s="8">
        <f>+'Simulation and  VaR'!L57/'Simulation and  VaR'!L56-1</f>
        <v>-7.1500631229071132E-5</v>
      </c>
      <c r="N44" s="26">
        <f t="shared" si="0"/>
        <v>-8.8522485911955121E-2</v>
      </c>
      <c r="O44" s="26">
        <f t="shared" si="1"/>
        <v>-6.8971780364578961E-2</v>
      </c>
      <c r="P44" s="26">
        <f t="shared" si="2"/>
        <v>1.6582808015364561E-2</v>
      </c>
      <c r="Q44" s="26">
        <f t="shared" si="3"/>
        <v>6.2402317616900007E-3</v>
      </c>
      <c r="R44" s="26">
        <f t="shared" si="4"/>
        <v>1.2517010003762406E-2</v>
      </c>
      <c r="S44" s="26">
        <f t="shared" si="5"/>
        <v>6.8746871236034981E-3</v>
      </c>
      <c r="T44" s="26">
        <f t="shared" si="6"/>
        <v>3.1448682790822247E-2</v>
      </c>
      <c r="U44" s="26">
        <f t="shared" si="7"/>
        <v>-1.059578057692185E-2</v>
      </c>
      <c r="V44" s="26">
        <f t="shared" si="8"/>
        <v>-1.0229205971642284E-2</v>
      </c>
      <c r="W44" s="26">
        <f t="shared" si="9"/>
        <v>1.856386789604478E-3</v>
      </c>
      <c r="X44" s="26">
        <f t="shared" si="10"/>
        <v>3.4527344825266352E-3</v>
      </c>
      <c r="Z44" s="20" t="s">
        <v>13</v>
      </c>
      <c r="AA44" s="57">
        <v>1.2503090999191314E-2</v>
      </c>
      <c r="AB44" s="57">
        <v>0.11495295064796666</v>
      </c>
      <c r="AC44" s="57">
        <v>4.024054882193466E-2</v>
      </c>
      <c r="AD44" s="57">
        <v>8.7461599308531583E-3</v>
      </c>
      <c r="AE44" s="57">
        <v>-4.6754852771518283E-5</v>
      </c>
      <c r="AF44" s="57">
        <v>-1.2787658725655886E-2</v>
      </c>
      <c r="AG44" s="57">
        <v>3.1973585092940363E-2</v>
      </c>
      <c r="AH44" s="66">
        <v>1.0000000000000004</v>
      </c>
      <c r="AI44" s="57">
        <v>0.20238242978370866</v>
      </c>
      <c r="AJ44" s="57">
        <v>0.28790914691092823</v>
      </c>
      <c r="AK44" s="57">
        <v>-0.20640721033331003</v>
      </c>
    </row>
    <row r="45" spans="1:40" x14ac:dyDescent="0.2">
      <c r="A45" s="5">
        <v>26754</v>
      </c>
      <c r="B45" s="8">
        <f>+'Simulation and  VaR'!B58/'Simulation and  VaR'!B57-1</f>
        <v>0.14001473284204491</v>
      </c>
      <c r="C45" s="8">
        <f>+'Simulation and  VaR'!C58/'Simulation and  VaR'!C57-1</f>
        <v>2.2767075306479923E-2</v>
      </c>
      <c r="D45" s="8">
        <f>+'Simulation and  VaR'!D58/'Simulation and  VaR'!D57-1</f>
        <v>5.5401662049860967E-3</v>
      </c>
      <c r="E45" s="8">
        <f>+'Simulation and  VaR'!E58/'Simulation and  VaR'!E57-1</f>
        <v>1.2919896640826156E-3</v>
      </c>
      <c r="F45" s="8">
        <f>+'Simulation and  VaR'!F58/'Simulation and  VaR'!F57-1</f>
        <v>3.7641154328733606E-3</v>
      </c>
      <c r="G45" s="8">
        <f>+'Simulation and  VaR'!G58/'Simulation and  VaR'!G57-1</f>
        <v>-1.1806375442741102E-3</v>
      </c>
      <c r="H45" s="8">
        <f>+'Simulation and  VaR'!H58/'Simulation and  VaR'!H57-1</f>
        <v>3.5386762360446467E-2</v>
      </c>
      <c r="I45" s="8">
        <f>+'Simulation and  VaR'!I58/'Simulation and  VaR'!I57-1</f>
        <v>9.7862477465877618E-3</v>
      </c>
      <c r="J45" s="8">
        <f>+'Simulation and  VaR'!J58/'Simulation and  VaR'!J57-1</f>
        <v>0</v>
      </c>
      <c r="K45" s="8">
        <f>+'Simulation and  VaR'!K58/'Simulation and  VaR'!K57-1</f>
        <v>-2.8938773822806407E-4</v>
      </c>
      <c r="L45" s="8">
        <f>+'Simulation and  VaR'!L58/'Simulation and  VaR'!L57-1</f>
        <v>-3.5749037250454307E-5</v>
      </c>
      <c r="N45" s="26">
        <f t="shared" si="0"/>
        <v>0.13600326898173951</v>
      </c>
      <c r="O45" s="26">
        <f t="shared" si="1"/>
        <v>2.0788758994188535E-2</v>
      </c>
      <c r="P45" s="26">
        <f t="shared" si="2"/>
        <v>3.7872901582914481E-3</v>
      </c>
      <c r="Q45" s="26">
        <f t="shared" si="3"/>
        <v>-2.8027857422738387E-4</v>
      </c>
      <c r="R45" s="26">
        <f t="shared" si="4"/>
        <v>2.2862144951598974E-3</v>
      </c>
      <c r="S45" s="26">
        <f t="shared" si="5"/>
        <v>-2.6392837540039158E-3</v>
      </c>
      <c r="T45" s="26">
        <f t="shared" si="6"/>
        <v>3.0043382315386061E-2</v>
      </c>
      <c r="U45" s="26">
        <f t="shared" si="7"/>
        <v>-2.6155183824496178E-3</v>
      </c>
      <c r="V45" s="26">
        <f t="shared" si="8"/>
        <v>-1.0229205971642284E-2</v>
      </c>
      <c r="W45" s="26">
        <f t="shared" si="9"/>
        <v>1.2775275436433505E-3</v>
      </c>
      <c r="X45" s="26">
        <f t="shared" si="10"/>
        <v>3.4884860765052521E-3</v>
      </c>
      <c r="Z45" s="20" t="s">
        <v>14</v>
      </c>
      <c r="AA45" s="57">
        <v>5.6913943942272748E-2</v>
      </c>
      <c r="AB45" s="57">
        <v>0.10658600407153732</v>
      </c>
      <c r="AC45" s="57">
        <v>0.10402955272487943</v>
      </c>
      <c r="AD45" s="57">
        <v>7.1104609577630443E-2</v>
      </c>
      <c r="AE45" s="57">
        <v>5.8526556456409889E-2</v>
      </c>
      <c r="AF45" s="57">
        <v>3.7877858208093057E-2</v>
      </c>
      <c r="AG45" s="57">
        <v>-5.5898903829697033E-2</v>
      </c>
      <c r="AH45" s="57">
        <v>0.20238242978370866</v>
      </c>
      <c r="AI45" s="66">
        <v>1.0000000000000009</v>
      </c>
      <c r="AJ45" s="57">
        <v>-4.2100159444385735E-2</v>
      </c>
      <c r="AK45" s="57">
        <v>0.20759881495692001</v>
      </c>
    </row>
    <row r="46" spans="1:40" x14ac:dyDescent="0.2">
      <c r="A46" s="5">
        <v>26784</v>
      </c>
      <c r="B46" s="8">
        <f>+'Simulation and  VaR'!B59/'Simulation and  VaR'!B58-1</f>
        <v>7.3308559491667147E-2</v>
      </c>
      <c r="C46" s="8">
        <f>+'Simulation and  VaR'!C59/'Simulation and  VaR'!C58-1</f>
        <v>9.5890410958904049E-2</v>
      </c>
      <c r="D46" s="8">
        <f>+'Simulation and  VaR'!D59/'Simulation and  VaR'!D58-1</f>
        <v>3.8567493112947604E-2</v>
      </c>
      <c r="E46" s="8">
        <f>+'Simulation and  VaR'!E59/'Simulation and  VaR'!E58-1</f>
        <v>1.2903225806451646E-2</v>
      </c>
      <c r="F46" s="8">
        <f>+'Simulation and  VaR'!F59/'Simulation and  VaR'!F58-1</f>
        <v>1.8750000000000044E-2</v>
      </c>
      <c r="G46" s="8">
        <f>+'Simulation and  VaR'!G59/'Simulation and  VaR'!G58-1</f>
        <v>2.0094562647754222E-2</v>
      </c>
      <c r="H46" s="8">
        <f>+'Simulation and  VaR'!H59/'Simulation and  VaR'!H58-1</f>
        <v>-4.0723981900452566E-2</v>
      </c>
      <c r="I46" s="8">
        <f>+'Simulation and  VaR'!I59/'Simulation and  VaR'!I58-1</f>
        <v>4.3866360622290212E-2</v>
      </c>
      <c r="J46" s="8">
        <f>+'Simulation and  VaR'!J59/'Simulation and  VaR'!J58-1</f>
        <v>0</v>
      </c>
      <c r="K46" s="8">
        <f>+'Simulation and  VaR'!K59/'Simulation and  VaR'!K58-1</f>
        <v>2.894715077330634E-4</v>
      </c>
      <c r="L46" s="8">
        <f>+'Simulation and  VaR'!L59/'Simulation and  VaR'!L58-1</f>
        <v>-2.5018063987225503E-4</v>
      </c>
      <c r="N46" s="26">
        <f t="shared" si="0"/>
        <v>6.9297095631361758E-2</v>
      </c>
      <c r="O46" s="26">
        <f t="shared" si="1"/>
        <v>9.3912094646612654E-2</v>
      </c>
      <c r="P46" s="26">
        <f t="shared" si="2"/>
        <v>3.6814617066252955E-2</v>
      </c>
      <c r="Q46" s="26">
        <f t="shared" si="3"/>
        <v>1.1330957568141646E-2</v>
      </c>
      <c r="R46" s="26">
        <f t="shared" si="4"/>
        <v>1.7272099062286581E-2</v>
      </c>
      <c r="S46" s="26">
        <f t="shared" si="5"/>
        <v>1.8635916438024418E-2</v>
      </c>
      <c r="T46" s="26">
        <f t="shared" si="6"/>
        <v>-4.6067361945512975E-2</v>
      </c>
      <c r="U46" s="26">
        <f t="shared" si="7"/>
        <v>3.1464594493252833E-2</v>
      </c>
      <c r="V46" s="26">
        <f t="shared" si="8"/>
        <v>-1.0229205971642284E-2</v>
      </c>
      <c r="W46" s="26">
        <f t="shared" si="9"/>
        <v>1.856386789604478E-3</v>
      </c>
      <c r="X46" s="26">
        <f t="shared" si="10"/>
        <v>3.2740544738834513E-3</v>
      </c>
      <c r="Z46" s="20" t="s">
        <v>15</v>
      </c>
      <c r="AA46" s="57">
        <v>-0.11993022421366842</v>
      </c>
      <c r="AB46" s="57">
        <v>2.1172089889183624E-2</v>
      </c>
      <c r="AC46" s="57">
        <v>-2.2597336313065382E-2</v>
      </c>
      <c r="AD46" s="57">
        <v>-3.8871854457864299E-2</v>
      </c>
      <c r="AE46" s="57">
        <v>-7.444911224660089E-2</v>
      </c>
      <c r="AF46" s="57">
        <v>-6.8053072875237097E-2</v>
      </c>
      <c r="AG46" s="57">
        <v>-1.748031901647324E-3</v>
      </c>
      <c r="AH46" s="57">
        <v>0.28790914691092823</v>
      </c>
      <c r="AI46" s="57">
        <v>-4.2100159444385735E-2</v>
      </c>
      <c r="AJ46" s="66">
        <v>0.99999999999999944</v>
      </c>
      <c r="AK46" s="57">
        <v>-0.49117572432107587</v>
      </c>
    </row>
    <row r="47" spans="1:40" x14ac:dyDescent="0.2">
      <c r="A47" s="5">
        <v>26815</v>
      </c>
      <c r="B47" s="8">
        <f>+'Simulation and  VaR'!B60/'Simulation and  VaR'!B59-1</f>
        <v>0.14913846297997768</v>
      </c>
      <c r="C47" s="8">
        <f>+'Simulation and  VaR'!C60/'Simulation and  VaR'!C59-1</f>
        <v>2.0312499999999956E-2</v>
      </c>
      <c r="D47" s="8">
        <f>+'Simulation and  VaR'!D60/'Simulation and  VaR'!D59-1</f>
        <v>1.458885941644561E-2</v>
      </c>
      <c r="E47" s="8">
        <f>+'Simulation and  VaR'!E60/'Simulation and  VaR'!E59-1</f>
        <v>1.5286624203821653E-2</v>
      </c>
      <c r="F47" s="8">
        <f>+'Simulation and  VaR'!F60/'Simulation and  VaR'!F59-1</f>
        <v>7.3619631901837845E-3</v>
      </c>
      <c r="G47" s="8">
        <f>+'Simulation and  VaR'!G60/'Simulation and  VaR'!G59-1</f>
        <v>1.5063731170336103E-2</v>
      </c>
      <c r="H47" s="8">
        <f>+'Simulation and  VaR'!H60/'Simulation and  VaR'!H59-1</f>
        <v>7.0252910477730524E-4</v>
      </c>
      <c r="I47" s="8">
        <f>+'Simulation and  VaR'!I60/'Simulation and  VaR'!I59-1</f>
        <v>-1.88126068898119E-2</v>
      </c>
      <c r="J47" s="8">
        <f>+'Simulation and  VaR'!J60/'Simulation and  VaR'!J59-1</f>
        <v>0</v>
      </c>
      <c r="K47" s="8">
        <f>+'Simulation and  VaR'!K60/'Simulation and  VaR'!K59-1</f>
        <v>8.2682210922335742E-5</v>
      </c>
      <c r="L47" s="8">
        <f>+'Simulation and  VaR'!L60/'Simulation and  VaR'!L59-1</f>
        <v>0</v>
      </c>
      <c r="N47" s="26">
        <f t="shared" si="0"/>
        <v>0.14512699911967228</v>
      </c>
      <c r="O47" s="26">
        <f t="shared" si="1"/>
        <v>1.8334183687708568E-2</v>
      </c>
      <c r="P47" s="26">
        <f t="shared" si="2"/>
        <v>1.2835983369750961E-2</v>
      </c>
      <c r="Q47" s="26">
        <f t="shared" si="3"/>
        <v>1.3714355965511653E-2</v>
      </c>
      <c r="R47" s="26">
        <f t="shared" si="4"/>
        <v>5.8840622524703214E-3</v>
      </c>
      <c r="S47" s="26">
        <f t="shared" si="5"/>
        <v>1.3605084960606298E-2</v>
      </c>
      <c r="T47" s="26">
        <f t="shared" si="6"/>
        <v>-4.6408509402830998E-3</v>
      </c>
      <c r="U47" s="26">
        <f t="shared" si="7"/>
        <v>-3.121437301884928E-2</v>
      </c>
      <c r="V47" s="26">
        <f t="shared" si="8"/>
        <v>-1.0229205971642284E-2</v>
      </c>
      <c r="W47" s="26">
        <f t="shared" si="9"/>
        <v>1.6495974927937503E-3</v>
      </c>
      <c r="X47" s="26">
        <f t="shared" si="10"/>
        <v>3.5242351137557064E-3</v>
      </c>
      <c r="Z47" s="20" t="s">
        <v>16</v>
      </c>
      <c r="AA47" s="57">
        <v>7.9933740424808788E-2</v>
      </c>
      <c r="AB47" s="57">
        <v>3.2806359133669073E-3</v>
      </c>
      <c r="AC47" s="57">
        <v>2.631793887603703E-2</v>
      </c>
      <c r="AD47" s="57">
        <v>2.7652844665122051E-2</v>
      </c>
      <c r="AE47" s="57">
        <v>6.1097478224019924E-2</v>
      </c>
      <c r="AF47" s="57">
        <v>2.5481356217502856E-2</v>
      </c>
      <c r="AG47" s="57">
        <v>-9.2778922302450811E-3</v>
      </c>
      <c r="AH47" s="57">
        <v>-0.20640721033331003</v>
      </c>
      <c r="AI47" s="57">
        <v>0.20759881495692001</v>
      </c>
      <c r="AJ47" s="57">
        <v>-0.49117572432107587</v>
      </c>
      <c r="AK47" s="66">
        <v>0.99999999999999978</v>
      </c>
    </row>
    <row r="48" spans="1:40" x14ac:dyDescent="0.2">
      <c r="A48" s="5">
        <v>26845</v>
      </c>
      <c r="B48" s="8">
        <f>+'Simulation and  VaR'!B61/'Simulation and  VaR'!B60-1</f>
        <v>0.13873974709051007</v>
      </c>
      <c r="C48" s="8">
        <f>+'Simulation and  VaR'!C61/'Simulation and  VaR'!C60-1</f>
        <v>3.2159264931087339E-2</v>
      </c>
      <c r="D48" s="8">
        <f>+'Simulation and  VaR'!D61/'Simulation and  VaR'!D60-1</f>
        <v>0</v>
      </c>
      <c r="E48" s="8">
        <f>+'Simulation and  VaR'!E61/'Simulation and  VaR'!E60-1</f>
        <v>0</v>
      </c>
      <c r="F48" s="8">
        <f>+'Simulation and  VaR'!F61/'Simulation and  VaR'!F60-1</f>
        <v>1.2180267965897773E-3</v>
      </c>
      <c r="G48" s="8">
        <f>+'Simulation and  VaR'!G61/'Simulation and  VaR'!G60-1</f>
        <v>1.1415525114155667E-3</v>
      </c>
      <c r="H48" s="8">
        <f>+'Simulation and  VaR'!H61/'Simulation and  VaR'!H60-1</f>
        <v>-4.1119245812857419E-2</v>
      </c>
      <c r="I48" s="8">
        <f>+'Simulation and  VaR'!I61/'Simulation and  VaR'!I60-1</f>
        <v>6.8476095617529875E-2</v>
      </c>
      <c r="J48" s="8">
        <f>+'Simulation and  VaR'!J61/'Simulation and  VaR'!J60-1</f>
        <v>0</v>
      </c>
      <c r="K48" s="8">
        <f>+'Simulation and  VaR'!K61/'Simulation and  VaR'!K60-1</f>
        <v>-1.6535075027901414E-4</v>
      </c>
      <c r="L48" s="8">
        <f>+'Simulation and  VaR'!L61/'Simulation and  VaR'!L60-1</f>
        <v>-3.5738815083674602E-5</v>
      </c>
      <c r="N48" s="26">
        <f t="shared" si="0"/>
        <v>0.13472828323020467</v>
      </c>
      <c r="O48" s="26">
        <f t="shared" si="1"/>
        <v>3.0180948618795951E-2</v>
      </c>
      <c r="P48" s="26">
        <f t="shared" si="2"/>
        <v>-1.7528760466946488E-3</v>
      </c>
      <c r="Q48" s="26">
        <f t="shared" si="3"/>
        <v>-1.5722682383099995E-3</v>
      </c>
      <c r="R48" s="26">
        <f t="shared" si="4"/>
        <v>-2.5987414112368565E-4</v>
      </c>
      <c r="S48" s="26">
        <f t="shared" si="5"/>
        <v>-3.1709369831423874E-4</v>
      </c>
      <c r="T48" s="26">
        <f t="shared" si="6"/>
        <v>-4.6462625857917828E-2</v>
      </c>
      <c r="U48" s="26">
        <f t="shared" si="7"/>
        <v>5.6074329488492496E-2</v>
      </c>
      <c r="V48" s="26">
        <f t="shared" si="8"/>
        <v>-1.0229205971642284E-2</v>
      </c>
      <c r="W48" s="26">
        <f t="shared" si="9"/>
        <v>1.4015645315924004E-3</v>
      </c>
      <c r="X48" s="26">
        <f t="shared" si="10"/>
        <v>3.4884962986720318E-3</v>
      </c>
    </row>
    <row r="49" spans="1:24" x14ac:dyDescent="0.2">
      <c r="A49" s="5">
        <v>26876</v>
      </c>
      <c r="B49" s="8">
        <f>+'Simulation and  VaR'!B62/'Simulation and  VaR'!B61-1</f>
        <v>-8.6264489501695518E-2</v>
      </c>
      <c r="C49" s="8">
        <f>+'Simulation and  VaR'!C62/'Simulation and  VaR'!C61-1</f>
        <v>-2.2255192878338326E-2</v>
      </c>
      <c r="D49" s="8">
        <f>+'Simulation and  VaR'!D62/'Simulation and  VaR'!D61-1</f>
        <v>-6.5359477124182774E-3</v>
      </c>
      <c r="E49" s="8">
        <f>+'Simulation and  VaR'!E62/'Simulation and  VaR'!E61-1</f>
        <v>-3.7641154328733606E-3</v>
      </c>
      <c r="F49" s="8">
        <f>+'Simulation and  VaR'!F62/'Simulation and  VaR'!F61-1</f>
        <v>-1.2165450121656152E-3</v>
      </c>
      <c r="G49" s="8">
        <f>+'Simulation and  VaR'!G62/'Simulation and  VaR'!G61-1</f>
        <v>0</v>
      </c>
      <c r="H49" s="8">
        <f>+'Simulation and  VaR'!H62/'Simulation and  VaR'!H61-1</f>
        <v>3.58749084823764E-2</v>
      </c>
      <c r="I49" s="8">
        <f>+'Simulation and  VaR'!I62/'Simulation and  VaR'!I61-1</f>
        <v>-1.1652295502213583E-3</v>
      </c>
      <c r="J49" s="8">
        <f>+'Simulation and  VaR'!J62/'Simulation and  VaR'!J61-1</f>
        <v>0</v>
      </c>
      <c r="K49" s="8">
        <f>+'Simulation and  VaR'!K62/'Simulation and  VaR'!K61-1</f>
        <v>1.2403357175339025E-4</v>
      </c>
      <c r="L49" s="8">
        <f>+'Simulation and  VaR'!L62/'Simulation and  VaR'!L61-1</f>
        <v>-4.7307750370952917E-3</v>
      </c>
      <c r="N49" s="26">
        <f t="shared" si="0"/>
        <v>-9.0275953362000907E-2</v>
      </c>
      <c r="O49" s="26">
        <f t="shared" si="1"/>
        <v>-2.4233509190629714E-2</v>
      </c>
      <c r="P49" s="26">
        <f t="shared" si="2"/>
        <v>-8.288823759112926E-3</v>
      </c>
      <c r="Q49" s="26">
        <f t="shared" si="3"/>
        <v>-5.3363836711833599E-3</v>
      </c>
      <c r="R49" s="26">
        <f t="shared" si="4"/>
        <v>-2.6944459498790783E-3</v>
      </c>
      <c r="S49" s="26">
        <f t="shared" si="5"/>
        <v>-1.4586462097298054E-3</v>
      </c>
      <c r="T49" s="26">
        <f t="shared" si="6"/>
        <v>3.0531528437315995E-2</v>
      </c>
      <c r="U49" s="26">
        <f t="shared" si="7"/>
        <v>-1.3566995679258738E-2</v>
      </c>
      <c r="V49" s="26">
        <f t="shared" si="8"/>
        <v>-1.0229205971642284E-2</v>
      </c>
      <c r="W49" s="26">
        <f t="shared" si="9"/>
        <v>1.6909488536248048E-3</v>
      </c>
      <c r="X49" s="26">
        <f t="shared" si="10"/>
        <v>-1.2065399233395853E-3</v>
      </c>
    </row>
    <row r="50" spans="1:24" x14ac:dyDescent="0.2">
      <c r="A50" s="5">
        <v>26907</v>
      </c>
      <c r="B50" s="8">
        <f>+'Simulation and  VaR'!B63/'Simulation and  VaR'!B62-1</f>
        <v>-4.9168457814041777E-2</v>
      </c>
      <c r="C50" s="8">
        <f>+'Simulation and  VaR'!C63/'Simulation and  VaR'!C62-1</f>
        <v>-6.6767830045523557E-2</v>
      </c>
      <c r="D50" s="8">
        <f>+'Simulation and  VaR'!D63/'Simulation and  VaR'!D62-1</f>
        <v>-1.9736842105263053E-2</v>
      </c>
      <c r="E50" s="8">
        <f>+'Simulation and  VaR'!E63/'Simulation and  VaR'!E62-1</f>
        <v>-1.5113350125944613E-2</v>
      </c>
      <c r="F50" s="8">
        <f>+'Simulation and  VaR'!F63/'Simulation and  VaR'!F62-1</f>
        <v>-1.948842874543244E-2</v>
      </c>
      <c r="G50" s="8">
        <f>+'Simulation and  VaR'!G63/'Simulation and  VaR'!G62-1</f>
        <v>-1.9384264538198415E-2</v>
      </c>
      <c r="H50" s="8">
        <f>+'Simulation and  VaR'!H63/'Simulation and  VaR'!H62-1</f>
        <v>-6.9668820678513432E-3</v>
      </c>
      <c r="I50" s="8">
        <f>+'Simulation and  VaR'!I63/'Simulation and  VaR'!I62-1</f>
        <v>-4.6663555762950226E-3</v>
      </c>
      <c r="J50" s="8">
        <f>+'Simulation and  VaR'!J63/'Simulation and  VaR'!J62-1</f>
        <v>0</v>
      </c>
      <c r="K50" s="8">
        <f>+'Simulation and  VaR'!K63/'Simulation and  VaR'!K62-1</f>
        <v>2.1000413393964523E-2</v>
      </c>
      <c r="L50" s="8">
        <f>+'Simulation and  VaR'!L63/'Simulation and  VaR'!L62-1</f>
        <v>-4.9689303825569797E-2</v>
      </c>
      <c r="N50" s="26">
        <f t="shared" si="0"/>
        <v>-5.3179921674347166E-2</v>
      </c>
      <c r="O50" s="26">
        <f t="shared" si="1"/>
        <v>-6.8746146357814952E-2</v>
      </c>
      <c r="P50" s="26">
        <f t="shared" si="2"/>
        <v>-2.1489718151957701E-2</v>
      </c>
      <c r="Q50" s="26">
        <f t="shared" si="3"/>
        <v>-1.6685618364254612E-2</v>
      </c>
      <c r="R50" s="26">
        <f t="shared" si="4"/>
        <v>-2.0966329683145903E-2</v>
      </c>
      <c r="S50" s="26">
        <f t="shared" si="5"/>
        <v>-2.0842910747928219E-2</v>
      </c>
      <c r="T50" s="26">
        <f t="shared" si="6"/>
        <v>-1.2310262112911748E-2</v>
      </c>
      <c r="U50" s="26">
        <f t="shared" si="7"/>
        <v>-1.7068121705332402E-2</v>
      </c>
      <c r="V50" s="26">
        <f t="shared" si="8"/>
        <v>-1.0229205971642284E-2</v>
      </c>
      <c r="W50" s="26">
        <f t="shared" si="9"/>
        <v>2.2567328675835937E-2</v>
      </c>
      <c r="X50" s="26">
        <f t="shared" si="10"/>
        <v>-4.616506871181409E-2</v>
      </c>
    </row>
    <row r="51" spans="1:24" x14ac:dyDescent="0.2">
      <c r="A51" s="5">
        <v>26937</v>
      </c>
      <c r="B51" s="8">
        <f>+'Simulation and  VaR'!B64/'Simulation and  VaR'!B63-1</f>
        <v>-4.9496835935569194E-2</v>
      </c>
      <c r="C51" s="8">
        <f>+'Simulation and  VaR'!C64/'Simulation and  VaR'!C63-1</f>
        <v>-3.4146341463414664E-2</v>
      </c>
      <c r="D51" s="8">
        <f>+'Simulation and  VaR'!D64/'Simulation and  VaR'!D63-1</f>
        <v>-6.7114093959732557E-3</v>
      </c>
      <c r="E51" s="8">
        <f>+'Simulation and  VaR'!E64/'Simulation and  VaR'!E63-1</f>
        <v>-1.5345268542199419E-2</v>
      </c>
      <c r="F51" s="8">
        <f>+'Simulation and  VaR'!F64/'Simulation and  VaR'!F63-1</f>
        <v>-8.6956521739129933E-3</v>
      </c>
      <c r="G51" s="8">
        <f>+'Simulation and  VaR'!G64/'Simulation and  VaR'!G63-1</f>
        <v>-1.2790697674418539E-2</v>
      </c>
      <c r="H51" s="8">
        <f>+'Simulation and  VaR'!H64/'Simulation and  VaR'!H63-1</f>
        <v>-4.3213014743263889E-2</v>
      </c>
      <c r="I51" s="8">
        <f>+'Simulation and  VaR'!I64/'Simulation and  VaR'!I63-1</f>
        <v>-3.5161744022502717E-3</v>
      </c>
      <c r="J51" s="8">
        <f>+'Simulation and  VaR'!J64/'Simulation and  VaR'!J63-1</f>
        <v>0</v>
      </c>
      <c r="K51" s="8">
        <f>+'Simulation and  VaR'!K64/'Simulation and  VaR'!K63-1</f>
        <v>8.5027127702648198E-3</v>
      </c>
      <c r="L51" s="8">
        <f>+'Simulation and  VaR'!L64/'Simulation and  VaR'!L63-1</f>
        <v>-2.0494725139036163E-2</v>
      </c>
      <c r="N51" s="26">
        <f t="shared" si="0"/>
        <v>-5.3508299795874584E-2</v>
      </c>
      <c r="O51" s="26">
        <f t="shared" si="1"/>
        <v>-3.6124657775706052E-2</v>
      </c>
      <c r="P51" s="26">
        <f t="shared" si="2"/>
        <v>-8.4642854426679043E-3</v>
      </c>
      <c r="Q51" s="26">
        <f t="shared" si="3"/>
        <v>-1.6917536780509418E-2</v>
      </c>
      <c r="R51" s="26">
        <f t="shared" si="4"/>
        <v>-1.0173553111626456E-2</v>
      </c>
      <c r="S51" s="26">
        <f t="shared" si="5"/>
        <v>-1.4249343884148344E-2</v>
      </c>
      <c r="T51" s="26">
        <f t="shared" si="6"/>
        <v>-4.8556394788324297E-2</v>
      </c>
      <c r="U51" s="26">
        <f t="shared" si="7"/>
        <v>-1.5917940531287651E-2</v>
      </c>
      <c r="V51" s="26">
        <f t="shared" si="8"/>
        <v>-1.0229205971642284E-2</v>
      </c>
      <c r="W51" s="26">
        <f t="shared" si="9"/>
        <v>1.0069628052136233E-2</v>
      </c>
      <c r="X51" s="26">
        <f t="shared" si="10"/>
        <v>-1.6970490025280456E-2</v>
      </c>
    </row>
    <row r="52" spans="1:24" x14ac:dyDescent="0.2">
      <c r="A52" s="5">
        <v>26968</v>
      </c>
      <c r="B52" s="8">
        <f>+'Simulation and  VaR'!B65/'Simulation and  VaR'!B64-1</f>
        <v>-5.4273200641998365E-2</v>
      </c>
      <c r="C52" s="8">
        <f>+'Simulation and  VaR'!C65/'Simulation and  VaR'!C64-1</f>
        <v>-2.0202020202020221E-2</v>
      </c>
      <c r="D52" s="8">
        <f>+'Simulation and  VaR'!D65/'Simulation and  VaR'!D64-1</f>
        <v>-1.7567567567567499E-2</v>
      </c>
      <c r="E52" s="8">
        <f>+'Simulation and  VaR'!E65/'Simulation and  VaR'!E64-1</f>
        <v>-1.6883116883116944E-2</v>
      </c>
      <c r="F52" s="8">
        <f>+'Simulation and  VaR'!F65/'Simulation and  VaR'!F64-1</f>
        <v>-1.1278195488721776E-2</v>
      </c>
      <c r="G52" s="8">
        <f>+'Simulation and  VaR'!G65/'Simulation and  VaR'!G64-1</f>
        <v>-1.1778563015312105E-2</v>
      </c>
      <c r="H52" s="8">
        <f>+'Simulation and  VaR'!H65/'Simulation and  VaR'!H64-1</f>
        <v>-1.0626992561105775E-3</v>
      </c>
      <c r="I52" s="8">
        <f>+'Simulation and  VaR'!I65/'Simulation and  VaR'!I64-1</f>
        <v>2.1171489061397208E-2</v>
      </c>
      <c r="J52" s="8">
        <f>+'Simulation and  VaR'!J65/'Simulation and  VaR'!J64-1</f>
        <v>0</v>
      </c>
      <c r="K52" s="8">
        <f>+'Simulation and  VaR'!K65/'Simulation and  VaR'!K64-1</f>
        <v>1.1241368235104243E-3</v>
      </c>
      <c r="L52" s="8">
        <f>+'Simulation and  VaR'!L65/'Simulation and  VaR'!L64-1</f>
        <v>-7.1008441238018527E-3</v>
      </c>
      <c r="N52" s="26">
        <f t="shared" si="0"/>
        <v>-5.8284664502303754E-2</v>
      </c>
      <c r="O52" s="26">
        <f t="shared" si="1"/>
        <v>-2.2180336514311609E-2</v>
      </c>
      <c r="P52" s="26">
        <f t="shared" si="2"/>
        <v>-1.9320443614262148E-2</v>
      </c>
      <c r="Q52" s="26">
        <f t="shared" si="3"/>
        <v>-1.8455385121426943E-2</v>
      </c>
      <c r="R52" s="26">
        <f t="shared" si="4"/>
        <v>-1.2756096426435239E-2</v>
      </c>
      <c r="S52" s="26">
        <f t="shared" si="5"/>
        <v>-1.323720922504191E-2</v>
      </c>
      <c r="T52" s="26">
        <f t="shared" si="6"/>
        <v>-6.4060793011709825E-3</v>
      </c>
      <c r="U52" s="26">
        <f t="shared" si="7"/>
        <v>8.7697229323598289E-3</v>
      </c>
      <c r="V52" s="26">
        <f t="shared" si="8"/>
        <v>-1.0229205971642284E-2</v>
      </c>
      <c r="W52" s="26">
        <f t="shared" si="9"/>
        <v>2.6910521053818389E-3</v>
      </c>
      <c r="X52" s="26">
        <f t="shared" si="10"/>
        <v>-3.5766090100461463E-3</v>
      </c>
    </row>
    <row r="53" spans="1:24" x14ac:dyDescent="0.2">
      <c r="A53" s="5">
        <v>26998</v>
      </c>
      <c r="B53" s="8">
        <f>+'Simulation and  VaR'!B66/'Simulation and  VaR'!B65-1</f>
        <v>-5.0156639989847207E-2</v>
      </c>
      <c r="C53" s="8">
        <f>+'Simulation and  VaR'!C66/'Simulation and  VaR'!C65-1</f>
        <v>2.0618556701030855E-2</v>
      </c>
      <c r="D53" s="8">
        <f>+'Simulation and  VaR'!D66/'Simulation and  VaR'!D65-1</f>
        <v>-1.3755158184318717E-3</v>
      </c>
      <c r="E53" s="8">
        <f>+'Simulation and  VaR'!E66/'Simulation and  VaR'!E65-1</f>
        <v>1.3210039630120463E-3</v>
      </c>
      <c r="F53" s="8">
        <f>+'Simulation and  VaR'!F66/'Simulation and  VaR'!F65-1</f>
        <v>-8.8719898605830183E-3</v>
      </c>
      <c r="G53" s="8">
        <f>+'Simulation and  VaR'!G66/'Simulation and  VaR'!G65-1</f>
        <v>0</v>
      </c>
      <c r="H53" s="8">
        <f>+'Simulation and  VaR'!H66/'Simulation and  VaR'!H65-1</f>
        <v>8.4680851063829943E-2</v>
      </c>
      <c r="I53" s="8">
        <f>+'Simulation and  VaR'!I66/'Simulation and  VaR'!I65-1</f>
        <v>3.4554250172771361E-3</v>
      </c>
      <c r="J53" s="8">
        <f>+'Simulation and  VaR'!J66/'Simulation and  VaR'!J65-1</f>
        <v>0</v>
      </c>
      <c r="K53" s="8">
        <f>+'Simulation and  VaR'!K66/'Simulation and  VaR'!K65-1</f>
        <v>6.817452678858027E-3</v>
      </c>
      <c r="L53" s="8">
        <f>+'Simulation and  VaR'!L66/'Simulation and  VaR'!L65-1</f>
        <v>-2.6592042096881929E-2</v>
      </c>
      <c r="N53" s="26">
        <f t="shared" si="0"/>
        <v>-5.4168103850152596E-2</v>
      </c>
      <c r="O53" s="26">
        <f t="shared" si="1"/>
        <v>1.8640240388739467E-2</v>
      </c>
      <c r="P53" s="26">
        <f t="shared" si="2"/>
        <v>-3.1283918651265202E-3</v>
      </c>
      <c r="Q53" s="26">
        <f t="shared" si="3"/>
        <v>-2.5126427529795323E-4</v>
      </c>
      <c r="R53" s="26">
        <f t="shared" si="4"/>
        <v>-1.0349890798296481E-2</v>
      </c>
      <c r="S53" s="26">
        <f t="shared" si="5"/>
        <v>-1.4586462097298054E-3</v>
      </c>
      <c r="T53" s="26">
        <f t="shared" si="6"/>
        <v>7.9337471018769534E-2</v>
      </c>
      <c r="U53" s="26">
        <f t="shared" si="7"/>
        <v>-8.9463411117602434E-3</v>
      </c>
      <c r="V53" s="26">
        <f t="shared" si="8"/>
        <v>-1.0229205971642284E-2</v>
      </c>
      <c r="W53" s="26">
        <f t="shared" si="9"/>
        <v>8.3843679607294407E-3</v>
      </c>
      <c r="X53" s="26">
        <f t="shared" si="10"/>
        <v>-2.3067806983126223E-2</v>
      </c>
    </row>
    <row r="54" spans="1:24" x14ac:dyDescent="0.2">
      <c r="A54" s="5">
        <v>27029</v>
      </c>
      <c r="B54" s="8">
        <f>+'Simulation and  VaR'!B67/'Simulation and  VaR'!B66-1</f>
        <v>-0.15807624205935378</v>
      </c>
      <c r="C54" s="8">
        <f>+'Simulation and  VaR'!C67/'Simulation and  VaR'!C66-1</f>
        <v>3.3670033670034627E-3</v>
      </c>
      <c r="D54" s="8">
        <f>+'Simulation and  VaR'!D67/'Simulation and  VaR'!D66-1</f>
        <v>-8.2644628099173278E-3</v>
      </c>
      <c r="E54" s="8">
        <f>+'Simulation and  VaR'!E67/'Simulation and  VaR'!E66-1</f>
        <v>-6.5963060686017316E-3</v>
      </c>
      <c r="F54" s="8">
        <f>+'Simulation and  VaR'!F67/'Simulation and  VaR'!F66-1</f>
        <v>-1.4066496163682829E-2</v>
      </c>
      <c r="G54" s="8">
        <f>+'Simulation and  VaR'!G67/'Simulation and  VaR'!G66-1</f>
        <v>-1.7878426698450522E-2</v>
      </c>
      <c r="H54" s="8">
        <f>+'Simulation and  VaR'!H67/'Simulation and  VaR'!H66-1</f>
        <v>1.9517457826598639E-2</v>
      </c>
      <c r="I54" s="8">
        <f>+'Simulation and  VaR'!I67/'Simulation and  VaR'!I66-1</f>
        <v>6.0835629017447435E-2</v>
      </c>
      <c r="J54" s="8">
        <f>+'Simulation and  VaR'!J67/'Simulation and  VaR'!J66-1</f>
        <v>0</v>
      </c>
      <c r="K54" s="8">
        <f>+'Simulation and  VaR'!K67/'Simulation and  VaR'!K66-1</f>
        <v>3.313948856846971E-2</v>
      </c>
      <c r="L54" s="8">
        <f>+'Simulation and  VaR'!L67/'Simulation and  VaR'!L66-1</f>
        <v>-2.953013321380582E-2</v>
      </c>
      <c r="N54" s="26">
        <f t="shared" si="0"/>
        <v>-0.16208770591965918</v>
      </c>
      <c r="O54" s="26">
        <f t="shared" si="1"/>
        <v>1.388687054712073E-3</v>
      </c>
      <c r="P54" s="26">
        <f t="shared" si="2"/>
        <v>-1.0017338856611976E-2</v>
      </c>
      <c r="Q54" s="26">
        <f t="shared" si="3"/>
        <v>-8.1685743069117318E-3</v>
      </c>
      <c r="R54" s="26">
        <f t="shared" si="4"/>
        <v>-1.5544397101396292E-2</v>
      </c>
      <c r="S54" s="26">
        <f t="shared" si="5"/>
        <v>-1.9337072908180326E-2</v>
      </c>
      <c r="T54" s="26">
        <f t="shared" si="6"/>
        <v>1.4174077781538234E-2</v>
      </c>
      <c r="U54" s="26">
        <f t="shared" si="7"/>
        <v>4.8433862888410055E-2</v>
      </c>
      <c r="V54" s="26">
        <f t="shared" si="8"/>
        <v>-1.0229205971642284E-2</v>
      </c>
      <c r="W54" s="26">
        <f t="shared" si="9"/>
        <v>3.4706403850341128E-2</v>
      </c>
      <c r="X54" s="26">
        <f t="shared" si="10"/>
        <v>-2.6005898100050114E-2</v>
      </c>
    </row>
    <row r="55" spans="1:24" x14ac:dyDescent="0.2">
      <c r="A55" s="5">
        <v>27060</v>
      </c>
      <c r="B55" s="8">
        <f>+'Simulation and  VaR'!B68/'Simulation and  VaR'!B67-1</f>
        <v>-5.3533840142821476E-2</v>
      </c>
      <c r="C55" s="8">
        <f>+'Simulation and  VaR'!C68/'Simulation and  VaR'!C67-1</f>
        <v>2.1812080536912637E-2</v>
      </c>
      <c r="D55" s="8">
        <f>+'Simulation and  VaR'!D68/'Simulation and  VaR'!D67-1</f>
        <v>1.1111111111111072E-2</v>
      </c>
      <c r="E55" s="8">
        <f>+'Simulation and  VaR'!E68/'Simulation and  VaR'!E67-1</f>
        <v>0</v>
      </c>
      <c r="F55" s="8">
        <f>+'Simulation and  VaR'!F68/'Simulation and  VaR'!F67-1</f>
        <v>0</v>
      </c>
      <c r="G55" s="8">
        <f>+'Simulation and  VaR'!G68/'Simulation and  VaR'!G67-1</f>
        <v>0</v>
      </c>
      <c r="H55" s="8">
        <f>+'Simulation and  VaR'!H68/'Simulation and  VaR'!H67-1</f>
        <v>2.5300625300625157E-2</v>
      </c>
      <c r="I55" s="8">
        <f>+'Simulation and  VaR'!I68/'Simulation and  VaR'!I67-1</f>
        <v>5.2802423717809965E-2</v>
      </c>
      <c r="J55" s="8">
        <f>+'Simulation and  VaR'!J68/'Simulation and  VaR'!J67-1</f>
        <v>0</v>
      </c>
      <c r="K55" s="8">
        <f>+'Simulation and  VaR'!K68/'Simulation and  VaR'!K67-1</f>
        <v>4.703523787493058E-3</v>
      </c>
      <c r="L55" s="8">
        <f>+'Simulation and  VaR'!L68/'Simulation and  VaR'!L67-1</f>
        <v>-2.3054383874810958E-2</v>
      </c>
      <c r="N55" s="26">
        <f t="shared" si="0"/>
        <v>-5.7545304003126865E-2</v>
      </c>
      <c r="O55" s="26">
        <f t="shared" si="1"/>
        <v>1.9833764224621249E-2</v>
      </c>
      <c r="P55" s="26">
        <f t="shared" si="2"/>
        <v>9.3582350644164231E-3</v>
      </c>
      <c r="Q55" s="26">
        <f t="shared" si="3"/>
        <v>-1.5722682383099995E-3</v>
      </c>
      <c r="R55" s="26">
        <f t="shared" si="4"/>
        <v>-1.477900937713463E-3</v>
      </c>
      <c r="S55" s="26">
        <f t="shared" si="5"/>
        <v>-1.4586462097298054E-3</v>
      </c>
      <c r="T55" s="26">
        <f t="shared" si="6"/>
        <v>1.9957245255564752E-2</v>
      </c>
      <c r="U55" s="26">
        <f t="shared" si="7"/>
        <v>4.0400657588772586E-2</v>
      </c>
      <c r="V55" s="26">
        <f t="shared" si="8"/>
        <v>-1.0229205971642284E-2</v>
      </c>
      <c r="W55" s="26">
        <f t="shared" si="9"/>
        <v>6.2704390693644725E-3</v>
      </c>
      <c r="X55" s="26">
        <f t="shared" si="10"/>
        <v>-1.9530148761055251E-2</v>
      </c>
    </row>
    <row r="56" spans="1:24" x14ac:dyDescent="0.2">
      <c r="A56" s="5">
        <v>27088</v>
      </c>
      <c r="B56" s="8">
        <f>+'Simulation and  VaR'!B69/'Simulation and  VaR'!B68-1</f>
        <v>0.1666918573171654</v>
      </c>
      <c r="C56" s="8">
        <f>+'Simulation and  VaR'!C69/'Simulation and  VaR'!C68-1</f>
        <v>-1.6420361247947435E-3</v>
      </c>
      <c r="D56" s="8">
        <f>+'Simulation and  VaR'!D69/'Simulation and  VaR'!D68-1</f>
        <v>-4.1208791208789952E-3</v>
      </c>
      <c r="E56" s="8">
        <f>+'Simulation and  VaR'!E69/'Simulation and  VaR'!E68-1</f>
        <v>1.3280212483399723E-3</v>
      </c>
      <c r="F56" s="8">
        <f>+'Simulation and  VaR'!F69/'Simulation and  VaR'!F68-1</f>
        <v>-5.188067444876765E-3</v>
      </c>
      <c r="G56" s="8">
        <f>+'Simulation and  VaR'!G69/'Simulation and  VaR'!G68-1</f>
        <v>1.2135922330096527E-3</v>
      </c>
      <c r="H56" s="8">
        <f>+'Simulation and  VaR'!H69/'Simulation and  VaR'!H68-1</f>
        <v>5.9110527303434246E-3</v>
      </c>
      <c r="I56" s="8">
        <f>+'Simulation and  VaR'!I69/'Simulation and  VaR'!I68-1</f>
        <v>-4.9331963001028045E-3</v>
      </c>
      <c r="J56" s="8">
        <f>+'Simulation and  VaR'!J69/'Simulation and  VaR'!J68-1</f>
        <v>0</v>
      </c>
      <c r="K56" s="8">
        <f>+'Simulation and  VaR'!K69/'Simulation and  VaR'!K68-1</f>
        <v>3.9907904834997066E-3</v>
      </c>
      <c r="L56" s="8">
        <f>+'Simulation and  VaR'!L69/'Simulation and  VaR'!L68-1</f>
        <v>3.032200652582473E-3</v>
      </c>
      <c r="N56" s="26">
        <f t="shared" si="0"/>
        <v>0.16268039345686</v>
      </c>
      <c r="O56" s="26">
        <f t="shared" si="1"/>
        <v>-3.6203524370861332E-3</v>
      </c>
      <c r="P56" s="26">
        <f t="shared" si="2"/>
        <v>-5.8737551675736438E-3</v>
      </c>
      <c r="Q56" s="26">
        <f t="shared" si="3"/>
        <v>-2.4424698997002722E-4</v>
      </c>
      <c r="R56" s="26">
        <f t="shared" si="4"/>
        <v>-6.6659683825902281E-3</v>
      </c>
      <c r="S56" s="26">
        <f t="shared" si="5"/>
        <v>-2.4505397672015274E-4</v>
      </c>
      <c r="T56" s="26">
        <f t="shared" si="6"/>
        <v>5.6767268528301953E-4</v>
      </c>
      <c r="U56" s="26">
        <f t="shared" si="7"/>
        <v>-1.7334962429140184E-2</v>
      </c>
      <c r="V56" s="26">
        <f t="shared" si="8"/>
        <v>-1.0229205971642284E-2</v>
      </c>
      <c r="W56" s="26">
        <f t="shared" si="9"/>
        <v>5.5577057653711211E-3</v>
      </c>
      <c r="X56" s="26">
        <f t="shared" si="10"/>
        <v>6.5564357663381798E-3</v>
      </c>
    </row>
    <row r="57" spans="1:24" x14ac:dyDescent="0.2">
      <c r="A57" s="5">
        <v>27119</v>
      </c>
      <c r="B57" s="8">
        <f>+'Simulation and  VaR'!B70/'Simulation and  VaR'!B69-1</f>
        <v>-5.3985503434353932E-3</v>
      </c>
      <c r="C57" s="8">
        <f>+'Simulation and  VaR'!C70/'Simulation and  VaR'!C69-1</f>
        <v>1.9736842105263275E-2</v>
      </c>
      <c r="D57" s="8">
        <f>+'Simulation and  VaR'!D70/'Simulation and  VaR'!D69-1</f>
        <v>8.2758620689653561E-3</v>
      </c>
      <c r="E57" s="8">
        <f>+'Simulation and  VaR'!E70/'Simulation and  VaR'!E69-1</f>
        <v>5.3050397877985045E-3</v>
      </c>
      <c r="F57" s="8">
        <f>+'Simulation and  VaR'!F70/'Simulation and  VaR'!F69-1</f>
        <v>1.0430247718383301E-2</v>
      </c>
      <c r="G57" s="8">
        <f>+'Simulation and  VaR'!G70/'Simulation and  VaR'!G69-1</f>
        <v>0</v>
      </c>
      <c r="H57" s="8">
        <f>+'Simulation and  VaR'!H70/'Simulation and  VaR'!H69-1</f>
        <v>4.3839194105026458E-3</v>
      </c>
      <c r="I57" s="8">
        <f>+'Simulation and  VaR'!I70/'Simulation and  VaR'!I69-1</f>
        <v>1.8591200165255062E-2</v>
      </c>
      <c r="J57" s="8">
        <f>+'Simulation and  VaR'!J70/'Simulation and  VaR'!J69-1</f>
        <v>0</v>
      </c>
      <c r="K57" s="8">
        <f>+'Simulation and  VaR'!K70/'Simulation and  VaR'!K69-1</f>
        <v>-2.0256841461548936E-3</v>
      </c>
      <c r="L57" s="8">
        <f>+'Simulation and  VaR'!L70/'Simulation and  VaR'!L69-1</f>
        <v>1.84010777774124E-3</v>
      </c>
      <c r="N57" s="26">
        <f t="shared" si="0"/>
        <v>-9.4100142037407859E-3</v>
      </c>
      <c r="O57" s="26">
        <f t="shared" si="1"/>
        <v>1.7758525792971887E-2</v>
      </c>
      <c r="P57" s="26">
        <f t="shared" si="2"/>
        <v>6.5229860222707076E-3</v>
      </c>
      <c r="Q57" s="26">
        <f t="shared" si="3"/>
        <v>3.7327715494885052E-3</v>
      </c>
      <c r="R57" s="26">
        <f t="shared" si="4"/>
        <v>8.9523467806698377E-3</v>
      </c>
      <c r="S57" s="26">
        <f t="shared" si="5"/>
        <v>-1.4586462097298054E-3</v>
      </c>
      <c r="T57" s="26">
        <f t="shared" si="6"/>
        <v>-9.5946063455775929E-4</v>
      </c>
      <c r="U57" s="26">
        <f t="shared" si="7"/>
        <v>6.1894340362176822E-3</v>
      </c>
      <c r="V57" s="26">
        <f t="shared" si="8"/>
        <v>-1.0229205971642284E-2</v>
      </c>
      <c r="W57" s="26">
        <f t="shared" si="9"/>
        <v>-4.5876886428347901E-4</v>
      </c>
      <c r="X57" s="26">
        <f t="shared" si="10"/>
        <v>5.3643428914969468E-3</v>
      </c>
    </row>
    <row r="58" spans="1:24" x14ac:dyDescent="0.2">
      <c r="A58" s="5">
        <v>27149</v>
      </c>
      <c r="B58" s="8">
        <f>+'Simulation and  VaR'!B71/'Simulation and  VaR'!B70-1</f>
        <v>-5.4272988969504832E-3</v>
      </c>
      <c r="C58" s="8">
        <f>+'Simulation and  VaR'!C71/'Simulation and  VaR'!C70-1</f>
        <v>-9.6774193548387899E-3</v>
      </c>
      <c r="D58" s="8">
        <f>+'Simulation and  VaR'!D71/'Simulation and  VaR'!D70-1</f>
        <v>0</v>
      </c>
      <c r="E58" s="8">
        <f>+'Simulation and  VaR'!E71/'Simulation and  VaR'!E70-1</f>
        <v>-1.3192612137203907E-3</v>
      </c>
      <c r="F58" s="8">
        <f>+'Simulation and  VaR'!F71/'Simulation and  VaR'!F70-1</f>
        <v>1.290322580645098E-3</v>
      </c>
      <c r="G58" s="8">
        <f>+'Simulation and  VaR'!G71/'Simulation and  VaR'!G70-1</f>
        <v>-1.2121212121212199E-3</v>
      </c>
      <c r="H58" s="8">
        <f>+'Simulation and  VaR'!H71/'Simulation and  VaR'!H70-1</f>
        <v>1.5601783060921193E-2</v>
      </c>
      <c r="I58" s="8">
        <f>+'Simulation and  VaR'!I71/'Simulation and  VaR'!I70-1</f>
        <v>0.2048266071790712</v>
      </c>
      <c r="J58" s="8">
        <f>+'Simulation and  VaR'!J71/'Simulation and  VaR'!J70-1</f>
        <v>0</v>
      </c>
      <c r="K58" s="8">
        <f>+'Simulation and  VaR'!K71/'Simulation and  VaR'!K70-1</f>
        <v>7.6596070621581802E-4</v>
      </c>
      <c r="L58" s="8">
        <f>+'Simulation and  VaR'!L71/'Simulation and  VaR'!L70-1</f>
        <v>-6.2317557151758685E-4</v>
      </c>
      <c r="N58" s="26">
        <f t="shared" si="0"/>
        <v>-9.4387627572558759E-3</v>
      </c>
      <c r="O58" s="26">
        <f t="shared" si="1"/>
        <v>-1.165573566713018E-2</v>
      </c>
      <c r="P58" s="26">
        <f t="shared" si="2"/>
        <v>-1.7528760466946488E-3</v>
      </c>
      <c r="Q58" s="26">
        <f t="shared" si="3"/>
        <v>-2.89152945203039E-3</v>
      </c>
      <c r="R58" s="26">
        <f t="shared" si="4"/>
        <v>-1.8757835706836499E-4</v>
      </c>
      <c r="S58" s="26">
        <f t="shared" si="5"/>
        <v>-2.6707674218510256E-3</v>
      </c>
      <c r="T58" s="26">
        <f t="shared" si="6"/>
        <v>1.0258403015860788E-2</v>
      </c>
      <c r="U58" s="26">
        <f t="shared" si="7"/>
        <v>0.19242484105003382</v>
      </c>
      <c r="V58" s="26">
        <f t="shared" si="8"/>
        <v>-1.0229205971642284E-2</v>
      </c>
      <c r="W58" s="26">
        <f t="shared" si="9"/>
        <v>2.3328759880872326E-3</v>
      </c>
      <c r="X58" s="26">
        <f t="shared" si="10"/>
        <v>2.9010595422381195E-3</v>
      </c>
    </row>
    <row r="59" spans="1:24" x14ac:dyDescent="0.2">
      <c r="A59" s="5">
        <v>27180</v>
      </c>
      <c r="B59" s="8">
        <f>+'Simulation and  VaR'!B72/'Simulation and  VaR'!B71-1</f>
        <v>6.0056716714089298E-2</v>
      </c>
      <c r="C59" s="8">
        <f>+'Simulation and  VaR'!C72/'Simulation and  VaR'!C71-1</f>
        <v>-3.2573289902279035E-3</v>
      </c>
      <c r="D59" s="8">
        <f>+'Simulation and  VaR'!D72/'Simulation and  VaR'!D71-1</f>
        <v>-9.5759233926128173E-3</v>
      </c>
      <c r="E59" s="8">
        <f>+'Simulation and  VaR'!E72/'Simulation and  VaR'!E71-1</f>
        <v>-6.6050198150594541E-3</v>
      </c>
      <c r="F59" s="8">
        <f>+'Simulation and  VaR'!F72/'Simulation and  VaR'!F71-1</f>
        <v>-7.7319587628865705E-3</v>
      </c>
      <c r="G59" s="8">
        <f>+'Simulation and  VaR'!G72/'Simulation and  VaR'!G71-1</f>
        <v>-3.6407766990292911E-3</v>
      </c>
      <c r="H59" s="8">
        <f>+'Simulation and  VaR'!H72/'Simulation and  VaR'!H71-1</f>
        <v>-2.0208485735186521E-2</v>
      </c>
      <c r="I59" s="8">
        <f>+'Simulation and  VaR'!I72/'Simulation and  VaR'!I71-1</f>
        <v>7.7428042417101661E-2</v>
      </c>
      <c r="J59" s="8">
        <f>+'Simulation and  VaR'!J72/'Simulation and  VaR'!J71-1</f>
        <v>0</v>
      </c>
      <c r="K59" s="8">
        <f>+'Simulation and  VaR'!K72/'Simulation and  VaR'!K71-1</f>
        <v>-6.5822203513068889E-2</v>
      </c>
      <c r="L59" s="8">
        <f>+'Simulation and  VaR'!L72/'Simulation and  VaR'!L71-1</f>
        <v>-1.2340006563833272E-2</v>
      </c>
      <c r="N59" s="26">
        <f t="shared" si="0"/>
        <v>5.6045252853783908E-2</v>
      </c>
      <c r="O59" s="26">
        <f t="shared" si="1"/>
        <v>-5.2356453025192932E-3</v>
      </c>
      <c r="P59" s="26">
        <f t="shared" si="2"/>
        <v>-1.1328799439307466E-2</v>
      </c>
      <c r="Q59" s="26">
        <f t="shared" si="3"/>
        <v>-8.1772880533694543E-3</v>
      </c>
      <c r="R59" s="26">
        <f t="shared" si="4"/>
        <v>-9.2098597006000336E-3</v>
      </c>
      <c r="S59" s="26">
        <f t="shared" si="5"/>
        <v>-5.0994229087590968E-3</v>
      </c>
      <c r="T59" s="26">
        <f t="shared" si="6"/>
        <v>-2.5551865780246926E-2</v>
      </c>
      <c r="U59" s="26">
        <f t="shared" si="7"/>
        <v>6.5026276288064289E-2</v>
      </c>
      <c r="V59" s="26">
        <f t="shared" si="8"/>
        <v>-1.0229205971642284E-2</v>
      </c>
      <c r="W59" s="26">
        <f t="shared" si="9"/>
        <v>-6.4255288231197472E-2</v>
      </c>
      <c r="X59" s="26">
        <f t="shared" si="10"/>
        <v>-8.8157714500775655E-3</v>
      </c>
    </row>
    <row r="60" spans="1:24" x14ac:dyDescent="0.2">
      <c r="A60" s="5">
        <v>27210</v>
      </c>
      <c r="B60" s="8">
        <f>+'Simulation and  VaR'!B73/'Simulation and  VaR'!B72-1</f>
        <v>1.8039700425640737E-2</v>
      </c>
      <c r="C60" s="8">
        <f>+'Simulation and  VaR'!C73/'Simulation and  VaR'!C72-1</f>
        <v>0</v>
      </c>
      <c r="D60" s="8">
        <f>+'Simulation and  VaR'!D73/'Simulation and  VaR'!D72-1</f>
        <v>-2.7624309392265678E-3</v>
      </c>
      <c r="E60" s="8">
        <f>+'Simulation and  VaR'!E73/'Simulation and  VaR'!E72-1</f>
        <v>-1.3297872340425343E-3</v>
      </c>
      <c r="F60" s="8">
        <f>+'Simulation and  VaR'!F73/'Simulation and  VaR'!F72-1</f>
        <v>2.5974025974024872E-3</v>
      </c>
      <c r="G60" s="8">
        <f>+'Simulation and  VaR'!G73/'Simulation and  VaR'!G72-1</f>
        <v>3.6540803897686658E-3</v>
      </c>
      <c r="H60" s="8">
        <f>+'Simulation and  VaR'!H73/'Simulation and  VaR'!H72-1</f>
        <v>2.3331777881474558E-3</v>
      </c>
      <c r="I60" s="8">
        <f>+'Simulation and  VaR'!I73/'Simulation and  VaR'!I72-1</f>
        <v>3.9056397437900348E-2</v>
      </c>
      <c r="J60" s="8">
        <f>+'Simulation and  VaR'!J73/'Simulation and  VaR'!J72-1</f>
        <v>0</v>
      </c>
      <c r="K60" s="8">
        <f>+'Simulation and  VaR'!K73/'Simulation and  VaR'!K72-1</f>
        <v>3.6049322026954211E-3</v>
      </c>
      <c r="L60" s="8">
        <f>+'Simulation and  VaR'!L73/'Simulation and  VaR'!L72-1</f>
        <v>1.5285438957930442E-3</v>
      </c>
      <c r="N60" s="26">
        <f t="shared" si="0"/>
        <v>1.4028236565335344E-2</v>
      </c>
      <c r="O60" s="26">
        <f t="shared" si="1"/>
        <v>-1.9783163122913897E-3</v>
      </c>
      <c r="P60" s="26">
        <f t="shared" si="2"/>
        <v>-4.5153069859212164E-3</v>
      </c>
      <c r="Q60" s="26">
        <f t="shared" si="3"/>
        <v>-2.9020554723525336E-3</v>
      </c>
      <c r="R60" s="26">
        <f t="shared" si="4"/>
        <v>1.1195016596890243E-3</v>
      </c>
      <c r="S60" s="26">
        <f t="shared" si="5"/>
        <v>2.1954341800388601E-3</v>
      </c>
      <c r="T60" s="26">
        <f t="shared" si="6"/>
        <v>-3.0102022569129493E-3</v>
      </c>
      <c r="U60" s="26">
        <f t="shared" si="7"/>
        <v>2.6654631308862968E-2</v>
      </c>
      <c r="V60" s="26">
        <f t="shared" si="8"/>
        <v>-1.0229205971642284E-2</v>
      </c>
      <c r="W60" s="26">
        <f t="shared" si="9"/>
        <v>5.1718474845668357E-3</v>
      </c>
      <c r="X60" s="26">
        <f t="shared" si="10"/>
        <v>5.052779009548751E-3</v>
      </c>
    </row>
    <row r="61" spans="1:24" x14ac:dyDescent="0.2">
      <c r="A61" s="5">
        <v>27241</v>
      </c>
      <c r="B61" s="8">
        <f>+'Simulation and  VaR'!B74/'Simulation and  VaR'!B73-1</f>
        <v>1.0128579437861163E-2</v>
      </c>
      <c r="C61" s="8">
        <f>+'Simulation and  VaR'!C74/'Simulation and  VaR'!C73-1</f>
        <v>1.6339869281045694E-2</v>
      </c>
      <c r="D61" s="8">
        <f>+'Simulation and  VaR'!D74/'Simulation and  VaR'!D73-1</f>
        <v>-2.7700831024930483E-3</v>
      </c>
      <c r="E61" s="8">
        <f>+'Simulation and  VaR'!E74/'Simulation and  VaR'!E73-1</f>
        <v>-9.320905459387574E-3</v>
      </c>
      <c r="F61" s="8">
        <f>+'Simulation and  VaR'!F74/'Simulation and  VaR'!F73-1</f>
        <v>-9.0673575129534001E-3</v>
      </c>
      <c r="G61" s="8">
        <f>+'Simulation and  VaR'!G74/'Simulation and  VaR'!G73-1</f>
        <v>-4.8543689320389438E-3</v>
      </c>
      <c r="H61" s="8">
        <f>+'Simulation and  VaR'!H74/'Simulation and  VaR'!H73-1</f>
        <v>3.4450651769087459E-2</v>
      </c>
      <c r="I61" s="8">
        <f>+'Simulation and  VaR'!I74/'Simulation and  VaR'!I73-1</f>
        <v>5.2623665614193182E-3</v>
      </c>
      <c r="J61" s="8">
        <f>+'Simulation and  VaR'!J74/'Simulation and  VaR'!J73-1</f>
        <v>0</v>
      </c>
      <c r="K61" s="8">
        <f>+'Simulation and  VaR'!K74/'Simulation and  VaR'!K73-1</f>
        <v>-6.1226988856677433E-4</v>
      </c>
      <c r="L61" s="8">
        <f>+'Simulation and  VaR'!L74/'Simulation and  VaR'!L73-1</f>
        <v>-9.2899800928991638E-4</v>
      </c>
      <c r="N61" s="26">
        <f t="shared" si="0"/>
        <v>6.1171155775557708E-3</v>
      </c>
      <c r="O61" s="26">
        <f t="shared" si="1"/>
        <v>1.4361552968754304E-2</v>
      </c>
      <c r="P61" s="26">
        <f t="shared" si="2"/>
        <v>-4.5229591491876969E-3</v>
      </c>
      <c r="Q61" s="26">
        <f t="shared" si="3"/>
        <v>-1.0893173697697574E-2</v>
      </c>
      <c r="R61" s="26">
        <f t="shared" si="4"/>
        <v>-1.0545258450666863E-2</v>
      </c>
      <c r="S61" s="26">
        <f t="shared" si="5"/>
        <v>-6.3130151417687495E-3</v>
      </c>
      <c r="T61" s="26">
        <f t="shared" si="6"/>
        <v>2.9107271724027054E-2</v>
      </c>
      <c r="U61" s="26">
        <f t="shared" si="7"/>
        <v>-7.1393995676180613E-3</v>
      </c>
      <c r="V61" s="26">
        <f t="shared" si="8"/>
        <v>-1.0229205971642284E-2</v>
      </c>
      <c r="W61" s="26">
        <f t="shared" si="9"/>
        <v>9.5464539330464022E-4</v>
      </c>
      <c r="X61" s="26">
        <f t="shared" si="10"/>
        <v>2.59523710446579E-3</v>
      </c>
    </row>
    <row r="62" spans="1:24" x14ac:dyDescent="0.2">
      <c r="A62" s="5">
        <v>27272</v>
      </c>
      <c r="B62" s="8">
        <f>+'Simulation and  VaR'!B75/'Simulation and  VaR'!B74-1</f>
        <v>0.16071137192702789</v>
      </c>
      <c r="C62" s="8">
        <f>+'Simulation and  VaR'!C75/'Simulation and  VaR'!C74-1</f>
        <v>5.4662379421221763E-2</v>
      </c>
      <c r="D62" s="8">
        <f>+'Simulation and  VaR'!D75/'Simulation and  VaR'!D74-1</f>
        <v>4.1666666666666519E-3</v>
      </c>
      <c r="E62" s="8">
        <f>+'Simulation and  VaR'!E75/'Simulation and  VaR'!E74-1</f>
        <v>-2.6881720430107503E-3</v>
      </c>
      <c r="F62" s="8">
        <f>+'Simulation and  VaR'!F75/'Simulation and  VaR'!F74-1</f>
        <v>0</v>
      </c>
      <c r="G62" s="8">
        <f>+'Simulation and  VaR'!G75/'Simulation and  VaR'!G74-1</f>
        <v>-1.2195121951219523E-2</v>
      </c>
      <c r="H62" s="8">
        <f>+'Simulation and  VaR'!H75/'Simulation and  VaR'!H74-1</f>
        <v>-4.8604860486048951E-3</v>
      </c>
      <c r="I62" s="8">
        <f>+'Simulation and  VaR'!I75/'Simulation and  VaR'!I74-1</f>
        <v>2.8417588991923592E-2</v>
      </c>
      <c r="J62" s="8">
        <f>+'Simulation and  VaR'!J75/'Simulation and  VaR'!J74-1</f>
        <v>0</v>
      </c>
      <c r="K62" s="8">
        <f>+'Simulation and  VaR'!K75/'Simulation and  VaR'!K74-1</f>
        <v>-1.1762783858846659E-2</v>
      </c>
      <c r="L62" s="8">
        <f>+'Simulation and  VaR'!L75/'Simulation and  VaR'!L74-1</f>
        <v>0</v>
      </c>
      <c r="N62" s="26">
        <f t="shared" si="0"/>
        <v>0.15669990806672249</v>
      </c>
      <c r="O62" s="26">
        <f t="shared" si="1"/>
        <v>5.2684063108930375E-2</v>
      </c>
      <c r="P62" s="26">
        <f t="shared" si="2"/>
        <v>2.4137906199720033E-3</v>
      </c>
      <c r="Q62" s="26">
        <f t="shared" si="3"/>
        <v>-4.2604402813207496E-3</v>
      </c>
      <c r="R62" s="26">
        <f t="shared" si="4"/>
        <v>-1.477900937713463E-3</v>
      </c>
      <c r="S62" s="26">
        <f t="shared" si="5"/>
        <v>-1.3653768160949329E-2</v>
      </c>
      <c r="T62" s="26">
        <f t="shared" si="6"/>
        <v>-1.02038660936653E-2</v>
      </c>
      <c r="U62" s="26">
        <f t="shared" si="7"/>
        <v>1.6015822862886213E-2</v>
      </c>
      <c r="V62" s="26">
        <f t="shared" si="8"/>
        <v>-1.0229205971642284E-2</v>
      </c>
      <c r="W62" s="26">
        <f t="shared" si="9"/>
        <v>-1.0195868576975246E-2</v>
      </c>
      <c r="X62" s="26">
        <f t="shared" si="10"/>
        <v>3.5242351137557064E-3</v>
      </c>
    </row>
    <row r="63" spans="1:24" x14ac:dyDescent="0.2">
      <c r="A63" s="5">
        <v>27302</v>
      </c>
      <c r="B63" s="8">
        <f>+'Simulation and  VaR'!B76/'Simulation and  VaR'!B75-1</f>
        <v>1.7339303464224409E-2</v>
      </c>
      <c r="C63" s="8">
        <f>+'Simulation and  VaR'!C76/'Simulation and  VaR'!C75-1</f>
        <v>-1.0670731707317027E-2</v>
      </c>
      <c r="D63" s="8">
        <f>+'Simulation and  VaR'!D76/'Simulation and  VaR'!D75-1</f>
        <v>-1.3831258644536604E-3</v>
      </c>
      <c r="E63" s="8">
        <f>+'Simulation and  VaR'!E76/'Simulation and  VaR'!E75-1</f>
        <v>5.3908355795149188E-3</v>
      </c>
      <c r="F63" s="8">
        <f>+'Simulation and  VaR'!F76/'Simulation and  VaR'!F75-1</f>
        <v>0</v>
      </c>
      <c r="G63" s="8">
        <f>+'Simulation and  VaR'!G76/'Simulation and  VaR'!G75-1</f>
        <v>-3.7037037037036535E-3</v>
      </c>
      <c r="H63" s="8">
        <f>+'Simulation and  VaR'!H76/'Simulation and  VaR'!H75-1</f>
        <v>9.3162083936324525E-3</v>
      </c>
      <c r="I63" s="8">
        <f>+'Simulation and  VaR'!I76/'Simulation and  VaR'!I75-1</f>
        <v>-5.8173356602675974E-2</v>
      </c>
      <c r="J63" s="8">
        <f>+'Simulation and  VaR'!J76/'Simulation and  VaR'!J75-1</f>
        <v>0</v>
      </c>
      <c r="K63" s="8">
        <f>+'Simulation and  VaR'!K76/'Simulation and  VaR'!K75-1</f>
        <v>-3.2650024797487132E-2</v>
      </c>
      <c r="L63" s="8">
        <f>+'Simulation and  VaR'!L76/'Simulation and  VaR'!L75-1</f>
        <v>0</v>
      </c>
      <c r="N63" s="26">
        <f t="shared" si="0"/>
        <v>1.3327839603919017E-2</v>
      </c>
      <c r="O63" s="26">
        <f t="shared" si="1"/>
        <v>-1.2649048019608417E-2</v>
      </c>
      <c r="P63" s="26">
        <f t="shared" si="2"/>
        <v>-3.136001911148309E-3</v>
      </c>
      <c r="Q63" s="26">
        <f t="shared" si="3"/>
        <v>3.8185673412049195E-3</v>
      </c>
      <c r="R63" s="26">
        <f t="shared" si="4"/>
        <v>-1.477900937713463E-3</v>
      </c>
      <c r="S63" s="26">
        <f t="shared" si="5"/>
        <v>-5.1623499134334592E-3</v>
      </c>
      <c r="T63" s="26">
        <f t="shared" si="6"/>
        <v>3.9728283485720474E-3</v>
      </c>
      <c r="U63" s="26">
        <f t="shared" si="7"/>
        <v>-7.0575122731713347E-2</v>
      </c>
      <c r="V63" s="26">
        <f t="shared" si="8"/>
        <v>-1.0229205971642284E-2</v>
      </c>
      <c r="W63" s="26">
        <f t="shared" si="9"/>
        <v>-3.1083109515615718E-2</v>
      </c>
      <c r="X63" s="26">
        <f t="shared" si="10"/>
        <v>3.5242351137557064E-3</v>
      </c>
    </row>
    <row r="64" spans="1:24" x14ac:dyDescent="0.2">
      <c r="A64" s="5">
        <v>27333</v>
      </c>
      <c r="B64" s="8">
        <f>+'Simulation and  VaR'!B77/'Simulation and  VaR'!B76-1</f>
        <v>8.5245047161646159E-3</v>
      </c>
      <c r="C64" s="8">
        <f>+'Simulation and  VaR'!C77/'Simulation and  VaR'!C76-1</f>
        <v>-3.0816640986132571E-2</v>
      </c>
      <c r="D64" s="8">
        <f>+'Simulation and  VaR'!D77/'Simulation and  VaR'!D76-1</f>
        <v>-1.2465373961218829E-2</v>
      </c>
      <c r="E64" s="8">
        <f>+'Simulation and  VaR'!E77/'Simulation and  VaR'!E76-1</f>
        <v>-8.0428954423593657E-3</v>
      </c>
      <c r="F64" s="8">
        <f>+'Simulation and  VaR'!F77/'Simulation and  VaR'!F76-1</f>
        <v>-7.8431372549019329E-3</v>
      </c>
      <c r="G64" s="8">
        <f>+'Simulation and  VaR'!G77/'Simulation and  VaR'!G76-1</f>
        <v>-8.6741016109046498E-3</v>
      </c>
      <c r="H64" s="8">
        <f>+'Simulation and  VaR'!H77/'Simulation and  VaR'!H76-1</f>
        <v>4.5613406219195296E-2</v>
      </c>
      <c r="I64" s="8">
        <f>+'Simulation and  VaR'!I77/'Simulation and  VaR'!I76-1</f>
        <v>-1.8529956763434385E-2</v>
      </c>
      <c r="J64" s="8">
        <f>+'Simulation and  VaR'!J77/'Simulation and  VaR'!J76-1</f>
        <v>0</v>
      </c>
      <c r="K64" s="8">
        <f>+'Simulation and  VaR'!K77/'Simulation and  VaR'!K76-1</f>
        <v>4.9987182773647554E-3</v>
      </c>
      <c r="L64" s="8">
        <f>+'Simulation and  VaR'!L77/'Simulation and  VaR'!L76-1</f>
        <v>0</v>
      </c>
      <c r="N64" s="26">
        <f t="shared" si="0"/>
        <v>4.5130408558592241E-3</v>
      </c>
      <c r="O64" s="26">
        <f t="shared" si="1"/>
        <v>-3.2794957298423959E-2</v>
      </c>
      <c r="P64" s="26">
        <f t="shared" si="2"/>
        <v>-1.4218250007913477E-2</v>
      </c>
      <c r="Q64" s="26">
        <f t="shared" si="3"/>
        <v>-9.6151636806693658E-3</v>
      </c>
      <c r="R64" s="26">
        <f t="shared" si="4"/>
        <v>-9.3210381926153961E-3</v>
      </c>
      <c r="S64" s="26">
        <f t="shared" si="5"/>
        <v>-1.0132747820634455E-2</v>
      </c>
      <c r="T64" s="26">
        <f t="shared" si="6"/>
        <v>4.0270026174134887E-2</v>
      </c>
      <c r="U64" s="26">
        <f t="shared" si="7"/>
        <v>-3.0931722892471765E-2</v>
      </c>
      <c r="V64" s="26">
        <f t="shared" si="8"/>
        <v>-1.0229205971642284E-2</v>
      </c>
      <c r="W64" s="26">
        <f t="shared" si="9"/>
        <v>6.5656335592361699E-3</v>
      </c>
      <c r="X64" s="26">
        <f t="shared" si="10"/>
        <v>3.5242351137557064E-3</v>
      </c>
    </row>
    <row r="65" spans="1:24" x14ac:dyDescent="0.2">
      <c r="A65" s="5">
        <v>27363</v>
      </c>
      <c r="B65" s="8">
        <f>+'Simulation and  VaR'!B78/'Simulation and  VaR'!B77-1</f>
        <v>6.1332056784350053E-2</v>
      </c>
      <c r="C65" s="8">
        <f>+'Simulation and  VaR'!C78/'Simulation and  VaR'!C77-1</f>
        <v>1.2718600953895098E-2</v>
      </c>
      <c r="D65" s="8">
        <f>+'Simulation and  VaR'!D78/'Simulation and  VaR'!D77-1</f>
        <v>-5.6100981767180924E-3</v>
      </c>
      <c r="E65" s="8">
        <f>+'Simulation and  VaR'!E78/'Simulation and  VaR'!E77-1</f>
        <v>-4.0540540540540126E-3</v>
      </c>
      <c r="F65" s="8">
        <f>+'Simulation and  VaR'!F78/'Simulation and  VaR'!F77-1</f>
        <v>-1.0540184453227908E-2</v>
      </c>
      <c r="G65" s="8">
        <f>+'Simulation and  VaR'!G78/'Simulation and  VaR'!G77-1</f>
        <v>-7.5000000000000622E-3</v>
      </c>
      <c r="H65" s="8">
        <f>+'Simulation and  VaR'!H78/'Simulation and  VaR'!H77-1</f>
        <v>1.1827219746314732E-2</v>
      </c>
      <c r="I65" s="8">
        <f>+'Simulation and  VaR'!I78/'Simulation and  VaR'!I77-1</f>
        <v>2.2813089993706903E-2</v>
      </c>
      <c r="J65" s="8">
        <f>+'Simulation and  VaR'!J78/'Simulation and  VaR'!J77-1</f>
        <v>0</v>
      </c>
      <c r="K65" s="8">
        <f>+'Simulation and  VaR'!K78/'Simulation and  VaR'!K77-1</f>
        <v>-1.7854865450834811E-3</v>
      </c>
      <c r="L65" s="8">
        <f>+'Simulation and  VaR'!L78/'Simulation and  VaR'!L77-1</f>
        <v>1.8265143464399891E-3</v>
      </c>
      <c r="N65" s="26">
        <f t="shared" si="0"/>
        <v>5.7320592924044664E-2</v>
      </c>
      <c r="O65" s="26">
        <f t="shared" si="1"/>
        <v>1.0740284641603709E-2</v>
      </c>
      <c r="P65" s="26">
        <f t="shared" si="2"/>
        <v>-7.362974223412741E-3</v>
      </c>
      <c r="Q65" s="26">
        <f t="shared" si="3"/>
        <v>-5.6263222923640119E-3</v>
      </c>
      <c r="R65" s="26">
        <f t="shared" si="4"/>
        <v>-1.2018085390941371E-2</v>
      </c>
      <c r="S65" s="26">
        <f t="shared" si="5"/>
        <v>-8.9586462097298678E-3</v>
      </c>
      <c r="T65" s="26">
        <f t="shared" si="6"/>
        <v>6.4838397012543271E-3</v>
      </c>
      <c r="U65" s="26">
        <f t="shared" si="7"/>
        <v>1.0411323864669524E-2</v>
      </c>
      <c r="V65" s="26">
        <f t="shared" si="8"/>
        <v>-1.0229205971642284E-2</v>
      </c>
      <c r="W65" s="26">
        <f t="shared" si="9"/>
        <v>-2.185712632120666E-4</v>
      </c>
      <c r="X65" s="26">
        <f t="shared" si="10"/>
        <v>5.3507494601956959E-3</v>
      </c>
    </row>
    <row r="66" spans="1:24" x14ac:dyDescent="0.2">
      <c r="A66" s="5">
        <v>27394</v>
      </c>
      <c r="B66" s="8">
        <f>+'Simulation and  VaR'!B79/'Simulation and  VaR'!B78-1</f>
        <v>6.7270163963505381E-2</v>
      </c>
      <c r="C66" s="8">
        <f>+'Simulation and  VaR'!C79/'Simulation and  VaR'!C78-1</f>
        <v>1.6412159262166215E-2</v>
      </c>
      <c r="D66" s="8">
        <f>+'Simulation and  VaR'!D79/'Simulation and  VaR'!D78-1</f>
        <v>9.873060648801113E-3</v>
      </c>
      <c r="E66" s="8">
        <f>+'Simulation and  VaR'!E79/'Simulation and  VaR'!E78-1</f>
        <v>1.3568521031206426E-3</v>
      </c>
      <c r="F66" s="8">
        <f>+'Simulation and  VaR'!F79/'Simulation and  VaR'!F78-1</f>
        <v>3.9946737683089761E-3</v>
      </c>
      <c r="G66" s="8">
        <f>+'Simulation and  VaR'!G79/'Simulation and  VaR'!G78-1</f>
        <v>-3.7783375314860423E-3</v>
      </c>
      <c r="H66" s="8">
        <f>+'Simulation and  VaR'!H79/'Simulation and  VaR'!H78-1</f>
        <v>-1.710994409622224E-2</v>
      </c>
      <c r="I66" s="8">
        <f>+'Simulation and  VaR'!I79/'Simulation and  VaR'!I78-1</f>
        <v>5.8452545762190278E-2</v>
      </c>
      <c r="J66" s="8">
        <f>+'Simulation and  VaR'!J79/'Simulation and  VaR'!J78-1</f>
        <v>0</v>
      </c>
      <c r="K66" s="8">
        <f>+'Simulation and  VaR'!K79/'Simulation and  VaR'!K78-1</f>
        <v>1.4352029300285229E-2</v>
      </c>
      <c r="L66" s="8">
        <f>+'Simulation and  VaR'!L79/'Simulation and  VaR'!L78-1</f>
        <v>-8.9501773461075906E-4</v>
      </c>
      <c r="N66" s="26">
        <f t="shared" si="0"/>
        <v>6.3258700103199991E-2</v>
      </c>
      <c r="O66" s="26">
        <f t="shared" si="1"/>
        <v>1.4433842949874825E-2</v>
      </c>
      <c r="P66" s="26">
        <f t="shared" si="2"/>
        <v>8.1201846021064644E-3</v>
      </c>
      <c r="Q66" s="26">
        <f t="shared" si="3"/>
        <v>-2.1541613518935685E-4</v>
      </c>
      <c r="R66" s="26">
        <f t="shared" si="4"/>
        <v>2.516772830595513E-3</v>
      </c>
      <c r="S66" s="26">
        <f t="shared" si="5"/>
        <v>-5.236983741215848E-3</v>
      </c>
      <c r="T66" s="26">
        <f t="shared" si="6"/>
        <v>-2.2453324141282646E-2</v>
      </c>
      <c r="U66" s="26">
        <f t="shared" si="7"/>
        <v>4.6050779633152898E-2</v>
      </c>
      <c r="V66" s="26">
        <f t="shared" si="8"/>
        <v>-1.0229205971642284E-2</v>
      </c>
      <c r="W66" s="26">
        <f t="shared" si="9"/>
        <v>1.5918944582156643E-2</v>
      </c>
      <c r="X66" s="26">
        <f t="shared" si="10"/>
        <v>2.6292173791449473E-3</v>
      </c>
    </row>
    <row r="67" spans="1:24" x14ac:dyDescent="0.2">
      <c r="A67" s="5">
        <v>27425</v>
      </c>
      <c r="B67" s="8">
        <f>+'Simulation and  VaR'!B80/'Simulation and  VaR'!B79-1</f>
        <v>3.5877257860624567E-2</v>
      </c>
      <c r="C67" s="8">
        <f>+'Simulation and  VaR'!C80/'Simulation and  VaR'!C79-1</f>
        <v>2.6412680566037849E-2</v>
      </c>
      <c r="D67" s="8">
        <f>+'Simulation and  VaR'!D80/'Simulation and  VaR'!D79-1</f>
        <v>9.7765363128490268E-3</v>
      </c>
      <c r="E67" s="8">
        <f>+'Simulation and  VaR'!E80/'Simulation and  VaR'!E79-1</f>
        <v>1.3550135501354976E-2</v>
      </c>
      <c r="F67" s="8">
        <f>+'Simulation and  VaR'!F80/'Simulation and  VaR'!F79-1</f>
        <v>9.2838196286471053E-3</v>
      </c>
      <c r="G67" s="8">
        <f>+'Simulation and  VaR'!G80/'Simulation and  VaR'!G79-1</f>
        <v>8.8495575221239076E-3</v>
      </c>
      <c r="H67" s="8">
        <f>+'Simulation and  VaR'!H80/'Simulation and  VaR'!H79-1</f>
        <v>-3.748707342295754E-2</v>
      </c>
      <c r="I67" s="8">
        <f>+'Simulation and  VaR'!I80/'Simulation and  VaR'!I79-1</f>
        <v>0.19183258247347768</v>
      </c>
      <c r="J67" s="8">
        <f>+'Simulation and  VaR'!J80/'Simulation and  VaR'!J79-1</f>
        <v>0</v>
      </c>
      <c r="K67" s="8">
        <f>+'Simulation and  VaR'!K80/'Simulation and  VaR'!K79-1</f>
        <v>4.5469812746662175E-2</v>
      </c>
      <c r="L67" s="8">
        <f>+'Simulation and  VaR'!L80/'Simulation and  VaR'!L79-1</f>
        <v>-0.11851360318513593</v>
      </c>
      <c r="N67" s="26">
        <f t="shared" si="0"/>
        <v>3.1865794000319178E-2</v>
      </c>
      <c r="O67" s="26">
        <f t="shared" si="1"/>
        <v>2.4434364253746461E-2</v>
      </c>
      <c r="P67" s="26">
        <f t="shared" si="2"/>
        <v>8.0236602661543782E-3</v>
      </c>
      <c r="Q67" s="26">
        <f t="shared" si="3"/>
        <v>1.1977867263044976E-2</v>
      </c>
      <c r="R67" s="26">
        <f t="shared" si="4"/>
        <v>7.8059186909336421E-3</v>
      </c>
      <c r="S67" s="26">
        <f t="shared" si="5"/>
        <v>7.3909113123941019E-3</v>
      </c>
      <c r="T67" s="26">
        <f t="shared" si="6"/>
        <v>-4.2830453468017948E-2</v>
      </c>
      <c r="U67" s="26">
        <f t="shared" si="7"/>
        <v>0.1794308163444403</v>
      </c>
      <c r="V67" s="26">
        <f t="shared" si="8"/>
        <v>-1.0229205971642284E-2</v>
      </c>
      <c r="W67" s="26">
        <f t="shared" si="9"/>
        <v>4.7036728028533592E-2</v>
      </c>
      <c r="X67" s="26">
        <f t="shared" si="10"/>
        <v>-0.11498936807138023</v>
      </c>
    </row>
    <row r="68" spans="1:24" x14ac:dyDescent="0.2">
      <c r="A68" s="5">
        <v>27453</v>
      </c>
      <c r="B68" s="8">
        <f>+'Simulation and  VaR'!B81/'Simulation and  VaR'!B80-1</f>
        <v>8.9477093426174381E-2</v>
      </c>
      <c r="C68" s="8">
        <f>+'Simulation and  VaR'!C81/'Simulation and  VaR'!C80-1</f>
        <v>1.1065343294022645E-2</v>
      </c>
      <c r="D68" s="8">
        <f>+'Simulation and  VaR'!D81/'Simulation and  VaR'!D80-1</f>
        <v>9.6818810511756226E-3</v>
      </c>
      <c r="E68" s="8">
        <f>+'Simulation and  VaR'!E81/'Simulation and  VaR'!E80-1</f>
        <v>2.673796791443861E-3</v>
      </c>
      <c r="F68" s="8">
        <f>+'Simulation and  VaR'!F81/'Simulation and  VaR'!F80-1</f>
        <v>7.8843626806834877E-3</v>
      </c>
      <c r="G68" s="8">
        <f>+'Simulation and  VaR'!G81/'Simulation and  VaR'!G80-1</f>
        <v>7.5187969924812581E-3</v>
      </c>
      <c r="H68" s="8">
        <f>+'Simulation and  VaR'!H81/'Simulation and  VaR'!H80-1</f>
        <v>-1.4325364849137046E-3</v>
      </c>
      <c r="I68" s="8">
        <f>+'Simulation and  VaR'!I81/'Simulation and  VaR'!I80-1</f>
        <v>0.10669430557249115</v>
      </c>
      <c r="J68" s="8">
        <f>+'Simulation and  VaR'!J81/'Simulation and  VaR'!J80-1</f>
        <v>0</v>
      </c>
      <c r="K68" s="8">
        <f>+'Simulation and  VaR'!K81/'Simulation and  VaR'!K80-1</f>
        <v>-5.8230593148869136E-3</v>
      </c>
      <c r="L68" s="8">
        <f>+'Simulation and  VaR'!L81/'Simulation and  VaR'!L80-1</f>
        <v>1.0915386931644733E-3</v>
      </c>
      <c r="N68" s="26">
        <f t="shared" si="0"/>
        <v>8.5465629565868992E-2</v>
      </c>
      <c r="O68" s="26">
        <f t="shared" si="1"/>
        <v>9.0870269817312551E-3</v>
      </c>
      <c r="P68" s="26">
        <f t="shared" si="2"/>
        <v>7.929005004480974E-3</v>
      </c>
      <c r="Q68" s="26">
        <f t="shared" si="3"/>
        <v>1.1015285531338615E-3</v>
      </c>
      <c r="R68" s="26">
        <f t="shared" si="4"/>
        <v>6.4064617429700245E-3</v>
      </c>
      <c r="S68" s="26">
        <f t="shared" si="5"/>
        <v>6.0601507827514525E-3</v>
      </c>
      <c r="T68" s="26">
        <f t="shared" si="6"/>
        <v>-6.7759165299741096E-3</v>
      </c>
      <c r="U68" s="26">
        <f t="shared" si="7"/>
        <v>9.4292539443453782E-2</v>
      </c>
      <c r="V68" s="26">
        <f t="shared" si="8"/>
        <v>-1.0229205971642284E-2</v>
      </c>
      <c r="W68" s="26">
        <f t="shared" si="9"/>
        <v>-4.2561440330154991E-3</v>
      </c>
      <c r="X68" s="26">
        <f t="shared" si="10"/>
        <v>4.6157738069201801E-3</v>
      </c>
    </row>
    <row r="69" spans="1:24" x14ac:dyDescent="0.2">
      <c r="A69" s="5">
        <v>27484</v>
      </c>
      <c r="B69" s="8">
        <f>+'Simulation and  VaR'!B82/'Simulation and  VaR'!B81-1</f>
        <v>2.8177092930937508E-2</v>
      </c>
      <c r="C69" s="8">
        <f>+'Simulation and  VaR'!C82/'Simulation and  VaR'!C81-1</f>
        <v>-6.0411310919502581E-3</v>
      </c>
      <c r="D69" s="8">
        <f>+'Simulation and  VaR'!D82/'Simulation and  VaR'!D81-1</f>
        <v>-4.109589041095929E-3</v>
      </c>
      <c r="E69" s="8">
        <f>+'Simulation and  VaR'!E82/'Simulation and  VaR'!E81-1</f>
        <v>0</v>
      </c>
      <c r="F69" s="8">
        <f>+'Simulation and  VaR'!F82/'Simulation and  VaR'!F81-1</f>
        <v>-2.6075619295958807E-3</v>
      </c>
      <c r="G69" s="8">
        <f>+'Simulation and  VaR'!G82/'Simulation and  VaR'!G81-1</f>
        <v>7.4626865671643117E-3</v>
      </c>
      <c r="H69" s="8">
        <f>+'Simulation and  VaR'!H82/'Simulation and  VaR'!H81-1</f>
        <v>-4.0796198332287203E-2</v>
      </c>
      <c r="I69" s="8">
        <f>+'Simulation and  VaR'!I82/'Simulation and  VaR'!I81-1</f>
        <v>-5.5090348170994119E-4</v>
      </c>
      <c r="J69" s="8">
        <f>+'Simulation and  VaR'!J82/'Simulation and  VaR'!J81-1</f>
        <v>0</v>
      </c>
      <c r="K69" s="8">
        <f>+'Simulation and  VaR'!K82/'Simulation and  VaR'!K81-1</f>
        <v>5.4532234609792063E-3</v>
      </c>
      <c r="L69" s="8">
        <f>+'Simulation and  VaR'!L82/'Simulation and  VaR'!L81-1</f>
        <v>-1.6167236906418081E-3</v>
      </c>
      <c r="N69" s="26">
        <f t="shared" si="0"/>
        <v>2.4165629070632116E-2</v>
      </c>
      <c r="O69" s="26">
        <f t="shared" si="1"/>
        <v>-8.0194474042416478E-3</v>
      </c>
      <c r="P69" s="26">
        <f t="shared" si="2"/>
        <v>-5.8624650877905776E-3</v>
      </c>
      <c r="Q69" s="26">
        <f t="shared" si="3"/>
        <v>-1.5722682383099995E-3</v>
      </c>
      <c r="R69" s="26">
        <f t="shared" si="4"/>
        <v>-4.0854628673093439E-3</v>
      </c>
      <c r="S69" s="26">
        <f t="shared" si="5"/>
        <v>6.004040357434506E-3</v>
      </c>
      <c r="T69" s="26">
        <f t="shared" si="6"/>
        <v>-4.6139578377347612E-2</v>
      </c>
      <c r="U69" s="26">
        <f t="shared" si="7"/>
        <v>-1.2952669610747321E-2</v>
      </c>
      <c r="V69" s="26">
        <f t="shared" si="8"/>
        <v>-1.0229205971642284E-2</v>
      </c>
      <c r="W69" s="26">
        <f t="shared" si="9"/>
        <v>7.0201387428506208E-3</v>
      </c>
      <c r="X69" s="26">
        <f t="shared" si="10"/>
        <v>1.9075114231138983E-3</v>
      </c>
    </row>
    <row r="70" spans="1:24" x14ac:dyDescent="0.2">
      <c r="A70" s="5">
        <v>27514</v>
      </c>
      <c r="B70" s="8">
        <f>+'Simulation and  VaR'!B83/'Simulation and  VaR'!B82-1</f>
        <v>1.5444931333995049E-2</v>
      </c>
      <c r="C70" s="8">
        <f>+'Simulation and  VaR'!C83/'Simulation and  VaR'!C82-1</f>
        <v>2.6768395178558002E-2</v>
      </c>
      <c r="D70" s="8">
        <f>+'Simulation and  VaR'!D83/'Simulation and  VaR'!D82-1</f>
        <v>4.126547455295837E-3</v>
      </c>
      <c r="E70" s="8">
        <f>+'Simulation and  VaR'!E83/'Simulation and  VaR'!E82-1</f>
        <v>0</v>
      </c>
      <c r="F70" s="8">
        <f>+'Simulation and  VaR'!F83/'Simulation and  VaR'!F82-1</f>
        <v>0</v>
      </c>
      <c r="G70" s="8">
        <f>+'Simulation and  VaR'!G83/'Simulation and  VaR'!G82-1</f>
        <v>-3.7037037037036535E-3</v>
      </c>
      <c r="H70" s="8">
        <f>+'Simulation and  VaR'!H83/'Simulation and  VaR'!H82-1</f>
        <v>-1.8882034025051397E-2</v>
      </c>
      <c r="I70" s="8">
        <f>+'Simulation and  VaR'!I83/'Simulation and  VaR'!I82-1</f>
        <v>0.38915224341307453</v>
      </c>
      <c r="J70" s="8">
        <f>+'Simulation and  VaR'!J83/'Simulation and  VaR'!J82-1</f>
        <v>0</v>
      </c>
      <c r="K70" s="8">
        <f>+'Simulation and  VaR'!K83/'Simulation and  VaR'!K82-1</f>
        <v>3.0975051223333772E-2</v>
      </c>
      <c r="L70" s="8">
        <f>+'Simulation and  VaR'!L83/'Simulation and  VaR'!L82-1</f>
        <v>-3.1633652180461658E-3</v>
      </c>
      <c r="N70" s="26">
        <f t="shared" ref="N70:N133" si="11">B70-$B$256</f>
        <v>1.1433467473689656E-2</v>
      </c>
      <c r="O70" s="26">
        <f t="shared" ref="O70:O133" si="12">C70-$C$256</f>
        <v>2.4790078866266614E-2</v>
      </c>
      <c r="P70" s="26">
        <f t="shared" ref="P70:P133" si="13">D70-$D$256</f>
        <v>2.3736714086011884E-3</v>
      </c>
      <c r="Q70" s="26">
        <f t="shared" ref="Q70:Q133" si="14">E70-$E$256</f>
        <v>-1.5722682383099995E-3</v>
      </c>
      <c r="R70" s="26">
        <f t="shared" ref="R70:R133" si="15">F70-$F$256</f>
        <v>-1.477900937713463E-3</v>
      </c>
      <c r="S70" s="26">
        <f t="shared" ref="S70:S133" si="16">G70-$G$256</f>
        <v>-5.1623499134334592E-3</v>
      </c>
      <c r="T70" s="26">
        <f t="shared" ref="T70:T133" si="17">H70-$H$256</f>
        <v>-2.4225414070111802E-2</v>
      </c>
      <c r="U70" s="26">
        <f t="shared" ref="U70:U133" si="18">I70-$I$256</f>
        <v>0.37675047728403716</v>
      </c>
      <c r="V70" s="26">
        <f t="shared" ref="V70:V133" si="19">J70-$J$256</f>
        <v>-1.0229205971642284E-2</v>
      </c>
      <c r="W70" s="26">
        <f t="shared" ref="W70:W133" si="20">K70-$K$256</f>
        <v>3.2541966505205189E-2</v>
      </c>
      <c r="X70" s="26">
        <f t="shared" ref="X70:X133" si="21">L70-$L$256</f>
        <v>3.608698957095406E-4</v>
      </c>
    </row>
    <row r="71" spans="1:24" x14ac:dyDescent="0.2">
      <c r="A71" s="5">
        <v>27545</v>
      </c>
      <c r="B71" s="8">
        <f>+'Simulation and  VaR'!B84/'Simulation and  VaR'!B83-1</f>
        <v>0.13222481853043067</v>
      </c>
      <c r="C71" s="8">
        <f>+'Simulation and  VaR'!C84/'Simulation and  VaR'!C83-1</f>
        <v>7.6892483203785389E-3</v>
      </c>
      <c r="D71" s="8">
        <f>+'Simulation and  VaR'!D84/'Simulation and  VaR'!D83-1</f>
        <v>1.0958904109588996E-2</v>
      </c>
      <c r="E71" s="8">
        <f>+'Simulation and  VaR'!E84/'Simulation and  VaR'!E83-1</f>
        <v>8.0000000000000071E-3</v>
      </c>
      <c r="F71" s="8">
        <f>+'Simulation and  VaR'!F84/'Simulation and  VaR'!F83-1</f>
        <v>9.1503267973855884E-3</v>
      </c>
      <c r="G71" s="8">
        <f>+'Simulation and  VaR'!G84/'Simulation and  VaR'!G83-1</f>
        <v>8.6741016109046498E-3</v>
      </c>
      <c r="H71" s="8">
        <f>+'Simulation and  VaR'!H84/'Simulation and  VaR'!H83-1</f>
        <v>-6.5739329268292845E-3</v>
      </c>
      <c r="I71" s="8">
        <f>+'Simulation and  VaR'!I84/'Simulation and  VaR'!I83-1</f>
        <v>-3.1743512419649234E-2</v>
      </c>
      <c r="J71" s="8">
        <f>+'Simulation and  VaR'!J84/'Simulation and  VaR'!J83-1</f>
        <v>0</v>
      </c>
      <c r="K71" s="8">
        <f>+'Simulation and  VaR'!K84/'Simulation and  VaR'!K83-1</f>
        <v>5.8062504871014831E-3</v>
      </c>
      <c r="L71" s="8">
        <f>+'Simulation and  VaR'!L84/'Simulation and  VaR'!L83-1</f>
        <v>-5.7801284472986936E-3</v>
      </c>
      <c r="N71" s="26">
        <f t="shared" si="11"/>
        <v>0.12821335467012526</v>
      </c>
      <c r="O71" s="26">
        <f t="shared" si="12"/>
        <v>5.7109320080871492E-3</v>
      </c>
      <c r="P71" s="26">
        <f t="shared" si="13"/>
        <v>9.2060280628943475E-3</v>
      </c>
      <c r="Q71" s="26">
        <f t="shared" si="14"/>
        <v>6.4277317616900078E-3</v>
      </c>
      <c r="R71" s="26">
        <f t="shared" si="15"/>
        <v>7.6724258596721252E-3</v>
      </c>
      <c r="S71" s="26">
        <f t="shared" si="16"/>
        <v>7.2154554011748442E-3</v>
      </c>
      <c r="T71" s="26">
        <f t="shared" si="17"/>
        <v>-1.191731297188969E-2</v>
      </c>
      <c r="U71" s="26">
        <f t="shared" si="18"/>
        <v>-4.4145278548686613E-2</v>
      </c>
      <c r="V71" s="26">
        <f t="shared" si="19"/>
        <v>-1.0229205971642284E-2</v>
      </c>
      <c r="W71" s="26">
        <f t="shared" si="20"/>
        <v>7.3731657689728976E-3</v>
      </c>
      <c r="X71" s="26">
        <f t="shared" si="21"/>
        <v>-2.2558933335429872E-3</v>
      </c>
    </row>
    <row r="72" spans="1:24" x14ac:dyDescent="0.2">
      <c r="A72" s="5">
        <v>27575</v>
      </c>
      <c r="B72" s="8">
        <f>+'Simulation and  VaR'!B85/'Simulation and  VaR'!B84-1</f>
        <v>0.11691229232314271</v>
      </c>
      <c r="C72" s="8">
        <f>+'Simulation and  VaR'!C85/'Simulation and  VaR'!C84-1</f>
        <v>3.3422920520983945E-2</v>
      </c>
      <c r="D72" s="8">
        <f>+'Simulation and  VaR'!D85/'Simulation and  VaR'!D84-1</f>
        <v>1.084010840108407E-2</v>
      </c>
      <c r="E72" s="8">
        <f>+'Simulation and  VaR'!E85/'Simulation and  VaR'!E84-1</f>
        <v>1.1904761904761862E-2</v>
      </c>
      <c r="F72" s="8">
        <f>+'Simulation and  VaR'!F85/'Simulation and  VaR'!F84-1</f>
        <v>1.9430051813471572E-2</v>
      </c>
      <c r="G72" s="8">
        <f>+'Simulation and  VaR'!G85/'Simulation and  VaR'!G84-1</f>
        <v>1.3513513513513375E-2</v>
      </c>
      <c r="H72" s="8">
        <f>+'Simulation and  VaR'!H85/'Simulation and  VaR'!H84-1</f>
        <v>3.8266040088232423E-2</v>
      </c>
      <c r="I72" s="8">
        <f>+'Simulation and  VaR'!I85/'Simulation and  VaR'!I84-1</f>
        <v>-5.2454716826489722E-2</v>
      </c>
      <c r="J72" s="8">
        <f>+'Simulation and  VaR'!J85/'Simulation and  VaR'!J84-1</f>
        <v>0</v>
      </c>
      <c r="K72" s="8">
        <f>+'Simulation and  VaR'!K85/'Simulation and  VaR'!K84-1</f>
        <v>-3.1769400643136714E-2</v>
      </c>
      <c r="L72" s="8">
        <f>+'Simulation and  VaR'!L85/'Simulation and  VaR'!L84-1</f>
        <v>1.0639510582513001E-3</v>
      </c>
      <c r="N72" s="26">
        <f t="shared" si="11"/>
        <v>0.11290082846283732</v>
      </c>
      <c r="O72" s="26">
        <f t="shared" si="12"/>
        <v>3.1444604208692557E-2</v>
      </c>
      <c r="P72" s="26">
        <f t="shared" si="13"/>
        <v>9.0872323543894212E-3</v>
      </c>
      <c r="Q72" s="26">
        <f t="shared" si="14"/>
        <v>1.0332493666451862E-2</v>
      </c>
      <c r="R72" s="26">
        <f t="shared" si="15"/>
        <v>1.7952150875758108E-2</v>
      </c>
      <c r="S72" s="26">
        <f t="shared" si="16"/>
        <v>1.205486730378357E-2</v>
      </c>
      <c r="T72" s="26">
        <f t="shared" si="17"/>
        <v>3.2922660043172014E-2</v>
      </c>
      <c r="U72" s="26">
        <f t="shared" si="18"/>
        <v>-6.4856482955527095E-2</v>
      </c>
      <c r="V72" s="26">
        <f t="shared" si="19"/>
        <v>-1.0229205971642284E-2</v>
      </c>
      <c r="W72" s="26">
        <f t="shared" si="20"/>
        <v>-3.02024853612653E-2</v>
      </c>
      <c r="X72" s="26">
        <f t="shared" si="21"/>
        <v>4.5881861720070069E-3</v>
      </c>
    </row>
    <row r="73" spans="1:24" x14ac:dyDescent="0.2">
      <c r="A73" s="5">
        <v>27606</v>
      </c>
      <c r="B73" s="8">
        <f>+'Simulation and  VaR'!B86/'Simulation and  VaR'!B85-1</f>
        <v>8.4633337846557355E-2</v>
      </c>
      <c r="C73" s="8">
        <f>+'Simulation and  VaR'!C86/'Simulation and  VaR'!C85-1</f>
        <v>3.8346457614848672E-2</v>
      </c>
      <c r="D73" s="8">
        <f>+'Simulation and  VaR'!D86/'Simulation and  VaR'!D85-1</f>
        <v>3.0831099195710365E-2</v>
      </c>
      <c r="E73" s="8">
        <f>+'Simulation and  VaR'!E86/'Simulation and  VaR'!E85-1</f>
        <v>2.6143790849673332E-2</v>
      </c>
      <c r="F73" s="8">
        <f>+'Simulation and  VaR'!F86/'Simulation and  VaR'!F85-1</f>
        <v>3.1766200762388674E-2</v>
      </c>
      <c r="G73" s="8">
        <f>+'Simulation and  VaR'!G86/'Simulation and  VaR'!G85-1</f>
        <v>3.5151515151515156E-2</v>
      </c>
      <c r="H73" s="8">
        <f>+'Simulation and  VaR'!H86/'Simulation and  VaR'!H85-1</f>
        <v>-3.6948087936449325E-2</v>
      </c>
      <c r="I73" s="8">
        <f>+'Simulation and  VaR'!I86/'Simulation and  VaR'!I85-1</f>
        <v>-9.0822593201280166E-2</v>
      </c>
      <c r="J73" s="8">
        <f>+'Simulation and  VaR'!J86/'Simulation and  VaR'!J85-1</f>
        <v>0.2100840336134453</v>
      </c>
      <c r="K73" s="8">
        <f>+'Simulation and  VaR'!K86/'Simulation and  VaR'!K85-1</f>
        <v>-1.6405906126205405E-2</v>
      </c>
      <c r="L73" s="8">
        <f>+'Simulation and  VaR'!L86/'Simulation and  VaR'!L85-1</f>
        <v>7.4017840197380114E-3</v>
      </c>
      <c r="N73" s="26">
        <f t="shared" si="11"/>
        <v>8.0621873986251966E-2</v>
      </c>
      <c r="O73" s="26">
        <f t="shared" si="12"/>
        <v>3.6368141302557284E-2</v>
      </c>
      <c r="P73" s="26">
        <f t="shared" si="13"/>
        <v>2.9078223149015717E-2</v>
      </c>
      <c r="Q73" s="26">
        <f t="shared" si="14"/>
        <v>2.4571522611363333E-2</v>
      </c>
      <c r="R73" s="26">
        <f t="shared" si="15"/>
        <v>3.0288299824675211E-2</v>
      </c>
      <c r="S73" s="26">
        <f t="shared" si="16"/>
        <v>3.3692868941785352E-2</v>
      </c>
      <c r="T73" s="26">
        <f t="shared" si="17"/>
        <v>-4.2291467981509734E-2</v>
      </c>
      <c r="U73" s="26">
        <f t="shared" si="18"/>
        <v>-0.10322435933031754</v>
      </c>
      <c r="V73" s="26">
        <f t="shared" si="19"/>
        <v>0.19985482764180301</v>
      </c>
      <c r="W73" s="26">
        <f t="shared" si="20"/>
        <v>-1.4838990844333991E-2</v>
      </c>
      <c r="X73" s="26">
        <f t="shared" si="21"/>
        <v>1.0926019133493718E-2</v>
      </c>
    </row>
    <row r="74" spans="1:24" x14ac:dyDescent="0.2">
      <c r="A74" s="5">
        <v>27637</v>
      </c>
      <c r="B74" s="8">
        <f>+'Simulation and  VaR'!B87/'Simulation and  VaR'!B86-1</f>
        <v>-4.549717397767572E-2</v>
      </c>
      <c r="C74" s="8">
        <f>+'Simulation and  VaR'!C87/'Simulation and  VaR'!C86-1</f>
        <v>-4.2382401398459169E-2</v>
      </c>
      <c r="D74" s="8">
        <f>+'Simulation and  VaR'!D87/'Simulation and  VaR'!D86-1</f>
        <v>-6.5019505851755532E-3</v>
      </c>
      <c r="E74" s="8">
        <f>+'Simulation and  VaR'!E87/'Simulation and  VaR'!E86-1</f>
        <v>2.5477707006369421E-3</v>
      </c>
      <c r="F74" s="8">
        <f>+'Simulation and  VaR'!F87/'Simulation and  VaR'!F86-1</f>
        <v>0</v>
      </c>
      <c r="G74" s="8">
        <f>+'Simulation and  VaR'!G87/'Simulation and  VaR'!G86-1</f>
        <v>1.1709601873536535E-2</v>
      </c>
      <c r="H74" s="8">
        <f>+'Simulation and  VaR'!H87/'Simulation and  VaR'!H86-1</f>
        <v>4.0092077498561363E-2</v>
      </c>
      <c r="I74" s="8">
        <f>+'Simulation and  VaR'!I87/'Simulation and  VaR'!I86-1</f>
        <v>-6.9926743411663939E-2</v>
      </c>
      <c r="J74" s="8">
        <f>+'Simulation and  VaR'!J87/'Simulation and  VaR'!J86-1</f>
        <v>0</v>
      </c>
      <c r="K74" s="8">
        <f>+'Simulation and  VaR'!K87/'Simulation and  VaR'!K86-1</f>
        <v>-1.8103413205321273E-2</v>
      </c>
      <c r="L74" s="8">
        <f>+'Simulation and  VaR'!L87/'Simulation and  VaR'!L86-1</f>
        <v>7.9125847776961855E-4</v>
      </c>
      <c r="N74" s="26">
        <f t="shared" si="11"/>
        <v>-4.9508637837981109E-2</v>
      </c>
      <c r="O74" s="26">
        <f t="shared" si="12"/>
        <v>-4.4360717710750557E-2</v>
      </c>
      <c r="P74" s="26">
        <f t="shared" si="13"/>
        <v>-8.2548266318702018E-3</v>
      </c>
      <c r="Q74" s="26">
        <f t="shared" si="14"/>
        <v>9.7550246232694262E-4</v>
      </c>
      <c r="R74" s="26">
        <f t="shared" si="15"/>
        <v>-1.477900937713463E-3</v>
      </c>
      <c r="S74" s="26">
        <f t="shared" si="16"/>
        <v>1.0250955663806729E-2</v>
      </c>
      <c r="T74" s="26">
        <f t="shared" si="17"/>
        <v>3.4748697453500954E-2</v>
      </c>
      <c r="U74" s="26">
        <f t="shared" si="18"/>
        <v>-8.2328509540701311E-2</v>
      </c>
      <c r="V74" s="26">
        <f t="shared" si="19"/>
        <v>-1.0229205971642284E-2</v>
      </c>
      <c r="W74" s="26">
        <f t="shared" si="20"/>
        <v>-1.6536497923449859E-2</v>
      </c>
      <c r="X74" s="26">
        <f t="shared" si="21"/>
        <v>4.3154935915253254E-3</v>
      </c>
    </row>
    <row r="75" spans="1:24" x14ac:dyDescent="0.2">
      <c r="A75" s="5">
        <v>27667</v>
      </c>
      <c r="B75" s="8">
        <f>+'Simulation and  VaR'!B88/'Simulation and  VaR'!B87-1</f>
        <v>-0.13122181296088886</v>
      </c>
      <c r="C75" s="8">
        <f>+'Simulation and  VaR'!C88/'Simulation and  VaR'!C87-1</f>
        <v>-4.1720935663714043E-2</v>
      </c>
      <c r="D75" s="8">
        <f>+'Simulation and  VaR'!D88/'Simulation and  VaR'!D87-1</f>
        <v>-3.9267015706806463E-3</v>
      </c>
      <c r="E75" s="8">
        <f>+'Simulation and  VaR'!E88/'Simulation and  VaR'!E87-1</f>
        <v>-2.5412960609911828E-3</v>
      </c>
      <c r="F75" s="8">
        <f>+'Simulation and  VaR'!F88/'Simulation and  VaR'!F87-1</f>
        <v>-1.6009852216748666E-2</v>
      </c>
      <c r="G75" s="8">
        <f>+'Simulation and  VaR'!G88/'Simulation and  VaR'!G87-1</f>
        <v>-2.5462962962963021E-2</v>
      </c>
      <c r="H75" s="8">
        <f>+'Simulation and  VaR'!H88/'Simulation and  VaR'!H87-1</f>
        <v>-1.2910365178900873E-3</v>
      </c>
      <c r="I75" s="8">
        <f>+'Simulation and  VaR'!I88/'Simulation and  VaR'!I87-1</f>
        <v>2.5572831423894549E-3</v>
      </c>
      <c r="J75" s="8">
        <f>+'Simulation and  VaR'!J88/'Simulation and  VaR'!J87-1</f>
        <v>0</v>
      </c>
      <c r="K75" s="8">
        <f>+'Simulation and  VaR'!K88/'Simulation and  VaR'!K87-1</f>
        <v>1.0357971494862506E-2</v>
      </c>
      <c r="L75" s="8">
        <f>+'Simulation and  VaR'!L88/'Simulation and  VaR'!L87-1</f>
        <v>5.0826399608447925E-3</v>
      </c>
      <c r="N75" s="26">
        <f t="shared" si="11"/>
        <v>-0.13523327682119426</v>
      </c>
      <c r="O75" s="26">
        <f t="shared" si="12"/>
        <v>-4.3699251976005431E-2</v>
      </c>
      <c r="P75" s="26">
        <f t="shared" si="13"/>
        <v>-5.6795776173752949E-3</v>
      </c>
      <c r="Q75" s="26">
        <f t="shared" si="14"/>
        <v>-4.113564299301182E-3</v>
      </c>
      <c r="R75" s="26">
        <f t="shared" si="15"/>
        <v>-1.7487753154462129E-2</v>
      </c>
      <c r="S75" s="26">
        <f t="shared" si="16"/>
        <v>-2.6921609172692824E-2</v>
      </c>
      <c r="T75" s="26">
        <f t="shared" si="17"/>
        <v>-6.6344165629504924E-3</v>
      </c>
      <c r="U75" s="26">
        <f t="shared" si="18"/>
        <v>-9.8444829866479247E-3</v>
      </c>
      <c r="V75" s="26">
        <f t="shared" si="19"/>
        <v>-1.0229205971642284E-2</v>
      </c>
      <c r="W75" s="26">
        <f t="shared" si="20"/>
        <v>1.1924886776733919E-2</v>
      </c>
      <c r="X75" s="26">
        <f t="shared" si="21"/>
        <v>8.6068750746004993E-3</v>
      </c>
    </row>
    <row r="76" spans="1:24" x14ac:dyDescent="0.2">
      <c r="A76" s="5">
        <v>27698</v>
      </c>
      <c r="B76" s="8">
        <f>+'Simulation and  VaR'!B89/'Simulation and  VaR'!B88-1</f>
        <v>8.6812965803544362E-2</v>
      </c>
      <c r="C76" s="8">
        <f>+'Simulation and  VaR'!C89/'Simulation and  VaR'!C88-1</f>
        <v>-9.6682762839764846E-3</v>
      </c>
      <c r="D76" s="8">
        <f>+'Simulation and  VaR'!D89/'Simulation and  VaR'!D88-1</f>
        <v>9.1984231274639949E-3</v>
      </c>
      <c r="E76" s="8">
        <f>+'Simulation and  VaR'!E89/'Simulation and  VaR'!E88-1</f>
        <v>7.6433121019108263E-3</v>
      </c>
      <c r="F76" s="8">
        <f>+'Simulation and  VaR'!F89/'Simulation and  VaR'!F88-1</f>
        <v>1.126408010012514E-2</v>
      </c>
      <c r="G76" s="8">
        <f>+'Simulation and  VaR'!G89/'Simulation and  VaR'!G88-1</f>
        <v>1.1876484560569001E-3</v>
      </c>
      <c r="H76" s="8">
        <f>+'Simulation and  VaR'!H89/'Simulation and  VaR'!H88-1</f>
        <v>-0.11385041551246544</v>
      </c>
      <c r="I76" s="8">
        <f>+'Simulation and  VaR'!I89/'Simulation and  VaR'!I88-1</f>
        <v>7.6522803795531003E-2</v>
      </c>
      <c r="J76" s="8">
        <f>+'Simulation and  VaR'!J89/'Simulation and  VaR'!J88-1</f>
        <v>0</v>
      </c>
      <c r="K76" s="8">
        <f>+'Simulation and  VaR'!K89/'Simulation and  VaR'!K88-1</f>
        <v>-3.9161814155663E-2</v>
      </c>
      <c r="L76" s="8">
        <f>+'Simulation and  VaR'!L89/'Simulation and  VaR'!L88-1</f>
        <v>4.929577464788748E-2</v>
      </c>
      <c r="N76" s="26">
        <f t="shared" si="11"/>
        <v>8.2801501943238973E-2</v>
      </c>
      <c r="O76" s="26">
        <f t="shared" si="12"/>
        <v>-1.1646592596267874E-2</v>
      </c>
      <c r="P76" s="26">
        <f t="shared" si="13"/>
        <v>7.4455470807693463E-3</v>
      </c>
      <c r="Q76" s="26">
        <f t="shared" si="14"/>
        <v>6.0710438636008271E-3</v>
      </c>
      <c r="R76" s="26">
        <f t="shared" si="15"/>
        <v>9.7861791624116769E-3</v>
      </c>
      <c r="S76" s="26">
        <f t="shared" si="16"/>
        <v>-2.7099775367290537E-4</v>
      </c>
      <c r="T76" s="26">
        <f t="shared" si="17"/>
        <v>-0.11919379555752585</v>
      </c>
      <c r="U76" s="26">
        <f t="shared" si="18"/>
        <v>6.412103766649363E-2</v>
      </c>
      <c r="V76" s="26">
        <f t="shared" si="19"/>
        <v>-1.0229205971642284E-2</v>
      </c>
      <c r="W76" s="26">
        <f t="shared" si="20"/>
        <v>-3.7594898873791582E-2</v>
      </c>
      <c r="X76" s="26">
        <f t="shared" si="21"/>
        <v>5.2820009761643187E-2</v>
      </c>
    </row>
    <row r="77" spans="1:24" x14ac:dyDescent="0.2">
      <c r="A77" s="5">
        <v>27728</v>
      </c>
      <c r="B77" s="8">
        <f>+'Simulation and  VaR'!B90/'Simulation and  VaR'!B89-1</f>
        <v>-4.9325455556356923E-2</v>
      </c>
      <c r="C77" s="8">
        <f>+'Simulation and  VaR'!C90/'Simulation and  VaR'!C89-1</f>
        <v>2.2533517251612789E-3</v>
      </c>
      <c r="D77" s="8">
        <f>+'Simulation and  VaR'!D90/'Simulation and  VaR'!D89-1</f>
        <v>1.3020833333332593E-3</v>
      </c>
      <c r="E77" s="8">
        <f>+'Simulation and  VaR'!E90/'Simulation and  VaR'!E89-1</f>
        <v>2.5284450063209896E-3</v>
      </c>
      <c r="F77" s="8">
        <f>+'Simulation and  VaR'!F90/'Simulation and  VaR'!F89-1</f>
        <v>4.9504950495049549E-3</v>
      </c>
      <c r="G77" s="8">
        <f>+'Simulation and  VaR'!G90/'Simulation and  VaR'!G89-1</f>
        <v>7.1174377224199059E-3</v>
      </c>
      <c r="H77" s="8">
        <f>+'Simulation and  VaR'!H90/'Simulation and  VaR'!H89-1</f>
        <v>1.6567677399187186E-2</v>
      </c>
      <c r="I77" s="8">
        <f>+'Simulation and  VaR'!I90/'Simulation and  VaR'!I89-1</f>
        <v>5.9236091365747257E-2</v>
      </c>
      <c r="J77" s="8">
        <f>+'Simulation and  VaR'!J90/'Simulation and  VaR'!J89-1</f>
        <v>0</v>
      </c>
      <c r="K77" s="8">
        <f>+'Simulation and  VaR'!K90/'Simulation and  VaR'!K89-1</f>
        <v>-8.7490930818147072E-3</v>
      </c>
      <c r="L77" s="8">
        <f>+'Simulation and  VaR'!L90/'Simulation and  VaR'!L89-1</f>
        <v>5.7118377838061285E-4</v>
      </c>
      <c r="N77" s="26">
        <f t="shared" si="11"/>
        <v>-5.3336919416662312E-2</v>
      </c>
      <c r="O77" s="26">
        <f t="shared" si="12"/>
        <v>2.7503541286988918E-4</v>
      </c>
      <c r="P77" s="26">
        <f t="shared" si="13"/>
        <v>-4.5079271336138948E-4</v>
      </c>
      <c r="Q77" s="26">
        <f t="shared" si="14"/>
        <v>9.5617676801099008E-4</v>
      </c>
      <c r="R77" s="26">
        <f t="shared" si="15"/>
        <v>3.4725941117914917E-3</v>
      </c>
      <c r="S77" s="26">
        <f t="shared" si="16"/>
        <v>5.6587915126901003E-3</v>
      </c>
      <c r="T77" s="26">
        <f t="shared" si="17"/>
        <v>1.1224297354126781E-2</v>
      </c>
      <c r="U77" s="26">
        <f t="shared" si="18"/>
        <v>4.6834325236709877E-2</v>
      </c>
      <c r="V77" s="26">
        <f t="shared" si="19"/>
        <v>-1.0229205971642284E-2</v>
      </c>
      <c r="W77" s="26">
        <f t="shared" si="20"/>
        <v>-7.1821777999432927E-3</v>
      </c>
      <c r="X77" s="26">
        <f t="shared" si="21"/>
        <v>4.0954188921363197E-3</v>
      </c>
    </row>
    <row r="78" spans="1:24" x14ac:dyDescent="0.2">
      <c r="A78" s="5">
        <v>27759</v>
      </c>
      <c r="B78" s="8">
        <f>+'Simulation and  VaR'!B91/'Simulation and  VaR'!B90-1</f>
        <v>4.330221121061717E-2</v>
      </c>
      <c r="C78" s="8">
        <f>+'Simulation and  VaR'!C91/'Simulation and  VaR'!C90-1</f>
        <v>3.6269411681337571E-2</v>
      </c>
      <c r="D78" s="8">
        <f>+'Simulation and  VaR'!D91/'Simulation and  VaR'!D90-1</f>
        <v>1.950585175552666E-2</v>
      </c>
      <c r="E78" s="8">
        <f>+'Simulation and  VaR'!E91/'Simulation and  VaR'!E90-1</f>
        <v>1.0088272383354413E-2</v>
      </c>
      <c r="F78" s="8">
        <f>+'Simulation and  VaR'!F91/'Simulation and  VaR'!F90-1</f>
        <v>7.3891625615765122E-3</v>
      </c>
      <c r="G78" s="8">
        <f>+'Simulation and  VaR'!G91/'Simulation and  VaR'!G90-1</f>
        <v>0</v>
      </c>
      <c r="H78" s="8">
        <f>+'Simulation and  VaR'!H91/'Simulation and  VaR'!H90-1</f>
        <v>-1.0147601476014678E-2</v>
      </c>
      <c r="I78" s="8">
        <f>+'Simulation and  VaR'!I91/'Simulation and  VaR'!I90-1</f>
        <v>0.23040443808160327</v>
      </c>
      <c r="J78" s="8">
        <f>+'Simulation and  VaR'!J91/'Simulation and  VaR'!J90-1</f>
        <v>1.3425925925925926</v>
      </c>
      <c r="K78" s="8">
        <f>+'Simulation and  VaR'!K91/'Simulation and  VaR'!K90-1</f>
        <v>-1.5715146818220949E-2</v>
      </c>
      <c r="L78" s="8">
        <f>+'Simulation and  VaR'!L91/'Simulation and  VaR'!L90-1</f>
        <v>6.6005423148280284E-2</v>
      </c>
      <c r="N78" s="26">
        <f t="shared" si="11"/>
        <v>3.929074735031178E-2</v>
      </c>
      <c r="O78" s="26">
        <f t="shared" si="12"/>
        <v>3.4291095369046183E-2</v>
      </c>
      <c r="P78" s="26">
        <f t="shared" si="13"/>
        <v>1.7752975708832011E-2</v>
      </c>
      <c r="Q78" s="26">
        <f t="shared" si="14"/>
        <v>8.5160041450444129E-3</v>
      </c>
      <c r="R78" s="26">
        <f t="shared" si="15"/>
        <v>5.911261623863049E-3</v>
      </c>
      <c r="S78" s="26">
        <f t="shared" si="16"/>
        <v>-1.4586462097298054E-3</v>
      </c>
      <c r="T78" s="26">
        <f t="shared" si="17"/>
        <v>-1.5490981521075083E-2</v>
      </c>
      <c r="U78" s="26">
        <f t="shared" si="18"/>
        <v>0.2180026719525659</v>
      </c>
      <c r="V78" s="26">
        <f t="shared" si="19"/>
        <v>1.3323633866209503</v>
      </c>
      <c r="W78" s="26">
        <f t="shared" si="20"/>
        <v>-1.4148231536349535E-2</v>
      </c>
      <c r="X78" s="26">
        <f t="shared" si="21"/>
        <v>6.9529658262035984E-2</v>
      </c>
    </row>
    <row r="79" spans="1:24" x14ac:dyDescent="0.2">
      <c r="A79" s="5">
        <v>27790</v>
      </c>
      <c r="B79" s="64">
        <f t="array" ref="B79:G234">0</f>
        <v>0</v>
      </c>
      <c r="C79" s="64">
        <v>0</v>
      </c>
      <c r="D79" s="64">
        <v>0</v>
      </c>
      <c r="E79" s="64">
        <v>0</v>
      </c>
      <c r="F79" s="64">
        <v>0</v>
      </c>
      <c r="G79" s="64">
        <v>0</v>
      </c>
      <c r="H79" s="8">
        <f>+'Simulation and  VaR'!H92/'Simulation and  VaR'!H91-1</f>
        <v>-3.5207621414518053E-3</v>
      </c>
      <c r="I79" s="8">
        <f>+'Simulation and  VaR'!I92/'Simulation and  VaR'!I91-1</f>
        <v>0.27270743945894838</v>
      </c>
      <c r="J79" s="8">
        <f>+'Simulation and  VaR'!J92/'Simulation and  VaR'!J91-1</f>
        <v>0</v>
      </c>
      <c r="K79" s="8">
        <f>+'Simulation and  VaR'!K92/'Simulation and  VaR'!K91-1</f>
        <v>6.7801058571366202E-3</v>
      </c>
      <c r="L79" s="8">
        <f>+'Simulation and  VaR'!L92/'Simulation and  VaR'!L91-1</f>
        <v>-3.4607403440658602E-2</v>
      </c>
      <c r="N79" s="65">
        <f t="shared" si="11"/>
        <v>-4.0114638603053919E-3</v>
      </c>
      <c r="O79" s="65">
        <f t="shared" si="12"/>
        <v>-1.9783163122913897E-3</v>
      </c>
      <c r="P79" s="65">
        <f t="shared" si="13"/>
        <v>-1.7528760466946488E-3</v>
      </c>
      <c r="Q79" s="65">
        <f t="shared" si="14"/>
        <v>-1.5722682383099995E-3</v>
      </c>
      <c r="R79" s="65">
        <f t="shared" si="15"/>
        <v>-1.477900937713463E-3</v>
      </c>
      <c r="S79" s="65">
        <f t="shared" si="16"/>
        <v>-1.4586462097298054E-3</v>
      </c>
      <c r="T79" s="26">
        <f t="shared" si="17"/>
        <v>-8.8641421865122104E-3</v>
      </c>
      <c r="U79" s="26">
        <f t="shared" si="18"/>
        <v>0.260305673329911</v>
      </c>
      <c r="V79" s="26">
        <f t="shared" si="19"/>
        <v>-1.0229205971642284E-2</v>
      </c>
      <c r="W79" s="26">
        <f t="shared" si="20"/>
        <v>8.3470211390080339E-3</v>
      </c>
      <c r="X79" s="26">
        <f t="shared" si="21"/>
        <v>-3.1083168326902895E-2</v>
      </c>
    </row>
    <row r="80" spans="1:24" x14ac:dyDescent="0.2">
      <c r="A80" s="5">
        <v>27819</v>
      </c>
      <c r="B80" s="64">
        <v>0</v>
      </c>
      <c r="C80" s="64">
        <v>0</v>
      </c>
      <c r="D80" s="64">
        <v>0</v>
      </c>
      <c r="E80" s="64">
        <v>0</v>
      </c>
      <c r="F80" s="64">
        <v>0</v>
      </c>
      <c r="G80" s="64">
        <v>0</v>
      </c>
      <c r="H80" s="8">
        <f>+'Simulation and  VaR'!H93/'Simulation and  VaR'!H92-1</f>
        <v>-2.3277564169177922E-2</v>
      </c>
      <c r="I80" s="8">
        <f>+'Simulation and  VaR'!I93/'Simulation and  VaR'!I92-1</f>
        <v>-1.5713387806411072E-2</v>
      </c>
      <c r="J80" s="8">
        <f>+'Simulation and  VaR'!J93/'Simulation and  VaR'!J92-1</f>
        <v>0</v>
      </c>
      <c r="K80" s="8">
        <f>+'Simulation and  VaR'!K93/'Simulation and  VaR'!K92-1</f>
        <v>3.975495307612098E-2</v>
      </c>
      <c r="L80" s="8">
        <f>+'Simulation and  VaR'!L93/'Simulation and  VaR'!L92-1</f>
        <v>-4.2781861045624869E-2</v>
      </c>
      <c r="N80" s="65">
        <f t="shared" si="11"/>
        <v>-4.0114638603053919E-3</v>
      </c>
      <c r="O80" s="65">
        <f t="shared" si="12"/>
        <v>-1.9783163122913897E-3</v>
      </c>
      <c r="P80" s="65">
        <f t="shared" si="13"/>
        <v>-1.7528760466946488E-3</v>
      </c>
      <c r="Q80" s="65">
        <f t="shared" si="14"/>
        <v>-1.5722682383099995E-3</v>
      </c>
      <c r="R80" s="65">
        <f t="shared" si="15"/>
        <v>-1.477900937713463E-3</v>
      </c>
      <c r="S80" s="65">
        <f t="shared" si="16"/>
        <v>-1.4586462097298054E-3</v>
      </c>
      <c r="T80" s="26">
        <f t="shared" si="17"/>
        <v>-2.8620944214238327E-2</v>
      </c>
      <c r="U80" s="26">
        <f t="shared" si="18"/>
        <v>-2.8115153935448452E-2</v>
      </c>
      <c r="V80" s="26">
        <f t="shared" si="19"/>
        <v>-1.0229205971642284E-2</v>
      </c>
      <c r="W80" s="26">
        <f t="shared" si="20"/>
        <v>4.1321868357992397E-2</v>
      </c>
      <c r="X80" s="26">
        <f t="shared" si="21"/>
        <v>-3.9257625931869163E-2</v>
      </c>
    </row>
    <row r="81" spans="1:24" x14ac:dyDescent="0.2">
      <c r="A81" s="5">
        <v>27850</v>
      </c>
      <c r="B81" s="64">
        <v>0</v>
      </c>
      <c r="C81" s="64">
        <v>0</v>
      </c>
      <c r="D81" s="64">
        <v>0</v>
      </c>
      <c r="E81" s="64">
        <v>0</v>
      </c>
      <c r="F81" s="64">
        <v>0</v>
      </c>
      <c r="G81" s="64">
        <v>0</v>
      </c>
      <c r="H81" s="8">
        <f>+'Simulation and  VaR'!H94/'Simulation and  VaR'!H93-1</f>
        <v>-3.90467070964996E-2</v>
      </c>
      <c r="I81" s="8">
        <f>+'Simulation and  VaR'!I94/'Simulation and  VaR'!I93-1</f>
        <v>1.4222686636479631E-2</v>
      </c>
      <c r="J81" s="8">
        <f>+'Simulation and  VaR'!J94/'Simulation and  VaR'!J93-1</f>
        <v>0</v>
      </c>
      <c r="K81" s="8">
        <f>+'Simulation and  VaR'!K94/'Simulation and  VaR'!K93-1</f>
        <v>1.2953909155488663E-2</v>
      </c>
      <c r="L81" s="8">
        <f>+'Simulation and  VaR'!L94/'Simulation and  VaR'!L93-1</f>
        <v>1.2857660268018822E-2</v>
      </c>
      <c r="N81" s="65">
        <f t="shared" si="11"/>
        <v>-4.0114638603053919E-3</v>
      </c>
      <c r="O81" s="65">
        <f t="shared" si="12"/>
        <v>-1.9783163122913897E-3</v>
      </c>
      <c r="P81" s="65">
        <f t="shared" si="13"/>
        <v>-1.7528760466946488E-3</v>
      </c>
      <c r="Q81" s="65">
        <f t="shared" si="14"/>
        <v>-1.5722682383099995E-3</v>
      </c>
      <c r="R81" s="65">
        <f t="shared" si="15"/>
        <v>-1.477900937713463E-3</v>
      </c>
      <c r="S81" s="65">
        <f t="shared" si="16"/>
        <v>-1.4586462097298054E-3</v>
      </c>
      <c r="T81" s="26">
        <f t="shared" si="17"/>
        <v>-4.4390087141560008E-2</v>
      </c>
      <c r="U81" s="26">
        <f t="shared" si="18"/>
        <v>1.8209205074422516E-3</v>
      </c>
      <c r="V81" s="26">
        <f t="shared" si="19"/>
        <v>-1.0229205971642284E-2</v>
      </c>
      <c r="W81" s="26">
        <f t="shared" si="20"/>
        <v>1.4520824437360077E-2</v>
      </c>
      <c r="X81" s="26">
        <f t="shared" si="21"/>
        <v>1.6381895381774529E-2</v>
      </c>
    </row>
    <row r="82" spans="1:24" x14ac:dyDescent="0.2">
      <c r="A82" s="5">
        <v>27880</v>
      </c>
      <c r="B82" s="64">
        <v>0</v>
      </c>
      <c r="C82" s="64">
        <v>0</v>
      </c>
      <c r="D82" s="64">
        <v>0</v>
      </c>
      <c r="E82" s="64">
        <v>0</v>
      </c>
      <c r="F82" s="64">
        <v>0</v>
      </c>
      <c r="G82" s="64">
        <v>0</v>
      </c>
      <c r="H82" s="8">
        <f>+'Simulation and  VaR'!H95/'Simulation and  VaR'!H94-1</f>
        <v>-3.3547387068201928E-2</v>
      </c>
      <c r="I82" s="8">
        <f>+'Simulation and  VaR'!I95/'Simulation and  VaR'!I94-1</f>
        <v>-0.11848205597847861</v>
      </c>
      <c r="J82" s="8">
        <f>+'Simulation and  VaR'!J95/'Simulation and  VaR'!J94-1</f>
        <v>0</v>
      </c>
      <c r="K82" s="8">
        <f>+'Simulation and  VaR'!K95/'Simulation and  VaR'!K94-1</f>
        <v>-1.1550678602367914E-2</v>
      </c>
      <c r="L82" s="8">
        <f>+'Simulation and  VaR'!L95/'Simulation and  VaR'!L94-1</f>
        <v>8.1888074378688724E-3</v>
      </c>
      <c r="N82" s="65">
        <f t="shared" si="11"/>
        <v>-4.0114638603053919E-3</v>
      </c>
      <c r="O82" s="65">
        <f t="shared" si="12"/>
        <v>-1.9783163122913897E-3</v>
      </c>
      <c r="P82" s="65">
        <f t="shared" si="13"/>
        <v>-1.7528760466946488E-3</v>
      </c>
      <c r="Q82" s="65">
        <f t="shared" si="14"/>
        <v>-1.5722682383099995E-3</v>
      </c>
      <c r="R82" s="65">
        <f t="shared" si="15"/>
        <v>-1.477900937713463E-3</v>
      </c>
      <c r="S82" s="65">
        <f t="shared" si="16"/>
        <v>-1.4586462097298054E-3</v>
      </c>
      <c r="T82" s="26">
        <f t="shared" si="17"/>
        <v>-3.8890767113262337E-2</v>
      </c>
      <c r="U82" s="26">
        <f t="shared" si="18"/>
        <v>-0.13088382210751598</v>
      </c>
      <c r="V82" s="26">
        <f t="shared" si="19"/>
        <v>-1.0229205971642284E-2</v>
      </c>
      <c r="W82" s="26">
        <f t="shared" si="20"/>
        <v>-9.9837633204965005E-3</v>
      </c>
      <c r="X82" s="26">
        <f t="shared" si="21"/>
        <v>1.1713042551624579E-2</v>
      </c>
    </row>
    <row r="83" spans="1:24" x14ac:dyDescent="0.2">
      <c r="A83" s="5">
        <v>27911</v>
      </c>
      <c r="B83" s="64">
        <v>0</v>
      </c>
      <c r="C83" s="64">
        <v>0</v>
      </c>
      <c r="D83" s="64">
        <v>0</v>
      </c>
      <c r="E83" s="64">
        <v>0</v>
      </c>
      <c r="F83" s="64">
        <v>0</v>
      </c>
      <c r="G83" s="64">
        <v>0</v>
      </c>
      <c r="H83" s="8">
        <f>+'Simulation and  VaR'!H96/'Simulation and  VaR'!H95-1</f>
        <v>-1.4663764463283324E-2</v>
      </c>
      <c r="I83" s="8">
        <f>+'Simulation and  VaR'!I96/'Simulation and  VaR'!I95-1</f>
        <v>-2.7595610674631565E-2</v>
      </c>
      <c r="J83" s="8">
        <f>+'Simulation and  VaR'!J96/'Simulation and  VaR'!J95-1</f>
        <v>0</v>
      </c>
      <c r="K83" s="8">
        <f>+'Simulation and  VaR'!K96/'Simulation and  VaR'!K95-1</f>
        <v>-2.2953966862817587E-3</v>
      </c>
      <c r="L83" s="8">
        <f>+'Simulation and  VaR'!L96/'Simulation and  VaR'!L95-1</f>
        <v>8.2287011420869582E-3</v>
      </c>
      <c r="N83" s="65">
        <f t="shared" si="11"/>
        <v>-4.0114638603053919E-3</v>
      </c>
      <c r="O83" s="65">
        <f t="shared" si="12"/>
        <v>-1.9783163122913897E-3</v>
      </c>
      <c r="P83" s="65">
        <f t="shared" si="13"/>
        <v>-1.7528760466946488E-3</v>
      </c>
      <c r="Q83" s="65">
        <f t="shared" si="14"/>
        <v>-1.5722682383099995E-3</v>
      </c>
      <c r="R83" s="65">
        <f t="shared" si="15"/>
        <v>-1.477900937713463E-3</v>
      </c>
      <c r="S83" s="65">
        <f t="shared" si="16"/>
        <v>-1.4586462097298054E-3</v>
      </c>
      <c r="T83" s="26">
        <f t="shared" si="17"/>
        <v>-2.0007144508343729E-2</v>
      </c>
      <c r="U83" s="26">
        <f t="shared" si="18"/>
        <v>-3.9997376803668945E-2</v>
      </c>
      <c r="V83" s="26">
        <f t="shared" si="19"/>
        <v>-1.0229205971642284E-2</v>
      </c>
      <c r="W83" s="26">
        <f t="shared" si="20"/>
        <v>-7.284814044103442E-4</v>
      </c>
      <c r="X83" s="26">
        <f t="shared" si="21"/>
        <v>1.1752936255842665E-2</v>
      </c>
    </row>
    <row r="84" spans="1:24" x14ac:dyDescent="0.2">
      <c r="A84" s="5">
        <v>27941</v>
      </c>
      <c r="B84" s="64">
        <v>0</v>
      </c>
      <c r="C84" s="64">
        <v>0</v>
      </c>
      <c r="D84" s="64">
        <v>0</v>
      </c>
      <c r="E84" s="64">
        <v>0</v>
      </c>
      <c r="F84" s="64">
        <v>0</v>
      </c>
      <c r="G84" s="64">
        <v>0</v>
      </c>
      <c r="H84" s="8">
        <f>+'Simulation and  VaR'!H97/'Simulation and  VaR'!H96-1</f>
        <v>-7.7781653296128295E-2</v>
      </c>
      <c r="I84" s="8">
        <f>+'Simulation and  VaR'!I97/'Simulation and  VaR'!I96-1</f>
        <v>6.1765491452991483E-2</v>
      </c>
      <c r="J84" s="8">
        <f>+'Simulation and  VaR'!J97/'Simulation and  VaR'!J96-1</f>
        <v>0</v>
      </c>
      <c r="K84" s="8">
        <f>+'Simulation and  VaR'!K97/'Simulation and  VaR'!K96-1</f>
        <v>-1.4640675980925888E-3</v>
      </c>
      <c r="L84" s="8">
        <f>+'Simulation and  VaR'!L97/'Simulation and  VaR'!L96-1</f>
        <v>4.9215506930275099E-2</v>
      </c>
      <c r="N84" s="65">
        <f t="shared" si="11"/>
        <v>-4.0114638603053919E-3</v>
      </c>
      <c r="O84" s="65">
        <f t="shared" si="12"/>
        <v>-1.9783163122913897E-3</v>
      </c>
      <c r="P84" s="65">
        <f t="shared" si="13"/>
        <v>-1.7528760466946488E-3</v>
      </c>
      <c r="Q84" s="65">
        <f t="shared" si="14"/>
        <v>-1.5722682383099995E-3</v>
      </c>
      <c r="R84" s="65">
        <f t="shared" si="15"/>
        <v>-1.477900937713463E-3</v>
      </c>
      <c r="S84" s="65">
        <f t="shared" si="16"/>
        <v>-1.4586462097298054E-3</v>
      </c>
      <c r="T84" s="26">
        <f t="shared" si="17"/>
        <v>-8.3125033341188703E-2</v>
      </c>
      <c r="U84" s="26">
        <f t="shared" si="18"/>
        <v>4.9363725323954104E-2</v>
      </c>
      <c r="V84" s="26">
        <f t="shared" si="19"/>
        <v>-1.0229205971642284E-2</v>
      </c>
      <c r="W84" s="26">
        <f t="shared" si="20"/>
        <v>1.0284768377882576E-4</v>
      </c>
      <c r="X84" s="26">
        <f t="shared" si="21"/>
        <v>5.2739742044030806E-2</v>
      </c>
    </row>
    <row r="85" spans="1:24" x14ac:dyDescent="0.2">
      <c r="A85" s="5">
        <v>27972</v>
      </c>
      <c r="B85" s="64">
        <v>0</v>
      </c>
      <c r="C85" s="64">
        <v>0</v>
      </c>
      <c r="D85" s="64">
        <v>0</v>
      </c>
      <c r="E85" s="64">
        <v>0</v>
      </c>
      <c r="F85" s="64">
        <v>0</v>
      </c>
      <c r="G85" s="64">
        <v>0</v>
      </c>
      <c r="H85" s="8">
        <f>+'Simulation and  VaR'!H98/'Simulation and  VaR'!H97-1</f>
        <v>-9.0141200201714677E-2</v>
      </c>
      <c r="I85" s="8">
        <f>+'Simulation and  VaR'!I98/'Simulation and  VaR'!I97-1</f>
        <v>-4.0877932205521716E-2</v>
      </c>
      <c r="J85" s="8">
        <f>+'Simulation and  VaR'!J98/'Simulation and  VaR'!J97-1</f>
        <v>0</v>
      </c>
      <c r="K85" s="8">
        <f>+'Simulation and  VaR'!K98/'Simulation and  VaR'!K97-1</f>
        <v>-2.9659419379162943E-2</v>
      </c>
      <c r="L85" s="8">
        <f>+'Simulation and  VaR'!L98/'Simulation and  VaR'!L97-1</f>
        <v>1.5758591785414833E-2</v>
      </c>
      <c r="N85" s="65">
        <f t="shared" si="11"/>
        <v>-4.0114638603053919E-3</v>
      </c>
      <c r="O85" s="65">
        <f t="shared" si="12"/>
        <v>-1.9783163122913897E-3</v>
      </c>
      <c r="P85" s="65">
        <f t="shared" si="13"/>
        <v>-1.7528760466946488E-3</v>
      </c>
      <c r="Q85" s="65">
        <f t="shared" si="14"/>
        <v>-1.5722682383099995E-3</v>
      </c>
      <c r="R85" s="65">
        <f t="shared" si="15"/>
        <v>-1.477900937713463E-3</v>
      </c>
      <c r="S85" s="65">
        <f t="shared" si="16"/>
        <v>-1.4586462097298054E-3</v>
      </c>
      <c r="T85" s="26">
        <f t="shared" si="17"/>
        <v>-9.5484580246775086E-2</v>
      </c>
      <c r="U85" s="26">
        <f t="shared" si="18"/>
        <v>-5.3279698334559096E-2</v>
      </c>
      <c r="V85" s="26">
        <f t="shared" si="19"/>
        <v>-1.0229205971642284E-2</v>
      </c>
      <c r="W85" s="26">
        <f t="shared" si="20"/>
        <v>-2.809250409729153E-2</v>
      </c>
      <c r="X85" s="26">
        <f t="shared" si="21"/>
        <v>1.928282689917054E-2</v>
      </c>
    </row>
    <row r="86" spans="1:24" x14ac:dyDescent="0.2">
      <c r="A86" s="5">
        <v>28003</v>
      </c>
      <c r="B86" s="64">
        <v>0</v>
      </c>
      <c r="C86" s="64">
        <v>0</v>
      </c>
      <c r="D86" s="64">
        <v>0</v>
      </c>
      <c r="E86" s="64">
        <v>0</v>
      </c>
      <c r="F86" s="64">
        <v>0</v>
      </c>
      <c r="G86" s="64">
        <v>0</v>
      </c>
      <c r="H86" s="8">
        <f>+'Simulation and  VaR'!H99/'Simulation and  VaR'!H98-1</f>
        <v>-0.11930164888457817</v>
      </c>
      <c r="I86" s="8">
        <f>+'Simulation and  VaR'!I99/'Simulation and  VaR'!I98-1</f>
        <v>-3.2784735427185074E-2</v>
      </c>
      <c r="J86" s="8">
        <f>+'Simulation and  VaR'!J99/'Simulation and  VaR'!J98-1</f>
        <v>0</v>
      </c>
      <c r="K86" s="8">
        <f>+'Simulation and  VaR'!K99/'Simulation and  VaR'!K98-1</f>
        <v>7.037085006259991E-3</v>
      </c>
      <c r="L86" s="8">
        <f>+'Simulation and  VaR'!L99/'Simulation and  VaR'!L98-1</f>
        <v>-1.5217032513616169E-2</v>
      </c>
      <c r="N86" s="65">
        <f t="shared" si="11"/>
        <v>-4.0114638603053919E-3</v>
      </c>
      <c r="O86" s="65">
        <f t="shared" si="12"/>
        <v>-1.9783163122913897E-3</v>
      </c>
      <c r="P86" s="65">
        <f t="shared" si="13"/>
        <v>-1.7528760466946488E-3</v>
      </c>
      <c r="Q86" s="65">
        <f t="shared" si="14"/>
        <v>-1.5722682383099995E-3</v>
      </c>
      <c r="R86" s="65">
        <f t="shared" si="15"/>
        <v>-1.477900937713463E-3</v>
      </c>
      <c r="S86" s="65">
        <f t="shared" si="16"/>
        <v>-1.4586462097298054E-3</v>
      </c>
      <c r="T86" s="26">
        <f t="shared" si="17"/>
        <v>-0.12464502892963858</v>
      </c>
      <c r="U86" s="26">
        <f t="shared" si="18"/>
        <v>-4.5186501556222454E-2</v>
      </c>
      <c r="V86" s="26">
        <f t="shared" si="19"/>
        <v>-1.0229205971642284E-2</v>
      </c>
      <c r="W86" s="26">
        <f t="shared" si="20"/>
        <v>8.6040002881314047E-3</v>
      </c>
      <c r="X86" s="26">
        <f t="shared" si="21"/>
        <v>-1.1692797399860462E-2</v>
      </c>
    </row>
    <row r="87" spans="1:24" x14ac:dyDescent="0.2">
      <c r="A87" s="5">
        <v>28033</v>
      </c>
      <c r="B87" s="64">
        <v>0</v>
      </c>
      <c r="C87" s="64">
        <v>0</v>
      </c>
      <c r="D87" s="64">
        <v>0</v>
      </c>
      <c r="E87" s="64">
        <v>0</v>
      </c>
      <c r="F87" s="64">
        <v>0</v>
      </c>
      <c r="G87" s="64">
        <v>0</v>
      </c>
      <c r="H87" s="8">
        <f>+'Simulation and  VaR'!H100/'Simulation and  VaR'!H99-1</f>
        <v>0.16299559471365654</v>
      </c>
      <c r="I87" s="8">
        <f>+'Simulation and  VaR'!I100/'Simulation and  VaR'!I99-1</f>
        <v>0.14066842925903322</v>
      </c>
      <c r="J87" s="8">
        <f>+'Simulation and  VaR'!J100/'Simulation and  VaR'!J99-1</f>
        <v>0.10375494071146263</v>
      </c>
      <c r="K87" s="8">
        <f>+'Simulation and  VaR'!K100/'Simulation and  VaR'!K99-1</f>
        <v>1.286118494383981E-3</v>
      </c>
      <c r="L87" s="8">
        <f>+'Simulation and  VaR'!L100/'Simulation and  VaR'!L99-1</f>
        <v>5.3965274519005568E-3</v>
      </c>
      <c r="N87" s="65">
        <f t="shared" si="11"/>
        <v>-4.0114638603053919E-3</v>
      </c>
      <c r="O87" s="65">
        <f t="shared" si="12"/>
        <v>-1.9783163122913897E-3</v>
      </c>
      <c r="P87" s="65">
        <f t="shared" si="13"/>
        <v>-1.7528760466946488E-3</v>
      </c>
      <c r="Q87" s="65">
        <f t="shared" si="14"/>
        <v>-1.5722682383099995E-3</v>
      </c>
      <c r="R87" s="65">
        <f t="shared" si="15"/>
        <v>-1.477900937713463E-3</v>
      </c>
      <c r="S87" s="65">
        <f t="shared" si="16"/>
        <v>-1.4586462097298054E-3</v>
      </c>
      <c r="T87" s="26">
        <f t="shared" si="17"/>
        <v>0.15765221466859614</v>
      </c>
      <c r="U87" s="26">
        <f t="shared" si="18"/>
        <v>0.12826666312999585</v>
      </c>
      <c r="V87" s="26">
        <f t="shared" si="19"/>
        <v>9.3525734739820343E-2</v>
      </c>
      <c r="W87" s="26">
        <f t="shared" si="20"/>
        <v>2.8530337762553955E-3</v>
      </c>
      <c r="X87" s="26">
        <f t="shared" si="21"/>
        <v>8.9207625656562636E-3</v>
      </c>
    </row>
    <row r="88" spans="1:24" x14ac:dyDescent="0.2">
      <c r="A88" s="5">
        <v>28064</v>
      </c>
      <c r="B88" s="64">
        <v>0</v>
      </c>
      <c r="C88" s="64">
        <v>0</v>
      </c>
      <c r="D88" s="64">
        <v>0</v>
      </c>
      <c r="E88" s="64">
        <v>0</v>
      </c>
      <c r="F88" s="64">
        <v>0</v>
      </c>
      <c r="G88" s="64">
        <v>0</v>
      </c>
      <c r="H88" s="8">
        <f>+'Simulation and  VaR'!H101/'Simulation and  VaR'!H100-1</f>
        <v>-5.3300865800865793E-2</v>
      </c>
      <c r="I88" s="8">
        <f>+'Simulation and  VaR'!I101/'Simulation and  VaR'!I100-1</f>
        <v>0.10549150124806839</v>
      </c>
      <c r="J88" s="8">
        <f>+'Simulation and  VaR'!J101/'Simulation and  VaR'!J100-1</f>
        <v>0</v>
      </c>
      <c r="K88" s="8">
        <f>+'Simulation and  VaR'!K101/'Simulation and  VaR'!K100-1</f>
        <v>-4.2815550607980812E-3</v>
      </c>
      <c r="L88" s="8">
        <f>+'Simulation and  VaR'!L101/'Simulation and  VaR'!L100-1</f>
        <v>1.2002000333388718E-3</v>
      </c>
      <c r="N88" s="65">
        <f t="shared" si="11"/>
        <v>-4.0114638603053919E-3</v>
      </c>
      <c r="O88" s="65">
        <f t="shared" si="12"/>
        <v>-1.9783163122913897E-3</v>
      </c>
      <c r="P88" s="65">
        <f t="shared" si="13"/>
        <v>-1.7528760466946488E-3</v>
      </c>
      <c r="Q88" s="65">
        <f t="shared" si="14"/>
        <v>-1.5722682383099995E-3</v>
      </c>
      <c r="R88" s="65">
        <f t="shared" si="15"/>
        <v>-1.477900937713463E-3</v>
      </c>
      <c r="S88" s="65">
        <f t="shared" si="16"/>
        <v>-1.4586462097298054E-3</v>
      </c>
      <c r="T88" s="26">
        <f t="shared" si="17"/>
        <v>-5.8644245845926202E-2</v>
      </c>
      <c r="U88" s="26">
        <f t="shared" si="18"/>
        <v>9.3089735119031014E-2</v>
      </c>
      <c r="V88" s="26">
        <f t="shared" si="19"/>
        <v>-1.0229205971642284E-2</v>
      </c>
      <c r="W88" s="26">
        <f t="shared" si="20"/>
        <v>-2.7146397789266667E-3</v>
      </c>
      <c r="X88" s="26">
        <f t="shared" si="21"/>
        <v>4.7244351470945786E-3</v>
      </c>
    </row>
    <row r="89" spans="1:24" x14ac:dyDescent="0.2">
      <c r="A89" s="5">
        <v>28094</v>
      </c>
      <c r="B89" s="64">
        <v>0</v>
      </c>
      <c r="C89" s="64">
        <v>0</v>
      </c>
      <c r="D89" s="64">
        <v>0</v>
      </c>
      <c r="E89" s="64">
        <v>0</v>
      </c>
      <c r="F89" s="64">
        <v>0</v>
      </c>
      <c r="G89" s="64">
        <v>0</v>
      </c>
      <c r="H89" s="8">
        <f>+'Simulation and  VaR'!H102/'Simulation and  VaR'!H101-1</f>
        <v>-2.0148613889682698E-2</v>
      </c>
      <c r="I89" s="8">
        <f>+'Simulation and  VaR'!I102/'Simulation and  VaR'!I101-1</f>
        <v>3.7632385355625964E-2</v>
      </c>
      <c r="J89" s="8">
        <f>+'Simulation and  VaR'!J102/'Simulation and  VaR'!J101-1</f>
        <v>0</v>
      </c>
      <c r="K89" s="8">
        <f>+'Simulation and  VaR'!K102/'Simulation and  VaR'!K101-1</f>
        <v>9.2449260405915723E-3</v>
      </c>
      <c r="L89" s="8">
        <f>+'Simulation and  VaR'!L102/'Simulation and  VaR'!L101-1</f>
        <v>2.3975225600212369E-3</v>
      </c>
      <c r="N89" s="65">
        <f t="shared" si="11"/>
        <v>-4.0114638603053919E-3</v>
      </c>
      <c r="O89" s="65">
        <f t="shared" si="12"/>
        <v>-1.9783163122913897E-3</v>
      </c>
      <c r="P89" s="65">
        <f t="shared" si="13"/>
        <v>-1.7528760466946488E-3</v>
      </c>
      <c r="Q89" s="65">
        <f t="shared" si="14"/>
        <v>-1.5722682383099995E-3</v>
      </c>
      <c r="R89" s="65">
        <f t="shared" si="15"/>
        <v>-1.477900937713463E-3</v>
      </c>
      <c r="S89" s="65">
        <f t="shared" si="16"/>
        <v>-1.4586462097298054E-3</v>
      </c>
      <c r="T89" s="26">
        <f t="shared" si="17"/>
        <v>-2.5491993934743103E-2</v>
      </c>
      <c r="U89" s="26">
        <f t="shared" si="18"/>
        <v>2.5230619226588584E-2</v>
      </c>
      <c r="V89" s="26">
        <f t="shared" si="19"/>
        <v>-1.0229205971642284E-2</v>
      </c>
      <c r="W89" s="26">
        <f t="shared" si="20"/>
        <v>1.0811841322462986E-2</v>
      </c>
      <c r="X89" s="26">
        <f t="shared" si="21"/>
        <v>5.9217576737769437E-3</v>
      </c>
    </row>
    <row r="90" spans="1:24" x14ac:dyDescent="0.2">
      <c r="A90" s="5">
        <v>28125</v>
      </c>
      <c r="B90" s="64">
        <v>0</v>
      </c>
      <c r="C90" s="64">
        <v>0</v>
      </c>
      <c r="D90" s="64">
        <v>0</v>
      </c>
      <c r="E90" s="64">
        <v>0</v>
      </c>
      <c r="F90" s="64">
        <v>0</v>
      </c>
      <c r="G90" s="64">
        <v>0</v>
      </c>
      <c r="H90" s="8">
        <f>+'Simulation and  VaR'!H103/'Simulation and  VaR'!H102-1</f>
        <v>0.12279422487968494</v>
      </c>
      <c r="I90" s="8">
        <f>+'Simulation and  VaR'!I103/'Simulation and  VaR'!I102-1</f>
        <v>-8.5487798559660155E-2</v>
      </c>
      <c r="J90" s="8">
        <f>+'Simulation and  VaR'!J103/'Simulation and  VaR'!J102-1</f>
        <v>0</v>
      </c>
      <c r="K90" s="8">
        <f>+'Simulation and  VaR'!K103/'Simulation and  VaR'!K102-1</f>
        <v>1.5125047931489943E-2</v>
      </c>
      <c r="L90" s="8">
        <f>+'Simulation and  VaR'!L103/'Simulation and  VaR'!L102-1</f>
        <v>-1.0131880543467253E-2</v>
      </c>
      <c r="N90" s="65">
        <f t="shared" si="11"/>
        <v>-4.0114638603053919E-3</v>
      </c>
      <c r="O90" s="65">
        <f t="shared" si="12"/>
        <v>-1.9783163122913897E-3</v>
      </c>
      <c r="P90" s="65">
        <f t="shared" si="13"/>
        <v>-1.7528760466946488E-3</v>
      </c>
      <c r="Q90" s="65">
        <f t="shared" si="14"/>
        <v>-1.5722682383099995E-3</v>
      </c>
      <c r="R90" s="65">
        <f t="shared" si="15"/>
        <v>-1.477900937713463E-3</v>
      </c>
      <c r="S90" s="65">
        <f t="shared" si="16"/>
        <v>-1.4586462097298054E-3</v>
      </c>
      <c r="T90" s="26">
        <f t="shared" si="17"/>
        <v>0.11745084483462453</v>
      </c>
      <c r="U90" s="26">
        <f t="shared" si="18"/>
        <v>-9.7889564688697528E-2</v>
      </c>
      <c r="V90" s="26">
        <f t="shared" si="19"/>
        <v>-1.0229205971642284E-2</v>
      </c>
      <c r="W90" s="26">
        <f t="shared" si="20"/>
        <v>1.6691963213361357E-2</v>
      </c>
      <c r="X90" s="26">
        <f t="shared" si="21"/>
        <v>-6.6076454297115464E-3</v>
      </c>
    </row>
    <row r="91" spans="1:24" x14ac:dyDescent="0.2">
      <c r="A91" s="5">
        <v>28156</v>
      </c>
      <c r="B91" s="64">
        <v>0</v>
      </c>
      <c r="C91" s="64">
        <v>0</v>
      </c>
      <c r="D91" s="64">
        <v>0</v>
      </c>
      <c r="E91" s="64">
        <v>0</v>
      </c>
      <c r="F91" s="64">
        <v>0</v>
      </c>
      <c r="G91" s="64">
        <v>0</v>
      </c>
      <c r="H91" s="8">
        <f>+'Simulation and  VaR'!H104/'Simulation and  VaR'!H103-1</f>
        <v>5.9877906221587285E-2</v>
      </c>
      <c r="I91" s="8">
        <f>+'Simulation and  VaR'!I104/'Simulation and  VaR'!I103-1</f>
        <v>4.8155911846354371E-2</v>
      </c>
      <c r="J91" s="8">
        <f>+'Simulation and  VaR'!J104/'Simulation and  VaR'!J103-1</f>
        <v>0</v>
      </c>
      <c r="K91" s="8">
        <f>+'Simulation and  VaR'!K104/'Simulation and  VaR'!K103-1</f>
        <v>1.9936204146730363E-2</v>
      </c>
      <c r="L91" s="8">
        <f>+'Simulation and  VaR'!L104/'Simulation and  VaR'!L103-1</f>
        <v>-3.8660312772669458E-2</v>
      </c>
      <c r="N91" s="65">
        <f t="shared" si="11"/>
        <v>-4.0114638603053919E-3</v>
      </c>
      <c r="O91" s="65">
        <f t="shared" si="12"/>
        <v>-1.9783163122913897E-3</v>
      </c>
      <c r="P91" s="65">
        <f t="shared" si="13"/>
        <v>-1.7528760466946488E-3</v>
      </c>
      <c r="Q91" s="65">
        <f t="shared" si="14"/>
        <v>-1.5722682383099995E-3</v>
      </c>
      <c r="R91" s="65">
        <f t="shared" si="15"/>
        <v>-1.477900937713463E-3</v>
      </c>
      <c r="S91" s="65">
        <f t="shared" si="16"/>
        <v>-1.4586462097298054E-3</v>
      </c>
      <c r="T91" s="26">
        <f t="shared" si="17"/>
        <v>5.4534526176526876E-2</v>
      </c>
      <c r="U91" s="26">
        <f t="shared" si="18"/>
        <v>3.5754145717316992E-2</v>
      </c>
      <c r="V91" s="26">
        <f t="shared" si="19"/>
        <v>-1.0229205971642284E-2</v>
      </c>
      <c r="W91" s="26">
        <f t="shared" si="20"/>
        <v>2.1503119428601777E-2</v>
      </c>
      <c r="X91" s="26">
        <f t="shared" si="21"/>
        <v>-3.5136077658913752E-2</v>
      </c>
    </row>
    <row r="92" spans="1:24" x14ac:dyDescent="0.2">
      <c r="A92" s="5">
        <v>28184</v>
      </c>
      <c r="B92" s="64">
        <v>0</v>
      </c>
      <c r="C92" s="64">
        <v>0</v>
      </c>
      <c r="D92" s="64">
        <v>0</v>
      </c>
      <c r="E92" s="64">
        <v>0</v>
      </c>
      <c r="F92" s="64">
        <v>0</v>
      </c>
      <c r="G92" s="64">
        <v>0</v>
      </c>
      <c r="H92" s="8">
        <f>+'Simulation and  VaR'!H105/'Simulation and  VaR'!H104-1</f>
        <v>2.1691176470588269E-2</v>
      </c>
      <c r="I92" s="8">
        <f>+'Simulation and  VaR'!I105/'Simulation and  VaR'!I104-1</f>
        <v>-4.45921842062591E-2</v>
      </c>
      <c r="J92" s="8">
        <f>+'Simulation and  VaR'!J105/'Simulation and  VaR'!J104-1</f>
        <v>0</v>
      </c>
      <c r="K92" s="8">
        <f>+'Simulation and  VaR'!K105/'Simulation and  VaR'!K104-1</f>
        <v>-9.8761367844945047E-3</v>
      </c>
      <c r="L92" s="8">
        <f>+'Simulation and  VaR'!L105/'Simulation and  VaR'!L104-1</f>
        <v>2.6460936954548542E-2</v>
      </c>
      <c r="N92" s="65">
        <f t="shared" si="11"/>
        <v>-4.0114638603053919E-3</v>
      </c>
      <c r="O92" s="65">
        <f t="shared" si="12"/>
        <v>-1.9783163122913897E-3</v>
      </c>
      <c r="P92" s="65">
        <f t="shared" si="13"/>
        <v>-1.7528760466946488E-3</v>
      </c>
      <c r="Q92" s="65">
        <f t="shared" si="14"/>
        <v>-1.5722682383099995E-3</v>
      </c>
      <c r="R92" s="65">
        <f t="shared" si="15"/>
        <v>-1.477900937713463E-3</v>
      </c>
      <c r="S92" s="65">
        <f t="shared" si="16"/>
        <v>-1.4586462097298054E-3</v>
      </c>
      <c r="T92" s="26">
        <f t="shared" si="17"/>
        <v>1.6347796425527864E-2</v>
      </c>
      <c r="U92" s="26">
        <f t="shared" si="18"/>
        <v>-5.699395033529648E-2</v>
      </c>
      <c r="V92" s="26">
        <f t="shared" si="19"/>
        <v>-1.0229205971642284E-2</v>
      </c>
      <c r="W92" s="26">
        <f t="shared" si="20"/>
        <v>-8.309221502623091E-3</v>
      </c>
      <c r="X92" s="26">
        <f t="shared" si="21"/>
        <v>2.9985172068304249E-2</v>
      </c>
    </row>
    <row r="93" spans="1:24" x14ac:dyDescent="0.2">
      <c r="A93" s="5">
        <v>28215</v>
      </c>
      <c r="B93" s="64">
        <v>0</v>
      </c>
      <c r="C93" s="64">
        <v>0</v>
      </c>
      <c r="D93" s="64">
        <v>0</v>
      </c>
      <c r="E93" s="64">
        <v>0</v>
      </c>
      <c r="F93" s="64">
        <v>0</v>
      </c>
      <c r="G93" s="64">
        <v>0</v>
      </c>
      <c r="H93" s="8">
        <f>+'Simulation and  VaR'!H106/'Simulation and  VaR'!H105-1</f>
        <v>4.7259205949382155E-2</v>
      </c>
      <c r="I93" s="8">
        <f>+'Simulation and  VaR'!I106/'Simulation and  VaR'!I105-1</f>
        <v>-5.4876668929622063E-2</v>
      </c>
      <c r="J93" s="8">
        <f>+'Simulation and  VaR'!J106/'Simulation and  VaR'!J105-1</f>
        <v>0</v>
      </c>
      <c r="K93" s="8">
        <f>+'Simulation and  VaR'!K106/'Simulation and  VaR'!K105-1</f>
        <v>-2.285856780682427E-2</v>
      </c>
      <c r="L93" s="8">
        <f>+'Simulation and  VaR'!L106/'Simulation and  VaR'!L105-1</f>
        <v>-6.1216161066519614E-3</v>
      </c>
      <c r="N93" s="65">
        <f t="shared" si="11"/>
        <v>-4.0114638603053919E-3</v>
      </c>
      <c r="O93" s="65">
        <f t="shared" si="12"/>
        <v>-1.9783163122913897E-3</v>
      </c>
      <c r="P93" s="65">
        <f t="shared" si="13"/>
        <v>-1.7528760466946488E-3</v>
      </c>
      <c r="Q93" s="65">
        <f t="shared" si="14"/>
        <v>-1.5722682383099995E-3</v>
      </c>
      <c r="R93" s="65">
        <f t="shared" si="15"/>
        <v>-1.477900937713463E-3</v>
      </c>
      <c r="S93" s="65">
        <f t="shared" si="16"/>
        <v>-1.4586462097298054E-3</v>
      </c>
      <c r="T93" s="26">
        <f t="shared" si="17"/>
        <v>4.1915825904321746E-2</v>
      </c>
      <c r="U93" s="26">
        <f t="shared" si="18"/>
        <v>-6.7278435058659436E-2</v>
      </c>
      <c r="V93" s="26">
        <f t="shared" si="19"/>
        <v>-1.0229205971642284E-2</v>
      </c>
      <c r="W93" s="26">
        <f t="shared" si="20"/>
        <v>-2.1291652524952857E-2</v>
      </c>
      <c r="X93" s="26">
        <f t="shared" si="21"/>
        <v>-2.5973809928962551E-3</v>
      </c>
    </row>
    <row r="94" spans="1:24" x14ac:dyDescent="0.2">
      <c r="A94" s="5">
        <v>28245</v>
      </c>
      <c r="B94" s="64">
        <v>0</v>
      </c>
      <c r="C94" s="64">
        <v>0</v>
      </c>
      <c r="D94" s="64">
        <v>0</v>
      </c>
      <c r="E94" s="64">
        <v>0</v>
      </c>
      <c r="F94" s="64">
        <v>0</v>
      </c>
      <c r="G94" s="64">
        <v>0</v>
      </c>
      <c r="H94" s="8">
        <f>+'Simulation and  VaR'!H107/'Simulation and  VaR'!H106-1</f>
        <v>4.4210285190699805E-2</v>
      </c>
      <c r="I94" s="8">
        <f>+'Simulation and  VaR'!I107/'Simulation and  VaR'!I106-1</f>
        <v>2.9630073027654635E-2</v>
      </c>
      <c r="J94" s="8">
        <f>+'Simulation and  VaR'!J107/'Simulation and  VaR'!J106-1</f>
        <v>0</v>
      </c>
      <c r="K94" s="8">
        <f>+'Simulation and  VaR'!K107/'Simulation and  VaR'!K106-1</f>
        <v>-1.4886648802688085E-2</v>
      </c>
      <c r="L94" s="8">
        <f>+'Simulation and  VaR'!L107/'Simulation and  VaR'!L106-1</f>
        <v>-2.3268546400219137E-3</v>
      </c>
      <c r="N94" s="65">
        <f t="shared" si="11"/>
        <v>-4.0114638603053919E-3</v>
      </c>
      <c r="O94" s="65">
        <f t="shared" si="12"/>
        <v>-1.9783163122913897E-3</v>
      </c>
      <c r="P94" s="65">
        <f t="shared" si="13"/>
        <v>-1.7528760466946488E-3</v>
      </c>
      <c r="Q94" s="65">
        <f t="shared" si="14"/>
        <v>-1.5722682383099995E-3</v>
      </c>
      <c r="R94" s="65">
        <f t="shared" si="15"/>
        <v>-1.477900937713463E-3</v>
      </c>
      <c r="S94" s="65">
        <f t="shared" si="16"/>
        <v>-1.4586462097298054E-3</v>
      </c>
      <c r="T94" s="26">
        <f t="shared" si="17"/>
        <v>3.8866905145639397E-2</v>
      </c>
      <c r="U94" s="26">
        <f t="shared" si="18"/>
        <v>1.7228306898617256E-2</v>
      </c>
      <c r="V94" s="26">
        <f t="shared" si="19"/>
        <v>-1.0229205971642284E-2</v>
      </c>
      <c r="W94" s="26">
        <f t="shared" si="20"/>
        <v>-1.3319733520816671E-2</v>
      </c>
      <c r="X94" s="26">
        <f t="shared" si="21"/>
        <v>1.1973804737337927E-3</v>
      </c>
    </row>
    <row r="95" spans="1:24" x14ac:dyDescent="0.2">
      <c r="A95" s="5">
        <v>28276</v>
      </c>
      <c r="B95" s="64">
        <v>0</v>
      </c>
      <c r="C95" s="64">
        <v>0</v>
      </c>
      <c r="D95" s="64">
        <v>0</v>
      </c>
      <c r="E95" s="64">
        <v>0</v>
      </c>
      <c r="F95" s="64">
        <v>0</v>
      </c>
      <c r="G95" s="64">
        <v>0</v>
      </c>
      <c r="H95" s="8">
        <f>+'Simulation and  VaR'!H108/'Simulation and  VaR'!H107-1</f>
        <v>4.4203136996819214E-2</v>
      </c>
      <c r="I95" s="8">
        <f>+'Simulation and  VaR'!I108/'Simulation and  VaR'!I107-1</f>
        <v>-5.5810708679727927E-2</v>
      </c>
      <c r="J95" s="8">
        <f>+'Simulation and  VaR'!J108/'Simulation and  VaR'!J107-1</f>
        <v>0</v>
      </c>
      <c r="K95" s="8">
        <f>+'Simulation and  VaR'!K108/'Simulation and  VaR'!K107-1</f>
        <v>-5.2890635119381746E-2</v>
      </c>
      <c r="L95" s="8">
        <f>+'Simulation and  VaR'!L108/'Simulation and  VaR'!L107-1</f>
        <v>1.4165180408835187E-2</v>
      </c>
      <c r="N95" s="65">
        <f t="shared" si="11"/>
        <v>-4.0114638603053919E-3</v>
      </c>
      <c r="O95" s="65">
        <f t="shared" si="12"/>
        <v>-1.9783163122913897E-3</v>
      </c>
      <c r="P95" s="65">
        <f t="shared" si="13"/>
        <v>-1.7528760466946488E-3</v>
      </c>
      <c r="Q95" s="65">
        <f t="shared" si="14"/>
        <v>-1.5722682383099995E-3</v>
      </c>
      <c r="R95" s="65">
        <f t="shared" si="15"/>
        <v>-1.477900937713463E-3</v>
      </c>
      <c r="S95" s="65">
        <f t="shared" si="16"/>
        <v>-1.4586462097298054E-3</v>
      </c>
      <c r="T95" s="26">
        <f t="shared" si="17"/>
        <v>3.8859756951758806E-2</v>
      </c>
      <c r="U95" s="26">
        <f t="shared" si="18"/>
        <v>-6.82124748087653E-2</v>
      </c>
      <c r="V95" s="26">
        <f t="shared" si="19"/>
        <v>-1.0229205971642284E-2</v>
      </c>
      <c r="W95" s="26">
        <f t="shared" si="20"/>
        <v>-5.1323719837510329E-2</v>
      </c>
      <c r="X95" s="26">
        <f t="shared" si="21"/>
        <v>1.7689415522590894E-2</v>
      </c>
    </row>
    <row r="96" spans="1:24" x14ac:dyDescent="0.2">
      <c r="A96" s="5">
        <v>28306</v>
      </c>
      <c r="B96" s="64">
        <v>0</v>
      </c>
      <c r="C96" s="64">
        <v>0</v>
      </c>
      <c r="D96" s="64">
        <v>0</v>
      </c>
      <c r="E96" s="64">
        <v>0</v>
      </c>
      <c r="F96" s="64">
        <v>0</v>
      </c>
      <c r="G96" s="64">
        <v>0</v>
      </c>
      <c r="H96" s="8">
        <f>+'Simulation and  VaR'!H109/'Simulation and  VaR'!H108-1</f>
        <v>-6.7647058823529393E-2</v>
      </c>
      <c r="I96" s="8">
        <f>+'Simulation and  VaR'!I109/'Simulation and  VaR'!I108-1</f>
        <v>3.6943537959485351E-2</v>
      </c>
      <c r="J96" s="8">
        <f>+'Simulation and  VaR'!J109/'Simulation and  VaR'!J108-1</f>
        <v>0</v>
      </c>
      <c r="K96" s="8">
        <f>+'Simulation and  VaR'!K109/'Simulation and  VaR'!K108-1</f>
        <v>-1.8006929248723491E-2</v>
      </c>
      <c r="L96" s="8">
        <f>+'Simulation and  VaR'!L109/'Simulation and  VaR'!L108-1</f>
        <v>6.8652981162702353E-3</v>
      </c>
      <c r="N96" s="65">
        <f t="shared" si="11"/>
        <v>-4.0114638603053919E-3</v>
      </c>
      <c r="O96" s="65">
        <f t="shared" si="12"/>
        <v>-1.9783163122913897E-3</v>
      </c>
      <c r="P96" s="65">
        <f t="shared" si="13"/>
        <v>-1.7528760466946488E-3</v>
      </c>
      <c r="Q96" s="65">
        <f t="shared" si="14"/>
        <v>-1.5722682383099995E-3</v>
      </c>
      <c r="R96" s="65">
        <f t="shared" si="15"/>
        <v>-1.477900937713463E-3</v>
      </c>
      <c r="S96" s="65">
        <f t="shared" si="16"/>
        <v>-1.4586462097298054E-3</v>
      </c>
      <c r="T96" s="26">
        <f t="shared" si="17"/>
        <v>-7.2990438868589802E-2</v>
      </c>
      <c r="U96" s="26">
        <f t="shared" si="18"/>
        <v>2.4541771830447971E-2</v>
      </c>
      <c r="V96" s="26">
        <f t="shared" si="19"/>
        <v>-1.0229205971642284E-2</v>
      </c>
      <c r="W96" s="26">
        <f t="shared" si="20"/>
        <v>-1.6440013966852077E-2</v>
      </c>
      <c r="X96" s="26">
        <f t="shared" si="21"/>
        <v>1.0389533230025942E-2</v>
      </c>
    </row>
    <row r="97" spans="1:24" x14ac:dyDescent="0.2">
      <c r="A97" s="5">
        <v>28337</v>
      </c>
      <c r="B97" s="64">
        <v>0</v>
      </c>
      <c r="C97" s="64">
        <v>0</v>
      </c>
      <c r="D97" s="64">
        <v>0</v>
      </c>
      <c r="E97" s="64">
        <v>0</v>
      </c>
      <c r="F97" s="64">
        <v>0</v>
      </c>
      <c r="G97" s="64">
        <v>0</v>
      </c>
      <c r="H97" s="8">
        <f>+'Simulation and  VaR'!H110/'Simulation and  VaR'!H109-1</f>
        <v>-2.1068048670572326E-2</v>
      </c>
      <c r="I97" s="8">
        <f>+'Simulation and  VaR'!I110/'Simulation and  VaR'!I109-1</f>
        <v>-3.8893177364764608E-2</v>
      </c>
      <c r="J97" s="8">
        <f>+'Simulation and  VaR'!J110/'Simulation and  VaR'!J109-1</f>
        <v>0</v>
      </c>
      <c r="K97" s="8">
        <f>+'Simulation and  VaR'!K110/'Simulation and  VaR'!K109-1</f>
        <v>-2.0426164059235918E-2</v>
      </c>
      <c r="L97" s="8">
        <f>+'Simulation and  VaR'!L110/'Simulation and  VaR'!L109-1</f>
        <v>8.7330377535965731E-4</v>
      </c>
      <c r="N97" s="65">
        <f t="shared" si="11"/>
        <v>-4.0114638603053919E-3</v>
      </c>
      <c r="O97" s="65">
        <f t="shared" si="12"/>
        <v>-1.9783163122913897E-3</v>
      </c>
      <c r="P97" s="65">
        <f t="shared" si="13"/>
        <v>-1.7528760466946488E-3</v>
      </c>
      <c r="Q97" s="65">
        <f t="shared" si="14"/>
        <v>-1.5722682383099995E-3</v>
      </c>
      <c r="R97" s="65">
        <f t="shared" si="15"/>
        <v>-1.477900937713463E-3</v>
      </c>
      <c r="S97" s="65">
        <f t="shared" si="16"/>
        <v>-1.4586462097298054E-3</v>
      </c>
      <c r="T97" s="26">
        <f t="shared" si="17"/>
        <v>-2.6411428715632731E-2</v>
      </c>
      <c r="U97" s="26">
        <f t="shared" si="18"/>
        <v>-5.1294943493801988E-2</v>
      </c>
      <c r="V97" s="26">
        <f t="shared" si="19"/>
        <v>-1.0229205971642284E-2</v>
      </c>
      <c r="W97" s="26">
        <f t="shared" si="20"/>
        <v>-1.8859248777364505E-2</v>
      </c>
      <c r="X97" s="26">
        <f t="shared" si="21"/>
        <v>4.3975388891153641E-3</v>
      </c>
    </row>
    <row r="98" spans="1:24" x14ac:dyDescent="0.2">
      <c r="A98" s="5">
        <v>28368</v>
      </c>
      <c r="B98" s="64">
        <v>0</v>
      </c>
      <c r="C98" s="64">
        <v>0</v>
      </c>
      <c r="D98" s="64">
        <v>0</v>
      </c>
      <c r="E98" s="64">
        <v>0</v>
      </c>
      <c r="F98" s="64">
        <v>0</v>
      </c>
      <c r="G98" s="64">
        <v>0</v>
      </c>
      <c r="H98" s="8">
        <f>+'Simulation and  VaR'!H111/'Simulation and  VaR'!H110-1</f>
        <v>-3.4526412705719878E-2</v>
      </c>
      <c r="I98" s="8">
        <f>+'Simulation and  VaR'!I111/'Simulation and  VaR'!I110-1</f>
        <v>-0.20449771407389095</v>
      </c>
      <c r="J98" s="8">
        <f>+'Simulation and  VaR'!J111/'Simulation and  VaR'!J110-1</f>
        <v>0</v>
      </c>
      <c r="K98" s="8">
        <f>+'Simulation and  VaR'!K111/'Simulation and  VaR'!K110-1</f>
        <v>-3.1752049665892512E-2</v>
      </c>
      <c r="L98" s="8">
        <f>+'Simulation and  VaR'!L111/'Simulation and  VaR'!L110-1</f>
        <v>1.6376938049533551E-2</v>
      </c>
      <c r="N98" s="65">
        <f t="shared" si="11"/>
        <v>-4.0114638603053919E-3</v>
      </c>
      <c r="O98" s="65">
        <f t="shared" si="12"/>
        <v>-1.9783163122913897E-3</v>
      </c>
      <c r="P98" s="65">
        <f t="shared" si="13"/>
        <v>-1.7528760466946488E-3</v>
      </c>
      <c r="Q98" s="65">
        <f t="shared" si="14"/>
        <v>-1.5722682383099995E-3</v>
      </c>
      <c r="R98" s="65">
        <f t="shared" si="15"/>
        <v>-1.477900937713463E-3</v>
      </c>
      <c r="S98" s="65">
        <f t="shared" si="16"/>
        <v>-1.4586462097298054E-3</v>
      </c>
      <c r="T98" s="26">
        <f t="shared" si="17"/>
        <v>-3.9869792750780286E-2</v>
      </c>
      <c r="U98" s="26">
        <f t="shared" si="18"/>
        <v>-0.21689948020292832</v>
      </c>
      <c r="V98" s="26">
        <f t="shared" si="19"/>
        <v>-1.0229205971642284E-2</v>
      </c>
      <c r="W98" s="26">
        <f t="shared" si="20"/>
        <v>-3.0185134384021099E-2</v>
      </c>
      <c r="X98" s="26">
        <f t="shared" si="21"/>
        <v>1.9901173163289258E-2</v>
      </c>
    </row>
    <row r="99" spans="1:24" x14ac:dyDescent="0.2">
      <c r="A99" s="5">
        <v>28398</v>
      </c>
      <c r="B99" s="64">
        <v>0</v>
      </c>
      <c r="C99" s="64">
        <v>0</v>
      </c>
      <c r="D99" s="64">
        <v>0</v>
      </c>
      <c r="E99" s="64">
        <v>0</v>
      </c>
      <c r="F99" s="64">
        <v>0</v>
      </c>
      <c r="G99" s="64">
        <v>0</v>
      </c>
      <c r="H99" s="8">
        <f>+'Simulation and  VaR'!H112/'Simulation and  VaR'!H111-1</f>
        <v>6.1628322803671587E-2</v>
      </c>
      <c r="I99" s="8">
        <f>+'Simulation and  VaR'!I112/'Simulation and  VaR'!I111-1</f>
        <v>0.10834109972040995</v>
      </c>
      <c r="J99" s="8">
        <f>+'Simulation and  VaR'!J112/'Simulation and  VaR'!J111-1</f>
        <v>0</v>
      </c>
      <c r="K99" s="8">
        <f>+'Simulation and  VaR'!K112/'Simulation and  VaR'!K111-1</f>
        <v>1.7130830600557978E-2</v>
      </c>
      <c r="L99" s="8">
        <f>+'Simulation and  VaR'!L112/'Simulation and  VaR'!L111-1</f>
        <v>-3.6320412071585428E-3</v>
      </c>
      <c r="N99" s="65">
        <f t="shared" si="11"/>
        <v>-4.0114638603053919E-3</v>
      </c>
      <c r="O99" s="65">
        <f t="shared" si="12"/>
        <v>-1.9783163122913897E-3</v>
      </c>
      <c r="P99" s="65">
        <f t="shared" si="13"/>
        <v>-1.7528760466946488E-3</v>
      </c>
      <c r="Q99" s="65">
        <f t="shared" si="14"/>
        <v>-1.5722682383099995E-3</v>
      </c>
      <c r="R99" s="65">
        <f t="shared" si="15"/>
        <v>-1.477900937713463E-3</v>
      </c>
      <c r="S99" s="65">
        <f t="shared" si="16"/>
        <v>-1.4586462097298054E-3</v>
      </c>
      <c r="T99" s="26">
        <f t="shared" si="17"/>
        <v>5.6284942758611178E-2</v>
      </c>
      <c r="U99" s="26">
        <f t="shared" si="18"/>
        <v>9.5939333591372578E-2</v>
      </c>
      <c r="V99" s="26">
        <f t="shared" si="19"/>
        <v>-1.0229205971642284E-2</v>
      </c>
      <c r="W99" s="26">
        <f t="shared" si="20"/>
        <v>1.8697745882429392E-2</v>
      </c>
      <c r="X99" s="26">
        <f t="shared" si="21"/>
        <v>-1.0780609340283647E-4</v>
      </c>
    </row>
    <row r="100" spans="1:24" x14ac:dyDescent="0.2">
      <c r="A100" s="5">
        <v>28429</v>
      </c>
      <c r="B100" s="64">
        <v>0</v>
      </c>
      <c r="C100" s="64">
        <v>0</v>
      </c>
      <c r="D100" s="64">
        <v>0</v>
      </c>
      <c r="E100" s="64">
        <v>0</v>
      </c>
      <c r="F100" s="64">
        <v>0</v>
      </c>
      <c r="G100" s="64">
        <v>0</v>
      </c>
      <c r="H100" s="8">
        <f>+'Simulation and  VaR'!H113/'Simulation and  VaR'!H112-1</f>
        <v>2.4477880080844505E-2</v>
      </c>
      <c r="I100" s="8">
        <f>+'Simulation and  VaR'!I113/'Simulation and  VaR'!I112-1</f>
        <v>-9.1093826641439613E-3</v>
      </c>
      <c r="J100" s="8">
        <f>+'Simulation and  VaR'!J113/'Simulation and  VaR'!J112-1</f>
        <v>0</v>
      </c>
      <c r="K100" s="8">
        <f>+'Simulation and  VaR'!K113/'Simulation and  VaR'!K112-1</f>
        <v>-2.7910110196814442E-2</v>
      </c>
      <c r="L100" s="8">
        <f>+'Simulation and  VaR'!L113/'Simulation and  VaR'!L112-1</f>
        <v>4.5400318133617112E-3</v>
      </c>
      <c r="N100" s="65">
        <f t="shared" si="11"/>
        <v>-4.0114638603053919E-3</v>
      </c>
      <c r="O100" s="65">
        <f t="shared" si="12"/>
        <v>-1.9783163122913897E-3</v>
      </c>
      <c r="P100" s="65">
        <f t="shared" si="13"/>
        <v>-1.7528760466946488E-3</v>
      </c>
      <c r="Q100" s="65">
        <f t="shared" si="14"/>
        <v>-1.5722682383099995E-3</v>
      </c>
      <c r="R100" s="65">
        <f t="shared" si="15"/>
        <v>-1.477900937713463E-3</v>
      </c>
      <c r="S100" s="65">
        <f t="shared" si="16"/>
        <v>-1.4586462097298054E-3</v>
      </c>
      <c r="T100" s="26">
        <f t="shared" si="17"/>
        <v>1.91345000357841E-2</v>
      </c>
      <c r="U100" s="26">
        <f t="shared" si="18"/>
        <v>-2.1511148793181341E-2</v>
      </c>
      <c r="V100" s="26">
        <f t="shared" si="19"/>
        <v>-1.0229205971642284E-2</v>
      </c>
      <c r="W100" s="26">
        <f t="shared" si="20"/>
        <v>-2.6343194914943028E-2</v>
      </c>
      <c r="X100" s="26">
        <f t="shared" si="21"/>
        <v>8.064266927117418E-3</v>
      </c>
    </row>
    <row r="101" spans="1:24" x14ac:dyDescent="0.2">
      <c r="A101" s="5">
        <v>28459</v>
      </c>
      <c r="B101" s="64">
        <v>0</v>
      </c>
      <c r="C101" s="64">
        <v>0</v>
      </c>
      <c r="D101" s="64">
        <v>0</v>
      </c>
      <c r="E101" s="64">
        <v>0</v>
      </c>
      <c r="F101" s="64">
        <v>0</v>
      </c>
      <c r="G101" s="64">
        <v>0</v>
      </c>
      <c r="H101" s="8">
        <f>+'Simulation and  VaR'!H114/'Simulation and  VaR'!H113-1</f>
        <v>-1.1398509425690539E-2</v>
      </c>
      <c r="I101" s="8">
        <f>+'Simulation and  VaR'!I114/'Simulation and  VaR'!I113-1</f>
        <v>-4.5965631850647393E-3</v>
      </c>
      <c r="J101" s="8">
        <f>+'Simulation and  VaR'!J114/'Simulation and  VaR'!J113-1</f>
        <v>0</v>
      </c>
      <c r="K101" s="8">
        <f>+'Simulation and  VaR'!K114/'Simulation and  VaR'!K113-1</f>
        <v>1.7325874956684029E-3</v>
      </c>
      <c r="L101" s="8">
        <f>+'Simulation and  VaR'!L114/'Simulation and  VaR'!L113-1</f>
        <v>6.7297859004389338E-3</v>
      </c>
      <c r="N101" s="65">
        <f t="shared" si="11"/>
        <v>-4.0114638603053919E-3</v>
      </c>
      <c r="O101" s="65">
        <f t="shared" si="12"/>
        <v>-1.9783163122913897E-3</v>
      </c>
      <c r="P101" s="65">
        <f t="shared" si="13"/>
        <v>-1.7528760466946488E-3</v>
      </c>
      <c r="Q101" s="65">
        <f t="shared" si="14"/>
        <v>-1.5722682383099995E-3</v>
      </c>
      <c r="R101" s="65">
        <f t="shared" si="15"/>
        <v>-1.477900937713463E-3</v>
      </c>
      <c r="S101" s="65">
        <f t="shared" si="16"/>
        <v>-1.4586462097298054E-3</v>
      </c>
      <c r="T101" s="26">
        <f t="shared" si="17"/>
        <v>-1.6741889470750945E-2</v>
      </c>
      <c r="U101" s="26">
        <f t="shared" si="18"/>
        <v>-1.6998329314102119E-2</v>
      </c>
      <c r="V101" s="26">
        <f t="shared" si="19"/>
        <v>-1.0229205971642284E-2</v>
      </c>
      <c r="W101" s="26">
        <f t="shared" si="20"/>
        <v>3.2995027775398174E-3</v>
      </c>
      <c r="X101" s="26">
        <f t="shared" si="21"/>
        <v>1.0254021014194641E-2</v>
      </c>
    </row>
    <row r="102" spans="1:24" x14ac:dyDescent="0.2">
      <c r="A102" s="5">
        <v>28490</v>
      </c>
      <c r="B102" s="64">
        <v>0</v>
      </c>
      <c r="C102" s="64">
        <v>0</v>
      </c>
      <c r="D102" s="64">
        <v>0</v>
      </c>
      <c r="E102" s="64">
        <v>0</v>
      </c>
      <c r="F102" s="64">
        <v>0</v>
      </c>
      <c r="G102" s="64">
        <v>0</v>
      </c>
      <c r="H102" s="8">
        <f>+'Simulation and  VaR'!H115/'Simulation and  VaR'!H114-1</f>
        <v>0.11829268292682937</v>
      </c>
      <c r="I102" s="8">
        <f>+'Simulation and  VaR'!I115/'Simulation and  VaR'!I114-1</f>
        <v>-0.10301221938050575</v>
      </c>
      <c r="J102" s="8">
        <f>+'Simulation and  VaR'!J115/'Simulation and  VaR'!J114-1</f>
        <v>0</v>
      </c>
      <c r="K102" s="8">
        <f>+'Simulation and  VaR'!K115/'Simulation and  VaR'!K114-1</f>
        <v>2.9650128483889038E-3</v>
      </c>
      <c r="L102" s="8">
        <f>+'Simulation and  VaR'!L115/'Simulation and  VaR'!L114-1</f>
        <v>-4.8825244945440716E-3</v>
      </c>
      <c r="N102" s="65">
        <f t="shared" si="11"/>
        <v>-4.0114638603053919E-3</v>
      </c>
      <c r="O102" s="65">
        <f t="shared" si="12"/>
        <v>-1.9783163122913897E-3</v>
      </c>
      <c r="P102" s="65">
        <f t="shared" si="13"/>
        <v>-1.7528760466946488E-3</v>
      </c>
      <c r="Q102" s="65">
        <f t="shared" si="14"/>
        <v>-1.5722682383099995E-3</v>
      </c>
      <c r="R102" s="65">
        <f t="shared" si="15"/>
        <v>-1.477900937713463E-3</v>
      </c>
      <c r="S102" s="65">
        <f t="shared" si="16"/>
        <v>-1.4586462097298054E-3</v>
      </c>
      <c r="T102" s="26">
        <f t="shared" si="17"/>
        <v>0.11294930288176896</v>
      </c>
      <c r="U102" s="26">
        <f t="shared" si="18"/>
        <v>-0.11541398550954313</v>
      </c>
      <c r="V102" s="26">
        <f t="shared" si="19"/>
        <v>-1.0229205971642284E-2</v>
      </c>
      <c r="W102" s="26">
        <f t="shared" si="20"/>
        <v>4.5319281302603183E-3</v>
      </c>
      <c r="X102" s="26">
        <f t="shared" si="21"/>
        <v>-1.3582893807883652E-3</v>
      </c>
    </row>
    <row r="103" spans="1:24" x14ac:dyDescent="0.2">
      <c r="A103" s="5">
        <v>28521</v>
      </c>
      <c r="B103" s="64">
        <v>0</v>
      </c>
      <c r="C103" s="64">
        <v>0</v>
      </c>
      <c r="D103" s="64">
        <v>0</v>
      </c>
      <c r="E103" s="64">
        <v>0</v>
      </c>
      <c r="F103" s="64">
        <v>0</v>
      </c>
      <c r="G103" s="64">
        <v>0</v>
      </c>
      <c r="H103" s="8">
        <f>+'Simulation and  VaR'!H116/'Simulation and  VaR'!H115-1</f>
        <v>-1.1499950431248074E-2</v>
      </c>
      <c r="I103" s="8">
        <f>+'Simulation and  VaR'!I116/'Simulation and  VaR'!I115-1</f>
        <v>4.9105021384444614E-2</v>
      </c>
      <c r="J103" s="8">
        <f>+'Simulation and  VaR'!J116/'Simulation and  VaR'!J115-1</f>
        <v>7.7887197851387535E-2</v>
      </c>
      <c r="K103" s="8">
        <f>+'Simulation and  VaR'!K116/'Simulation and  VaR'!K115-1</f>
        <v>-2.1186440677964935E-3</v>
      </c>
      <c r="L103" s="8">
        <f>+'Simulation and  VaR'!L116/'Simulation and  VaR'!L115-1</f>
        <v>-5.136986301369828E-3</v>
      </c>
      <c r="N103" s="65">
        <f t="shared" si="11"/>
        <v>-4.0114638603053919E-3</v>
      </c>
      <c r="O103" s="65">
        <f t="shared" si="12"/>
        <v>-1.9783163122913897E-3</v>
      </c>
      <c r="P103" s="65">
        <f t="shared" si="13"/>
        <v>-1.7528760466946488E-3</v>
      </c>
      <c r="Q103" s="65">
        <f t="shared" si="14"/>
        <v>-1.5722682383099995E-3</v>
      </c>
      <c r="R103" s="65">
        <f t="shared" si="15"/>
        <v>-1.477900937713463E-3</v>
      </c>
      <c r="S103" s="65">
        <f t="shared" si="16"/>
        <v>-1.4586462097298054E-3</v>
      </c>
      <c r="T103" s="26">
        <f t="shared" si="17"/>
        <v>-1.6843330476308479E-2</v>
      </c>
      <c r="U103" s="26">
        <f t="shared" si="18"/>
        <v>3.6703255255407234E-2</v>
      </c>
      <c r="V103" s="26">
        <f t="shared" si="19"/>
        <v>6.765799187974525E-2</v>
      </c>
      <c r="W103" s="26">
        <f t="shared" si="20"/>
        <v>-5.5172878592507895E-4</v>
      </c>
      <c r="X103" s="26">
        <f t="shared" si="21"/>
        <v>-1.6127511876141217E-3</v>
      </c>
    </row>
    <row r="104" spans="1:24" x14ac:dyDescent="0.2">
      <c r="A104" s="5">
        <v>28549</v>
      </c>
      <c r="B104" s="64">
        <v>0</v>
      </c>
      <c r="C104" s="64">
        <v>0</v>
      </c>
      <c r="D104" s="64">
        <v>0</v>
      </c>
      <c r="E104" s="64">
        <v>0</v>
      </c>
      <c r="F104" s="64">
        <v>0</v>
      </c>
      <c r="G104" s="64">
        <v>0</v>
      </c>
      <c r="H104" s="8">
        <f>+'Simulation and  VaR'!H117/'Simulation and  VaR'!H116-1</f>
        <v>3.078928893791999E-2</v>
      </c>
      <c r="I104" s="8">
        <f>+'Simulation and  VaR'!I117/'Simulation and  VaR'!I116-1</f>
        <v>-2.8310433338366359E-2</v>
      </c>
      <c r="J104" s="8">
        <f>+'Simulation and  VaR'!J117/'Simulation and  VaR'!J116-1</f>
        <v>5.8139534883721034E-3</v>
      </c>
      <c r="K104" s="8">
        <f>+'Simulation and  VaR'!K117/'Simulation and  VaR'!K116-1</f>
        <v>-5.3967313484422075E-2</v>
      </c>
      <c r="L104" s="8">
        <f>+'Simulation and  VaR'!L117/'Simulation and  VaR'!L116-1</f>
        <v>-8.3741559645175156E-3</v>
      </c>
      <c r="N104" s="65">
        <f t="shared" si="11"/>
        <v>-4.0114638603053919E-3</v>
      </c>
      <c r="O104" s="65">
        <f t="shared" si="12"/>
        <v>-1.9783163122913897E-3</v>
      </c>
      <c r="P104" s="65">
        <f t="shared" si="13"/>
        <v>-1.7528760466946488E-3</v>
      </c>
      <c r="Q104" s="65">
        <f t="shared" si="14"/>
        <v>-1.5722682383099995E-3</v>
      </c>
      <c r="R104" s="65">
        <f t="shared" si="15"/>
        <v>-1.477900937713463E-3</v>
      </c>
      <c r="S104" s="65">
        <f t="shared" si="16"/>
        <v>-1.4586462097298054E-3</v>
      </c>
      <c r="T104" s="26">
        <f t="shared" si="17"/>
        <v>2.5445908892859585E-2</v>
      </c>
      <c r="U104" s="26">
        <f t="shared" si="18"/>
        <v>-4.0712199467403738E-2</v>
      </c>
      <c r="V104" s="26">
        <f t="shared" si="19"/>
        <v>-4.4152524832701805E-3</v>
      </c>
      <c r="W104" s="26">
        <f t="shared" si="20"/>
        <v>-5.2400398202550658E-2</v>
      </c>
      <c r="X104" s="26">
        <f t="shared" si="21"/>
        <v>-4.8499208507618088E-3</v>
      </c>
    </row>
    <row r="105" spans="1:24" x14ac:dyDescent="0.2">
      <c r="A105" s="5">
        <v>28580</v>
      </c>
      <c r="B105" s="64">
        <v>0</v>
      </c>
      <c r="C105" s="64">
        <v>0</v>
      </c>
      <c r="D105" s="64">
        <v>0</v>
      </c>
      <c r="E105" s="64">
        <v>0</v>
      </c>
      <c r="F105" s="64">
        <v>0</v>
      </c>
      <c r="G105" s="64">
        <v>0</v>
      </c>
      <c r="H105" s="8">
        <f>+'Simulation and  VaR'!H118/'Simulation and  VaR'!H117-1</f>
        <v>-1.0994356878770151E-2</v>
      </c>
      <c r="I105" s="8">
        <f>+'Simulation and  VaR'!I118/'Simulation and  VaR'!I117-1</f>
        <v>0</v>
      </c>
      <c r="J105" s="8">
        <f>+'Simulation and  VaR'!J118/'Simulation and  VaR'!J117-1</f>
        <v>5.7803468208093012E-3</v>
      </c>
      <c r="K105" s="8">
        <f>+'Simulation and  VaR'!K118/'Simulation and  VaR'!K117-1</f>
        <v>-3.961377870563676E-2</v>
      </c>
      <c r="L105" s="8">
        <f>+'Simulation and  VaR'!L118/'Simulation and  VaR'!L117-1</f>
        <v>-1.8024633666009482E-3</v>
      </c>
      <c r="N105" s="65">
        <f t="shared" si="11"/>
        <v>-4.0114638603053919E-3</v>
      </c>
      <c r="O105" s="65">
        <f t="shared" si="12"/>
        <v>-1.9783163122913897E-3</v>
      </c>
      <c r="P105" s="65">
        <f t="shared" si="13"/>
        <v>-1.7528760466946488E-3</v>
      </c>
      <c r="Q105" s="65">
        <f t="shared" si="14"/>
        <v>-1.5722682383099995E-3</v>
      </c>
      <c r="R105" s="65">
        <f t="shared" si="15"/>
        <v>-1.477900937713463E-3</v>
      </c>
      <c r="S105" s="65">
        <f t="shared" si="16"/>
        <v>-1.4586462097298054E-3</v>
      </c>
      <c r="T105" s="26">
        <f t="shared" si="17"/>
        <v>-1.6337736923830556E-2</v>
      </c>
      <c r="U105" s="26">
        <f t="shared" si="18"/>
        <v>-1.240176612903738E-2</v>
      </c>
      <c r="V105" s="26">
        <f t="shared" si="19"/>
        <v>-4.4488591508329827E-3</v>
      </c>
      <c r="W105" s="26">
        <f t="shared" si="20"/>
        <v>-3.8046863423765342E-2</v>
      </c>
      <c r="X105" s="26">
        <f t="shared" si="21"/>
        <v>1.7217717471547582E-3</v>
      </c>
    </row>
    <row r="106" spans="1:24" x14ac:dyDescent="0.2">
      <c r="A106" s="5">
        <v>28610</v>
      </c>
      <c r="B106" s="64">
        <v>0</v>
      </c>
      <c r="C106" s="64">
        <v>0</v>
      </c>
      <c r="D106" s="64">
        <v>0</v>
      </c>
      <c r="E106" s="64">
        <v>0</v>
      </c>
      <c r="F106" s="64">
        <v>0</v>
      </c>
      <c r="G106" s="64">
        <v>0</v>
      </c>
      <c r="H106" s="8">
        <f>+'Simulation and  VaR'!H119/'Simulation and  VaR'!H118-1</f>
        <v>-1.4264633546483108E-2</v>
      </c>
      <c r="I106" s="8">
        <f>+'Simulation and  VaR'!I119/'Simulation and  VaR'!I118-1</f>
        <v>-3.2631497164167356E-2</v>
      </c>
      <c r="J106" s="8">
        <f>+'Simulation and  VaR'!J119/'Simulation and  VaR'!J118-1</f>
        <v>0</v>
      </c>
      <c r="K106" s="8">
        <f>+'Simulation and  VaR'!K119/'Simulation and  VaR'!K118-1</f>
        <v>-4.3747622411825504E-2</v>
      </c>
      <c r="L106" s="8">
        <f>+'Simulation and  VaR'!L119/'Simulation and  VaR'!L118-1</f>
        <v>3.3104831967896153E-3</v>
      </c>
      <c r="N106" s="65">
        <f t="shared" si="11"/>
        <v>-4.0114638603053919E-3</v>
      </c>
      <c r="O106" s="65">
        <f t="shared" si="12"/>
        <v>-1.9783163122913897E-3</v>
      </c>
      <c r="P106" s="65">
        <f t="shared" si="13"/>
        <v>-1.7528760466946488E-3</v>
      </c>
      <c r="Q106" s="65">
        <f t="shared" si="14"/>
        <v>-1.5722682383099995E-3</v>
      </c>
      <c r="R106" s="65">
        <f t="shared" si="15"/>
        <v>-1.477900937713463E-3</v>
      </c>
      <c r="S106" s="65">
        <f t="shared" si="16"/>
        <v>-1.4586462097298054E-3</v>
      </c>
      <c r="T106" s="26">
        <f t="shared" si="17"/>
        <v>-1.9608013591543513E-2</v>
      </c>
      <c r="U106" s="26">
        <f t="shared" si="18"/>
        <v>-4.5033263293204735E-2</v>
      </c>
      <c r="V106" s="26">
        <f t="shared" si="19"/>
        <v>-1.0229205971642284E-2</v>
      </c>
      <c r="W106" s="26">
        <f t="shared" si="20"/>
        <v>-4.2180707129954087E-2</v>
      </c>
      <c r="X106" s="26">
        <f t="shared" si="21"/>
        <v>6.8347183105453221E-3</v>
      </c>
    </row>
    <row r="107" spans="1:24" x14ac:dyDescent="0.2">
      <c r="A107" s="5">
        <v>28641</v>
      </c>
      <c r="B107" s="64">
        <v>0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8">
        <f>+'Simulation and  VaR'!H120/'Simulation and  VaR'!H119-1</f>
        <v>4.0818363273453118E-2</v>
      </c>
      <c r="I107" s="8">
        <f>+'Simulation and  VaR'!I120/'Simulation and  VaR'!I119-1</f>
        <v>-6.4251867319893297E-3</v>
      </c>
      <c r="J107" s="8">
        <f>+'Simulation and  VaR'!J120/'Simulation and  VaR'!J119-1</f>
        <v>0</v>
      </c>
      <c r="K107" s="8">
        <f>+'Simulation and  VaR'!K120/'Simulation and  VaR'!K119-1</f>
        <v>1.4491929984087326E-2</v>
      </c>
      <c r="L107" s="8">
        <f>+'Simulation and  VaR'!L120/'Simulation and  VaR'!L119-1</f>
        <v>-6.8657512331686821E-3</v>
      </c>
      <c r="N107" s="65">
        <f t="shared" si="11"/>
        <v>-4.0114638603053919E-3</v>
      </c>
      <c r="O107" s="65">
        <f t="shared" si="12"/>
        <v>-1.9783163122913897E-3</v>
      </c>
      <c r="P107" s="65">
        <f t="shared" si="13"/>
        <v>-1.7528760466946488E-3</v>
      </c>
      <c r="Q107" s="65">
        <f t="shared" si="14"/>
        <v>-1.5722682383099995E-3</v>
      </c>
      <c r="R107" s="65">
        <f t="shared" si="15"/>
        <v>-1.477900937713463E-3</v>
      </c>
      <c r="S107" s="65">
        <f t="shared" si="16"/>
        <v>-1.4586462097298054E-3</v>
      </c>
      <c r="T107" s="26">
        <f t="shared" si="17"/>
        <v>3.5474983228392709E-2</v>
      </c>
      <c r="U107" s="26">
        <f t="shared" si="18"/>
        <v>-1.8826952861026709E-2</v>
      </c>
      <c r="V107" s="26">
        <f t="shared" si="19"/>
        <v>-1.0229205971642284E-2</v>
      </c>
      <c r="W107" s="26">
        <f t="shared" si="20"/>
        <v>1.605884526595874E-2</v>
      </c>
      <c r="X107" s="26">
        <f t="shared" si="21"/>
        <v>-3.3415161194129757E-3</v>
      </c>
    </row>
    <row r="108" spans="1:24" x14ac:dyDescent="0.2">
      <c r="A108" s="5">
        <v>28671</v>
      </c>
      <c r="B108" s="64">
        <v>0</v>
      </c>
      <c r="C108" s="64">
        <v>0</v>
      </c>
      <c r="D108" s="64">
        <v>0</v>
      </c>
      <c r="E108" s="64">
        <v>0</v>
      </c>
      <c r="F108" s="64">
        <v>0</v>
      </c>
      <c r="G108" s="64">
        <v>0</v>
      </c>
      <c r="H108" s="8">
        <f>+'Simulation and  VaR'!H121/'Simulation and  VaR'!H120-1</f>
        <v>-8.0544635151980071E-3</v>
      </c>
      <c r="I108" s="8">
        <f>+'Simulation and  VaR'!I121/'Simulation and  VaR'!I120-1</f>
        <v>-7.7196669630587689E-2</v>
      </c>
      <c r="J108" s="8">
        <f>+'Simulation and  VaR'!J121/'Simulation and  VaR'!J120-1</f>
        <v>0</v>
      </c>
      <c r="K108" s="8">
        <f>+'Simulation and  VaR'!K121/'Simulation and  VaR'!K120-1</f>
        <v>0</v>
      </c>
      <c r="L108" s="8">
        <f>+'Simulation and  VaR'!L121/'Simulation and  VaR'!L120-1</f>
        <v>-1.580642996174253E-2</v>
      </c>
      <c r="N108" s="65">
        <f t="shared" si="11"/>
        <v>-4.0114638603053919E-3</v>
      </c>
      <c r="O108" s="65">
        <f t="shared" si="12"/>
        <v>-1.9783163122913897E-3</v>
      </c>
      <c r="P108" s="65">
        <f t="shared" si="13"/>
        <v>-1.7528760466946488E-3</v>
      </c>
      <c r="Q108" s="65">
        <f t="shared" si="14"/>
        <v>-1.5722682383099995E-3</v>
      </c>
      <c r="R108" s="65">
        <f t="shared" si="15"/>
        <v>-1.477900937713463E-3</v>
      </c>
      <c r="S108" s="65">
        <f t="shared" si="16"/>
        <v>-1.4586462097298054E-3</v>
      </c>
      <c r="T108" s="26">
        <f t="shared" si="17"/>
        <v>-1.3397843560258412E-2</v>
      </c>
      <c r="U108" s="26">
        <f t="shared" si="18"/>
        <v>-8.9598435759625061E-2</v>
      </c>
      <c r="V108" s="26">
        <f t="shared" si="19"/>
        <v>-1.0229205971642284E-2</v>
      </c>
      <c r="W108" s="26">
        <f t="shared" si="20"/>
        <v>1.5669152818714146E-3</v>
      </c>
      <c r="X108" s="26">
        <f t="shared" si="21"/>
        <v>-1.2282194847986823E-2</v>
      </c>
    </row>
    <row r="109" spans="1:24" x14ac:dyDescent="0.2">
      <c r="A109" s="5">
        <v>28702</v>
      </c>
      <c r="B109" s="64">
        <v>0</v>
      </c>
      <c r="C109" s="64">
        <v>0</v>
      </c>
      <c r="D109" s="64">
        <v>0</v>
      </c>
      <c r="E109" s="64">
        <v>0</v>
      </c>
      <c r="F109" s="64">
        <v>0</v>
      </c>
      <c r="G109" s="64">
        <v>0</v>
      </c>
      <c r="H109" s="8">
        <f>+'Simulation and  VaR'!H122/'Simulation and  VaR'!H121-1</f>
        <v>-5.1232479458676039E-3</v>
      </c>
      <c r="I109" s="8">
        <f>+'Simulation and  VaR'!I122/'Simulation and  VaR'!I121-1</f>
        <v>-8.5581639803784193E-2</v>
      </c>
      <c r="J109" s="8">
        <f>+'Simulation and  VaR'!J122/'Simulation and  VaR'!J121-1</f>
        <v>0</v>
      </c>
      <c r="K109" s="8">
        <f>+'Simulation and  VaR'!K122/'Simulation and  VaR'!K121-1</f>
        <v>-4.2014452971822491E-3</v>
      </c>
      <c r="L109" s="8">
        <f>+'Simulation and  VaR'!L122/'Simulation and  VaR'!L121-1</f>
        <v>-1.3332424046100799E-2</v>
      </c>
      <c r="N109" s="65">
        <f t="shared" si="11"/>
        <v>-4.0114638603053919E-3</v>
      </c>
      <c r="O109" s="65">
        <f t="shared" si="12"/>
        <v>-1.9783163122913897E-3</v>
      </c>
      <c r="P109" s="65">
        <f t="shared" si="13"/>
        <v>-1.7528760466946488E-3</v>
      </c>
      <c r="Q109" s="65">
        <f t="shared" si="14"/>
        <v>-1.5722682383099995E-3</v>
      </c>
      <c r="R109" s="65">
        <f t="shared" si="15"/>
        <v>-1.477900937713463E-3</v>
      </c>
      <c r="S109" s="65">
        <f t="shared" si="16"/>
        <v>-1.4586462097298054E-3</v>
      </c>
      <c r="T109" s="26">
        <f t="shared" si="17"/>
        <v>-1.0466627990928009E-2</v>
      </c>
      <c r="U109" s="26">
        <f t="shared" si="18"/>
        <v>-9.7983405932821566E-2</v>
      </c>
      <c r="V109" s="26">
        <f t="shared" si="19"/>
        <v>-1.0229205971642284E-2</v>
      </c>
      <c r="W109" s="26">
        <f t="shared" si="20"/>
        <v>-2.6345300153108346E-3</v>
      </c>
      <c r="X109" s="26">
        <f t="shared" si="21"/>
        <v>-9.8081889323450924E-3</v>
      </c>
    </row>
    <row r="110" spans="1:24" x14ac:dyDescent="0.2">
      <c r="A110" s="5">
        <v>28733</v>
      </c>
      <c r="B110" s="64">
        <v>0</v>
      </c>
      <c r="C110" s="64">
        <v>0</v>
      </c>
      <c r="D110" s="64">
        <v>0</v>
      </c>
      <c r="E110" s="64">
        <v>0</v>
      </c>
      <c r="F110" s="64">
        <v>0</v>
      </c>
      <c r="G110" s="64">
        <v>0</v>
      </c>
      <c r="H110" s="8">
        <f>+'Simulation and  VaR'!H123/'Simulation and  VaR'!H122-1</f>
        <v>2.2541780023319191E-2</v>
      </c>
      <c r="I110" s="8">
        <f>+'Simulation and  VaR'!I123/'Simulation and  VaR'!I122-1</f>
        <v>0.1137082095986206</v>
      </c>
      <c r="J110" s="8">
        <f>+'Simulation and  VaR'!J123/'Simulation and  VaR'!J122-1</f>
        <v>0.14203612479474548</v>
      </c>
      <c r="K110" s="8">
        <f>+'Simulation and  VaR'!K123/'Simulation and  VaR'!K122-1</f>
        <v>-6.6100360036003614E-2</v>
      </c>
      <c r="L110" s="8">
        <f>+'Simulation and  VaR'!L123/'Simulation and  VaR'!L122-1</f>
        <v>-8.6051976776334582E-3</v>
      </c>
      <c r="N110" s="65">
        <f t="shared" si="11"/>
        <v>-4.0114638603053919E-3</v>
      </c>
      <c r="O110" s="65">
        <f t="shared" si="12"/>
        <v>-1.9783163122913897E-3</v>
      </c>
      <c r="P110" s="65">
        <f t="shared" si="13"/>
        <v>-1.7528760466946488E-3</v>
      </c>
      <c r="Q110" s="65">
        <f t="shared" si="14"/>
        <v>-1.5722682383099995E-3</v>
      </c>
      <c r="R110" s="65">
        <f t="shared" si="15"/>
        <v>-1.477900937713463E-3</v>
      </c>
      <c r="S110" s="65">
        <f t="shared" si="16"/>
        <v>-1.4586462097298054E-3</v>
      </c>
      <c r="T110" s="26">
        <f t="shared" si="17"/>
        <v>1.7198399978258786E-2</v>
      </c>
      <c r="U110" s="26">
        <f t="shared" si="18"/>
        <v>0.10130644346958323</v>
      </c>
      <c r="V110" s="26">
        <f t="shared" si="19"/>
        <v>0.13180691882310319</v>
      </c>
      <c r="W110" s="26">
        <f t="shared" si="20"/>
        <v>-6.4533444754132196E-2</v>
      </c>
      <c r="X110" s="26">
        <f t="shared" si="21"/>
        <v>-5.0809625638777514E-3</v>
      </c>
    </row>
    <row r="111" spans="1:24" x14ac:dyDescent="0.2">
      <c r="A111" s="5">
        <v>28763</v>
      </c>
      <c r="B111" s="64">
        <v>0</v>
      </c>
      <c r="C111" s="64">
        <v>0</v>
      </c>
      <c r="D111" s="64">
        <v>0</v>
      </c>
      <c r="E111" s="64">
        <v>0</v>
      </c>
      <c r="F111" s="64">
        <v>0</v>
      </c>
      <c r="G111" s="64">
        <v>0</v>
      </c>
      <c r="H111" s="8">
        <f>+'Simulation and  VaR'!H124/'Simulation and  VaR'!H123-1</f>
        <v>-2.204484986697075E-2</v>
      </c>
      <c r="I111" s="8">
        <f>+'Simulation and  VaR'!I124/'Simulation and  VaR'!I123-1</f>
        <v>6.6660932392912375E-2</v>
      </c>
      <c r="J111" s="8">
        <f>+'Simulation and  VaR'!J124/'Simulation and  VaR'!J123-1</f>
        <v>0</v>
      </c>
      <c r="K111" s="8">
        <f>+'Simulation and  VaR'!K124/'Simulation and  VaR'!K123-1</f>
        <v>-7.1080055418348831E-3</v>
      </c>
      <c r="L111" s="8">
        <f>+'Simulation and  VaR'!L124/'Simulation and  VaR'!L123-1</f>
        <v>2.6213964513542631E-2</v>
      </c>
      <c r="N111" s="65">
        <f t="shared" si="11"/>
        <v>-4.0114638603053919E-3</v>
      </c>
      <c r="O111" s="65">
        <f t="shared" si="12"/>
        <v>-1.9783163122913897E-3</v>
      </c>
      <c r="P111" s="65">
        <f t="shared" si="13"/>
        <v>-1.7528760466946488E-3</v>
      </c>
      <c r="Q111" s="65">
        <f t="shared" si="14"/>
        <v>-1.5722682383099995E-3</v>
      </c>
      <c r="R111" s="65">
        <f t="shared" si="15"/>
        <v>-1.477900937713463E-3</v>
      </c>
      <c r="S111" s="65">
        <f t="shared" si="16"/>
        <v>-1.4586462097298054E-3</v>
      </c>
      <c r="T111" s="26">
        <f t="shared" si="17"/>
        <v>-2.7388229912031156E-2</v>
      </c>
      <c r="U111" s="26">
        <f t="shared" si="18"/>
        <v>5.4259166263874996E-2</v>
      </c>
      <c r="V111" s="26">
        <f t="shared" si="19"/>
        <v>-1.0229205971642284E-2</v>
      </c>
      <c r="W111" s="26">
        <f t="shared" si="20"/>
        <v>-5.5410902599634685E-3</v>
      </c>
      <c r="X111" s="26">
        <f t="shared" si="21"/>
        <v>2.9738199627298338E-2</v>
      </c>
    </row>
    <row r="112" spans="1:24" x14ac:dyDescent="0.2">
      <c r="A112" s="5">
        <v>28794</v>
      </c>
      <c r="B112" s="64">
        <v>0</v>
      </c>
      <c r="C112" s="64">
        <v>0</v>
      </c>
      <c r="D112" s="64">
        <v>0</v>
      </c>
      <c r="E112" s="64">
        <v>0</v>
      </c>
      <c r="F112" s="64">
        <v>0</v>
      </c>
      <c r="G112" s="64">
        <v>0</v>
      </c>
      <c r="H112" s="8">
        <f>+'Simulation and  VaR'!H125/'Simulation and  VaR'!H124-1</f>
        <v>-7.9673532841041395E-3</v>
      </c>
      <c r="I112" s="8">
        <f>+'Simulation and  VaR'!I125/'Simulation and  VaR'!I124-1</f>
        <v>5.2415127812273088E-2</v>
      </c>
      <c r="J112" s="8">
        <f>+'Simulation and  VaR'!J125/'Simulation and  VaR'!J124-1</f>
        <v>0</v>
      </c>
      <c r="K112" s="8">
        <f>+'Simulation and  VaR'!K125/'Simulation and  VaR'!K124-1</f>
        <v>1.6987198932232328E-3</v>
      </c>
      <c r="L112" s="8">
        <f>+'Simulation and  VaR'!L125/'Simulation and  VaR'!L124-1</f>
        <v>9.2054757294743883E-3</v>
      </c>
      <c r="N112" s="65">
        <f t="shared" si="11"/>
        <v>-4.0114638603053919E-3</v>
      </c>
      <c r="O112" s="65">
        <f t="shared" si="12"/>
        <v>-1.9783163122913897E-3</v>
      </c>
      <c r="P112" s="65">
        <f t="shared" si="13"/>
        <v>-1.7528760466946488E-3</v>
      </c>
      <c r="Q112" s="65">
        <f t="shared" si="14"/>
        <v>-1.5722682383099995E-3</v>
      </c>
      <c r="R112" s="65">
        <f t="shared" si="15"/>
        <v>-1.477900937713463E-3</v>
      </c>
      <c r="S112" s="65">
        <f t="shared" si="16"/>
        <v>-1.4586462097298054E-3</v>
      </c>
      <c r="T112" s="26">
        <f t="shared" si="17"/>
        <v>-1.3310733329164545E-2</v>
      </c>
      <c r="U112" s="26">
        <f t="shared" si="18"/>
        <v>4.0013361683235708E-2</v>
      </c>
      <c r="V112" s="26">
        <f t="shared" si="19"/>
        <v>-1.0229205971642284E-2</v>
      </c>
      <c r="W112" s="26">
        <f t="shared" si="20"/>
        <v>3.2656351750946474E-3</v>
      </c>
      <c r="X112" s="26">
        <f t="shared" si="21"/>
        <v>1.2729710843230095E-2</v>
      </c>
    </row>
    <row r="113" spans="1:24" x14ac:dyDescent="0.2">
      <c r="A113" s="5">
        <v>28824</v>
      </c>
      <c r="B113" s="64">
        <v>0</v>
      </c>
      <c r="C113" s="64">
        <v>0</v>
      </c>
      <c r="D113" s="64">
        <v>0</v>
      </c>
      <c r="E113" s="64">
        <v>0</v>
      </c>
      <c r="F113" s="64">
        <v>0</v>
      </c>
      <c r="G113" s="64">
        <v>0</v>
      </c>
      <c r="H113" s="8">
        <f>+'Simulation and  VaR'!H126/'Simulation and  VaR'!H125-1</f>
        <v>5.2497551420176203E-2</v>
      </c>
      <c r="I113" s="8">
        <f>+'Simulation and  VaR'!I126/'Simulation and  VaR'!I125-1</f>
        <v>3.164508466784155E-2</v>
      </c>
      <c r="J113" s="8">
        <f>+'Simulation and  VaR'!J126/'Simulation and  VaR'!J125-1</f>
        <v>0</v>
      </c>
      <c r="K113" s="8">
        <f>+'Simulation and  VaR'!K126/'Simulation and  VaR'!K125-1</f>
        <v>3.0282841741869015E-2</v>
      </c>
      <c r="L113" s="8">
        <f>+'Simulation and  VaR'!L126/'Simulation and  VaR'!L125-1</f>
        <v>-1.3497139010434145E-2</v>
      </c>
      <c r="N113" s="65">
        <f t="shared" si="11"/>
        <v>-4.0114638603053919E-3</v>
      </c>
      <c r="O113" s="65">
        <f t="shared" si="12"/>
        <v>-1.9783163122913897E-3</v>
      </c>
      <c r="P113" s="65">
        <f t="shared" si="13"/>
        <v>-1.7528760466946488E-3</v>
      </c>
      <c r="Q113" s="65">
        <f t="shared" si="14"/>
        <v>-1.5722682383099995E-3</v>
      </c>
      <c r="R113" s="65">
        <f t="shared" si="15"/>
        <v>-1.477900937713463E-3</v>
      </c>
      <c r="S113" s="65">
        <f t="shared" si="16"/>
        <v>-1.4586462097298054E-3</v>
      </c>
      <c r="T113" s="26">
        <f t="shared" si="17"/>
        <v>4.7154171375115794E-2</v>
      </c>
      <c r="U113" s="26">
        <f t="shared" si="18"/>
        <v>1.924331853880417E-2</v>
      </c>
      <c r="V113" s="26">
        <f t="shared" si="19"/>
        <v>-1.0229205971642284E-2</v>
      </c>
      <c r="W113" s="26">
        <f t="shared" si="20"/>
        <v>3.1849757023740433E-2</v>
      </c>
      <c r="X113" s="26">
        <f t="shared" si="21"/>
        <v>-9.9729038966784381E-3</v>
      </c>
    </row>
    <row r="114" spans="1:24" x14ac:dyDescent="0.2">
      <c r="A114" s="5">
        <v>28855</v>
      </c>
      <c r="B114" s="64">
        <v>0</v>
      </c>
      <c r="C114" s="64">
        <v>0</v>
      </c>
      <c r="D114" s="64">
        <v>0</v>
      </c>
      <c r="E114" s="64">
        <v>0</v>
      </c>
      <c r="F114" s="64">
        <v>0</v>
      </c>
      <c r="G114" s="64">
        <v>0</v>
      </c>
      <c r="H114" s="8">
        <f>+'Simulation and  VaR'!H127/'Simulation and  VaR'!H126-1</f>
        <v>-5.043737204541221E-2</v>
      </c>
      <c r="I114" s="8">
        <f>+'Simulation and  VaR'!I127/'Simulation and  VaR'!I126-1</f>
        <v>-1.6711229946524075E-2</v>
      </c>
      <c r="J114" s="8">
        <f>+'Simulation and  VaR'!J127/'Simulation and  VaR'!J126-1</f>
        <v>0</v>
      </c>
      <c r="K114" s="8">
        <f>+'Simulation and  VaR'!K127/'Simulation and  VaR'!K126-1</f>
        <v>8.229968843689317E-3</v>
      </c>
      <c r="L114" s="8">
        <f>+'Simulation and  VaR'!L127/'Simulation and  VaR'!L126-1</f>
        <v>-1.5865433825787201E-2</v>
      </c>
      <c r="N114" s="65">
        <f t="shared" si="11"/>
        <v>-4.0114638603053919E-3</v>
      </c>
      <c r="O114" s="65">
        <f t="shared" si="12"/>
        <v>-1.9783163122913897E-3</v>
      </c>
      <c r="P114" s="65">
        <f t="shared" si="13"/>
        <v>-1.7528760466946488E-3</v>
      </c>
      <c r="Q114" s="65">
        <f t="shared" si="14"/>
        <v>-1.5722682383099995E-3</v>
      </c>
      <c r="R114" s="65">
        <f t="shared" si="15"/>
        <v>-1.477900937713463E-3</v>
      </c>
      <c r="S114" s="65">
        <f t="shared" si="16"/>
        <v>-1.4586462097298054E-3</v>
      </c>
      <c r="T114" s="26">
        <f t="shared" si="17"/>
        <v>-5.5780752090472618E-2</v>
      </c>
      <c r="U114" s="26">
        <f t="shared" si="18"/>
        <v>-2.9112996075561455E-2</v>
      </c>
      <c r="V114" s="26">
        <f t="shared" si="19"/>
        <v>-1.0229205971642284E-2</v>
      </c>
      <c r="W114" s="26">
        <f t="shared" si="20"/>
        <v>9.7968841255607307E-3</v>
      </c>
      <c r="X114" s="26">
        <f t="shared" si="21"/>
        <v>-1.2341198712031494E-2</v>
      </c>
    </row>
    <row r="115" spans="1:24" x14ac:dyDescent="0.2">
      <c r="A115" s="5">
        <v>28886</v>
      </c>
      <c r="B115" s="64">
        <v>0</v>
      </c>
      <c r="C115" s="64">
        <v>0</v>
      </c>
      <c r="D115" s="64">
        <v>0</v>
      </c>
      <c r="E115" s="64">
        <v>0</v>
      </c>
      <c r="F115" s="64">
        <v>0</v>
      </c>
      <c r="G115" s="64">
        <v>0</v>
      </c>
      <c r="H115" s="8">
        <f>+'Simulation and  VaR'!H128/'Simulation and  VaR'!H127-1</f>
        <v>-2.1658173265386216E-2</v>
      </c>
      <c r="I115" s="8">
        <f>+'Simulation and  VaR'!I128/'Simulation and  VaR'!I127-1</f>
        <v>8.1199486366039686E-2</v>
      </c>
      <c r="J115" s="8">
        <f>+'Simulation and  VaR'!J128/'Simulation and  VaR'!J127-1</f>
        <v>0</v>
      </c>
      <c r="K115" s="8">
        <f>+'Simulation and  VaR'!K128/'Simulation and  VaR'!K127-1</f>
        <v>-1.1661127631040769E-3</v>
      </c>
      <c r="L115" s="8">
        <f>+'Simulation and  VaR'!L128/'Simulation and  VaR'!L127-1</f>
        <v>-1.9484121481070593E-2</v>
      </c>
      <c r="N115" s="65">
        <f t="shared" si="11"/>
        <v>-4.0114638603053919E-3</v>
      </c>
      <c r="O115" s="65">
        <f t="shared" si="12"/>
        <v>-1.9783163122913897E-3</v>
      </c>
      <c r="P115" s="65">
        <f t="shared" si="13"/>
        <v>-1.7528760466946488E-3</v>
      </c>
      <c r="Q115" s="65">
        <f t="shared" si="14"/>
        <v>-1.5722682383099995E-3</v>
      </c>
      <c r="R115" s="65">
        <f t="shared" si="15"/>
        <v>-1.477900937713463E-3</v>
      </c>
      <c r="S115" s="65">
        <f t="shared" si="16"/>
        <v>-1.4586462097298054E-3</v>
      </c>
      <c r="T115" s="26">
        <f t="shared" si="17"/>
        <v>-2.7001553310446621E-2</v>
      </c>
      <c r="U115" s="26">
        <f t="shared" si="18"/>
        <v>6.8797720237002313E-2</v>
      </c>
      <c r="V115" s="26">
        <f t="shared" si="19"/>
        <v>-1.0229205971642284E-2</v>
      </c>
      <c r="W115" s="26">
        <f t="shared" si="20"/>
        <v>4.008025187673377E-4</v>
      </c>
      <c r="X115" s="26">
        <f t="shared" si="21"/>
        <v>-1.5959886367314886E-2</v>
      </c>
    </row>
    <row r="116" spans="1:24" x14ac:dyDescent="0.2">
      <c r="A116" s="5">
        <v>28914</v>
      </c>
      <c r="B116" s="64">
        <v>0</v>
      </c>
      <c r="C116" s="64">
        <v>0</v>
      </c>
      <c r="D116" s="64">
        <v>0</v>
      </c>
      <c r="E116" s="64">
        <v>0</v>
      </c>
      <c r="F116" s="64">
        <v>0</v>
      </c>
      <c r="G116" s="64">
        <v>0</v>
      </c>
      <c r="H116" s="8">
        <f>+'Simulation and  VaR'!H129/'Simulation and  VaR'!H128-1</f>
        <v>-1.4023840528899045E-2</v>
      </c>
      <c r="I116" s="8">
        <f>+'Simulation and  VaR'!I129/'Simulation and  VaR'!I128-1</f>
        <v>4.0170462484281133E-2</v>
      </c>
      <c r="J116" s="8">
        <f>+'Simulation and  VaR'!J129/'Simulation and  VaR'!J128-1</f>
        <v>0</v>
      </c>
      <c r="K116" s="8">
        <f>+'Simulation and  VaR'!K129/'Simulation and  VaR'!K128-1</f>
        <v>4.086159593718941E-3</v>
      </c>
      <c r="L116" s="8">
        <f>+'Simulation and  VaR'!L129/'Simulation and  VaR'!L128-1</f>
        <v>-1.8598401810338672E-2</v>
      </c>
      <c r="N116" s="65">
        <f t="shared" si="11"/>
        <v>-4.0114638603053919E-3</v>
      </c>
      <c r="O116" s="65">
        <f t="shared" si="12"/>
        <v>-1.9783163122913897E-3</v>
      </c>
      <c r="P116" s="65">
        <f t="shared" si="13"/>
        <v>-1.7528760466946488E-3</v>
      </c>
      <c r="Q116" s="65">
        <f t="shared" si="14"/>
        <v>-1.5722682383099995E-3</v>
      </c>
      <c r="R116" s="65">
        <f t="shared" si="15"/>
        <v>-1.477900937713463E-3</v>
      </c>
      <c r="S116" s="65">
        <f t="shared" si="16"/>
        <v>-1.4586462097298054E-3</v>
      </c>
      <c r="T116" s="26">
        <f t="shared" si="17"/>
        <v>-1.936722057395945E-2</v>
      </c>
      <c r="U116" s="26">
        <f t="shared" si="18"/>
        <v>2.7768696355243754E-2</v>
      </c>
      <c r="V116" s="26">
        <f t="shared" si="19"/>
        <v>-1.0229205971642284E-2</v>
      </c>
      <c r="W116" s="26">
        <f t="shared" si="20"/>
        <v>5.6530748755903555E-3</v>
      </c>
      <c r="X116" s="26">
        <f t="shared" si="21"/>
        <v>-1.5074166696582965E-2</v>
      </c>
    </row>
    <row r="117" spans="1:24" x14ac:dyDescent="0.2">
      <c r="A117" s="5">
        <v>28945</v>
      </c>
      <c r="B117" s="64">
        <v>0</v>
      </c>
      <c r="C117" s="64">
        <v>0</v>
      </c>
      <c r="D117" s="64">
        <v>0</v>
      </c>
      <c r="E117" s="64">
        <v>0</v>
      </c>
      <c r="F117" s="64">
        <v>0</v>
      </c>
      <c r="G117" s="64">
        <v>0</v>
      </c>
      <c r="H117" s="8">
        <f>+'Simulation and  VaR'!H130/'Simulation and  VaR'!H129-1</f>
        <v>2.0319008432378993E-4</v>
      </c>
      <c r="I117" s="8">
        <f>+'Simulation and  VaR'!I130/'Simulation and  VaR'!I129-1</f>
        <v>-1.0074551682450084E-2</v>
      </c>
      <c r="J117" s="8">
        <f>+'Simulation and  VaR'!J130/'Simulation and  VaR'!J129-1</f>
        <v>0</v>
      </c>
      <c r="K117" s="8">
        <f>+'Simulation and  VaR'!K130/'Simulation and  VaR'!K129-1</f>
        <v>-4.6508923899779564E-4</v>
      </c>
      <c r="L117" s="8">
        <f>+'Simulation and  VaR'!L130/'Simulation and  VaR'!L129-1</f>
        <v>8.2864966133433526E-4</v>
      </c>
      <c r="N117" s="65">
        <f t="shared" si="11"/>
        <v>-4.0114638603053919E-3</v>
      </c>
      <c r="O117" s="65">
        <f t="shared" si="12"/>
        <v>-1.9783163122913897E-3</v>
      </c>
      <c r="P117" s="65">
        <f t="shared" si="13"/>
        <v>-1.7528760466946488E-3</v>
      </c>
      <c r="Q117" s="65">
        <f t="shared" si="14"/>
        <v>-1.5722682383099995E-3</v>
      </c>
      <c r="R117" s="65">
        <f t="shared" si="15"/>
        <v>-1.477900937713463E-3</v>
      </c>
      <c r="S117" s="65">
        <f t="shared" si="16"/>
        <v>-1.4586462097298054E-3</v>
      </c>
      <c r="T117" s="26">
        <f t="shared" si="17"/>
        <v>-5.1401899607366151E-3</v>
      </c>
      <c r="U117" s="26">
        <f t="shared" si="18"/>
        <v>-2.2476317811487463E-2</v>
      </c>
      <c r="V117" s="26">
        <f t="shared" si="19"/>
        <v>-1.0229205971642284E-2</v>
      </c>
      <c r="W117" s="26">
        <f t="shared" si="20"/>
        <v>1.1018260428736189E-3</v>
      </c>
      <c r="X117" s="26">
        <f t="shared" si="21"/>
        <v>4.3528847750900421E-3</v>
      </c>
    </row>
    <row r="118" spans="1:24" x14ac:dyDescent="0.2">
      <c r="A118" s="5">
        <v>28975</v>
      </c>
      <c r="B118" s="64">
        <v>0</v>
      </c>
      <c r="C118" s="64">
        <v>0</v>
      </c>
      <c r="D118" s="64">
        <v>0</v>
      </c>
      <c r="E118" s="64">
        <v>0</v>
      </c>
      <c r="F118" s="64">
        <v>0</v>
      </c>
      <c r="G118" s="64">
        <v>0</v>
      </c>
      <c r="H118" s="8">
        <f>+'Simulation and  VaR'!H131/'Simulation and  VaR'!H130-1</f>
        <v>-2.3565261554088335E-2</v>
      </c>
      <c r="I118" s="8">
        <f>+'Simulation and  VaR'!I131/'Simulation and  VaR'!I130-1</f>
        <v>-2.8360132980527863E-2</v>
      </c>
      <c r="J118" s="8">
        <f>+'Simulation and  VaR'!J131/'Simulation and  VaR'!J130-1</f>
        <v>0</v>
      </c>
      <c r="K118" s="8">
        <f>+'Simulation and  VaR'!K131/'Simulation and  VaR'!K130-1</f>
        <v>-5.816320595586344E-5</v>
      </c>
      <c r="L118" s="8">
        <f>+'Simulation and  VaR'!L131/'Simulation and  VaR'!L130-1</f>
        <v>-1.7999208034846781E-3</v>
      </c>
      <c r="N118" s="65">
        <f t="shared" si="11"/>
        <v>-4.0114638603053919E-3</v>
      </c>
      <c r="O118" s="65">
        <f t="shared" si="12"/>
        <v>-1.9783163122913897E-3</v>
      </c>
      <c r="P118" s="65">
        <f t="shared" si="13"/>
        <v>-1.7528760466946488E-3</v>
      </c>
      <c r="Q118" s="65">
        <f t="shared" si="14"/>
        <v>-1.5722682383099995E-3</v>
      </c>
      <c r="R118" s="65">
        <f t="shared" si="15"/>
        <v>-1.477900937713463E-3</v>
      </c>
      <c r="S118" s="65">
        <f t="shared" si="16"/>
        <v>-1.4586462097298054E-3</v>
      </c>
      <c r="T118" s="26">
        <f t="shared" si="17"/>
        <v>-2.890864159914874E-2</v>
      </c>
      <c r="U118" s="26">
        <f t="shared" si="18"/>
        <v>-4.0761899109565243E-2</v>
      </c>
      <c r="V118" s="26">
        <f t="shared" si="19"/>
        <v>-1.0229205971642284E-2</v>
      </c>
      <c r="W118" s="26">
        <f t="shared" si="20"/>
        <v>1.5087520759155511E-3</v>
      </c>
      <c r="X118" s="26">
        <f t="shared" si="21"/>
        <v>1.7243143102710283E-3</v>
      </c>
    </row>
    <row r="119" spans="1:24" x14ac:dyDescent="0.2">
      <c r="A119" s="5">
        <v>29006</v>
      </c>
      <c r="B119" s="64">
        <v>0</v>
      </c>
      <c r="C119" s="64">
        <v>0</v>
      </c>
      <c r="D119" s="64">
        <v>0</v>
      </c>
      <c r="E119" s="64">
        <v>0</v>
      </c>
      <c r="F119" s="64">
        <v>0</v>
      </c>
      <c r="G119" s="64">
        <v>0</v>
      </c>
      <c r="H119" s="8">
        <f>+'Simulation and  VaR'!H132/'Simulation and  VaR'!H131-1</f>
        <v>4.5355248101529133E-2</v>
      </c>
      <c r="I119" s="8">
        <f>+'Simulation and  VaR'!I132/'Simulation and  VaR'!I131-1</f>
        <v>-4.8879268207524529E-4</v>
      </c>
      <c r="J119" s="8">
        <f>+'Simulation and  VaR'!J132/'Simulation and  VaR'!J131-1</f>
        <v>0</v>
      </c>
      <c r="K119" s="8">
        <f>+'Simulation and  VaR'!K132/'Simulation and  VaR'!K131-1</f>
        <v>3.489995346672714E-4</v>
      </c>
      <c r="L119" s="8">
        <f>+'Simulation and  VaR'!L132/'Simulation and  VaR'!L131-1</f>
        <v>-3.4945364059288053E-2</v>
      </c>
      <c r="N119" s="65">
        <f t="shared" si="11"/>
        <v>-4.0114638603053919E-3</v>
      </c>
      <c r="O119" s="65">
        <f t="shared" si="12"/>
        <v>-1.9783163122913897E-3</v>
      </c>
      <c r="P119" s="65">
        <f t="shared" si="13"/>
        <v>-1.7528760466946488E-3</v>
      </c>
      <c r="Q119" s="65">
        <f t="shared" si="14"/>
        <v>-1.5722682383099995E-3</v>
      </c>
      <c r="R119" s="65">
        <f t="shared" si="15"/>
        <v>-1.477900937713463E-3</v>
      </c>
      <c r="S119" s="65">
        <f t="shared" si="16"/>
        <v>-1.4586462097298054E-3</v>
      </c>
      <c r="T119" s="26">
        <f t="shared" si="17"/>
        <v>4.0011868056468725E-2</v>
      </c>
      <c r="U119" s="26">
        <f t="shared" si="18"/>
        <v>-1.2890558811112625E-2</v>
      </c>
      <c r="V119" s="26">
        <f t="shared" si="19"/>
        <v>-1.0229205971642284E-2</v>
      </c>
      <c r="W119" s="26">
        <f t="shared" si="20"/>
        <v>1.915914816538686E-3</v>
      </c>
      <c r="X119" s="26">
        <f t="shared" si="21"/>
        <v>-3.1421128945532346E-2</v>
      </c>
    </row>
    <row r="120" spans="1:24" x14ac:dyDescent="0.2">
      <c r="A120" s="5">
        <v>29036</v>
      </c>
      <c r="B120" s="64">
        <v>0</v>
      </c>
      <c r="C120" s="64">
        <v>0</v>
      </c>
      <c r="D120" s="64">
        <v>0</v>
      </c>
      <c r="E120" s="64">
        <v>0</v>
      </c>
      <c r="F120" s="64">
        <v>0</v>
      </c>
      <c r="G120" s="64">
        <v>0</v>
      </c>
      <c r="H120" s="8">
        <f>+'Simulation and  VaR'!H133/'Simulation and  VaR'!H132-1</f>
        <v>-1.6220519454672178E-2</v>
      </c>
      <c r="I120" s="8">
        <f>+'Simulation and  VaR'!I133/'Simulation and  VaR'!I132-1</f>
        <v>8.7327092357132319E-3</v>
      </c>
      <c r="J120" s="8">
        <f>+'Simulation and  VaR'!J133/'Simulation and  VaR'!J132-1</f>
        <v>0</v>
      </c>
      <c r="K120" s="8">
        <f>+'Simulation and  VaR'!K133/'Simulation and  VaR'!K132-1</f>
        <v>9.7685777415978947E-3</v>
      </c>
      <c r="L120" s="8">
        <f>+'Simulation and  VaR'!L133/'Simulation and  VaR'!L132-1</f>
        <v>-2.9147982062779354E-3</v>
      </c>
      <c r="N120" s="65">
        <f t="shared" si="11"/>
        <v>-4.0114638603053919E-3</v>
      </c>
      <c r="O120" s="65">
        <f t="shared" si="12"/>
        <v>-1.9783163122913897E-3</v>
      </c>
      <c r="P120" s="65">
        <f t="shared" si="13"/>
        <v>-1.7528760466946488E-3</v>
      </c>
      <c r="Q120" s="65">
        <f t="shared" si="14"/>
        <v>-1.5722682383099995E-3</v>
      </c>
      <c r="R120" s="65">
        <f t="shared" si="15"/>
        <v>-1.477900937713463E-3</v>
      </c>
      <c r="S120" s="65">
        <f t="shared" si="16"/>
        <v>-1.4586462097298054E-3</v>
      </c>
      <c r="T120" s="26">
        <f t="shared" si="17"/>
        <v>-2.1563899499732583E-2</v>
      </c>
      <c r="U120" s="26">
        <f t="shared" si="18"/>
        <v>-3.6690568933241477E-3</v>
      </c>
      <c r="V120" s="26">
        <f t="shared" si="19"/>
        <v>-1.0229205971642284E-2</v>
      </c>
      <c r="W120" s="26">
        <f t="shared" si="20"/>
        <v>1.1335493023469308E-2</v>
      </c>
      <c r="X120" s="26">
        <f t="shared" si="21"/>
        <v>6.0943690747777097E-4</v>
      </c>
    </row>
    <row r="121" spans="1:24" x14ac:dyDescent="0.2">
      <c r="A121" s="5">
        <v>29067</v>
      </c>
      <c r="B121" s="64">
        <v>0</v>
      </c>
      <c r="C121" s="64">
        <v>0</v>
      </c>
      <c r="D121" s="64">
        <v>0</v>
      </c>
      <c r="E121" s="64">
        <v>0</v>
      </c>
      <c r="F121" s="64">
        <v>0</v>
      </c>
      <c r="G121" s="64">
        <v>0</v>
      </c>
      <c r="H121" s="8">
        <f>+'Simulation and  VaR'!H134/'Simulation and  VaR'!H133-1</f>
        <v>-2.1039854339469977E-2</v>
      </c>
      <c r="I121" s="8">
        <f>+'Simulation and  VaR'!I134/'Simulation and  VaR'!I133-1</f>
        <v>1.2119952905325748E-2</v>
      </c>
      <c r="J121" s="8">
        <f>+'Simulation and  VaR'!J134/'Simulation and  VaR'!J133-1</f>
        <v>6.8296189791516859E-2</v>
      </c>
      <c r="K121" s="8">
        <f>+'Simulation and  VaR'!K134/'Simulation and  VaR'!K133-1</f>
        <v>3.6277784175975381E-3</v>
      </c>
      <c r="L121" s="8">
        <f>+'Simulation and  VaR'!L134/'Simulation and  VaR'!L133-1</f>
        <v>2.5860130425006123E-3</v>
      </c>
      <c r="N121" s="65">
        <f t="shared" si="11"/>
        <v>-4.0114638603053919E-3</v>
      </c>
      <c r="O121" s="65">
        <f t="shared" si="12"/>
        <v>-1.9783163122913897E-3</v>
      </c>
      <c r="P121" s="65">
        <f t="shared" si="13"/>
        <v>-1.7528760466946488E-3</v>
      </c>
      <c r="Q121" s="65">
        <f t="shared" si="14"/>
        <v>-1.5722682383099995E-3</v>
      </c>
      <c r="R121" s="65">
        <f t="shared" si="15"/>
        <v>-1.477900937713463E-3</v>
      </c>
      <c r="S121" s="65">
        <f t="shared" si="16"/>
        <v>-1.4586462097298054E-3</v>
      </c>
      <c r="T121" s="26">
        <f t="shared" si="17"/>
        <v>-2.6383234384530382E-2</v>
      </c>
      <c r="U121" s="26">
        <f t="shared" si="18"/>
        <v>-2.8181322371163137E-4</v>
      </c>
      <c r="V121" s="26">
        <f t="shared" si="19"/>
        <v>5.8066983819874574E-2</v>
      </c>
      <c r="W121" s="26">
        <f t="shared" si="20"/>
        <v>5.1946936994689526E-3</v>
      </c>
      <c r="X121" s="26">
        <f t="shared" si="21"/>
        <v>6.1102481562563191E-3</v>
      </c>
    </row>
    <row r="122" spans="1:24" x14ac:dyDescent="0.2">
      <c r="A122" s="5">
        <v>29098</v>
      </c>
      <c r="B122" s="64">
        <v>0</v>
      </c>
      <c r="C122" s="64">
        <v>0</v>
      </c>
      <c r="D122" s="64">
        <v>0</v>
      </c>
      <c r="E122" s="64">
        <v>0</v>
      </c>
      <c r="F122" s="64">
        <v>0</v>
      </c>
      <c r="G122" s="64">
        <v>0</v>
      </c>
      <c r="H122" s="8">
        <f>+'Simulation and  VaR'!H135/'Simulation and  VaR'!H134-1</f>
        <v>-2.4798512089274638E-3</v>
      </c>
      <c r="I122" s="8">
        <f>+'Simulation and  VaR'!I135/'Simulation and  VaR'!I134-1</f>
        <v>5.6452716573148987E-2</v>
      </c>
      <c r="J122" s="8">
        <f>+'Simulation and  VaR'!J135/'Simulation and  VaR'!J134-1</f>
        <v>0</v>
      </c>
      <c r="K122" s="8">
        <f>+'Simulation and  VaR'!K135/'Simulation and  VaR'!K134-1</f>
        <v>2.7540306385906987E-3</v>
      </c>
      <c r="L122" s="8">
        <f>+'Simulation and  VaR'!L135/'Simulation and  VaR'!L134-1</f>
        <v>-1.4167694665620068E-2</v>
      </c>
      <c r="N122" s="65">
        <f t="shared" si="11"/>
        <v>-4.0114638603053919E-3</v>
      </c>
      <c r="O122" s="65">
        <f t="shared" si="12"/>
        <v>-1.9783163122913897E-3</v>
      </c>
      <c r="P122" s="65">
        <f t="shared" si="13"/>
        <v>-1.7528760466946488E-3</v>
      </c>
      <c r="Q122" s="65">
        <f t="shared" si="14"/>
        <v>-1.5722682383099995E-3</v>
      </c>
      <c r="R122" s="65">
        <f t="shared" si="15"/>
        <v>-1.477900937713463E-3</v>
      </c>
      <c r="S122" s="65">
        <f t="shared" si="16"/>
        <v>-1.4586462097298054E-3</v>
      </c>
      <c r="T122" s="26">
        <f t="shared" si="17"/>
        <v>-7.8232312539878689E-3</v>
      </c>
      <c r="U122" s="26">
        <f t="shared" si="18"/>
        <v>4.4050950444111607E-2</v>
      </c>
      <c r="V122" s="26">
        <f t="shared" si="19"/>
        <v>-1.0229205971642284E-2</v>
      </c>
      <c r="W122" s="26">
        <f t="shared" si="20"/>
        <v>4.3209459204621133E-3</v>
      </c>
      <c r="X122" s="26">
        <f t="shared" si="21"/>
        <v>-1.0643459551864361E-2</v>
      </c>
    </row>
    <row r="123" spans="1:24" x14ac:dyDescent="0.2">
      <c r="A123" s="5">
        <v>29128</v>
      </c>
      <c r="B123" s="64">
        <v>0</v>
      </c>
      <c r="C123" s="64">
        <v>0</v>
      </c>
      <c r="D123" s="64">
        <v>0</v>
      </c>
      <c r="E123" s="64">
        <v>0</v>
      </c>
      <c r="F123" s="64">
        <v>0</v>
      </c>
      <c r="G123" s="64">
        <v>0</v>
      </c>
      <c r="H123" s="8">
        <f>+'Simulation and  VaR'!H136/'Simulation and  VaR'!H135-1</f>
        <v>-4.3401698777708719E-2</v>
      </c>
      <c r="I123" s="8">
        <f>+'Simulation and  VaR'!I136/'Simulation and  VaR'!I135-1</f>
        <v>4.6958999935228896E-2</v>
      </c>
      <c r="J123" s="8">
        <f>+'Simulation and  VaR'!J136/'Simulation and  VaR'!J135-1</f>
        <v>0</v>
      </c>
      <c r="K123" s="8">
        <f>+'Simulation and  VaR'!K136/'Simulation and  VaR'!K135-1</f>
        <v>5.2583395319562909E-2</v>
      </c>
      <c r="L123" s="8">
        <f>+'Simulation and  VaR'!L136/'Simulation and  VaR'!L135-1</f>
        <v>-5.5285909297740021E-2</v>
      </c>
      <c r="N123" s="65">
        <f t="shared" si="11"/>
        <v>-4.0114638603053919E-3</v>
      </c>
      <c r="O123" s="65">
        <f t="shared" si="12"/>
        <v>-1.9783163122913897E-3</v>
      </c>
      <c r="P123" s="65">
        <f t="shared" si="13"/>
        <v>-1.7528760466946488E-3</v>
      </c>
      <c r="Q123" s="65">
        <f t="shared" si="14"/>
        <v>-1.5722682383099995E-3</v>
      </c>
      <c r="R123" s="65">
        <f t="shared" si="15"/>
        <v>-1.477900937713463E-3</v>
      </c>
      <c r="S123" s="65">
        <f t="shared" si="16"/>
        <v>-1.4586462097298054E-3</v>
      </c>
      <c r="T123" s="26">
        <f t="shared" si="17"/>
        <v>-4.8745078822769128E-2</v>
      </c>
      <c r="U123" s="26">
        <f t="shared" si="18"/>
        <v>3.4557233806191516E-2</v>
      </c>
      <c r="V123" s="26">
        <f t="shared" si="19"/>
        <v>-1.0229205971642284E-2</v>
      </c>
      <c r="W123" s="26">
        <f t="shared" si="20"/>
        <v>5.4150310601434326E-2</v>
      </c>
      <c r="X123" s="26">
        <f t="shared" si="21"/>
        <v>-5.1761674183984314E-2</v>
      </c>
    </row>
    <row r="124" spans="1:24" x14ac:dyDescent="0.2">
      <c r="A124" s="5">
        <v>29159</v>
      </c>
      <c r="B124" s="64">
        <v>0</v>
      </c>
      <c r="C124" s="64">
        <v>0</v>
      </c>
      <c r="D124" s="64">
        <v>0</v>
      </c>
      <c r="E124" s="64">
        <v>0</v>
      </c>
      <c r="F124" s="64">
        <v>0</v>
      </c>
      <c r="G124" s="64">
        <v>0</v>
      </c>
      <c r="H124" s="8">
        <f>+'Simulation and  VaR'!H137/'Simulation and  VaR'!H136-1</f>
        <v>2.6962642122360547E-2</v>
      </c>
      <c r="I124" s="8">
        <f>+'Simulation and  VaR'!I137/'Simulation and  VaR'!I136-1</f>
        <v>-9.2798812175204359E-3</v>
      </c>
      <c r="J124" s="8">
        <f>+'Simulation and  VaR'!J137/'Simulation and  VaR'!J136-1</f>
        <v>0</v>
      </c>
      <c r="K124" s="8">
        <f>+'Simulation and  VaR'!K137/'Simulation and  VaR'!K136-1</f>
        <v>-1.2230919765166326E-2</v>
      </c>
      <c r="L124" s="8">
        <f>+'Simulation and  VaR'!L137/'Simulation and  VaR'!L136-1</f>
        <v>-2.0510556313719119E-2</v>
      </c>
      <c r="N124" s="65">
        <f t="shared" si="11"/>
        <v>-4.0114638603053919E-3</v>
      </c>
      <c r="O124" s="65">
        <f t="shared" si="12"/>
        <v>-1.9783163122913897E-3</v>
      </c>
      <c r="P124" s="65">
        <f t="shared" si="13"/>
        <v>-1.7528760466946488E-3</v>
      </c>
      <c r="Q124" s="65">
        <f t="shared" si="14"/>
        <v>-1.5722682383099995E-3</v>
      </c>
      <c r="R124" s="65">
        <f t="shared" si="15"/>
        <v>-1.477900937713463E-3</v>
      </c>
      <c r="S124" s="65">
        <f t="shared" si="16"/>
        <v>-1.4586462097298054E-3</v>
      </c>
      <c r="T124" s="26">
        <f t="shared" si="17"/>
        <v>2.1619262077300142E-2</v>
      </c>
      <c r="U124" s="26">
        <f t="shared" si="18"/>
        <v>-2.1681647346557816E-2</v>
      </c>
      <c r="V124" s="26">
        <f t="shared" si="19"/>
        <v>-1.0229205971642284E-2</v>
      </c>
      <c r="W124" s="26">
        <f t="shared" si="20"/>
        <v>-1.0664004483294912E-2</v>
      </c>
      <c r="X124" s="26">
        <f t="shared" si="21"/>
        <v>-1.6986321199963413E-2</v>
      </c>
    </row>
    <row r="125" spans="1:24" x14ac:dyDescent="0.2">
      <c r="A125" s="5">
        <v>29189</v>
      </c>
      <c r="B125" s="64">
        <v>0</v>
      </c>
      <c r="C125" s="64">
        <v>0</v>
      </c>
      <c r="D125" s="64">
        <v>0</v>
      </c>
      <c r="E125" s="64">
        <v>0</v>
      </c>
      <c r="F125" s="64">
        <v>0</v>
      </c>
      <c r="G125" s="64">
        <v>0</v>
      </c>
      <c r="H125" s="8">
        <f>+'Simulation and  VaR'!H138/'Simulation and  VaR'!H137-1</f>
        <v>2.846900042176248E-3</v>
      </c>
      <c r="I125" s="8">
        <f>+'Simulation and  VaR'!I138/'Simulation and  VaR'!I137-1</f>
        <v>3.1222680154864513E-2</v>
      </c>
      <c r="J125" s="8">
        <f>+'Simulation and  VaR'!J138/'Simulation and  VaR'!J137-1</f>
        <v>0</v>
      </c>
      <c r="K125" s="8">
        <f>+'Simulation and  VaR'!K138/'Simulation and  VaR'!K137-1</f>
        <v>5.5032744482967466E-2</v>
      </c>
      <c r="L125" s="8">
        <f>+'Simulation and  VaR'!L138/'Simulation and  VaR'!L137-1</f>
        <v>-1.6555341556366066E-2</v>
      </c>
      <c r="N125" s="65">
        <f t="shared" si="11"/>
        <v>-4.0114638603053919E-3</v>
      </c>
      <c r="O125" s="65">
        <f t="shared" si="12"/>
        <v>-1.9783163122913897E-3</v>
      </c>
      <c r="P125" s="65">
        <f t="shared" si="13"/>
        <v>-1.7528760466946488E-3</v>
      </c>
      <c r="Q125" s="65">
        <f t="shared" si="14"/>
        <v>-1.5722682383099995E-3</v>
      </c>
      <c r="R125" s="65">
        <f t="shared" si="15"/>
        <v>-1.477900937713463E-3</v>
      </c>
      <c r="S125" s="65">
        <f t="shared" si="16"/>
        <v>-1.4586462097298054E-3</v>
      </c>
      <c r="T125" s="26">
        <f t="shared" si="17"/>
        <v>-2.496480002884157E-3</v>
      </c>
      <c r="U125" s="26">
        <f t="shared" si="18"/>
        <v>1.8820914025827133E-2</v>
      </c>
      <c r="V125" s="26">
        <f t="shared" si="19"/>
        <v>-1.0229205971642284E-2</v>
      </c>
      <c r="W125" s="26">
        <f t="shared" si="20"/>
        <v>5.6599659764838883E-2</v>
      </c>
      <c r="X125" s="26">
        <f t="shared" si="21"/>
        <v>-1.3031106442610359E-2</v>
      </c>
    </row>
    <row r="126" spans="1:24" x14ac:dyDescent="0.2">
      <c r="A126" s="5">
        <v>29220</v>
      </c>
      <c r="B126" s="64">
        <v>0</v>
      </c>
      <c r="C126" s="64">
        <v>0</v>
      </c>
      <c r="D126" s="64">
        <v>0</v>
      </c>
      <c r="E126" s="64">
        <v>0</v>
      </c>
      <c r="F126" s="64">
        <v>0</v>
      </c>
      <c r="G126" s="64">
        <v>0</v>
      </c>
      <c r="H126" s="8">
        <f>+'Simulation and  VaR'!H139/'Simulation and  VaR'!H138-1</f>
        <v>-6.1507727894017372E-2</v>
      </c>
      <c r="I126" s="8">
        <f>+'Simulation and  VaR'!I139/'Simulation and  VaR'!I138-1</f>
        <v>6.5096281942594203E-2</v>
      </c>
      <c r="J126" s="8">
        <f>+'Simulation and  VaR'!J139/'Simulation and  VaR'!J138-1</f>
        <v>0</v>
      </c>
      <c r="K126" s="8">
        <f>+'Simulation and  VaR'!K139/'Simulation and  VaR'!K138-1</f>
        <v>1.5909446559908336E-2</v>
      </c>
      <c r="L126" s="8">
        <f>+'Simulation and  VaR'!L139/'Simulation and  VaR'!L138-1</f>
        <v>6.750281261719282E-3</v>
      </c>
      <c r="N126" s="65">
        <f t="shared" si="11"/>
        <v>-4.0114638603053919E-3</v>
      </c>
      <c r="O126" s="65">
        <f t="shared" si="12"/>
        <v>-1.9783163122913897E-3</v>
      </c>
      <c r="P126" s="65">
        <f t="shared" si="13"/>
        <v>-1.7528760466946488E-3</v>
      </c>
      <c r="Q126" s="65">
        <f t="shared" si="14"/>
        <v>-1.5722682383099995E-3</v>
      </c>
      <c r="R126" s="65">
        <f t="shared" si="15"/>
        <v>-1.477900937713463E-3</v>
      </c>
      <c r="S126" s="65">
        <f t="shared" si="16"/>
        <v>-1.4586462097298054E-3</v>
      </c>
      <c r="T126" s="26">
        <f t="shared" si="17"/>
        <v>-6.6851107939077781E-2</v>
      </c>
      <c r="U126" s="26">
        <f t="shared" si="18"/>
        <v>5.2694515813556823E-2</v>
      </c>
      <c r="V126" s="26">
        <f t="shared" si="19"/>
        <v>-1.0229205971642284E-2</v>
      </c>
      <c r="W126" s="26">
        <f t="shared" si="20"/>
        <v>1.7476361841779749E-2</v>
      </c>
      <c r="X126" s="26">
        <f t="shared" si="21"/>
        <v>1.0274516375474989E-2</v>
      </c>
    </row>
    <row r="127" spans="1:24" x14ac:dyDescent="0.2">
      <c r="A127" s="5">
        <v>29251</v>
      </c>
      <c r="B127" s="64">
        <v>0</v>
      </c>
      <c r="C127" s="64">
        <v>0</v>
      </c>
      <c r="D127" s="64">
        <v>0</v>
      </c>
      <c r="E127" s="64">
        <v>0</v>
      </c>
      <c r="F127" s="64">
        <v>0</v>
      </c>
      <c r="G127" s="64">
        <v>0</v>
      </c>
      <c r="H127" s="8">
        <f>+'Simulation and  VaR'!H140/'Simulation and  VaR'!H139-1</f>
        <v>-2.4759130629621207E-2</v>
      </c>
      <c r="I127" s="8">
        <f>+'Simulation and  VaR'!I140/'Simulation and  VaR'!I139-1</f>
        <v>3.8376257888453003E-2</v>
      </c>
      <c r="J127" s="8">
        <f>+'Simulation and  VaR'!J140/'Simulation and  VaR'!J139-1</f>
        <v>0</v>
      </c>
      <c r="K127" s="8">
        <f>+'Simulation and  VaR'!K140/'Simulation and  VaR'!K139-1</f>
        <v>-3.3374409529677296E-3</v>
      </c>
      <c r="L127" s="8">
        <f>+'Simulation and  VaR'!L140/'Simulation and  VaR'!L139-1</f>
        <v>-1.4486155374363596E-2</v>
      </c>
      <c r="N127" s="65">
        <f t="shared" si="11"/>
        <v>-4.0114638603053919E-3</v>
      </c>
      <c r="O127" s="65">
        <f t="shared" si="12"/>
        <v>-1.9783163122913897E-3</v>
      </c>
      <c r="P127" s="65">
        <f t="shared" si="13"/>
        <v>-1.7528760466946488E-3</v>
      </c>
      <c r="Q127" s="65">
        <f t="shared" si="14"/>
        <v>-1.5722682383099995E-3</v>
      </c>
      <c r="R127" s="65">
        <f t="shared" si="15"/>
        <v>-1.477900937713463E-3</v>
      </c>
      <c r="S127" s="65">
        <f t="shared" si="16"/>
        <v>-1.4586462097298054E-3</v>
      </c>
      <c r="T127" s="26">
        <f t="shared" si="17"/>
        <v>-3.0102510674681612E-2</v>
      </c>
      <c r="U127" s="26">
        <f t="shared" si="18"/>
        <v>2.5974491759415623E-2</v>
      </c>
      <c r="V127" s="26">
        <f t="shared" si="19"/>
        <v>-1.0229205971642284E-2</v>
      </c>
      <c r="W127" s="26">
        <f t="shared" si="20"/>
        <v>-1.770525671096315E-3</v>
      </c>
      <c r="X127" s="26">
        <f t="shared" si="21"/>
        <v>-1.0961920260607889E-2</v>
      </c>
    </row>
    <row r="128" spans="1:24" x14ac:dyDescent="0.2">
      <c r="A128" s="5">
        <v>29280</v>
      </c>
      <c r="B128" s="64">
        <v>0</v>
      </c>
      <c r="C128" s="64">
        <v>0</v>
      </c>
      <c r="D128" s="64">
        <v>0</v>
      </c>
      <c r="E128" s="64">
        <v>0</v>
      </c>
      <c r="F128" s="64">
        <v>0</v>
      </c>
      <c r="G128" s="64">
        <v>0</v>
      </c>
      <c r="H128" s="8">
        <f>+'Simulation and  VaR'!H141/'Simulation and  VaR'!H140-1</f>
        <v>2.4928202182653569E-2</v>
      </c>
      <c r="I128" s="8">
        <f>+'Simulation and  VaR'!I141/'Simulation and  VaR'!I140-1</f>
        <v>5.475251861585706E-3</v>
      </c>
      <c r="J128" s="8">
        <f>+'Simulation and  VaR'!J141/'Simulation and  VaR'!J140-1</f>
        <v>0</v>
      </c>
      <c r="K128" s="8">
        <f>+'Simulation and  VaR'!K141/'Simulation and  VaR'!K140-1</f>
        <v>-4.0698572974086855E-2</v>
      </c>
      <c r="L128" s="8">
        <f>+'Simulation and  VaR'!L141/'Simulation and  VaR'!L140-1</f>
        <v>-3.4479862248540605E-2</v>
      </c>
      <c r="N128" s="65">
        <f t="shared" si="11"/>
        <v>-4.0114638603053919E-3</v>
      </c>
      <c r="O128" s="65">
        <f t="shared" si="12"/>
        <v>-1.9783163122913897E-3</v>
      </c>
      <c r="P128" s="65">
        <f t="shared" si="13"/>
        <v>-1.7528760466946488E-3</v>
      </c>
      <c r="Q128" s="65">
        <f t="shared" si="14"/>
        <v>-1.5722682383099995E-3</v>
      </c>
      <c r="R128" s="65">
        <f t="shared" si="15"/>
        <v>-1.477900937713463E-3</v>
      </c>
      <c r="S128" s="65">
        <f t="shared" si="16"/>
        <v>-1.4586462097298054E-3</v>
      </c>
      <c r="T128" s="26">
        <f t="shared" si="17"/>
        <v>1.9584822137593164E-2</v>
      </c>
      <c r="U128" s="26">
        <f t="shared" si="18"/>
        <v>-6.9265142674516736E-3</v>
      </c>
      <c r="V128" s="26">
        <f t="shared" si="19"/>
        <v>-1.0229205971642284E-2</v>
      </c>
      <c r="W128" s="26">
        <f t="shared" si="20"/>
        <v>-3.9131657692215438E-2</v>
      </c>
      <c r="X128" s="26">
        <f t="shared" si="21"/>
        <v>-3.0955627134784898E-2</v>
      </c>
    </row>
    <row r="129" spans="1:24" x14ac:dyDescent="0.2">
      <c r="A129" s="5">
        <v>29311</v>
      </c>
      <c r="B129" s="64">
        <v>0</v>
      </c>
      <c r="C129" s="64">
        <v>0</v>
      </c>
      <c r="D129" s="64">
        <v>0</v>
      </c>
      <c r="E129" s="64">
        <v>0</v>
      </c>
      <c r="F129" s="64">
        <v>0</v>
      </c>
      <c r="G129" s="64">
        <v>0</v>
      </c>
      <c r="H129" s="8">
        <f>+'Simulation and  VaR'!H142/'Simulation and  VaR'!H141-1</f>
        <v>8.5406859448554195E-2</v>
      </c>
      <c r="I129" s="8">
        <f>+'Simulation and  VaR'!I142/'Simulation and  VaR'!I141-1</f>
        <v>-7.0790677412328473E-2</v>
      </c>
      <c r="J129" s="8">
        <f>+'Simulation and  VaR'!J142/'Simulation and  VaR'!J141-1</f>
        <v>0</v>
      </c>
      <c r="K129" s="8">
        <f>+'Simulation and  VaR'!K142/'Simulation and  VaR'!K141-1</f>
        <v>-2.0944095376188021E-2</v>
      </c>
      <c r="L129" s="8">
        <f>+'Simulation and  VaR'!L142/'Simulation and  VaR'!L141-1</f>
        <v>-2.1400608960417511E-2</v>
      </c>
      <c r="N129" s="65">
        <f t="shared" si="11"/>
        <v>-4.0114638603053919E-3</v>
      </c>
      <c r="O129" s="65">
        <f t="shared" si="12"/>
        <v>-1.9783163122913897E-3</v>
      </c>
      <c r="P129" s="65">
        <f t="shared" si="13"/>
        <v>-1.7528760466946488E-3</v>
      </c>
      <c r="Q129" s="65">
        <f t="shared" si="14"/>
        <v>-1.5722682383099995E-3</v>
      </c>
      <c r="R129" s="65">
        <f t="shared" si="15"/>
        <v>-1.477900937713463E-3</v>
      </c>
      <c r="S129" s="65">
        <f t="shared" si="16"/>
        <v>-1.4586462097298054E-3</v>
      </c>
      <c r="T129" s="26">
        <f t="shared" si="17"/>
        <v>8.0063479403493787E-2</v>
      </c>
      <c r="U129" s="26">
        <f t="shared" si="18"/>
        <v>-8.3192443541365846E-2</v>
      </c>
      <c r="V129" s="26">
        <f t="shared" si="19"/>
        <v>-1.0229205971642284E-2</v>
      </c>
      <c r="W129" s="26">
        <f t="shared" si="20"/>
        <v>-1.9377180094316607E-2</v>
      </c>
      <c r="X129" s="26">
        <f t="shared" si="21"/>
        <v>-1.7876373846661804E-2</v>
      </c>
    </row>
    <row r="130" spans="1:24" x14ac:dyDescent="0.2">
      <c r="A130" s="5">
        <v>29341</v>
      </c>
      <c r="B130" s="64">
        <v>0</v>
      </c>
      <c r="C130" s="64">
        <v>0</v>
      </c>
      <c r="D130" s="64">
        <v>0</v>
      </c>
      <c r="E130" s="64">
        <v>0</v>
      </c>
      <c r="F130" s="64">
        <v>0</v>
      </c>
      <c r="G130" s="64">
        <v>0</v>
      </c>
      <c r="H130" s="8">
        <f>+'Simulation and  VaR'!H143/'Simulation and  VaR'!H142-1</f>
        <v>4.2337876910367722E-3</v>
      </c>
      <c r="I130" s="8">
        <f>+'Simulation and  VaR'!I143/'Simulation and  VaR'!I142-1</f>
        <v>8.0578996718237317E-2</v>
      </c>
      <c r="J130" s="8">
        <f>+'Simulation and  VaR'!J143/'Simulation and  VaR'!J142-1</f>
        <v>0</v>
      </c>
      <c r="K130" s="8">
        <f>+'Simulation and  VaR'!K143/'Simulation and  VaR'!K142-1</f>
        <v>5.7594207668256736E-3</v>
      </c>
      <c r="L130" s="8">
        <f>+'Simulation and  VaR'!L143/'Simulation and  VaR'!L142-1</f>
        <v>-1.6134767534891958E-2</v>
      </c>
      <c r="N130" s="65">
        <f t="shared" si="11"/>
        <v>-4.0114638603053919E-3</v>
      </c>
      <c r="O130" s="65">
        <f t="shared" si="12"/>
        <v>-1.9783163122913897E-3</v>
      </c>
      <c r="P130" s="65">
        <f t="shared" si="13"/>
        <v>-1.7528760466946488E-3</v>
      </c>
      <c r="Q130" s="65">
        <f t="shared" si="14"/>
        <v>-1.5722682383099995E-3</v>
      </c>
      <c r="R130" s="65">
        <f t="shared" si="15"/>
        <v>-1.477900937713463E-3</v>
      </c>
      <c r="S130" s="65">
        <f t="shared" si="16"/>
        <v>-1.4586462097298054E-3</v>
      </c>
      <c r="T130" s="26">
        <f t="shared" si="17"/>
        <v>-1.1095923540236328E-3</v>
      </c>
      <c r="U130" s="26">
        <f t="shared" si="18"/>
        <v>6.8177230589199944E-2</v>
      </c>
      <c r="V130" s="26">
        <f t="shared" si="19"/>
        <v>-1.0229205971642284E-2</v>
      </c>
      <c r="W130" s="26">
        <f t="shared" si="20"/>
        <v>7.3263360486970882E-3</v>
      </c>
      <c r="X130" s="26">
        <f t="shared" si="21"/>
        <v>-1.2610532421136252E-2</v>
      </c>
    </row>
    <row r="131" spans="1:24" x14ac:dyDescent="0.2">
      <c r="A131" s="5">
        <v>29372</v>
      </c>
      <c r="B131" s="64">
        <v>0</v>
      </c>
      <c r="C131" s="64">
        <v>0</v>
      </c>
      <c r="D131" s="64">
        <v>0</v>
      </c>
      <c r="E131" s="64">
        <v>0</v>
      </c>
      <c r="F131" s="64">
        <v>0</v>
      </c>
      <c r="G131" s="64">
        <v>0</v>
      </c>
      <c r="H131" s="8">
        <f>+'Simulation and  VaR'!H144/'Simulation and  VaR'!H143-1</f>
        <v>-1.7583547557840529E-2</v>
      </c>
      <c r="I131" s="8">
        <f>+'Simulation and  VaR'!I144/'Simulation and  VaR'!I143-1</f>
        <v>-5.4232875969412175E-3</v>
      </c>
      <c r="J131" s="8">
        <f>+'Simulation and  VaR'!J144/'Simulation and  VaR'!J143-1</f>
        <v>0</v>
      </c>
      <c r="K131" s="8">
        <f>+'Simulation and  VaR'!K144/'Simulation and  VaR'!K143-1</f>
        <v>1.4997818499127291E-2</v>
      </c>
      <c r="L131" s="8">
        <f>+'Simulation and  VaR'!L144/'Simulation and  VaR'!L143-1</f>
        <v>-7.9647616896318052E-2</v>
      </c>
      <c r="N131" s="65">
        <f t="shared" si="11"/>
        <v>-4.0114638603053919E-3</v>
      </c>
      <c r="O131" s="65">
        <f t="shared" si="12"/>
        <v>-1.9783163122913897E-3</v>
      </c>
      <c r="P131" s="65">
        <f t="shared" si="13"/>
        <v>-1.7528760466946488E-3</v>
      </c>
      <c r="Q131" s="65">
        <f t="shared" si="14"/>
        <v>-1.5722682383099995E-3</v>
      </c>
      <c r="R131" s="65">
        <f t="shared" si="15"/>
        <v>-1.477900937713463E-3</v>
      </c>
      <c r="S131" s="65">
        <f t="shared" si="16"/>
        <v>-1.4586462097298054E-3</v>
      </c>
      <c r="T131" s="26">
        <f t="shared" si="17"/>
        <v>-2.2926927602900934E-2</v>
      </c>
      <c r="U131" s="26">
        <f t="shared" si="18"/>
        <v>-1.7825053725978597E-2</v>
      </c>
      <c r="V131" s="26">
        <f t="shared" si="19"/>
        <v>-1.0229205971642284E-2</v>
      </c>
      <c r="W131" s="26">
        <f t="shared" si="20"/>
        <v>1.6564733780998705E-2</v>
      </c>
      <c r="X131" s="26">
        <f t="shared" si="21"/>
        <v>-7.6123381782562352E-2</v>
      </c>
    </row>
    <row r="132" spans="1:24" x14ac:dyDescent="0.2">
      <c r="A132" s="5">
        <v>29402</v>
      </c>
      <c r="B132" s="64">
        <v>0</v>
      </c>
      <c r="C132" s="64">
        <v>0</v>
      </c>
      <c r="D132" s="64">
        <v>0</v>
      </c>
      <c r="E132" s="64">
        <v>0</v>
      </c>
      <c r="F132" s="64">
        <v>0</v>
      </c>
      <c r="G132" s="64">
        <v>0</v>
      </c>
      <c r="H132" s="8">
        <f>+'Simulation and  VaR'!H145/'Simulation and  VaR'!H144-1</f>
        <v>5.3904123927150938E-2</v>
      </c>
      <c r="I132" s="8">
        <f>+'Simulation and  VaR'!I145/'Simulation and  VaR'!I144-1</f>
        <v>9.4061835432684537E-2</v>
      </c>
      <c r="J132" s="8">
        <f>+'Simulation and  VaR'!J145/'Simulation and  VaR'!J144-1</f>
        <v>0</v>
      </c>
      <c r="K132" s="8">
        <f>+'Simulation and  VaR'!K145/'Simulation and  VaR'!K144-1</f>
        <v>3.76121648487453E-2</v>
      </c>
      <c r="L132" s="8">
        <f>+'Simulation and  VaR'!L145/'Simulation and  VaR'!L144-1</f>
        <v>-7.1519732966817351E-2</v>
      </c>
      <c r="N132" s="65">
        <f t="shared" si="11"/>
        <v>-4.0114638603053919E-3</v>
      </c>
      <c r="O132" s="65">
        <f t="shared" si="12"/>
        <v>-1.9783163122913897E-3</v>
      </c>
      <c r="P132" s="65">
        <f t="shared" si="13"/>
        <v>-1.7528760466946488E-3</v>
      </c>
      <c r="Q132" s="65">
        <f t="shared" si="14"/>
        <v>-1.5722682383099995E-3</v>
      </c>
      <c r="R132" s="65">
        <f t="shared" si="15"/>
        <v>-1.477900937713463E-3</v>
      </c>
      <c r="S132" s="65">
        <f t="shared" si="16"/>
        <v>-1.4586462097298054E-3</v>
      </c>
      <c r="T132" s="26">
        <f t="shared" si="17"/>
        <v>4.8560743882090529E-2</v>
      </c>
      <c r="U132" s="26">
        <f t="shared" si="18"/>
        <v>8.1660069303647165E-2</v>
      </c>
      <c r="V132" s="26">
        <f t="shared" si="19"/>
        <v>-1.0229205971642284E-2</v>
      </c>
      <c r="W132" s="26">
        <f t="shared" si="20"/>
        <v>3.9179080130616717E-2</v>
      </c>
      <c r="X132" s="26">
        <f t="shared" si="21"/>
        <v>-6.7995497853061651E-2</v>
      </c>
    </row>
    <row r="133" spans="1:24" x14ac:dyDescent="0.2">
      <c r="A133" s="5">
        <v>29433</v>
      </c>
      <c r="B133" s="64">
        <v>0</v>
      </c>
      <c r="C133" s="64">
        <v>0</v>
      </c>
      <c r="D133" s="64">
        <v>0</v>
      </c>
      <c r="E133" s="64">
        <v>0</v>
      </c>
      <c r="F133" s="64">
        <v>0</v>
      </c>
      <c r="G133" s="64">
        <v>0</v>
      </c>
      <c r="H133" s="8">
        <f>+'Simulation and  VaR'!H146/'Simulation and  VaR'!H145-1</f>
        <v>2.5921144105670813E-2</v>
      </c>
      <c r="I133" s="8">
        <f>+'Simulation and  VaR'!I146/'Simulation and  VaR'!I145-1</f>
        <v>3.7380382775119569E-2</v>
      </c>
      <c r="J133" s="8">
        <f>+'Simulation and  VaR'!J146/'Simulation and  VaR'!J145-1</f>
        <v>0</v>
      </c>
      <c r="K133" s="8">
        <f>+'Simulation and  VaR'!K146/'Simulation and  VaR'!K145-1</f>
        <v>6.2140748796024603E-3</v>
      </c>
      <c r="L133" s="8">
        <f>+'Simulation and  VaR'!L146/'Simulation and  VaR'!L145-1</f>
        <v>7.2429288924134028E-3</v>
      </c>
      <c r="N133" s="65">
        <f t="shared" si="11"/>
        <v>-4.0114638603053919E-3</v>
      </c>
      <c r="O133" s="65">
        <f t="shared" si="12"/>
        <v>-1.9783163122913897E-3</v>
      </c>
      <c r="P133" s="65">
        <f t="shared" si="13"/>
        <v>-1.7528760466946488E-3</v>
      </c>
      <c r="Q133" s="65">
        <f t="shared" si="14"/>
        <v>-1.5722682383099995E-3</v>
      </c>
      <c r="R133" s="65">
        <f t="shared" si="15"/>
        <v>-1.477900937713463E-3</v>
      </c>
      <c r="S133" s="65">
        <f t="shared" si="16"/>
        <v>-1.4586462097298054E-3</v>
      </c>
      <c r="T133" s="26">
        <f t="shared" si="17"/>
        <v>2.0577764060610407E-2</v>
      </c>
      <c r="U133" s="26">
        <f t="shared" si="18"/>
        <v>2.497861664608219E-2</v>
      </c>
      <c r="V133" s="26">
        <f t="shared" si="19"/>
        <v>-1.0229205971642284E-2</v>
      </c>
      <c r="W133" s="26">
        <f t="shared" si="20"/>
        <v>7.7809901614738749E-3</v>
      </c>
      <c r="X133" s="26">
        <f t="shared" si="21"/>
        <v>1.076716400616911E-2</v>
      </c>
    </row>
    <row r="134" spans="1:24" x14ac:dyDescent="0.2">
      <c r="A134" s="5">
        <v>29464</v>
      </c>
      <c r="B134" s="64">
        <v>0</v>
      </c>
      <c r="C134" s="64">
        <v>0</v>
      </c>
      <c r="D134" s="64">
        <v>0</v>
      </c>
      <c r="E134" s="64">
        <v>0</v>
      </c>
      <c r="F134" s="64">
        <v>0</v>
      </c>
      <c r="G134" s="64">
        <v>0</v>
      </c>
      <c r="H134" s="8">
        <f>+'Simulation and  VaR'!H147/'Simulation and  VaR'!H146-1</f>
        <v>-7.2604065827686082E-3</v>
      </c>
      <c r="I134" s="8">
        <f>+'Simulation and  VaR'!I147/'Simulation and  VaR'!I146-1</f>
        <v>4.4441241472086057E-2</v>
      </c>
      <c r="J134" s="8">
        <f>+'Simulation and  VaR'!J147/'Simulation and  VaR'!J146-1</f>
        <v>0</v>
      </c>
      <c r="K134" s="8">
        <f>+'Simulation and  VaR'!K147/'Simulation and  VaR'!K146-1</f>
        <v>1.6468529669085408E-2</v>
      </c>
      <c r="L134" s="8">
        <f>+'Simulation and  VaR'!L147/'Simulation and  VaR'!L146-1</f>
        <v>-6.9284064665127154E-3</v>
      </c>
      <c r="N134" s="65">
        <f t="shared" ref="N134:N197" si="22">B134-$B$256</f>
        <v>-4.0114638603053919E-3</v>
      </c>
      <c r="O134" s="65">
        <f t="shared" ref="O134:O197" si="23">C134-$C$256</f>
        <v>-1.9783163122913897E-3</v>
      </c>
      <c r="P134" s="65">
        <f t="shared" ref="P134:P197" si="24">D134-$D$256</f>
        <v>-1.7528760466946488E-3</v>
      </c>
      <c r="Q134" s="65">
        <f t="shared" ref="Q134:Q197" si="25">E134-$E$256</f>
        <v>-1.5722682383099995E-3</v>
      </c>
      <c r="R134" s="65">
        <f t="shared" ref="R134:R197" si="26">F134-$F$256</f>
        <v>-1.477900937713463E-3</v>
      </c>
      <c r="S134" s="65">
        <f t="shared" ref="S134:S197" si="27">G134-$G$256</f>
        <v>-1.4586462097298054E-3</v>
      </c>
      <c r="T134" s="26">
        <f t="shared" ref="T134:T197" si="28">H134-$H$256</f>
        <v>-1.2603786627829013E-2</v>
      </c>
      <c r="U134" s="26">
        <f t="shared" ref="U134:U197" si="29">I134-$I$256</f>
        <v>3.2039475343048678E-2</v>
      </c>
      <c r="V134" s="26">
        <f t="shared" ref="V134:V197" si="30">J134-$J$256</f>
        <v>-1.0229205971642284E-2</v>
      </c>
      <c r="W134" s="26">
        <f t="shared" ref="W134:W197" si="31">K134-$K$256</f>
        <v>1.8035444950956821E-2</v>
      </c>
      <c r="X134" s="26">
        <f t="shared" ref="X134:X197" si="32">L134-$L$256</f>
        <v>-3.404171352757009E-3</v>
      </c>
    </row>
    <row r="135" spans="1:24" x14ac:dyDescent="0.2">
      <c r="A135" s="5">
        <v>29494</v>
      </c>
      <c r="B135" s="64">
        <v>0</v>
      </c>
      <c r="C135" s="64">
        <v>0</v>
      </c>
      <c r="D135" s="64">
        <v>0</v>
      </c>
      <c r="E135" s="64">
        <v>0</v>
      </c>
      <c r="F135" s="64">
        <v>0</v>
      </c>
      <c r="G135" s="64">
        <v>0</v>
      </c>
      <c r="H135" s="8">
        <f>+'Simulation and  VaR'!H148/'Simulation and  VaR'!H147-1</f>
        <v>-9.1565090199902444E-2</v>
      </c>
      <c r="I135" s="8">
        <f>+'Simulation and  VaR'!I148/'Simulation and  VaR'!I147-1</f>
        <v>0.10925065550393298</v>
      </c>
      <c r="J135" s="8">
        <f>+'Simulation and  VaR'!J148/'Simulation and  VaR'!J147-1</f>
        <v>0</v>
      </c>
      <c r="K135" s="8">
        <f>+'Simulation and  VaR'!K148/'Simulation and  VaR'!K147-1</f>
        <v>2.7340387828464374E-2</v>
      </c>
      <c r="L135" s="8">
        <f>+'Simulation and  VaR'!L148/'Simulation and  VaR'!L147-1</f>
        <v>-5.1215644820295947E-2</v>
      </c>
      <c r="N135" s="65">
        <f t="shared" si="22"/>
        <v>-4.0114638603053919E-3</v>
      </c>
      <c r="O135" s="65">
        <f t="shared" si="23"/>
        <v>-1.9783163122913897E-3</v>
      </c>
      <c r="P135" s="65">
        <f t="shared" si="24"/>
        <v>-1.7528760466946488E-3</v>
      </c>
      <c r="Q135" s="65">
        <f t="shared" si="25"/>
        <v>-1.5722682383099995E-3</v>
      </c>
      <c r="R135" s="65">
        <f t="shared" si="26"/>
        <v>-1.477900937713463E-3</v>
      </c>
      <c r="S135" s="65">
        <f t="shared" si="27"/>
        <v>-1.4586462097298054E-3</v>
      </c>
      <c r="T135" s="26">
        <f t="shared" si="28"/>
        <v>-9.6908470244962852E-2</v>
      </c>
      <c r="U135" s="26">
        <f t="shared" si="29"/>
        <v>9.6848889374895608E-2</v>
      </c>
      <c r="V135" s="26">
        <f t="shared" si="30"/>
        <v>-1.0229205971642284E-2</v>
      </c>
      <c r="W135" s="26">
        <f t="shared" si="31"/>
        <v>2.8907303110335788E-2</v>
      </c>
      <c r="X135" s="26">
        <f t="shared" si="32"/>
        <v>-4.769140970654024E-2</v>
      </c>
    </row>
    <row r="136" spans="1:24" x14ac:dyDescent="0.2">
      <c r="A136" s="5">
        <v>29525</v>
      </c>
      <c r="B136" s="64">
        <v>0</v>
      </c>
      <c r="C136" s="64">
        <v>0</v>
      </c>
      <c r="D136" s="64">
        <v>0</v>
      </c>
      <c r="E136" s="64">
        <v>0</v>
      </c>
      <c r="F136" s="64">
        <v>0</v>
      </c>
      <c r="G136" s="64">
        <v>0</v>
      </c>
      <c r="H136" s="8">
        <f>+'Simulation and  VaR'!H149/'Simulation and  VaR'!H148-1</f>
        <v>1.6638042078145121E-2</v>
      </c>
      <c r="I136" s="8">
        <f>+'Simulation and  VaR'!I149/'Simulation and  VaR'!I148-1</f>
        <v>-0.19801774902546243</v>
      </c>
      <c r="J136" s="8">
        <f>+'Simulation and  VaR'!J149/'Simulation and  VaR'!J148-1</f>
        <v>0</v>
      </c>
      <c r="K136" s="8">
        <f>+'Simulation and  VaR'!K149/'Simulation and  VaR'!K148-1</f>
        <v>-4.1890493322162548E-2</v>
      </c>
      <c r="L136" s="8">
        <f>+'Simulation and  VaR'!L149/'Simulation and  VaR'!L148-1</f>
        <v>0.10918611776502707</v>
      </c>
      <c r="N136" s="65">
        <f t="shared" si="22"/>
        <v>-4.0114638603053919E-3</v>
      </c>
      <c r="O136" s="65">
        <f t="shared" si="23"/>
        <v>-1.9783163122913897E-3</v>
      </c>
      <c r="P136" s="65">
        <f t="shared" si="24"/>
        <v>-1.7528760466946488E-3</v>
      </c>
      <c r="Q136" s="65">
        <f t="shared" si="25"/>
        <v>-1.5722682383099995E-3</v>
      </c>
      <c r="R136" s="65">
        <f t="shared" si="26"/>
        <v>-1.477900937713463E-3</v>
      </c>
      <c r="S136" s="65">
        <f t="shared" si="27"/>
        <v>-1.4586462097298054E-3</v>
      </c>
      <c r="T136" s="26">
        <f t="shared" si="28"/>
        <v>1.1294662033084716E-2</v>
      </c>
      <c r="U136" s="26">
        <f t="shared" si="29"/>
        <v>-0.2104195151544998</v>
      </c>
      <c r="V136" s="26">
        <f t="shared" si="30"/>
        <v>-1.0229205971642284E-2</v>
      </c>
      <c r="W136" s="26">
        <f t="shared" si="31"/>
        <v>-4.032357804029113E-2</v>
      </c>
      <c r="X136" s="26">
        <f t="shared" si="32"/>
        <v>0.11271035287878277</v>
      </c>
    </row>
    <row r="137" spans="1:24" x14ac:dyDescent="0.2">
      <c r="A137" s="5">
        <v>29555</v>
      </c>
      <c r="B137" s="64">
        <v>0</v>
      </c>
      <c r="C137" s="64">
        <v>0</v>
      </c>
      <c r="D137" s="64">
        <v>0</v>
      </c>
      <c r="E137" s="64">
        <v>0</v>
      </c>
      <c r="F137" s="64">
        <v>0</v>
      </c>
      <c r="G137" s="64">
        <v>0</v>
      </c>
      <c r="H137" s="8">
        <f>+'Simulation and  VaR'!H150/'Simulation and  VaR'!H149-1</f>
        <v>1.4887551472917204E-2</v>
      </c>
      <c r="I137" s="8">
        <f>+'Simulation and  VaR'!I150/'Simulation and  VaR'!I149-1</f>
        <v>0.17063964010548638</v>
      </c>
      <c r="J137" s="8">
        <f>+'Simulation and  VaR'!J150/'Simulation and  VaR'!J149-1</f>
        <v>0</v>
      </c>
      <c r="K137" s="8">
        <f>+'Simulation and  VaR'!K150/'Simulation and  VaR'!K149-1</f>
        <v>5.0151741165577857E-2</v>
      </c>
      <c r="L137" s="8">
        <f>+'Simulation and  VaR'!L150/'Simulation and  VaR'!L149-1</f>
        <v>-2.4107277384360359E-2</v>
      </c>
      <c r="N137" s="65">
        <f t="shared" si="22"/>
        <v>-4.0114638603053919E-3</v>
      </c>
      <c r="O137" s="65">
        <f t="shared" si="23"/>
        <v>-1.9783163122913897E-3</v>
      </c>
      <c r="P137" s="65">
        <f t="shared" si="24"/>
        <v>-1.7528760466946488E-3</v>
      </c>
      <c r="Q137" s="65">
        <f t="shared" si="25"/>
        <v>-1.5722682383099995E-3</v>
      </c>
      <c r="R137" s="65">
        <f t="shared" si="26"/>
        <v>-1.477900937713463E-3</v>
      </c>
      <c r="S137" s="65">
        <f t="shared" si="27"/>
        <v>-1.4586462097298054E-3</v>
      </c>
      <c r="T137" s="26">
        <f t="shared" si="28"/>
        <v>9.5441714278567992E-3</v>
      </c>
      <c r="U137" s="26">
        <f t="shared" si="29"/>
        <v>0.15823787397644901</v>
      </c>
      <c r="V137" s="26">
        <f t="shared" si="30"/>
        <v>-1.0229205971642284E-2</v>
      </c>
      <c r="W137" s="26">
        <f t="shared" si="31"/>
        <v>5.1718656447449274E-2</v>
      </c>
      <c r="X137" s="26">
        <f t="shared" si="32"/>
        <v>-2.0583042270604653E-2</v>
      </c>
    </row>
    <row r="138" spans="1:24" x14ac:dyDescent="0.2">
      <c r="A138" s="5">
        <v>29586</v>
      </c>
      <c r="B138" s="64">
        <v>0</v>
      </c>
      <c r="C138" s="64">
        <v>0</v>
      </c>
      <c r="D138" s="64">
        <v>0</v>
      </c>
      <c r="E138" s="64">
        <v>0</v>
      </c>
      <c r="F138" s="64">
        <v>0</v>
      </c>
      <c r="G138" s="64">
        <v>0</v>
      </c>
      <c r="H138" s="8">
        <f>+'Simulation and  VaR'!H151/'Simulation and  VaR'!H150-1</f>
        <v>3.9741989180191561E-2</v>
      </c>
      <c r="I138" s="8">
        <f>+'Simulation and  VaR'!I151/'Simulation and  VaR'!I150-1</f>
        <v>3.312867176112011E-2</v>
      </c>
      <c r="J138" s="8">
        <f>+'Simulation and  VaR'!J151/'Simulation and  VaR'!J150-1</f>
        <v>0</v>
      </c>
      <c r="K138" s="8">
        <f>+'Simulation and  VaR'!K151/'Simulation and  VaR'!K150-1</f>
        <v>-2.5421238244514144E-2</v>
      </c>
      <c r="L138" s="8">
        <f>+'Simulation and  VaR'!L151/'Simulation and  VaR'!L150-1</f>
        <v>4.0656682620554774E-2</v>
      </c>
      <c r="N138" s="65">
        <f t="shared" si="22"/>
        <v>-4.0114638603053919E-3</v>
      </c>
      <c r="O138" s="65">
        <f t="shared" si="23"/>
        <v>-1.9783163122913897E-3</v>
      </c>
      <c r="P138" s="65">
        <f t="shared" si="24"/>
        <v>-1.7528760466946488E-3</v>
      </c>
      <c r="Q138" s="65">
        <f t="shared" si="25"/>
        <v>-1.5722682383099995E-3</v>
      </c>
      <c r="R138" s="65">
        <f t="shared" si="26"/>
        <v>-1.477900937713463E-3</v>
      </c>
      <c r="S138" s="65">
        <f t="shared" si="27"/>
        <v>-1.4586462097298054E-3</v>
      </c>
      <c r="T138" s="26">
        <f t="shared" si="28"/>
        <v>3.4398609135131153E-2</v>
      </c>
      <c r="U138" s="26">
        <f t="shared" si="29"/>
        <v>2.072690563208273E-2</v>
      </c>
      <c r="V138" s="26">
        <f t="shared" si="30"/>
        <v>-1.0229205971642284E-2</v>
      </c>
      <c r="W138" s="26">
        <f t="shared" si="31"/>
        <v>-2.385432296264273E-2</v>
      </c>
      <c r="X138" s="26">
        <f t="shared" si="32"/>
        <v>4.4180917734310481E-2</v>
      </c>
    </row>
    <row r="139" spans="1:24" x14ac:dyDescent="0.2">
      <c r="A139" s="5">
        <v>29617</v>
      </c>
      <c r="B139" s="64">
        <v>0</v>
      </c>
      <c r="C139" s="64">
        <v>0</v>
      </c>
      <c r="D139" s="64">
        <v>0</v>
      </c>
      <c r="E139" s="64">
        <v>0</v>
      </c>
      <c r="F139" s="64">
        <v>0</v>
      </c>
      <c r="G139" s="64">
        <v>0</v>
      </c>
      <c r="H139" s="8">
        <f>+'Simulation and  VaR'!H152/'Simulation and  VaR'!H151-1</f>
        <v>-3.6521913147888774E-2</v>
      </c>
      <c r="I139" s="8">
        <f>+'Simulation and  VaR'!I152/'Simulation and  VaR'!I151-1</f>
        <v>7.5890375817692091E-2</v>
      </c>
      <c r="J139" s="8">
        <f>+'Simulation and  VaR'!J152/'Simulation and  VaR'!J151-1</f>
        <v>6.7294751009421283E-2</v>
      </c>
      <c r="K139" s="8">
        <f>+'Simulation and  VaR'!K152/'Simulation and  VaR'!K151-1</f>
        <v>1.6987485550585602E-2</v>
      </c>
      <c r="L139" s="8">
        <f>+'Simulation and  VaR'!L152/'Simulation and  VaR'!L151-1</f>
        <v>2.2254092280302729E-3</v>
      </c>
      <c r="N139" s="65">
        <f t="shared" si="22"/>
        <v>-4.0114638603053919E-3</v>
      </c>
      <c r="O139" s="65">
        <f t="shared" si="23"/>
        <v>-1.9783163122913897E-3</v>
      </c>
      <c r="P139" s="65">
        <f t="shared" si="24"/>
        <v>-1.7528760466946488E-3</v>
      </c>
      <c r="Q139" s="65">
        <f t="shared" si="25"/>
        <v>-1.5722682383099995E-3</v>
      </c>
      <c r="R139" s="65">
        <f t="shared" si="26"/>
        <v>-1.477900937713463E-3</v>
      </c>
      <c r="S139" s="65">
        <f t="shared" si="27"/>
        <v>-1.4586462097298054E-3</v>
      </c>
      <c r="T139" s="26">
        <f t="shared" si="28"/>
        <v>-4.1865293192949182E-2</v>
      </c>
      <c r="U139" s="26">
        <f t="shared" si="29"/>
        <v>6.3488609688654718E-2</v>
      </c>
      <c r="V139" s="26">
        <f t="shared" si="30"/>
        <v>5.7065545037778997E-2</v>
      </c>
      <c r="W139" s="26">
        <f t="shared" si="31"/>
        <v>1.8554400832457015E-2</v>
      </c>
      <c r="X139" s="26">
        <f t="shared" si="32"/>
        <v>5.7496443417859797E-3</v>
      </c>
    </row>
    <row r="140" spans="1:24" x14ac:dyDescent="0.2">
      <c r="A140" s="5">
        <v>29645</v>
      </c>
      <c r="B140" s="64">
        <v>0</v>
      </c>
      <c r="C140" s="64">
        <v>0</v>
      </c>
      <c r="D140" s="64">
        <v>0</v>
      </c>
      <c r="E140" s="64">
        <v>0</v>
      </c>
      <c r="F140" s="64">
        <v>0</v>
      </c>
      <c r="G140" s="64">
        <v>0</v>
      </c>
      <c r="H140" s="8">
        <f>+'Simulation and  VaR'!H153/'Simulation and  VaR'!H152-1</f>
        <v>5.4211236888565884E-2</v>
      </c>
      <c r="I140" s="8">
        <f>+'Simulation and  VaR'!I153/'Simulation and  VaR'!I152-1</f>
        <v>-5.1661103163249122E-2</v>
      </c>
      <c r="J140" s="8">
        <f>+'Simulation and  VaR'!J153/'Simulation and  VaR'!J152-1</f>
        <v>0</v>
      </c>
      <c r="K140" s="8">
        <f>+'Simulation and  VaR'!K153/'Simulation and  VaR'!K152-1</f>
        <v>1.9322955275512754E-2</v>
      </c>
      <c r="L140" s="8">
        <f>+'Simulation and  VaR'!L153/'Simulation and  VaR'!L152-1</f>
        <v>3.4195203789598283E-2</v>
      </c>
      <c r="N140" s="65">
        <f t="shared" si="22"/>
        <v>-4.0114638603053919E-3</v>
      </c>
      <c r="O140" s="65">
        <f t="shared" si="23"/>
        <v>-1.9783163122913897E-3</v>
      </c>
      <c r="P140" s="65">
        <f t="shared" si="24"/>
        <v>-1.7528760466946488E-3</v>
      </c>
      <c r="Q140" s="65">
        <f t="shared" si="25"/>
        <v>-1.5722682383099995E-3</v>
      </c>
      <c r="R140" s="65">
        <f t="shared" si="26"/>
        <v>-1.477900937713463E-3</v>
      </c>
      <c r="S140" s="65">
        <f t="shared" si="27"/>
        <v>-1.4586462097298054E-3</v>
      </c>
      <c r="T140" s="26">
        <f t="shared" si="28"/>
        <v>4.8867856843505475E-2</v>
      </c>
      <c r="U140" s="26">
        <f t="shared" si="29"/>
        <v>-6.4062869292286495E-2</v>
      </c>
      <c r="V140" s="26">
        <f t="shared" si="30"/>
        <v>-1.0229205971642284E-2</v>
      </c>
      <c r="W140" s="26">
        <f t="shared" si="31"/>
        <v>2.0889870557384168E-2</v>
      </c>
      <c r="X140" s="26">
        <f t="shared" si="32"/>
        <v>3.771943890335399E-2</v>
      </c>
    </row>
    <row r="141" spans="1:24" x14ac:dyDescent="0.2">
      <c r="A141" s="5">
        <v>29676</v>
      </c>
      <c r="B141" s="64">
        <v>0</v>
      </c>
      <c r="C141" s="64">
        <v>0</v>
      </c>
      <c r="D141" s="64">
        <v>0</v>
      </c>
      <c r="E141" s="64">
        <v>0</v>
      </c>
      <c r="F141" s="64">
        <v>0</v>
      </c>
      <c r="G141" s="64">
        <v>0</v>
      </c>
      <c r="H141" s="8">
        <f>+'Simulation and  VaR'!H154/'Simulation and  VaR'!H153-1</f>
        <v>2.4628115456604149E-3</v>
      </c>
      <c r="I141" s="8">
        <f>+'Simulation and  VaR'!I154/'Simulation and  VaR'!I153-1</f>
        <v>3.2475695608447763E-2</v>
      </c>
      <c r="J141" s="8">
        <f>+'Simulation and  VaR'!J154/'Simulation and  VaR'!J153-1</f>
        <v>0</v>
      </c>
      <c r="K141" s="8">
        <f>+'Simulation and  VaR'!K154/'Simulation and  VaR'!K153-1</f>
        <v>2.6665373800058845E-3</v>
      </c>
      <c r="L141" s="8">
        <f>+'Simulation and  VaR'!L154/'Simulation and  VaR'!L153-1</f>
        <v>5.8304308411660788E-2</v>
      </c>
      <c r="N141" s="65">
        <f t="shared" si="22"/>
        <v>-4.0114638603053919E-3</v>
      </c>
      <c r="O141" s="65">
        <f t="shared" si="23"/>
        <v>-1.9783163122913897E-3</v>
      </c>
      <c r="P141" s="65">
        <f t="shared" si="24"/>
        <v>-1.7528760466946488E-3</v>
      </c>
      <c r="Q141" s="65">
        <f t="shared" si="25"/>
        <v>-1.5722682383099995E-3</v>
      </c>
      <c r="R141" s="65">
        <f t="shared" si="26"/>
        <v>-1.477900937713463E-3</v>
      </c>
      <c r="S141" s="65">
        <f t="shared" si="27"/>
        <v>-1.4586462097298054E-3</v>
      </c>
      <c r="T141" s="26">
        <f t="shared" si="28"/>
        <v>-2.8805684993999901E-3</v>
      </c>
      <c r="U141" s="26">
        <f t="shared" si="29"/>
        <v>2.0073929479410384E-2</v>
      </c>
      <c r="V141" s="26">
        <f t="shared" si="30"/>
        <v>-1.0229205971642284E-2</v>
      </c>
      <c r="W141" s="26">
        <f t="shared" si="31"/>
        <v>4.233452661877299E-3</v>
      </c>
      <c r="X141" s="26">
        <f t="shared" si="32"/>
        <v>6.1828543525416495E-2</v>
      </c>
    </row>
    <row r="142" spans="1:24" x14ac:dyDescent="0.2">
      <c r="A142" s="5">
        <v>29706</v>
      </c>
      <c r="B142" s="64">
        <v>0</v>
      </c>
      <c r="C142" s="64">
        <v>0</v>
      </c>
      <c r="D142" s="64">
        <v>0</v>
      </c>
      <c r="E142" s="64">
        <v>0</v>
      </c>
      <c r="F142" s="64">
        <v>0</v>
      </c>
      <c r="G142" s="64">
        <v>0</v>
      </c>
      <c r="H142" s="8">
        <f>+'Simulation and  VaR'!H155/'Simulation and  VaR'!H154-1</f>
        <v>-2.6238207547169878E-2</v>
      </c>
      <c r="I142" s="8">
        <f>+'Simulation and  VaR'!I155/'Simulation and  VaR'!I154-1</f>
        <v>0.11871423353220512</v>
      </c>
      <c r="J142" s="8">
        <f>+'Simulation and  VaR'!J155/'Simulation and  VaR'!J154-1</f>
        <v>0.14186633039092089</v>
      </c>
      <c r="K142" s="8">
        <f>+'Simulation and  VaR'!K155/'Simulation and  VaR'!K154-1</f>
        <v>9.6707122479555707E-4</v>
      </c>
      <c r="L142" s="8">
        <f>+'Simulation and  VaR'!L155/'Simulation and  VaR'!L154-1</f>
        <v>-6.5371263694153914E-3</v>
      </c>
      <c r="N142" s="65">
        <f t="shared" si="22"/>
        <v>-4.0114638603053919E-3</v>
      </c>
      <c r="O142" s="65">
        <f t="shared" si="23"/>
        <v>-1.9783163122913897E-3</v>
      </c>
      <c r="P142" s="65">
        <f t="shared" si="24"/>
        <v>-1.7528760466946488E-3</v>
      </c>
      <c r="Q142" s="65">
        <f t="shared" si="25"/>
        <v>-1.5722682383099995E-3</v>
      </c>
      <c r="R142" s="65">
        <f t="shared" si="26"/>
        <v>-1.477900937713463E-3</v>
      </c>
      <c r="S142" s="65">
        <f t="shared" si="27"/>
        <v>-1.4586462097298054E-3</v>
      </c>
      <c r="T142" s="26">
        <f t="shared" si="28"/>
        <v>-3.1581587592230287E-2</v>
      </c>
      <c r="U142" s="26">
        <f t="shared" si="29"/>
        <v>0.10631246740316774</v>
      </c>
      <c r="V142" s="26">
        <f t="shared" si="30"/>
        <v>0.13163712441927861</v>
      </c>
      <c r="W142" s="26">
        <f t="shared" si="31"/>
        <v>2.5339865066669716E-3</v>
      </c>
      <c r="X142" s="26">
        <f t="shared" si="32"/>
        <v>-3.012891255659685E-3</v>
      </c>
    </row>
    <row r="143" spans="1:24" x14ac:dyDescent="0.2">
      <c r="A143" s="5">
        <v>29737</v>
      </c>
      <c r="B143" s="64">
        <v>0</v>
      </c>
      <c r="C143" s="64">
        <v>0</v>
      </c>
      <c r="D143" s="64">
        <v>0</v>
      </c>
      <c r="E143" s="64">
        <v>0</v>
      </c>
      <c r="F143" s="64">
        <v>0</v>
      </c>
      <c r="G143" s="64">
        <v>0</v>
      </c>
      <c r="H143" s="8">
        <f>+'Simulation and  VaR'!H156/'Simulation and  VaR'!H155-1</f>
        <v>3.865173074982331E-2</v>
      </c>
      <c r="I143" s="8">
        <f>+'Simulation and  VaR'!I156/'Simulation and  VaR'!I155-1</f>
        <v>1.5418662022928409E-2</v>
      </c>
      <c r="J143" s="8">
        <f>+'Simulation and  VaR'!J156/'Simulation and  VaR'!J155-1</f>
        <v>5.5218111540585202E-2</v>
      </c>
      <c r="K143" s="8">
        <f>+'Simulation and  VaR'!K156/'Simulation and  VaR'!K155-1</f>
        <v>5.3620598038742084E-2</v>
      </c>
      <c r="L143" s="8">
        <f>+'Simulation and  VaR'!L156/'Simulation and  VaR'!L155-1</f>
        <v>-1.1571973134870128E-2</v>
      </c>
      <c r="N143" s="65">
        <f t="shared" si="22"/>
        <v>-4.0114638603053919E-3</v>
      </c>
      <c r="O143" s="65">
        <f t="shared" si="23"/>
        <v>-1.9783163122913897E-3</v>
      </c>
      <c r="P143" s="65">
        <f t="shared" si="24"/>
        <v>-1.7528760466946488E-3</v>
      </c>
      <c r="Q143" s="65">
        <f t="shared" si="25"/>
        <v>-1.5722682383099995E-3</v>
      </c>
      <c r="R143" s="65">
        <f t="shared" si="26"/>
        <v>-1.477900937713463E-3</v>
      </c>
      <c r="S143" s="65">
        <f t="shared" si="27"/>
        <v>-1.4586462097298054E-3</v>
      </c>
      <c r="T143" s="26">
        <f t="shared" si="28"/>
        <v>3.3308350704762901E-2</v>
      </c>
      <c r="U143" s="26">
        <f t="shared" si="29"/>
        <v>3.0168958938910292E-3</v>
      </c>
      <c r="V143" s="26">
        <f t="shared" si="30"/>
        <v>4.4988905568942916E-2</v>
      </c>
      <c r="W143" s="26">
        <f t="shared" si="31"/>
        <v>5.5187513320613502E-2</v>
      </c>
      <c r="X143" s="26">
        <f t="shared" si="32"/>
        <v>-8.0477380211144214E-3</v>
      </c>
    </row>
    <row r="144" spans="1:24" x14ac:dyDescent="0.2">
      <c r="A144" s="5">
        <v>29767</v>
      </c>
      <c r="B144" s="64">
        <v>0</v>
      </c>
      <c r="C144" s="64">
        <v>0</v>
      </c>
      <c r="D144" s="64">
        <v>0</v>
      </c>
      <c r="E144" s="64">
        <v>0</v>
      </c>
      <c r="F144" s="64">
        <v>0</v>
      </c>
      <c r="G144" s="64">
        <v>0</v>
      </c>
      <c r="H144" s="8">
        <f>+'Simulation and  VaR'!H157/'Simulation and  VaR'!H156-1</f>
        <v>8.74465604352892E-3</v>
      </c>
      <c r="I144" s="8">
        <f>+'Simulation and  VaR'!I157/'Simulation and  VaR'!I156-1</f>
        <v>6.788381149737388E-2</v>
      </c>
      <c r="J144" s="8">
        <f>+'Simulation and  VaR'!J157/'Simulation and  VaR'!J156-1</f>
        <v>0.13867085295656723</v>
      </c>
      <c r="K144" s="8">
        <f>+'Simulation and  VaR'!K157/'Simulation and  VaR'!K156-1</f>
        <v>3.0489202695887396E-2</v>
      </c>
      <c r="L144" s="8">
        <f>+'Simulation and  VaR'!L157/'Simulation and  VaR'!L156-1</f>
        <v>-5.0502731738671924E-3</v>
      </c>
      <c r="N144" s="65">
        <f t="shared" si="22"/>
        <v>-4.0114638603053919E-3</v>
      </c>
      <c r="O144" s="65">
        <f t="shared" si="23"/>
        <v>-1.9783163122913897E-3</v>
      </c>
      <c r="P144" s="65">
        <f t="shared" si="24"/>
        <v>-1.7528760466946488E-3</v>
      </c>
      <c r="Q144" s="65">
        <f t="shared" si="25"/>
        <v>-1.5722682383099995E-3</v>
      </c>
      <c r="R144" s="65">
        <f t="shared" si="26"/>
        <v>-1.477900937713463E-3</v>
      </c>
      <c r="S144" s="65">
        <f t="shared" si="27"/>
        <v>-1.4586462097298054E-3</v>
      </c>
      <c r="T144" s="26">
        <f t="shared" si="28"/>
        <v>3.4012759984685149E-3</v>
      </c>
      <c r="U144" s="26">
        <f t="shared" si="29"/>
        <v>5.5482045368336501E-2</v>
      </c>
      <c r="V144" s="26">
        <f t="shared" si="30"/>
        <v>0.12844164698492494</v>
      </c>
      <c r="W144" s="26">
        <f t="shared" si="31"/>
        <v>3.2056117977758813E-2</v>
      </c>
      <c r="X144" s="26">
        <f t="shared" si="32"/>
        <v>-1.5260380601114861E-3</v>
      </c>
    </row>
    <row r="145" spans="1:24" x14ac:dyDescent="0.2">
      <c r="A145" s="5">
        <v>29798</v>
      </c>
      <c r="B145" s="64">
        <v>0</v>
      </c>
      <c r="C145" s="64">
        <v>0</v>
      </c>
      <c r="D145" s="64">
        <v>0</v>
      </c>
      <c r="E145" s="64">
        <v>0</v>
      </c>
      <c r="F145" s="64">
        <v>0</v>
      </c>
      <c r="G145" s="64">
        <v>0</v>
      </c>
      <c r="H145" s="8">
        <f>+'Simulation and  VaR'!H158/'Simulation and  VaR'!H157-1</f>
        <v>5.3072625698323828E-2</v>
      </c>
      <c r="I145" s="8">
        <f>+'Simulation and  VaR'!I158/'Simulation and  VaR'!I157-1</f>
        <v>5.8549968215731552E-2</v>
      </c>
      <c r="J145" s="8">
        <f>+'Simulation and  VaR'!J158/'Simulation and  VaR'!J157-1</f>
        <v>0.21829044117647056</v>
      </c>
      <c r="K145" s="8">
        <f>+'Simulation and  VaR'!K158/'Simulation and  VaR'!K157-1</f>
        <v>2.3135789286350406E-3</v>
      </c>
      <c r="L145" s="8">
        <f>+'Simulation and  VaR'!L158/'Simulation and  VaR'!L157-1</f>
        <v>1.7073508375248014E-2</v>
      </c>
      <c r="N145" s="65">
        <f t="shared" si="22"/>
        <v>-4.0114638603053919E-3</v>
      </c>
      <c r="O145" s="65">
        <f t="shared" si="23"/>
        <v>-1.9783163122913897E-3</v>
      </c>
      <c r="P145" s="65">
        <f t="shared" si="24"/>
        <v>-1.7528760466946488E-3</v>
      </c>
      <c r="Q145" s="65">
        <f t="shared" si="25"/>
        <v>-1.5722682383099995E-3</v>
      </c>
      <c r="R145" s="65">
        <f t="shared" si="26"/>
        <v>-1.477900937713463E-3</v>
      </c>
      <c r="S145" s="65">
        <f t="shared" si="27"/>
        <v>-1.4586462097298054E-3</v>
      </c>
      <c r="T145" s="26">
        <f t="shared" si="28"/>
        <v>4.7729245653263419E-2</v>
      </c>
      <c r="U145" s="26">
        <f t="shared" si="29"/>
        <v>4.6148202086694172E-2</v>
      </c>
      <c r="V145" s="26">
        <f t="shared" si="30"/>
        <v>0.20806123520482828</v>
      </c>
      <c r="W145" s="26">
        <f t="shared" si="31"/>
        <v>3.8804942105064551E-3</v>
      </c>
      <c r="X145" s="26">
        <f t="shared" si="32"/>
        <v>2.0597743489003721E-2</v>
      </c>
    </row>
    <row r="146" spans="1:24" x14ac:dyDescent="0.2">
      <c r="A146" s="5">
        <v>29829</v>
      </c>
      <c r="B146" s="64">
        <v>0</v>
      </c>
      <c r="C146" s="64">
        <v>0</v>
      </c>
      <c r="D146" s="64">
        <v>0</v>
      </c>
      <c r="E146" s="64">
        <v>0</v>
      </c>
      <c r="F146" s="64">
        <v>0</v>
      </c>
      <c r="G146" s="64">
        <v>0</v>
      </c>
      <c r="H146" s="8">
        <f>+'Simulation and  VaR'!H159/'Simulation and  VaR'!H158-1</f>
        <v>0</v>
      </c>
      <c r="I146" s="8">
        <f>+'Simulation and  VaR'!I159/'Simulation and  VaR'!I158-1</f>
        <v>0.25797275514396789</v>
      </c>
      <c r="J146" s="8">
        <f>+'Simulation and  VaR'!J159/'Simulation and  VaR'!J158-1</f>
        <v>7.5443228970199838E-2</v>
      </c>
      <c r="K146" s="8">
        <f>+'Simulation and  VaR'!K159/'Simulation and  VaR'!K158-1</f>
        <v>-2.2061434659090939E-2</v>
      </c>
      <c r="L146" s="8">
        <f>+'Simulation and  VaR'!L159/'Simulation and  VaR'!L158-1</f>
        <v>1.8601696837711401E-2</v>
      </c>
      <c r="N146" s="65">
        <f t="shared" si="22"/>
        <v>-4.0114638603053919E-3</v>
      </c>
      <c r="O146" s="65">
        <f t="shared" si="23"/>
        <v>-1.9783163122913897E-3</v>
      </c>
      <c r="P146" s="65">
        <f t="shared" si="24"/>
        <v>-1.7528760466946488E-3</v>
      </c>
      <c r="Q146" s="65">
        <f t="shared" si="25"/>
        <v>-1.5722682383099995E-3</v>
      </c>
      <c r="R146" s="65">
        <f t="shared" si="26"/>
        <v>-1.477900937713463E-3</v>
      </c>
      <c r="S146" s="65">
        <f t="shared" si="27"/>
        <v>-1.4586462097298054E-3</v>
      </c>
      <c r="T146" s="26">
        <f t="shared" si="28"/>
        <v>-5.3433800450604051E-3</v>
      </c>
      <c r="U146" s="26">
        <f t="shared" si="29"/>
        <v>0.24557098901493052</v>
      </c>
      <c r="V146" s="26">
        <f t="shared" si="30"/>
        <v>6.5214022998557553E-2</v>
      </c>
      <c r="W146" s="26">
        <f t="shared" si="31"/>
        <v>-2.0494519377219526E-2</v>
      </c>
      <c r="X146" s="26">
        <f t="shared" si="32"/>
        <v>2.2125931951467108E-2</v>
      </c>
    </row>
    <row r="147" spans="1:24" x14ac:dyDescent="0.2">
      <c r="A147" s="5">
        <v>29859</v>
      </c>
      <c r="B147" s="64">
        <v>0</v>
      </c>
      <c r="C147" s="64">
        <v>0</v>
      </c>
      <c r="D147" s="64">
        <v>0</v>
      </c>
      <c r="E147" s="64">
        <v>0</v>
      </c>
      <c r="F147" s="64">
        <v>0</v>
      </c>
      <c r="G147" s="64">
        <v>0</v>
      </c>
      <c r="H147" s="8">
        <f>+'Simulation and  VaR'!H160/'Simulation and  VaR'!H159-1</f>
        <v>-6.8599652428427693E-2</v>
      </c>
      <c r="I147" s="8">
        <f>+'Simulation and  VaR'!I160/'Simulation and  VaR'!I159-1</f>
        <v>-3.8943745132031804E-2</v>
      </c>
      <c r="J147" s="8">
        <f>+'Simulation and  VaR'!J160/'Simulation and  VaR'!J159-1</f>
        <v>1.7537706068046388E-2</v>
      </c>
      <c r="K147" s="8">
        <f>+'Simulation and  VaR'!K160/'Simulation and  VaR'!K159-1</f>
        <v>-5.8326903000317842E-2</v>
      </c>
      <c r="L147" s="8">
        <f>+'Simulation and  VaR'!L160/'Simulation and  VaR'!L159-1</f>
        <v>5.9462830163466984E-2</v>
      </c>
      <c r="N147" s="65">
        <f t="shared" si="22"/>
        <v>-4.0114638603053919E-3</v>
      </c>
      <c r="O147" s="65">
        <f t="shared" si="23"/>
        <v>-1.9783163122913897E-3</v>
      </c>
      <c r="P147" s="65">
        <f t="shared" si="24"/>
        <v>-1.7528760466946488E-3</v>
      </c>
      <c r="Q147" s="65">
        <f t="shared" si="25"/>
        <v>-1.5722682383099995E-3</v>
      </c>
      <c r="R147" s="65">
        <f t="shared" si="26"/>
        <v>-1.477900937713463E-3</v>
      </c>
      <c r="S147" s="65">
        <f t="shared" si="27"/>
        <v>-1.4586462097298054E-3</v>
      </c>
      <c r="T147" s="26">
        <f t="shared" si="28"/>
        <v>-7.3943032473488102E-2</v>
      </c>
      <c r="U147" s="26">
        <f t="shared" si="29"/>
        <v>-5.1345511261069184E-2</v>
      </c>
      <c r="V147" s="26">
        <f t="shared" si="30"/>
        <v>7.3085000964041042E-3</v>
      </c>
      <c r="W147" s="26">
        <f t="shared" si="31"/>
        <v>-5.6759987718446425E-2</v>
      </c>
      <c r="X147" s="26">
        <f t="shared" si="32"/>
        <v>6.2987065277222684E-2</v>
      </c>
    </row>
    <row r="148" spans="1:24" x14ac:dyDescent="0.2">
      <c r="A148" s="5">
        <v>29890</v>
      </c>
      <c r="B148" s="64">
        <v>0</v>
      </c>
      <c r="C148" s="64">
        <v>0</v>
      </c>
      <c r="D148" s="64">
        <v>0</v>
      </c>
      <c r="E148" s="64">
        <v>0</v>
      </c>
      <c r="F148" s="64">
        <v>0</v>
      </c>
      <c r="G148" s="64">
        <v>0</v>
      </c>
      <c r="H148" s="8">
        <f>+'Simulation and  VaR'!H161/'Simulation and  VaR'!H160-1</f>
        <v>4.2620053029559068E-2</v>
      </c>
      <c r="I148" s="8">
        <f>+'Simulation and  VaR'!I161/'Simulation and  VaR'!I160-1</f>
        <v>8.6925832004391967E-2</v>
      </c>
      <c r="J148" s="8">
        <f>+'Simulation and  VaR'!J161/'Simulation and  VaR'!J160-1</f>
        <v>6.8941744226128865E-2</v>
      </c>
      <c r="K148" s="8">
        <f>+'Simulation and  VaR'!K161/'Simulation and  VaR'!K160-1</f>
        <v>6.0011568495131673E-2</v>
      </c>
      <c r="L148" s="8">
        <f>+'Simulation and  VaR'!L161/'Simulation and  VaR'!L160-1</f>
        <v>4.9188598335155209E-2</v>
      </c>
      <c r="N148" s="65">
        <f t="shared" si="22"/>
        <v>-4.0114638603053919E-3</v>
      </c>
      <c r="O148" s="65">
        <f t="shared" si="23"/>
        <v>-1.9783163122913897E-3</v>
      </c>
      <c r="P148" s="65">
        <f t="shared" si="24"/>
        <v>-1.7528760466946488E-3</v>
      </c>
      <c r="Q148" s="65">
        <f t="shared" si="25"/>
        <v>-1.5722682383099995E-3</v>
      </c>
      <c r="R148" s="65">
        <f t="shared" si="26"/>
        <v>-1.477900937713463E-3</v>
      </c>
      <c r="S148" s="65">
        <f t="shared" si="27"/>
        <v>-1.4586462097298054E-3</v>
      </c>
      <c r="T148" s="26">
        <f t="shared" si="28"/>
        <v>3.727667298449866E-2</v>
      </c>
      <c r="U148" s="26">
        <f t="shared" si="29"/>
        <v>7.4524065875354595E-2</v>
      </c>
      <c r="V148" s="26">
        <f t="shared" si="30"/>
        <v>5.8712538254486579E-2</v>
      </c>
      <c r="W148" s="26">
        <f t="shared" si="31"/>
        <v>6.157848377700309E-2</v>
      </c>
      <c r="X148" s="26">
        <f t="shared" si="32"/>
        <v>5.2712833448910916E-2</v>
      </c>
    </row>
    <row r="149" spans="1:24" x14ac:dyDescent="0.2">
      <c r="A149" s="5">
        <v>29920</v>
      </c>
      <c r="B149" s="64">
        <v>0</v>
      </c>
      <c r="C149" s="64">
        <v>0</v>
      </c>
      <c r="D149" s="64">
        <v>0</v>
      </c>
      <c r="E149" s="64">
        <v>0</v>
      </c>
      <c r="F149" s="64">
        <v>0</v>
      </c>
      <c r="G149" s="64">
        <v>0</v>
      </c>
      <c r="H149" s="8">
        <f>+'Simulation and  VaR'!H162/'Simulation and  VaR'!H161-1</f>
        <v>1.6765564660450316E-2</v>
      </c>
      <c r="I149" s="8">
        <f>+'Simulation and  VaR'!I162/'Simulation and  VaR'!I161-1</f>
        <v>0.26637964210121234</v>
      </c>
      <c r="J149" s="8">
        <f>+'Simulation and  VaR'!J162/'Simulation and  VaR'!J161-1</f>
        <v>4.837149306675248E-2</v>
      </c>
      <c r="K149" s="8">
        <f>+'Simulation and  VaR'!K162/'Simulation and  VaR'!K161-1</f>
        <v>8.8672638806783777E-3</v>
      </c>
      <c r="L149" s="8">
        <f>+'Simulation and  VaR'!L162/'Simulation and  VaR'!L161-1</f>
        <v>-3.7065234813271397E-2</v>
      </c>
      <c r="N149" s="65">
        <f t="shared" si="22"/>
        <v>-4.0114638603053919E-3</v>
      </c>
      <c r="O149" s="65">
        <f t="shared" si="23"/>
        <v>-1.9783163122913897E-3</v>
      </c>
      <c r="P149" s="65">
        <f t="shared" si="24"/>
        <v>-1.7528760466946488E-3</v>
      </c>
      <c r="Q149" s="65">
        <f t="shared" si="25"/>
        <v>-1.5722682383099995E-3</v>
      </c>
      <c r="R149" s="65">
        <f t="shared" si="26"/>
        <v>-1.477900937713463E-3</v>
      </c>
      <c r="S149" s="65">
        <f t="shared" si="27"/>
        <v>-1.4586462097298054E-3</v>
      </c>
      <c r="T149" s="26">
        <f t="shared" si="28"/>
        <v>1.1422184615389911E-2</v>
      </c>
      <c r="U149" s="26">
        <f t="shared" si="29"/>
        <v>0.25397787597217497</v>
      </c>
      <c r="V149" s="26">
        <f t="shared" si="30"/>
        <v>3.8142287095110194E-2</v>
      </c>
      <c r="W149" s="26">
        <f t="shared" si="31"/>
        <v>1.0434179162549791E-2</v>
      </c>
      <c r="X149" s="26">
        <f t="shared" si="32"/>
        <v>-3.354099969951569E-2</v>
      </c>
    </row>
    <row r="150" spans="1:24" x14ac:dyDescent="0.2">
      <c r="A150" s="5">
        <v>29951</v>
      </c>
      <c r="B150" s="64">
        <v>0</v>
      </c>
      <c r="C150" s="64">
        <v>0</v>
      </c>
      <c r="D150" s="64">
        <v>0</v>
      </c>
      <c r="E150" s="64">
        <v>0</v>
      </c>
      <c r="F150" s="64">
        <v>0</v>
      </c>
      <c r="G150" s="64">
        <v>0</v>
      </c>
      <c r="H150" s="8">
        <f>+'Simulation and  VaR'!H163/'Simulation and  VaR'!H162-1</f>
        <v>5.7619268179712746E-2</v>
      </c>
      <c r="I150" s="8">
        <f>+'Simulation and  VaR'!I163/'Simulation and  VaR'!I162-1</f>
        <v>0.23456344608839341</v>
      </c>
      <c r="J150" s="8">
        <f>+'Simulation and  VaR'!J163/'Simulation and  VaR'!J162-1</f>
        <v>0</v>
      </c>
      <c r="K150" s="8">
        <f>+'Simulation and  VaR'!K163/'Simulation and  VaR'!K162-1</f>
        <v>2.1725412422248125E-2</v>
      </c>
      <c r="L150" s="8">
        <f>+'Simulation and  VaR'!L163/'Simulation and  VaR'!L162-1</f>
        <v>-4.0364529149847783E-3</v>
      </c>
      <c r="N150" s="65">
        <f t="shared" si="22"/>
        <v>-4.0114638603053919E-3</v>
      </c>
      <c r="O150" s="65">
        <f t="shared" si="23"/>
        <v>-1.9783163122913897E-3</v>
      </c>
      <c r="P150" s="65">
        <f t="shared" si="24"/>
        <v>-1.7528760466946488E-3</v>
      </c>
      <c r="Q150" s="65">
        <f t="shared" si="25"/>
        <v>-1.5722682383099995E-3</v>
      </c>
      <c r="R150" s="65">
        <f t="shared" si="26"/>
        <v>-1.477900937713463E-3</v>
      </c>
      <c r="S150" s="65">
        <f t="shared" si="27"/>
        <v>-1.4586462097298054E-3</v>
      </c>
      <c r="T150" s="26">
        <f t="shared" si="28"/>
        <v>5.2275888134652337E-2</v>
      </c>
      <c r="U150" s="26">
        <f t="shared" si="29"/>
        <v>0.22216167995935604</v>
      </c>
      <c r="V150" s="26">
        <f t="shared" si="30"/>
        <v>-1.0229205971642284E-2</v>
      </c>
      <c r="W150" s="26">
        <f t="shared" si="31"/>
        <v>2.3292327704119539E-2</v>
      </c>
      <c r="X150" s="26">
        <f t="shared" si="32"/>
        <v>-5.1221780122907195E-4</v>
      </c>
    </row>
    <row r="151" spans="1:24" x14ac:dyDescent="0.2">
      <c r="A151" s="5">
        <v>29982</v>
      </c>
      <c r="B151" s="64">
        <v>0</v>
      </c>
      <c r="C151" s="64">
        <v>0</v>
      </c>
      <c r="D151" s="64">
        <v>0</v>
      </c>
      <c r="E151" s="64">
        <v>0</v>
      </c>
      <c r="F151" s="64">
        <v>0</v>
      </c>
      <c r="G151" s="64">
        <v>0</v>
      </c>
      <c r="H151" s="8">
        <f>+'Simulation and  VaR'!H164/'Simulation and  VaR'!H163-1</f>
        <v>-4.3794341771042911E-3</v>
      </c>
      <c r="I151" s="8">
        <f>+'Simulation and  VaR'!I164/'Simulation and  VaR'!I163-1</f>
        <v>-1.4615159766772856E-2</v>
      </c>
      <c r="J151" s="8">
        <f>+'Simulation and  VaR'!J164/'Simulation and  VaR'!J163-1</f>
        <v>0.13841894801599519</v>
      </c>
      <c r="K151" s="8">
        <f>+'Simulation and  VaR'!K164/'Simulation and  VaR'!K163-1</f>
        <v>2.7792482795130358E-3</v>
      </c>
      <c r="L151" s="8">
        <f>+'Simulation and  VaR'!L164/'Simulation and  VaR'!L163-1</f>
        <v>5.1474889278850133E-2</v>
      </c>
      <c r="N151" s="65">
        <f t="shared" si="22"/>
        <v>-4.0114638603053919E-3</v>
      </c>
      <c r="O151" s="65">
        <f t="shared" si="23"/>
        <v>-1.9783163122913897E-3</v>
      </c>
      <c r="P151" s="65">
        <f t="shared" si="24"/>
        <v>-1.7528760466946488E-3</v>
      </c>
      <c r="Q151" s="65">
        <f t="shared" si="25"/>
        <v>-1.5722682383099995E-3</v>
      </c>
      <c r="R151" s="65">
        <f t="shared" si="26"/>
        <v>-1.477900937713463E-3</v>
      </c>
      <c r="S151" s="65">
        <f t="shared" si="27"/>
        <v>-1.4586462097298054E-3</v>
      </c>
      <c r="T151" s="26">
        <f t="shared" si="28"/>
        <v>-9.7228142221646961E-3</v>
      </c>
      <c r="U151" s="26">
        <f t="shared" si="29"/>
        <v>-2.7016925895810236E-2</v>
      </c>
      <c r="V151" s="26">
        <f t="shared" si="30"/>
        <v>0.12818974204435291</v>
      </c>
      <c r="W151" s="26">
        <f t="shared" si="31"/>
        <v>4.3461635613844503E-3</v>
      </c>
      <c r="X151" s="26">
        <f t="shared" si="32"/>
        <v>5.499912439260584E-2</v>
      </c>
    </row>
    <row r="152" spans="1:24" x14ac:dyDescent="0.2">
      <c r="A152" s="5">
        <v>30010</v>
      </c>
      <c r="B152" s="64">
        <v>0</v>
      </c>
      <c r="C152" s="64">
        <v>0</v>
      </c>
      <c r="D152" s="64">
        <v>0</v>
      </c>
      <c r="E152" s="64">
        <v>0</v>
      </c>
      <c r="F152" s="64">
        <v>0</v>
      </c>
      <c r="G152" s="64">
        <v>0</v>
      </c>
      <c r="H152" s="8">
        <f>+'Simulation and  VaR'!H165/'Simulation and  VaR'!H164-1</f>
        <v>-0.10178587138207085</v>
      </c>
      <c r="I152" s="8">
        <f>+'Simulation and  VaR'!I165/'Simulation and  VaR'!I164-1</f>
        <v>-0.21311142683174344</v>
      </c>
      <c r="J152" s="8">
        <f>+'Simulation and  VaR'!J165/'Simulation and  VaR'!J164-1</f>
        <v>2.7019724398811062E-2</v>
      </c>
      <c r="K152" s="8">
        <f>+'Simulation and  VaR'!K165/'Simulation and  VaR'!K164-1</f>
        <v>-4.9711847257049913E-2</v>
      </c>
      <c r="L152" s="8">
        <f>+'Simulation and  VaR'!L165/'Simulation and  VaR'!L164-1</f>
        <v>-6.7551458316776891E-3</v>
      </c>
      <c r="N152" s="65">
        <f t="shared" si="22"/>
        <v>-4.0114638603053919E-3</v>
      </c>
      <c r="O152" s="65">
        <f t="shared" si="23"/>
        <v>-1.9783163122913897E-3</v>
      </c>
      <c r="P152" s="65">
        <f t="shared" si="24"/>
        <v>-1.7528760466946488E-3</v>
      </c>
      <c r="Q152" s="65">
        <f t="shared" si="25"/>
        <v>-1.5722682383099995E-3</v>
      </c>
      <c r="R152" s="65">
        <f t="shared" si="26"/>
        <v>-1.477900937713463E-3</v>
      </c>
      <c r="S152" s="65">
        <f t="shared" si="27"/>
        <v>-1.4586462097298054E-3</v>
      </c>
      <c r="T152" s="26">
        <f t="shared" si="28"/>
        <v>-0.10712925142713126</v>
      </c>
      <c r="U152" s="26">
        <f t="shared" si="29"/>
        <v>-0.22551319296078082</v>
      </c>
      <c r="V152" s="26">
        <f t="shared" si="30"/>
        <v>1.6790518427168777E-2</v>
      </c>
      <c r="W152" s="26">
        <f t="shared" si="31"/>
        <v>-4.8144931975178495E-2</v>
      </c>
      <c r="X152" s="26">
        <f t="shared" si="32"/>
        <v>-3.2309107179219827E-3</v>
      </c>
    </row>
    <row r="153" spans="1:24" x14ac:dyDescent="0.2">
      <c r="A153" s="5">
        <v>30041</v>
      </c>
      <c r="B153" s="64">
        <v>0</v>
      </c>
      <c r="C153" s="64">
        <v>0</v>
      </c>
      <c r="D153" s="64">
        <v>0</v>
      </c>
      <c r="E153" s="64">
        <v>0</v>
      </c>
      <c r="F153" s="64">
        <v>0</v>
      </c>
      <c r="G153" s="64">
        <v>0</v>
      </c>
      <c r="H153" s="8">
        <f>+'Simulation and  VaR'!H166/'Simulation and  VaR'!H165-1</f>
        <v>4.1136141038197849E-2</v>
      </c>
      <c r="I153" s="8">
        <f>+'Simulation and  VaR'!I166/'Simulation and  VaR'!I165-1</f>
        <v>2.0832919981746301E-2</v>
      </c>
      <c r="J153" s="8">
        <f>+'Simulation and  VaR'!J166/'Simulation and  VaR'!J165-1</f>
        <v>3.946329913180735E-2</v>
      </c>
      <c r="K153" s="8">
        <f>+'Simulation and  VaR'!K166/'Simulation and  VaR'!K165-1</f>
        <v>4.5599740752742868E-2</v>
      </c>
      <c r="L153" s="8">
        <f>+'Simulation and  VaR'!L166/'Simulation and  VaR'!L165-1</f>
        <v>-4.2406785085613685E-2</v>
      </c>
      <c r="N153" s="65">
        <f t="shared" si="22"/>
        <v>-4.0114638603053919E-3</v>
      </c>
      <c r="O153" s="65">
        <f t="shared" si="23"/>
        <v>-1.9783163122913897E-3</v>
      </c>
      <c r="P153" s="65">
        <f t="shared" si="24"/>
        <v>-1.7528760466946488E-3</v>
      </c>
      <c r="Q153" s="65">
        <f t="shared" si="25"/>
        <v>-1.5722682383099995E-3</v>
      </c>
      <c r="R153" s="65">
        <f t="shared" si="26"/>
        <v>-1.477900937713463E-3</v>
      </c>
      <c r="S153" s="65">
        <f t="shared" si="27"/>
        <v>-1.4586462097298054E-3</v>
      </c>
      <c r="T153" s="26">
        <f t="shared" si="28"/>
        <v>3.579276099313744E-2</v>
      </c>
      <c r="U153" s="26">
        <f t="shared" si="29"/>
        <v>8.4311538527089211E-3</v>
      </c>
      <c r="V153" s="26">
        <f t="shared" si="30"/>
        <v>2.9234093160165064E-2</v>
      </c>
      <c r="W153" s="26">
        <f t="shared" si="31"/>
        <v>4.7166656034614285E-2</v>
      </c>
      <c r="X153" s="26">
        <f t="shared" si="32"/>
        <v>-3.8882549971857978E-2</v>
      </c>
    </row>
    <row r="154" spans="1:24" x14ac:dyDescent="0.2">
      <c r="A154" s="5">
        <v>30071</v>
      </c>
      <c r="B154" s="64">
        <v>0</v>
      </c>
      <c r="C154" s="64">
        <v>0</v>
      </c>
      <c r="D154" s="64">
        <v>0</v>
      </c>
      <c r="E154" s="64">
        <v>0</v>
      </c>
      <c r="F154" s="64">
        <v>0</v>
      </c>
      <c r="G154" s="64">
        <v>0</v>
      </c>
      <c r="H154" s="8">
        <f>+'Simulation and  VaR'!H167/'Simulation and  VaR'!H166-1</f>
        <v>4.6566321730949989E-2</v>
      </c>
      <c r="I154" s="8">
        <f>+'Simulation and  VaR'!I167/'Simulation and  VaR'!I166-1</f>
        <v>4.081553322578757E-2</v>
      </c>
      <c r="J154" s="8">
        <f>+'Simulation and  VaR'!J167/'Simulation and  VaR'!J166-1</f>
        <v>0</v>
      </c>
      <c r="K154" s="8">
        <f>+'Simulation and  VaR'!K167/'Simulation and  VaR'!K166-1</f>
        <v>3.7191180377224908E-2</v>
      </c>
      <c r="L154" s="8">
        <f>+'Simulation and  VaR'!L167/'Simulation and  VaR'!L166-1</f>
        <v>-6.8307152406417049E-2</v>
      </c>
      <c r="N154" s="65">
        <f t="shared" si="22"/>
        <v>-4.0114638603053919E-3</v>
      </c>
      <c r="O154" s="65">
        <f t="shared" si="23"/>
        <v>-1.9783163122913897E-3</v>
      </c>
      <c r="P154" s="65">
        <f t="shared" si="24"/>
        <v>-1.7528760466946488E-3</v>
      </c>
      <c r="Q154" s="65">
        <f t="shared" si="25"/>
        <v>-1.5722682383099995E-3</v>
      </c>
      <c r="R154" s="65">
        <f t="shared" si="26"/>
        <v>-1.477900937713463E-3</v>
      </c>
      <c r="S154" s="65">
        <f t="shared" si="27"/>
        <v>-1.4586462097298054E-3</v>
      </c>
      <c r="T154" s="26">
        <f t="shared" si="28"/>
        <v>4.122294168588958E-2</v>
      </c>
      <c r="U154" s="26">
        <f t="shared" si="29"/>
        <v>2.8413767096750191E-2</v>
      </c>
      <c r="V154" s="26">
        <f t="shared" si="30"/>
        <v>-1.0229205971642284E-2</v>
      </c>
      <c r="W154" s="26">
        <f t="shared" si="31"/>
        <v>3.8758095659096325E-2</v>
      </c>
      <c r="X154" s="26">
        <f t="shared" si="32"/>
        <v>-6.4782917292661349E-2</v>
      </c>
    </row>
    <row r="155" spans="1:24" x14ac:dyDescent="0.2">
      <c r="A155" s="5">
        <v>30102</v>
      </c>
      <c r="B155" s="64">
        <v>0</v>
      </c>
      <c r="C155" s="64">
        <v>0</v>
      </c>
      <c r="D155" s="64">
        <v>0</v>
      </c>
      <c r="E155" s="64">
        <v>0</v>
      </c>
      <c r="F155" s="64">
        <v>0</v>
      </c>
      <c r="G155" s="64">
        <v>0</v>
      </c>
      <c r="H155" s="8">
        <f>+'Simulation and  VaR'!H168/'Simulation and  VaR'!H167-1</f>
        <v>2.6966292134831482E-2</v>
      </c>
      <c r="I155" s="8">
        <f>+'Simulation and  VaR'!I168/'Simulation and  VaR'!I167-1</f>
        <v>0.21661593621034148</v>
      </c>
      <c r="J155" s="8">
        <f>+'Simulation and  VaR'!J168/'Simulation and  VaR'!J167-1</f>
        <v>0</v>
      </c>
      <c r="K155" s="8">
        <f>+'Simulation and  VaR'!K168/'Simulation and  VaR'!K167-1</f>
        <v>5.5493895671476778E-3</v>
      </c>
      <c r="L155" s="8">
        <f>+'Simulation and  VaR'!L168/'Simulation and  VaR'!L167-1</f>
        <v>-1.3900721940720118E-2</v>
      </c>
      <c r="N155" s="65">
        <f t="shared" si="22"/>
        <v>-4.0114638603053919E-3</v>
      </c>
      <c r="O155" s="65">
        <f t="shared" si="23"/>
        <v>-1.9783163122913897E-3</v>
      </c>
      <c r="P155" s="65">
        <f t="shared" si="24"/>
        <v>-1.7528760466946488E-3</v>
      </c>
      <c r="Q155" s="65">
        <f t="shared" si="25"/>
        <v>-1.5722682383099995E-3</v>
      </c>
      <c r="R155" s="65">
        <f t="shared" si="26"/>
        <v>-1.477900937713463E-3</v>
      </c>
      <c r="S155" s="65">
        <f t="shared" si="27"/>
        <v>-1.4586462097298054E-3</v>
      </c>
      <c r="T155" s="26">
        <f t="shared" si="28"/>
        <v>2.1622912089771077E-2</v>
      </c>
      <c r="U155" s="26">
        <f t="shared" si="29"/>
        <v>0.2042141700813041</v>
      </c>
      <c r="V155" s="26">
        <f t="shared" si="30"/>
        <v>-1.0229205971642284E-2</v>
      </c>
      <c r="W155" s="26">
        <f t="shared" si="31"/>
        <v>7.1163048490190924E-3</v>
      </c>
      <c r="X155" s="26">
        <f t="shared" si="32"/>
        <v>-1.0376486826964411E-2</v>
      </c>
    </row>
    <row r="156" spans="1:24" x14ac:dyDescent="0.2">
      <c r="A156" s="5">
        <v>30132</v>
      </c>
      <c r="B156" s="64">
        <v>0</v>
      </c>
      <c r="C156" s="64">
        <v>0</v>
      </c>
      <c r="D156" s="64">
        <v>0</v>
      </c>
      <c r="E156" s="64">
        <v>0</v>
      </c>
      <c r="F156" s="64">
        <v>0</v>
      </c>
      <c r="G156" s="64">
        <v>0</v>
      </c>
      <c r="H156" s="8">
        <f>+'Simulation and  VaR'!H169/'Simulation and  VaR'!H168-1</f>
        <v>6.5032822757111752E-2</v>
      </c>
      <c r="I156" s="8">
        <f>+'Simulation and  VaR'!I169/'Simulation and  VaR'!I168-1</f>
        <v>-5.2662276864514634E-2</v>
      </c>
      <c r="J156" s="8">
        <f>+'Simulation and  VaR'!J169/'Simulation and  VaR'!J168-1</f>
        <v>0</v>
      </c>
      <c r="K156" s="8">
        <f>+'Simulation and  VaR'!K169/'Simulation and  VaR'!K168-1</f>
        <v>-5.5187637969095205E-3</v>
      </c>
      <c r="L156" s="8">
        <f>+'Simulation and  VaR'!L169/'Simulation and  VaR'!L168-1</f>
        <v>3.4104861079532478E-2</v>
      </c>
      <c r="N156" s="65">
        <f t="shared" si="22"/>
        <v>-4.0114638603053919E-3</v>
      </c>
      <c r="O156" s="65">
        <f t="shared" si="23"/>
        <v>-1.9783163122913897E-3</v>
      </c>
      <c r="P156" s="65">
        <f t="shared" si="24"/>
        <v>-1.7528760466946488E-3</v>
      </c>
      <c r="Q156" s="65">
        <f t="shared" si="25"/>
        <v>-1.5722682383099995E-3</v>
      </c>
      <c r="R156" s="65">
        <f t="shared" si="26"/>
        <v>-1.477900937713463E-3</v>
      </c>
      <c r="S156" s="65">
        <f t="shared" si="27"/>
        <v>-1.4586462097298054E-3</v>
      </c>
      <c r="T156" s="26">
        <f t="shared" si="28"/>
        <v>5.9689442712051344E-2</v>
      </c>
      <c r="U156" s="26">
        <f t="shared" si="29"/>
        <v>-6.5064042993552007E-2</v>
      </c>
      <c r="V156" s="26">
        <f t="shared" si="30"/>
        <v>-1.0229205971642284E-2</v>
      </c>
      <c r="W156" s="26">
        <f t="shared" si="31"/>
        <v>-3.9518485150381059E-3</v>
      </c>
      <c r="X156" s="26">
        <f t="shared" si="32"/>
        <v>3.7629096193288185E-2</v>
      </c>
    </row>
    <row r="157" spans="1:24" x14ac:dyDescent="0.2">
      <c r="A157" s="5">
        <v>30163</v>
      </c>
      <c r="B157" s="64">
        <v>0</v>
      </c>
      <c r="C157" s="64">
        <v>0</v>
      </c>
      <c r="D157" s="64">
        <v>0</v>
      </c>
      <c r="E157" s="64">
        <v>0</v>
      </c>
      <c r="F157" s="64">
        <v>0</v>
      </c>
      <c r="G157" s="64">
        <v>0</v>
      </c>
      <c r="H157" s="8">
        <f>+'Simulation and  VaR'!H170/'Simulation and  VaR'!H169-1</f>
        <v>5.8349769888230707E-3</v>
      </c>
      <c r="I157" s="8">
        <f>+'Simulation and  VaR'!I170/'Simulation and  VaR'!I169-1</f>
        <v>2.4805573558003724E-2</v>
      </c>
      <c r="J157" s="8">
        <f>+'Simulation and  VaR'!J170/'Simulation and  VaR'!J169-1</f>
        <v>-3.796507213363709E-2</v>
      </c>
      <c r="K157" s="8">
        <f>+'Simulation and  VaR'!K170/'Simulation and  VaR'!K169-1</f>
        <v>2.2837872449415153E-2</v>
      </c>
      <c r="L157" s="8">
        <f>+'Simulation and  VaR'!L170/'Simulation and  VaR'!L169-1</f>
        <v>-3.6497955235038071E-2</v>
      </c>
      <c r="N157" s="65">
        <f t="shared" si="22"/>
        <v>-4.0114638603053919E-3</v>
      </c>
      <c r="O157" s="65">
        <f t="shared" si="23"/>
        <v>-1.9783163122913897E-3</v>
      </c>
      <c r="P157" s="65">
        <f t="shared" si="24"/>
        <v>-1.7528760466946488E-3</v>
      </c>
      <c r="Q157" s="65">
        <f t="shared" si="25"/>
        <v>-1.5722682383099995E-3</v>
      </c>
      <c r="R157" s="65">
        <f t="shared" si="26"/>
        <v>-1.477900937713463E-3</v>
      </c>
      <c r="S157" s="65">
        <f t="shared" si="27"/>
        <v>-1.4586462097298054E-3</v>
      </c>
      <c r="T157" s="26">
        <f t="shared" si="28"/>
        <v>4.9159694376266563E-4</v>
      </c>
      <c r="U157" s="26">
        <f t="shared" si="29"/>
        <v>1.2403807428966344E-2</v>
      </c>
      <c r="V157" s="26">
        <f t="shared" si="30"/>
        <v>-4.8194278105279376E-2</v>
      </c>
      <c r="W157" s="26">
        <f t="shared" si="31"/>
        <v>2.4404787731286567E-2</v>
      </c>
      <c r="X157" s="26">
        <f t="shared" si="32"/>
        <v>-3.2973720121282364E-2</v>
      </c>
    </row>
    <row r="158" spans="1:24" x14ac:dyDescent="0.2">
      <c r="A158" s="5">
        <v>30194</v>
      </c>
      <c r="B158" s="64">
        <v>0</v>
      </c>
      <c r="C158" s="64">
        <v>0</v>
      </c>
      <c r="D158" s="64">
        <v>0</v>
      </c>
      <c r="E158" s="64">
        <v>0</v>
      </c>
      <c r="F158" s="64">
        <v>0</v>
      </c>
      <c r="G158" s="64">
        <v>0</v>
      </c>
      <c r="H158" s="8">
        <f>+'Simulation and  VaR'!H171/'Simulation and  VaR'!H170-1</f>
        <v>2.5165454694010991E-2</v>
      </c>
      <c r="I158" s="8">
        <f>+'Simulation and  VaR'!I171/'Simulation and  VaR'!I170-1</f>
        <v>6.0078101531991557E-2</v>
      </c>
      <c r="J158" s="8">
        <f>+'Simulation and  VaR'!J171/'Simulation and  VaR'!J170-1</f>
        <v>-5.2617732175743281E-2</v>
      </c>
      <c r="K158" s="8">
        <f>+'Simulation and  VaR'!K171/'Simulation and  VaR'!K170-1</f>
        <v>-3.7561036684612414E-3</v>
      </c>
      <c r="L158" s="8">
        <f>+'Simulation and  VaR'!L171/'Simulation and  VaR'!L170-1</f>
        <v>-3.765232075213365E-2</v>
      </c>
      <c r="N158" s="65">
        <f t="shared" si="22"/>
        <v>-4.0114638603053919E-3</v>
      </c>
      <c r="O158" s="65">
        <f t="shared" si="23"/>
        <v>-1.9783163122913897E-3</v>
      </c>
      <c r="P158" s="65">
        <f t="shared" si="24"/>
        <v>-1.7528760466946488E-3</v>
      </c>
      <c r="Q158" s="65">
        <f t="shared" si="25"/>
        <v>-1.5722682383099995E-3</v>
      </c>
      <c r="R158" s="65">
        <f t="shared" si="26"/>
        <v>-1.477900937713463E-3</v>
      </c>
      <c r="S158" s="65">
        <f t="shared" si="27"/>
        <v>-1.4586462097298054E-3</v>
      </c>
      <c r="T158" s="26">
        <f t="shared" si="28"/>
        <v>1.9822074648950586E-2</v>
      </c>
      <c r="U158" s="26">
        <f t="shared" si="29"/>
        <v>4.7676335402954177E-2</v>
      </c>
      <c r="V158" s="26">
        <f t="shared" si="30"/>
        <v>-6.2846938147385567E-2</v>
      </c>
      <c r="W158" s="26">
        <f t="shared" si="31"/>
        <v>-2.1891883865898269E-3</v>
      </c>
      <c r="X158" s="26">
        <f t="shared" si="32"/>
        <v>-3.4128085638377943E-2</v>
      </c>
    </row>
    <row r="159" spans="1:24" x14ac:dyDescent="0.2">
      <c r="A159" s="5">
        <v>30224</v>
      </c>
      <c r="B159" s="64">
        <v>0</v>
      </c>
      <c r="C159" s="64">
        <v>0</v>
      </c>
      <c r="D159" s="64">
        <v>0</v>
      </c>
      <c r="E159" s="64">
        <v>0</v>
      </c>
      <c r="F159" s="64">
        <v>0</v>
      </c>
      <c r="G159" s="64">
        <v>0</v>
      </c>
      <c r="H159" s="8">
        <f>+'Simulation and  VaR'!H172/'Simulation and  VaR'!H171-1</f>
        <v>1.6019765681039244E-2</v>
      </c>
      <c r="I159" s="8">
        <f>+'Simulation and  VaR'!I172/'Simulation and  VaR'!I171-1</f>
        <v>-6.1147484750413872E-2</v>
      </c>
      <c r="J159" s="8">
        <f>+'Simulation and  VaR'!J172/'Simulation and  VaR'!J171-1</f>
        <v>0</v>
      </c>
      <c r="K159" s="8">
        <f>+'Simulation and  VaR'!K172/'Simulation and  VaR'!K171-1</f>
        <v>2.0736458464245322E-2</v>
      </c>
      <c r="L159" s="8">
        <f>+'Simulation and  VaR'!L172/'Simulation and  VaR'!L171-1</f>
        <v>9.484966328370259E-4</v>
      </c>
      <c r="N159" s="65">
        <f t="shared" si="22"/>
        <v>-4.0114638603053919E-3</v>
      </c>
      <c r="O159" s="65">
        <f t="shared" si="23"/>
        <v>-1.9783163122913897E-3</v>
      </c>
      <c r="P159" s="65">
        <f t="shared" si="24"/>
        <v>-1.7528760466946488E-3</v>
      </c>
      <c r="Q159" s="65">
        <f t="shared" si="25"/>
        <v>-1.5722682383099995E-3</v>
      </c>
      <c r="R159" s="65">
        <f t="shared" si="26"/>
        <v>-1.477900937713463E-3</v>
      </c>
      <c r="S159" s="65">
        <f t="shared" si="27"/>
        <v>-1.4586462097298054E-3</v>
      </c>
      <c r="T159" s="26">
        <f t="shared" si="28"/>
        <v>1.0676385635978839E-2</v>
      </c>
      <c r="U159" s="26">
        <f t="shared" si="29"/>
        <v>-7.3549250879451245E-2</v>
      </c>
      <c r="V159" s="26">
        <f t="shared" si="30"/>
        <v>-1.0229205971642284E-2</v>
      </c>
      <c r="W159" s="26">
        <f t="shared" si="31"/>
        <v>2.2303373746116736E-2</v>
      </c>
      <c r="X159" s="26">
        <f t="shared" si="32"/>
        <v>4.4727317465927327E-3</v>
      </c>
    </row>
    <row r="160" spans="1:24" x14ac:dyDescent="0.2">
      <c r="A160" s="5">
        <v>30255</v>
      </c>
      <c r="B160" s="64">
        <v>0</v>
      </c>
      <c r="C160" s="64">
        <v>0</v>
      </c>
      <c r="D160" s="64">
        <v>0</v>
      </c>
      <c r="E160" s="64">
        <v>0</v>
      </c>
      <c r="F160" s="64">
        <v>0</v>
      </c>
      <c r="G160" s="64">
        <v>0</v>
      </c>
      <c r="H160" s="8">
        <f>+'Simulation and  VaR'!H173/'Simulation and  VaR'!H172-1</f>
        <v>0.1023689990586758</v>
      </c>
      <c r="I160" s="8">
        <f>+'Simulation and  VaR'!I173/'Simulation and  VaR'!I172-1</f>
        <v>-1.1119759813188024E-2</v>
      </c>
      <c r="J160" s="8">
        <f>+'Simulation and  VaR'!J173/'Simulation and  VaR'!J172-1</f>
        <v>0</v>
      </c>
      <c r="K160" s="8">
        <f>+'Simulation and  VaR'!K173/'Simulation and  VaR'!K172-1</f>
        <v>-3.2422227694328232E-2</v>
      </c>
      <c r="L160" s="8">
        <f>+'Simulation and  VaR'!L173/'Simulation and  VaR'!L172-1</f>
        <v>2.6295840045484686E-2</v>
      </c>
      <c r="N160" s="65">
        <f t="shared" si="22"/>
        <v>-4.0114638603053919E-3</v>
      </c>
      <c r="O160" s="65">
        <f t="shared" si="23"/>
        <v>-1.9783163122913897E-3</v>
      </c>
      <c r="P160" s="65">
        <f t="shared" si="24"/>
        <v>-1.7528760466946488E-3</v>
      </c>
      <c r="Q160" s="65">
        <f t="shared" si="25"/>
        <v>-1.5722682383099995E-3</v>
      </c>
      <c r="R160" s="65">
        <f t="shared" si="26"/>
        <v>-1.477900937713463E-3</v>
      </c>
      <c r="S160" s="65">
        <f t="shared" si="27"/>
        <v>-1.4586462097298054E-3</v>
      </c>
      <c r="T160" s="26">
        <f t="shared" si="28"/>
        <v>9.7025619013615394E-2</v>
      </c>
      <c r="U160" s="26">
        <f t="shared" si="29"/>
        <v>-2.3521525942225403E-2</v>
      </c>
      <c r="V160" s="26">
        <f t="shared" si="30"/>
        <v>-1.0229205971642284E-2</v>
      </c>
      <c r="W160" s="26">
        <f t="shared" si="31"/>
        <v>-3.0855312412456818E-2</v>
      </c>
      <c r="X160" s="26">
        <f t="shared" si="32"/>
        <v>2.9820075159240393E-2</v>
      </c>
    </row>
    <row r="161" spans="1:24" x14ac:dyDescent="0.2">
      <c r="A161" s="5">
        <v>30285</v>
      </c>
      <c r="B161" s="64">
        <v>0</v>
      </c>
      <c r="C161" s="64">
        <v>0</v>
      </c>
      <c r="D161" s="64">
        <v>0</v>
      </c>
      <c r="E161" s="64">
        <v>0</v>
      </c>
      <c r="F161" s="64">
        <v>0</v>
      </c>
      <c r="G161" s="64">
        <v>0</v>
      </c>
      <c r="H161" s="8">
        <f>+'Simulation and  VaR'!H174/'Simulation and  VaR'!H173-1</f>
        <v>-3.3871771152067298E-2</v>
      </c>
      <c r="I161" s="8">
        <f>+'Simulation and  VaR'!I174/'Simulation and  VaR'!I173-1</f>
        <v>-5.3011196607283373E-2</v>
      </c>
      <c r="J161" s="8">
        <f>+'Simulation and  VaR'!J174/'Simulation and  VaR'!J173-1</f>
        <v>2.7770063871146888E-2</v>
      </c>
      <c r="K161" s="8">
        <f>+'Simulation and  VaR'!K174/'Simulation and  VaR'!K173-1</f>
        <v>1.3361045130641402E-2</v>
      </c>
      <c r="L161" s="8">
        <f>+'Simulation and  VaR'!L174/'Simulation and  VaR'!L173-1</f>
        <v>-6.2323992428789055E-2</v>
      </c>
      <c r="N161" s="65">
        <f t="shared" si="22"/>
        <v>-4.0114638603053919E-3</v>
      </c>
      <c r="O161" s="65">
        <f t="shared" si="23"/>
        <v>-1.9783163122913897E-3</v>
      </c>
      <c r="P161" s="65">
        <f t="shared" si="24"/>
        <v>-1.7528760466946488E-3</v>
      </c>
      <c r="Q161" s="65">
        <f t="shared" si="25"/>
        <v>-1.5722682383099995E-3</v>
      </c>
      <c r="R161" s="65">
        <f t="shared" si="26"/>
        <v>-1.477900937713463E-3</v>
      </c>
      <c r="S161" s="65">
        <f t="shared" si="27"/>
        <v>-1.4586462097298054E-3</v>
      </c>
      <c r="T161" s="26">
        <f t="shared" si="28"/>
        <v>-3.9215151197127707E-2</v>
      </c>
      <c r="U161" s="26">
        <f t="shared" si="29"/>
        <v>-6.5412962736320746E-2</v>
      </c>
      <c r="V161" s="26">
        <f t="shared" si="30"/>
        <v>1.7540857899504603E-2</v>
      </c>
      <c r="W161" s="26">
        <f t="shared" si="31"/>
        <v>1.4927960412512816E-2</v>
      </c>
      <c r="X161" s="26">
        <f t="shared" si="32"/>
        <v>-5.8799757315033348E-2</v>
      </c>
    </row>
    <row r="162" spans="1:24" x14ac:dyDescent="0.2">
      <c r="A162" s="5">
        <v>30316</v>
      </c>
      <c r="B162" s="64">
        <v>0</v>
      </c>
      <c r="C162" s="64">
        <v>0</v>
      </c>
      <c r="D162" s="64">
        <v>0</v>
      </c>
      <c r="E162" s="64">
        <v>0</v>
      </c>
      <c r="F162" s="64">
        <v>0</v>
      </c>
      <c r="G162" s="64">
        <v>0</v>
      </c>
      <c r="H162" s="8">
        <f>+'Simulation and  VaR'!H175/'Simulation and  VaR'!H174-1</f>
        <v>-4.5739117625395731E-2</v>
      </c>
      <c r="I162" s="8">
        <f>+'Simulation and  VaR'!I175/'Simulation and  VaR'!I174-1</f>
        <v>-0.14079489745721019</v>
      </c>
      <c r="J162" s="8">
        <f>+'Simulation and  VaR'!J175/'Simulation and  VaR'!J174-1</f>
        <v>2.7019724398811062E-2</v>
      </c>
      <c r="K162" s="8">
        <f>+'Simulation and  VaR'!K175/'Simulation and  VaR'!K174-1</f>
        <v>-9.8363400443681748E-3</v>
      </c>
      <c r="L162" s="8">
        <f>+'Simulation and  VaR'!L175/'Simulation and  VaR'!L174-1</f>
        <v>1.7724385800797604E-2</v>
      </c>
      <c r="N162" s="65">
        <f t="shared" si="22"/>
        <v>-4.0114638603053919E-3</v>
      </c>
      <c r="O162" s="65">
        <f t="shared" si="23"/>
        <v>-1.9783163122913897E-3</v>
      </c>
      <c r="P162" s="65">
        <f t="shared" si="24"/>
        <v>-1.7528760466946488E-3</v>
      </c>
      <c r="Q162" s="65">
        <f t="shared" si="25"/>
        <v>-1.5722682383099995E-3</v>
      </c>
      <c r="R162" s="65">
        <f t="shared" si="26"/>
        <v>-1.477900937713463E-3</v>
      </c>
      <c r="S162" s="65">
        <f t="shared" si="27"/>
        <v>-1.4586462097298054E-3</v>
      </c>
      <c r="T162" s="26">
        <f t="shared" si="28"/>
        <v>-5.108249767045614E-2</v>
      </c>
      <c r="U162" s="26">
        <f t="shared" si="29"/>
        <v>-0.15319666358624756</v>
      </c>
      <c r="V162" s="26">
        <f t="shared" si="30"/>
        <v>1.6790518427168777E-2</v>
      </c>
      <c r="W162" s="26">
        <f t="shared" si="31"/>
        <v>-8.2694247624967611E-3</v>
      </c>
      <c r="X162" s="26">
        <f t="shared" si="32"/>
        <v>2.1248620914553311E-2</v>
      </c>
    </row>
    <row r="163" spans="1:24" x14ac:dyDescent="0.2">
      <c r="A163" s="5">
        <v>30347</v>
      </c>
      <c r="B163" s="64">
        <v>0</v>
      </c>
      <c r="C163" s="64">
        <v>0</v>
      </c>
      <c r="D163" s="64">
        <v>0</v>
      </c>
      <c r="E163" s="64">
        <v>0</v>
      </c>
      <c r="F163" s="64">
        <v>0</v>
      </c>
      <c r="G163" s="64">
        <v>0</v>
      </c>
      <c r="H163" s="8">
        <f>+'Simulation and  VaR'!H176/'Simulation and  VaR'!H175-1</f>
        <v>1.3275702377276932E-2</v>
      </c>
      <c r="I163" s="8">
        <f>+'Simulation and  VaR'!I176/'Simulation and  VaR'!I175-1</f>
        <v>-3.1588714931590656E-2</v>
      </c>
      <c r="J163" s="8">
        <f>+'Simulation and  VaR'!J176/'Simulation and  VaR'!J175-1</f>
        <v>0</v>
      </c>
      <c r="K163" s="8">
        <f>+'Simulation and  VaR'!K176/'Simulation and  VaR'!K175-1</f>
        <v>-6.8270206290159008E-2</v>
      </c>
      <c r="L163" s="8">
        <f>+'Simulation and  VaR'!L176/'Simulation and  VaR'!L175-1</f>
        <v>1.4513085965845773E-2</v>
      </c>
      <c r="N163" s="65">
        <f t="shared" si="22"/>
        <v>-4.0114638603053919E-3</v>
      </c>
      <c r="O163" s="65">
        <f t="shared" si="23"/>
        <v>-1.9783163122913897E-3</v>
      </c>
      <c r="P163" s="65">
        <f t="shared" si="24"/>
        <v>-1.7528760466946488E-3</v>
      </c>
      <c r="Q163" s="65">
        <f t="shared" si="25"/>
        <v>-1.5722682383099995E-3</v>
      </c>
      <c r="R163" s="65">
        <f t="shared" si="26"/>
        <v>-1.477900937713463E-3</v>
      </c>
      <c r="S163" s="65">
        <f t="shared" si="27"/>
        <v>-1.4586462097298054E-3</v>
      </c>
      <c r="T163" s="26">
        <f t="shared" si="28"/>
        <v>7.9323223322165272E-3</v>
      </c>
      <c r="U163" s="26">
        <f t="shared" si="29"/>
        <v>-4.3990481060628035E-2</v>
      </c>
      <c r="V163" s="26">
        <f t="shared" si="30"/>
        <v>-1.0229205971642284E-2</v>
      </c>
      <c r="W163" s="26">
        <f t="shared" si="31"/>
        <v>-6.6703291008287591E-2</v>
      </c>
      <c r="X163" s="26">
        <f t="shared" si="32"/>
        <v>1.803732107960148E-2</v>
      </c>
    </row>
    <row r="164" spans="1:24" x14ac:dyDescent="0.2">
      <c r="A164" s="5">
        <v>30375</v>
      </c>
      <c r="B164" s="64">
        <v>0</v>
      </c>
      <c r="C164" s="64">
        <v>0</v>
      </c>
      <c r="D164" s="64">
        <v>0</v>
      </c>
      <c r="E164" s="64">
        <v>0</v>
      </c>
      <c r="F164" s="64">
        <v>0</v>
      </c>
      <c r="G164" s="64">
        <v>0</v>
      </c>
      <c r="H164" s="8">
        <f>+'Simulation and  VaR'!H177/'Simulation and  VaR'!H176-1</f>
        <v>3.6029859841560041E-2</v>
      </c>
      <c r="I164" s="8">
        <f>+'Simulation and  VaR'!I177/'Simulation and  VaR'!I176-1</f>
        <v>3.4657805141587339E-2</v>
      </c>
      <c r="J164" s="8">
        <f>+'Simulation and  VaR'!J177/'Simulation and  VaR'!J176-1</f>
        <v>0</v>
      </c>
      <c r="K164" s="8">
        <f>+'Simulation and  VaR'!K177/'Simulation and  VaR'!K176-1</f>
        <v>1.2930447801823952E-2</v>
      </c>
      <c r="L164" s="8">
        <f>+'Simulation and  VaR'!L177/'Simulation and  VaR'!L176-1</f>
        <v>7.3911592198752096E-3</v>
      </c>
      <c r="N164" s="65">
        <f t="shared" si="22"/>
        <v>-4.0114638603053919E-3</v>
      </c>
      <c r="O164" s="65">
        <f t="shared" si="23"/>
        <v>-1.9783163122913897E-3</v>
      </c>
      <c r="P164" s="65">
        <f t="shared" si="24"/>
        <v>-1.7528760466946488E-3</v>
      </c>
      <c r="Q164" s="65">
        <f t="shared" si="25"/>
        <v>-1.5722682383099995E-3</v>
      </c>
      <c r="R164" s="65">
        <f t="shared" si="26"/>
        <v>-1.477900937713463E-3</v>
      </c>
      <c r="S164" s="65">
        <f t="shared" si="27"/>
        <v>-1.4586462097298054E-3</v>
      </c>
      <c r="T164" s="26">
        <f t="shared" si="28"/>
        <v>3.0686479796499636E-2</v>
      </c>
      <c r="U164" s="26">
        <f t="shared" si="29"/>
        <v>2.2256039012549959E-2</v>
      </c>
      <c r="V164" s="26">
        <f t="shared" si="30"/>
        <v>-1.0229205971642284E-2</v>
      </c>
      <c r="W164" s="26">
        <f t="shared" si="31"/>
        <v>1.4497363083695366E-2</v>
      </c>
      <c r="X164" s="26">
        <f t="shared" si="32"/>
        <v>1.0915394333630916E-2</v>
      </c>
    </row>
    <row r="165" spans="1:24" x14ac:dyDescent="0.2">
      <c r="A165" s="5">
        <v>30406</v>
      </c>
      <c r="B165" s="64">
        <v>0</v>
      </c>
      <c r="C165" s="64">
        <v>0</v>
      </c>
      <c r="D165" s="64">
        <v>0</v>
      </c>
      <c r="E165" s="64">
        <v>0</v>
      </c>
      <c r="F165" s="64">
        <v>0</v>
      </c>
      <c r="G165" s="64">
        <v>0</v>
      </c>
      <c r="H165" s="8">
        <f>+'Simulation and  VaR'!H178/'Simulation and  VaR'!H177-1</f>
        <v>-2.3013013748989009E-2</v>
      </c>
      <c r="I165" s="8">
        <f>+'Simulation and  VaR'!I178/'Simulation and  VaR'!I177-1</f>
        <v>-5.0245315363244059E-2</v>
      </c>
      <c r="J165" s="8">
        <f>+'Simulation and  VaR'!J178/'Simulation and  VaR'!J177-1</f>
        <v>0</v>
      </c>
      <c r="K165" s="8">
        <f>+'Simulation and  VaR'!K178/'Simulation and  VaR'!K177-1</f>
        <v>-4.1655468959957087E-2</v>
      </c>
      <c r="L165" s="8">
        <f>+'Simulation and  VaR'!L178/'Simulation and  VaR'!L177-1</f>
        <v>2.1442771939789829E-2</v>
      </c>
      <c r="N165" s="65">
        <f t="shared" si="22"/>
        <v>-4.0114638603053919E-3</v>
      </c>
      <c r="O165" s="65">
        <f t="shared" si="23"/>
        <v>-1.9783163122913897E-3</v>
      </c>
      <c r="P165" s="65">
        <f t="shared" si="24"/>
        <v>-1.7528760466946488E-3</v>
      </c>
      <c r="Q165" s="65">
        <f t="shared" si="25"/>
        <v>-1.5722682383099995E-3</v>
      </c>
      <c r="R165" s="65">
        <f t="shared" si="26"/>
        <v>-1.477900937713463E-3</v>
      </c>
      <c r="S165" s="65">
        <f t="shared" si="27"/>
        <v>-1.4586462097298054E-3</v>
      </c>
      <c r="T165" s="26">
        <f t="shared" si="28"/>
        <v>-2.8356393794049414E-2</v>
      </c>
      <c r="U165" s="26">
        <f t="shared" si="29"/>
        <v>-6.2647081492281431E-2</v>
      </c>
      <c r="V165" s="26">
        <f t="shared" si="30"/>
        <v>-1.0229205971642284E-2</v>
      </c>
      <c r="W165" s="26">
        <f t="shared" si="31"/>
        <v>-4.008855367808567E-2</v>
      </c>
      <c r="X165" s="26">
        <f t="shared" si="32"/>
        <v>2.4967007053545535E-2</v>
      </c>
    </row>
    <row r="166" spans="1:24" x14ac:dyDescent="0.2">
      <c r="A166" s="5">
        <v>30436</v>
      </c>
      <c r="B166" s="64">
        <v>0</v>
      </c>
      <c r="C166" s="64">
        <v>0</v>
      </c>
      <c r="D166" s="64">
        <v>0</v>
      </c>
      <c r="E166" s="64">
        <v>0</v>
      </c>
      <c r="F166" s="64">
        <v>0</v>
      </c>
      <c r="G166" s="64">
        <v>0</v>
      </c>
      <c r="H166" s="8">
        <f>+'Simulation and  VaR'!H179/'Simulation and  VaR'!H178-1</f>
        <v>-2.1071643588199684E-3</v>
      </c>
      <c r="I166" s="8">
        <f>+'Simulation and  VaR'!I179/'Simulation and  VaR'!I178-1</f>
        <v>-5.1866143855936464E-3</v>
      </c>
      <c r="J166" s="8">
        <f>+'Simulation and  VaR'!J179/'Simulation and  VaR'!J178-1</f>
        <v>0</v>
      </c>
      <c r="K166" s="8">
        <f>+'Simulation and  VaR'!K179/'Simulation and  VaR'!K178-1</f>
        <v>-3.2482707048046344E-2</v>
      </c>
      <c r="L166" s="8">
        <f>+'Simulation and  VaR'!L179/'Simulation and  VaR'!L178-1</f>
        <v>3.7629176514203611E-2</v>
      </c>
      <c r="N166" s="65">
        <f t="shared" si="22"/>
        <v>-4.0114638603053919E-3</v>
      </c>
      <c r="O166" s="65">
        <f t="shared" si="23"/>
        <v>-1.9783163122913897E-3</v>
      </c>
      <c r="P166" s="65">
        <f t="shared" si="24"/>
        <v>-1.7528760466946488E-3</v>
      </c>
      <c r="Q166" s="65">
        <f t="shared" si="25"/>
        <v>-1.5722682383099995E-3</v>
      </c>
      <c r="R166" s="65">
        <f t="shared" si="26"/>
        <v>-1.477900937713463E-3</v>
      </c>
      <c r="S166" s="65">
        <f t="shared" si="27"/>
        <v>-1.4586462097298054E-3</v>
      </c>
      <c r="T166" s="26">
        <f t="shared" si="28"/>
        <v>-7.4505444038803735E-3</v>
      </c>
      <c r="U166" s="26">
        <f t="shared" si="29"/>
        <v>-1.7588380514631026E-2</v>
      </c>
      <c r="V166" s="26">
        <f t="shared" si="30"/>
        <v>-1.0229205971642284E-2</v>
      </c>
      <c r="W166" s="26">
        <f t="shared" si="31"/>
        <v>-3.0915791766174931E-2</v>
      </c>
      <c r="X166" s="26">
        <f t="shared" si="32"/>
        <v>4.1153411627959317E-2</v>
      </c>
    </row>
    <row r="167" spans="1:24" x14ac:dyDescent="0.2">
      <c r="A167" s="5">
        <v>30467</v>
      </c>
      <c r="B167" s="64">
        <v>0</v>
      </c>
      <c r="C167" s="64">
        <v>0</v>
      </c>
      <c r="D167" s="64">
        <v>0</v>
      </c>
      <c r="E167" s="64">
        <v>0</v>
      </c>
      <c r="F167" s="64">
        <v>0</v>
      </c>
      <c r="G167" s="64">
        <v>0</v>
      </c>
      <c r="H167" s="8">
        <f>+'Simulation and  VaR'!H180/'Simulation and  VaR'!H179-1</f>
        <v>-1.0407239819004488E-2</v>
      </c>
      <c r="I167" s="8">
        <f>+'Simulation and  VaR'!I180/'Simulation and  VaR'!I179-1</f>
        <v>-0.108444036620717</v>
      </c>
      <c r="J167" s="8">
        <f>+'Simulation and  VaR'!J180/'Simulation and  VaR'!J179-1</f>
        <v>-5.2617732175743281E-2</v>
      </c>
      <c r="K167" s="8">
        <f>+'Simulation and  VaR'!K180/'Simulation and  VaR'!K179-1</f>
        <v>-6.7629583111927016E-2</v>
      </c>
      <c r="L167" s="8">
        <f>+'Simulation and  VaR'!L180/'Simulation and  VaR'!L179-1</f>
        <v>1.3174936358358202E-2</v>
      </c>
      <c r="N167" s="65">
        <f t="shared" si="22"/>
        <v>-4.0114638603053919E-3</v>
      </c>
      <c r="O167" s="65">
        <f t="shared" si="23"/>
        <v>-1.9783163122913897E-3</v>
      </c>
      <c r="P167" s="65">
        <f t="shared" si="24"/>
        <v>-1.7528760466946488E-3</v>
      </c>
      <c r="Q167" s="65">
        <f t="shared" si="25"/>
        <v>-1.5722682383099995E-3</v>
      </c>
      <c r="R167" s="65">
        <f t="shared" si="26"/>
        <v>-1.477900937713463E-3</v>
      </c>
      <c r="S167" s="65">
        <f t="shared" si="27"/>
        <v>-1.4586462097298054E-3</v>
      </c>
      <c r="T167" s="26">
        <f t="shared" si="28"/>
        <v>-1.5750619864064893E-2</v>
      </c>
      <c r="U167" s="26">
        <f t="shared" si="29"/>
        <v>-0.12084580274975437</v>
      </c>
      <c r="V167" s="26">
        <f t="shared" si="30"/>
        <v>-6.2846938147385567E-2</v>
      </c>
      <c r="W167" s="26">
        <f t="shared" si="31"/>
        <v>-6.6062667830055599E-2</v>
      </c>
      <c r="X167" s="26">
        <f t="shared" si="32"/>
        <v>1.6699171472113909E-2</v>
      </c>
    </row>
    <row r="168" spans="1:24" x14ac:dyDescent="0.2">
      <c r="A168" s="5">
        <v>30497</v>
      </c>
      <c r="B168" s="64">
        <v>0</v>
      </c>
      <c r="C168" s="64">
        <v>0</v>
      </c>
      <c r="D168" s="64">
        <v>0</v>
      </c>
      <c r="E168" s="64">
        <v>0</v>
      </c>
      <c r="F168" s="64">
        <v>0</v>
      </c>
      <c r="G168" s="64">
        <v>0</v>
      </c>
      <c r="H168" s="8">
        <f>+'Simulation and  VaR'!H181/'Simulation and  VaR'!H180-1</f>
        <v>-2.2100289590003541E-3</v>
      </c>
      <c r="I168" s="8">
        <f>+'Simulation and  VaR'!I181/'Simulation and  VaR'!I180-1</f>
        <v>-5.0291221257982244E-2</v>
      </c>
      <c r="J168" s="8">
        <f>+'Simulation and  VaR'!J181/'Simulation and  VaR'!J180-1</f>
        <v>0</v>
      </c>
      <c r="K168" s="8">
        <f>+'Simulation and  VaR'!K181/'Simulation and  VaR'!K180-1</f>
        <v>-4.6629708305269135E-2</v>
      </c>
      <c r="L168" s="8">
        <f>+'Simulation and  VaR'!L181/'Simulation and  VaR'!L180-1</f>
        <v>5.972846689588307E-2</v>
      </c>
      <c r="N168" s="65">
        <f t="shared" si="22"/>
        <v>-4.0114638603053919E-3</v>
      </c>
      <c r="O168" s="65">
        <f t="shared" si="23"/>
        <v>-1.9783163122913897E-3</v>
      </c>
      <c r="P168" s="65">
        <f t="shared" si="24"/>
        <v>-1.7528760466946488E-3</v>
      </c>
      <c r="Q168" s="65">
        <f t="shared" si="25"/>
        <v>-1.5722682383099995E-3</v>
      </c>
      <c r="R168" s="65">
        <f t="shared" si="26"/>
        <v>-1.477900937713463E-3</v>
      </c>
      <c r="S168" s="65">
        <f t="shared" si="27"/>
        <v>-1.4586462097298054E-3</v>
      </c>
      <c r="T168" s="26">
        <f t="shared" si="28"/>
        <v>-7.5534090040607592E-3</v>
      </c>
      <c r="U168" s="26">
        <f t="shared" si="29"/>
        <v>-6.2692987387019616E-2</v>
      </c>
      <c r="V168" s="26">
        <f t="shared" si="30"/>
        <v>-1.0229205971642284E-2</v>
      </c>
      <c r="W168" s="26">
        <f t="shared" si="31"/>
        <v>-4.5062793023397718E-2</v>
      </c>
      <c r="X168" s="26">
        <f t="shared" si="32"/>
        <v>6.325270200963877E-2</v>
      </c>
    </row>
    <row r="169" spans="1:24" x14ac:dyDescent="0.2">
      <c r="A169" s="5">
        <v>30528</v>
      </c>
      <c r="B169" s="64">
        <v>0</v>
      </c>
      <c r="C169" s="64">
        <v>0</v>
      </c>
      <c r="D169" s="64">
        <v>0</v>
      </c>
      <c r="E169" s="64">
        <v>0</v>
      </c>
      <c r="F169" s="64">
        <v>0</v>
      </c>
      <c r="G169" s="64">
        <v>0</v>
      </c>
      <c r="H169" s="8">
        <f>+'Simulation and  VaR'!H182/'Simulation and  VaR'!H181-1</f>
        <v>-6.2094248835255272E-2</v>
      </c>
      <c r="I169" s="8">
        <f>+'Simulation and  VaR'!I182/'Simulation and  VaR'!I181-1</f>
        <v>5.1722863968867827E-2</v>
      </c>
      <c r="J169" s="8">
        <f>+'Simulation and  VaR'!J182/'Simulation and  VaR'!J181-1</f>
        <v>0</v>
      </c>
      <c r="K169" s="8">
        <f>+'Simulation and  VaR'!K182/'Simulation and  VaR'!K181-1</f>
        <v>2.7172436280635814E-3</v>
      </c>
      <c r="L169" s="8">
        <f>+'Simulation and  VaR'!L182/'Simulation and  VaR'!L181-1</f>
        <v>-4.1179651428809194E-2</v>
      </c>
      <c r="N169" s="65">
        <f t="shared" si="22"/>
        <v>-4.0114638603053919E-3</v>
      </c>
      <c r="O169" s="65">
        <f t="shared" si="23"/>
        <v>-1.9783163122913897E-3</v>
      </c>
      <c r="P169" s="65">
        <f t="shared" si="24"/>
        <v>-1.7528760466946488E-3</v>
      </c>
      <c r="Q169" s="65">
        <f t="shared" si="25"/>
        <v>-1.5722682383099995E-3</v>
      </c>
      <c r="R169" s="65">
        <f t="shared" si="26"/>
        <v>-1.477900937713463E-3</v>
      </c>
      <c r="S169" s="65">
        <f t="shared" si="27"/>
        <v>-1.4586462097298054E-3</v>
      </c>
      <c r="T169" s="26">
        <f t="shared" si="28"/>
        <v>-6.7437628880315681E-2</v>
      </c>
      <c r="U169" s="26">
        <f t="shared" si="29"/>
        <v>3.9321097839830448E-2</v>
      </c>
      <c r="V169" s="26">
        <f t="shared" si="30"/>
        <v>-1.0229205971642284E-2</v>
      </c>
      <c r="W169" s="26">
        <f t="shared" si="31"/>
        <v>4.284158909934996E-3</v>
      </c>
      <c r="X169" s="26">
        <f t="shared" si="32"/>
        <v>-3.7655416315053487E-2</v>
      </c>
    </row>
    <row r="170" spans="1:24" x14ac:dyDescent="0.2">
      <c r="A170" s="5">
        <v>30559</v>
      </c>
      <c r="B170" s="64">
        <v>0</v>
      </c>
      <c r="C170" s="64">
        <v>0</v>
      </c>
      <c r="D170" s="64">
        <v>0</v>
      </c>
      <c r="E170" s="64">
        <v>0</v>
      </c>
      <c r="F170" s="64">
        <v>0</v>
      </c>
      <c r="G170" s="64">
        <v>0</v>
      </c>
      <c r="H170" s="8">
        <f>+'Simulation and  VaR'!H183/'Simulation and  VaR'!H182-1</f>
        <v>-5.3827361563517861E-2</v>
      </c>
      <c r="I170" s="8">
        <f>+'Simulation and  VaR'!I183/'Simulation and  VaR'!I182-1</f>
        <v>8.1965293552843654E-3</v>
      </c>
      <c r="J170" s="8">
        <f>+'Simulation and  VaR'!J183/'Simulation and  VaR'!J182-1</f>
        <v>0</v>
      </c>
      <c r="K170" s="8">
        <f>+'Simulation and  VaR'!K183/'Simulation and  VaR'!K182-1</f>
        <v>-2.2762993875670601E-2</v>
      </c>
      <c r="L170" s="8">
        <f>+'Simulation and  VaR'!L183/'Simulation and  VaR'!L182-1</f>
        <v>7.8087718537156459E-3</v>
      </c>
      <c r="N170" s="65">
        <f t="shared" si="22"/>
        <v>-4.0114638603053919E-3</v>
      </c>
      <c r="O170" s="65">
        <f t="shared" si="23"/>
        <v>-1.9783163122913897E-3</v>
      </c>
      <c r="P170" s="65">
        <f t="shared" si="24"/>
        <v>-1.7528760466946488E-3</v>
      </c>
      <c r="Q170" s="65">
        <f t="shared" si="25"/>
        <v>-1.5722682383099995E-3</v>
      </c>
      <c r="R170" s="65">
        <f t="shared" si="26"/>
        <v>-1.477900937713463E-3</v>
      </c>
      <c r="S170" s="65">
        <f t="shared" si="27"/>
        <v>-1.4586462097298054E-3</v>
      </c>
      <c r="T170" s="26">
        <f t="shared" si="28"/>
        <v>-5.917074160857827E-2</v>
      </c>
      <c r="U170" s="26">
        <f t="shared" si="29"/>
        <v>-4.2052367737530141E-3</v>
      </c>
      <c r="V170" s="26">
        <f t="shared" si="30"/>
        <v>-1.0229205971642284E-2</v>
      </c>
      <c r="W170" s="26">
        <f t="shared" si="31"/>
        <v>-2.1196078593799187E-2</v>
      </c>
      <c r="X170" s="26">
        <f t="shared" si="32"/>
        <v>1.1333006967471353E-2</v>
      </c>
    </row>
    <row r="171" spans="1:24" x14ac:dyDescent="0.2">
      <c r="A171" s="5">
        <v>30589</v>
      </c>
      <c r="B171" s="64">
        <v>0</v>
      </c>
      <c r="C171" s="64">
        <v>0</v>
      </c>
      <c r="D171" s="64">
        <v>0</v>
      </c>
      <c r="E171" s="64">
        <v>0</v>
      </c>
      <c r="F171" s="64">
        <v>0</v>
      </c>
      <c r="G171" s="64">
        <v>0</v>
      </c>
      <c r="H171" s="8">
        <f>+'Simulation and  VaR'!H184/'Simulation and  VaR'!H183-1</f>
        <v>4.9143644031327982E-2</v>
      </c>
      <c r="I171" s="8">
        <f>+'Simulation and  VaR'!I184/'Simulation and  VaR'!I183-1</f>
        <v>-5.8070660379549999E-3</v>
      </c>
      <c r="J171" s="8">
        <f>+'Simulation and  VaR'!J184/'Simulation and  VaR'!J183-1</f>
        <v>-2.7770063871146888E-2</v>
      </c>
      <c r="K171" s="8">
        <f>+'Simulation and  VaR'!K184/'Simulation and  VaR'!K183-1</f>
        <v>3.2721424213853822E-2</v>
      </c>
      <c r="L171" s="8">
        <f>+'Simulation and  VaR'!L184/'Simulation and  VaR'!L183-1</f>
        <v>2.1522965003659689E-3</v>
      </c>
      <c r="N171" s="65">
        <f t="shared" si="22"/>
        <v>-4.0114638603053919E-3</v>
      </c>
      <c r="O171" s="65">
        <f t="shared" si="23"/>
        <v>-1.9783163122913897E-3</v>
      </c>
      <c r="P171" s="65">
        <f t="shared" si="24"/>
        <v>-1.7528760466946488E-3</v>
      </c>
      <c r="Q171" s="65">
        <f t="shared" si="25"/>
        <v>-1.5722682383099995E-3</v>
      </c>
      <c r="R171" s="65">
        <f t="shared" si="26"/>
        <v>-1.477900937713463E-3</v>
      </c>
      <c r="S171" s="65">
        <f t="shared" si="27"/>
        <v>-1.4586462097298054E-3</v>
      </c>
      <c r="T171" s="26">
        <f t="shared" si="28"/>
        <v>4.3800263986267574E-2</v>
      </c>
      <c r="U171" s="26">
        <f t="shared" si="29"/>
        <v>-1.8208832166992379E-2</v>
      </c>
      <c r="V171" s="26">
        <f t="shared" si="30"/>
        <v>-3.7999269842789174E-2</v>
      </c>
      <c r="W171" s="26">
        <f t="shared" si="31"/>
        <v>3.428833949572524E-2</v>
      </c>
      <c r="X171" s="26">
        <f t="shared" si="32"/>
        <v>5.6765316141216757E-3</v>
      </c>
    </row>
    <row r="172" spans="1:24" x14ac:dyDescent="0.2">
      <c r="A172" s="5">
        <v>30620</v>
      </c>
      <c r="B172" s="64">
        <v>0</v>
      </c>
      <c r="C172" s="64">
        <v>0</v>
      </c>
      <c r="D172" s="64">
        <v>0</v>
      </c>
      <c r="E172" s="64">
        <v>0</v>
      </c>
      <c r="F172" s="64">
        <v>0</v>
      </c>
      <c r="G172" s="64">
        <v>0</v>
      </c>
      <c r="H172" s="8">
        <f>+'Simulation and  VaR'!H185/'Simulation and  VaR'!H184-1</f>
        <v>3.6587366694011525E-2</v>
      </c>
      <c r="I172" s="8">
        <f>+'Simulation and  VaR'!I185/'Simulation and  VaR'!I184-1</f>
        <v>-4.4391486180229478E-2</v>
      </c>
      <c r="J172" s="8">
        <f>+'Simulation and  VaR'!J185/'Simulation and  VaR'!J184-1</f>
        <v>2.8563267637817802E-2</v>
      </c>
      <c r="K172" s="8">
        <f>+'Simulation and  VaR'!K185/'Simulation and  VaR'!K184-1</f>
        <v>4.9943612050910247E-2</v>
      </c>
      <c r="L172" s="8">
        <f>+'Simulation and  VaR'!L185/'Simulation and  VaR'!L184-1</f>
        <v>-7.9893475366178524E-2</v>
      </c>
      <c r="N172" s="65">
        <f t="shared" si="22"/>
        <v>-4.0114638603053919E-3</v>
      </c>
      <c r="O172" s="65">
        <f t="shared" si="23"/>
        <v>-1.9783163122913897E-3</v>
      </c>
      <c r="P172" s="65">
        <f t="shared" si="24"/>
        <v>-1.7528760466946488E-3</v>
      </c>
      <c r="Q172" s="65">
        <f t="shared" si="25"/>
        <v>-1.5722682383099995E-3</v>
      </c>
      <c r="R172" s="65">
        <f t="shared" si="26"/>
        <v>-1.477900937713463E-3</v>
      </c>
      <c r="S172" s="65">
        <f t="shared" si="27"/>
        <v>-1.4586462097298054E-3</v>
      </c>
      <c r="T172" s="26">
        <f t="shared" si="28"/>
        <v>3.124398664895112E-2</v>
      </c>
      <c r="U172" s="26">
        <f t="shared" si="29"/>
        <v>-5.6793252309266858E-2</v>
      </c>
      <c r="V172" s="26">
        <f t="shared" si="30"/>
        <v>1.8334061666175516E-2</v>
      </c>
      <c r="W172" s="26">
        <f t="shared" si="31"/>
        <v>5.1510527332781664E-2</v>
      </c>
      <c r="X172" s="26">
        <f t="shared" si="32"/>
        <v>-7.6369240252422824E-2</v>
      </c>
    </row>
    <row r="173" spans="1:24" x14ac:dyDescent="0.2">
      <c r="A173" s="5">
        <v>30650</v>
      </c>
      <c r="B173" s="64">
        <v>0</v>
      </c>
      <c r="C173" s="64">
        <v>0</v>
      </c>
      <c r="D173" s="64">
        <v>0</v>
      </c>
      <c r="E173" s="64">
        <v>0</v>
      </c>
      <c r="F173" s="64">
        <v>0</v>
      </c>
      <c r="G173" s="64">
        <v>0</v>
      </c>
      <c r="H173" s="8">
        <f>+'Simulation and  VaR'!H186/'Simulation and  VaR'!H185-1</f>
        <v>-3.0072807850585637E-2</v>
      </c>
      <c r="I173" s="8">
        <f>+'Simulation and  VaR'!I186/'Simulation and  VaR'!I185-1</f>
        <v>-2.2004351971834479E-2</v>
      </c>
      <c r="J173" s="8">
        <f>+'Simulation and  VaR'!J186/'Simulation and  VaR'!J185-1</f>
        <v>-2.7770063871146888E-2</v>
      </c>
      <c r="K173" s="8">
        <f>+'Simulation and  VaR'!K186/'Simulation and  VaR'!K185-1</f>
        <v>-2.0459311544166581E-2</v>
      </c>
      <c r="L173" s="8">
        <f>+'Simulation and  VaR'!L186/'Simulation and  VaR'!L185-1</f>
        <v>2.6142570374865892E-2</v>
      </c>
      <c r="N173" s="65">
        <f t="shared" si="22"/>
        <v>-4.0114638603053919E-3</v>
      </c>
      <c r="O173" s="65">
        <f t="shared" si="23"/>
        <v>-1.9783163122913897E-3</v>
      </c>
      <c r="P173" s="65">
        <f t="shared" si="24"/>
        <v>-1.7528760466946488E-3</v>
      </c>
      <c r="Q173" s="65">
        <f t="shared" si="25"/>
        <v>-1.5722682383099995E-3</v>
      </c>
      <c r="R173" s="65">
        <f t="shared" si="26"/>
        <v>-1.477900937713463E-3</v>
      </c>
      <c r="S173" s="65">
        <f t="shared" si="27"/>
        <v>-1.4586462097298054E-3</v>
      </c>
      <c r="T173" s="26">
        <f t="shared" si="28"/>
        <v>-3.5416187895646045E-2</v>
      </c>
      <c r="U173" s="26">
        <f t="shared" si="29"/>
        <v>-3.4406118100871859E-2</v>
      </c>
      <c r="V173" s="26">
        <f t="shared" si="30"/>
        <v>-3.7999269842789174E-2</v>
      </c>
      <c r="W173" s="26">
        <f t="shared" si="31"/>
        <v>-1.8892396262295167E-2</v>
      </c>
      <c r="X173" s="26">
        <f t="shared" si="32"/>
        <v>2.9666805488621599E-2</v>
      </c>
    </row>
    <row r="174" spans="1:24" x14ac:dyDescent="0.2">
      <c r="A174" s="5">
        <v>30681</v>
      </c>
      <c r="B174" s="64">
        <v>0</v>
      </c>
      <c r="C174" s="64">
        <v>0</v>
      </c>
      <c r="D174" s="64">
        <v>0</v>
      </c>
      <c r="E174" s="64">
        <v>0</v>
      </c>
      <c r="F174" s="64">
        <v>0</v>
      </c>
      <c r="G174" s="64">
        <v>0</v>
      </c>
      <c r="H174" s="8">
        <f>+'Simulation and  VaR'!H187/'Simulation and  VaR'!H186-1</f>
        <v>-1.7542428198433324E-2</v>
      </c>
      <c r="I174" s="8">
        <f>+'Simulation and  VaR'!I187/'Simulation and  VaR'!I186-1</f>
        <v>-3.2499187520312001E-2</v>
      </c>
      <c r="J174" s="8">
        <f>+'Simulation and  VaR'!J187/'Simulation and  VaR'!J186-1</f>
        <v>0</v>
      </c>
      <c r="K174" s="8">
        <f>+'Simulation and  VaR'!K187/'Simulation and  VaR'!K186-1</f>
        <v>-1.8797973996135919E-2</v>
      </c>
      <c r="L174" s="8">
        <f>+'Simulation and  VaR'!L187/'Simulation and  VaR'!L186-1</f>
        <v>3.8669760247486362E-2</v>
      </c>
      <c r="N174" s="65">
        <f t="shared" si="22"/>
        <v>-4.0114638603053919E-3</v>
      </c>
      <c r="O174" s="65">
        <f t="shared" si="23"/>
        <v>-1.9783163122913897E-3</v>
      </c>
      <c r="P174" s="65">
        <f t="shared" si="24"/>
        <v>-1.7528760466946488E-3</v>
      </c>
      <c r="Q174" s="65">
        <f t="shared" si="25"/>
        <v>-1.5722682383099995E-3</v>
      </c>
      <c r="R174" s="65">
        <f t="shared" si="26"/>
        <v>-1.477900937713463E-3</v>
      </c>
      <c r="S174" s="65">
        <f t="shared" si="27"/>
        <v>-1.4586462097298054E-3</v>
      </c>
      <c r="T174" s="26">
        <f t="shared" si="28"/>
        <v>-2.2885808243493729E-2</v>
      </c>
      <c r="U174" s="26">
        <f t="shared" si="29"/>
        <v>-4.490095364934938E-2</v>
      </c>
      <c r="V174" s="26">
        <f t="shared" si="30"/>
        <v>-1.0229205971642284E-2</v>
      </c>
      <c r="W174" s="26">
        <f t="shared" si="31"/>
        <v>-1.7231058714264506E-2</v>
      </c>
      <c r="X174" s="26">
        <f t="shared" si="32"/>
        <v>4.2193995361242069E-2</v>
      </c>
    </row>
    <row r="175" spans="1:24" x14ac:dyDescent="0.2">
      <c r="A175" s="5">
        <v>30712</v>
      </c>
      <c r="B175" s="64">
        <v>0</v>
      </c>
      <c r="C175" s="64">
        <v>0</v>
      </c>
      <c r="D175" s="64">
        <v>0</v>
      </c>
      <c r="E175" s="64">
        <v>0</v>
      </c>
      <c r="F175" s="64">
        <v>0</v>
      </c>
      <c r="G175" s="64">
        <v>0</v>
      </c>
      <c r="H175" s="8">
        <f>+'Simulation and  VaR'!H188/'Simulation and  VaR'!H187-1</f>
        <v>-6.0543144257121595E-2</v>
      </c>
      <c r="I175" s="8">
        <f>+'Simulation and  VaR'!I188/'Simulation and  VaR'!I187-1</f>
        <v>-6.2013901449574971E-2</v>
      </c>
      <c r="J175" s="8">
        <f>+'Simulation and  VaR'!J188/'Simulation and  VaR'!J187-1</f>
        <v>-2.8563267637817802E-2</v>
      </c>
      <c r="K175" s="8">
        <f>+'Simulation and  VaR'!K188/'Simulation and  VaR'!K187-1</f>
        <v>-3.1398009685487782E-2</v>
      </c>
      <c r="L175" s="8">
        <f>+'Simulation and  VaR'!L188/'Simulation and  VaR'!L187-1</f>
        <v>3.9201086242389716E-2</v>
      </c>
      <c r="N175" s="65">
        <f t="shared" si="22"/>
        <v>-4.0114638603053919E-3</v>
      </c>
      <c r="O175" s="65">
        <f t="shared" si="23"/>
        <v>-1.9783163122913897E-3</v>
      </c>
      <c r="P175" s="65">
        <f t="shared" si="24"/>
        <v>-1.7528760466946488E-3</v>
      </c>
      <c r="Q175" s="65">
        <f t="shared" si="25"/>
        <v>-1.5722682383099995E-3</v>
      </c>
      <c r="R175" s="65">
        <f t="shared" si="26"/>
        <v>-1.477900937713463E-3</v>
      </c>
      <c r="S175" s="65">
        <f t="shared" si="27"/>
        <v>-1.4586462097298054E-3</v>
      </c>
      <c r="T175" s="26">
        <f t="shared" si="28"/>
        <v>-6.5886524302182004E-2</v>
      </c>
      <c r="U175" s="26">
        <f t="shared" si="29"/>
        <v>-7.4415667578612343E-2</v>
      </c>
      <c r="V175" s="26">
        <f t="shared" si="30"/>
        <v>-3.8792473609460087E-2</v>
      </c>
      <c r="W175" s="26">
        <f t="shared" si="31"/>
        <v>-2.9831094403616368E-2</v>
      </c>
      <c r="X175" s="26">
        <f t="shared" si="32"/>
        <v>4.2725321356145422E-2</v>
      </c>
    </row>
    <row r="176" spans="1:24" x14ac:dyDescent="0.2">
      <c r="A176" s="5">
        <v>30741</v>
      </c>
      <c r="B176" s="64">
        <v>0</v>
      </c>
      <c r="C176" s="64">
        <v>0</v>
      </c>
      <c r="D176" s="64">
        <v>0</v>
      </c>
      <c r="E176" s="64">
        <v>0</v>
      </c>
      <c r="F176" s="64">
        <v>0</v>
      </c>
      <c r="G176" s="64">
        <v>0</v>
      </c>
      <c r="H176" s="8">
        <f>+'Simulation and  VaR'!H189/'Simulation and  VaR'!H188-1</f>
        <v>-1.0166195190947747E-2</v>
      </c>
      <c r="I176" s="8">
        <f>+'Simulation and  VaR'!I189/'Simulation and  VaR'!I188-1</f>
        <v>-0.11845403707886837</v>
      </c>
      <c r="J176" s="8">
        <f>+'Simulation and  VaR'!J189/'Simulation and  VaR'!J188-1</f>
        <v>-7.3507791825933477E-2</v>
      </c>
      <c r="K176" s="8">
        <f>+'Simulation and  VaR'!K189/'Simulation and  VaR'!K188-1</f>
        <v>-2.1427394099225339E-2</v>
      </c>
      <c r="L176" s="8">
        <f>+'Simulation and  VaR'!L189/'Simulation and  VaR'!L188-1</f>
        <v>4.636264014161684E-2</v>
      </c>
      <c r="N176" s="65">
        <f t="shared" si="22"/>
        <v>-4.0114638603053919E-3</v>
      </c>
      <c r="O176" s="65">
        <f t="shared" si="23"/>
        <v>-1.9783163122913897E-3</v>
      </c>
      <c r="P176" s="65">
        <f t="shared" si="24"/>
        <v>-1.7528760466946488E-3</v>
      </c>
      <c r="Q176" s="65">
        <f t="shared" si="25"/>
        <v>-1.5722682383099995E-3</v>
      </c>
      <c r="R176" s="65">
        <f t="shared" si="26"/>
        <v>-1.477900937713463E-3</v>
      </c>
      <c r="S176" s="65">
        <f t="shared" si="27"/>
        <v>-1.4586462097298054E-3</v>
      </c>
      <c r="T176" s="26">
        <f t="shared" si="28"/>
        <v>-1.5509575236008152E-2</v>
      </c>
      <c r="U176" s="26">
        <f t="shared" si="29"/>
        <v>-0.13085580320790574</v>
      </c>
      <c r="V176" s="26">
        <f t="shared" si="30"/>
        <v>-8.3736997797575763E-2</v>
      </c>
      <c r="W176" s="26">
        <f t="shared" si="31"/>
        <v>-1.9860478817353925E-2</v>
      </c>
      <c r="X176" s="26">
        <f t="shared" si="32"/>
        <v>4.9886875255372547E-2</v>
      </c>
    </row>
    <row r="177" spans="1:24" x14ac:dyDescent="0.2">
      <c r="A177" s="5">
        <v>30772</v>
      </c>
      <c r="B177" s="64">
        <v>0</v>
      </c>
      <c r="C177" s="64">
        <v>0</v>
      </c>
      <c r="D177" s="64">
        <v>0</v>
      </c>
      <c r="E177" s="64">
        <v>0</v>
      </c>
      <c r="F177" s="64">
        <v>0</v>
      </c>
      <c r="G177" s="64">
        <v>0</v>
      </c>
      <c r="H177" s="8">
        <f>+'Simulation and  VaR'!H190/'Simulation and  VaR'!H189-1</f>
        <v>4.001071715638127E-2</v>
      </c>
      <c r="I177" s="8">
        <f>+'Simulation and  VaR'!I190/'Simulation and  VaR'!I189-1</f>
        <v>0.13124589856566993</v>
      </c>
      <c r="J177" s="8">
        <f>+'Simulation and  VaR'!J190/'Simulation and  VaR'!J189-1</f>
        <v>-0.10472865756902572</v>
      </c>
      <c r="K177" s="8">
        <f>+'Simulation and  VaR'!K190/'Simulation and  VaR'!K189-1</f>
        <v>7.5795856493177105E-3</v>
      </c>
      <c r="L177" s="8">
        <f>+'Simulation and  VaR'!L190/'Simulation and  VaR'!L189-1</f>
        <v>-4.9947635543381996E-2</v>
      </c>
      <c r="N177" s="65">
        <f t="shared" si="22"/>
        <v>-4.0114638603053919E-3</v>
      </c>
      <c r="O177" s="65">
        <f t="shared" si="23"/>
        <v>-1.9783163122913897E-3</v>
      </c>
      <c r="P177" s="65">
        <f t="shared" si="24"/>
        <v>-1.7528760466946488E-3</v>
      </c>
      <c r="Q177" s="65">
        <f t="shared" si="25"/>
        <v>-1.5722682383099995E-3</v>
      </c>
      <c r="R177" s="65">
        <f t="shared" si="26"/>
        <v>-1.477900937713463E-3</v>
      </c>
      <c r="S177" s="65">
        <f t="shared" si="27"/>
        <v>-1.4586462097298054E-3</v>
      </c>
      <c r="T177" s="26">
        <f t="shared" si="28"/>
        <v>3.4667337111320862E-2</v>
      </c>
      <c r="U177" s="26">
        <f t="shared" si="29"/>
        <v>0.11884413243663255</v>
      </c>
      <c r="V177" s="26">
        <f t="shared" si="30"/>
        <v>-0.114957863540668</v>
      </c>
      <c r="W177" s="26">
        <f t="shared" si="31"/>
        <v>9.1465009311891242E-3</v>
      </c>
      <c r="X177" s="26">
        <f t="shared" si="32"/>
        <v>-4.6423400429626289E-2</v>
      </c>
    </row>
    <row r="178" spans="1:24" x14ac:dyDescent="0.2">
      <c r="A178" s="5">
        <v>30802</v>
      </c>
      <c r="B178" s="64">
        <v>0</v>
      </c>
      <c r="C178" s="64">
        <v>0</v>
      </c>
      <c r="D178" s="64">
        <v>0</v>
      </c>
      <c r="E178" s="64">
        <v>0</v>
      </c>
      <c r="F178" s="64">
        <v>0</v>
      </c>
      <c r="G178" s="64">
        <v>0</v>
      </c>
      <c r="H178" s="8">
        <f>+'Simulation and  VaR'!H191/'Simulation and  VaR'!H190-1</f>
        <v>-3.9158437097466692E-2</v>
      </c>
      <c r="I178" s="8">
        <f>+'Simulation and  VaR'!I191/'Simulation and  VaR'!I190-1</f>
        <v>-0.10496947598132644</v>
      </c>
      <c r="J178" s="8">
        <f>+'Simulation and  VaR'!J191/'Simulation and  VaR'!J190-1</f>
        <v>0.20028358738036145</v>
      </c>
      <c r="K178" s="8">
        <f>+'Simulation and  VaR'!K191/'Simulation and  VaR'!K190-1</f>
        <v>-1.9502953304356696E-3</v>
      </c>
      <c r="L178" s="8">
        <f>+'Simulation and  VaR'!L191/'Simulation and  VaR'!L190-1</f>
        <v>3.1586534384804521E-2</v>
      </c>
      <c r="N178" s="65">
        <f t="shared" si="22"/>
        <v>-4.0114638603053919E-3</v>
      </c>
      <c r="O178" s="65">
        <f t="shared" si="23"/>
        <v>-1.9783163122913897E-3</v>
      </c>
      <c r="P178" s="65">
        <f t="shared" si="24"/>
        <v>-1.7528760466946488E-3</v>
      </c>
      <c r="Q178" s="65">
        <f t="shared" si="25"/>
        <v>-1.5722682383099995E-3</v>
      </c>
      <c r="R178" s="65">
        <f t="shared" si="26"/>
        <v>-1.477900937713463E-3</v>
      </c>
      <c r="S178" s="65">
        <f t="shared" si="27"/>
        <v>-1.4586462097298054E-3</v>
      </c>
      <c r="T178" s="26">
        <f t="shared" si="28"/>
        <v>-4.45018171425271E-2</v>
      </c>
      <c r="U178" s="26">
        <f t="shared" si="29"/>
        <v>-0.11737124211036382</v>
      </c>
      <c r="V178" s="26">
        <f t="shared" si="30"/>
        <v>0.19005438140871916</v>
      </c>
      <c r="W178" s="26">
        <f t="shared" si="31"/>
        <v>-3.8338004856425505E-4</v>
      </c>
      <c r="X178" s="26">
        <f t="shared" si="32"/>
        <v>3.5110769498560228E-2</v>
      </c>
    </row>
    <row r="179" spans="1:24" x14ac:dyDescent="0.2">
      <c r="A179" s="5">
        <v>30833</v>
      </c>
      <c r="B179" s="64">
        <v>0</v>
      </c>
      <c r="C179" s="64">
        <v>0</v>
      </c>
      <c r="D179" s="64">
        <v>0</v>
      </c>
      <c r="E179" s="64">
        <v>0</v>
      </c>
      <c r="F179" s="64">
        <v>0</v>
      </c>
      <c r="G179" s="64">
        <v>0</v>
      </c>
      <c r="H179" s="8">
        <f>+'Simulation and  VaR'!H192/'Simulation and  VaR'!H191-1</f>
        <v>-2.0287782643667818E-2</v>
      </c>
      <c r="I179" s="8">
        <f>+'Simulation and  VaR'!I192/'Simulation and  VaR'!I191-1</f>
        <v>-1.8517946976945199E-2</v>
      </c>
      <c r="J179" s="8">
        <f>+'Simulation and  VaR'!J192/'Simulation and  VaR'!J191-1</f>
        <v>6.6450088600118029E-2</v>
      </c>
      <c r="K179" s="8">
        <f>+'Simulation and  VaR'!K192/'Simulation and  VaR'!K191-1</f>
        <v>-3.098654458154193E-2</v>
      </c>
      <c r="L179" s="8">
        <f>+'Simulation and  VaR'!L192/'Simulation and  VaR'!L191-1</f>
        <v>4.8086802844108378E-2</v>
      </c>
      <c r="N179" s="65">
        <f t="shared" si="22"/>
        <v>-4.0114638603053919E-3</v>
      </c>
      <c r="O179" s="65">
        <f t="shared" si="23"/>
        <v>-1.9783163122913897E-3</v>
      </c>
      <c r="P179" s="65">
        <f t="shared" si="24"/>
        <v>-1.7528760466946488E-3</v>
      </c>
      <c r="Q179" s="65">
        <f t="shared" si="25"/>
        <v>-1.5722682383099995E-3</v>
      </c>
      <c r="R179" s="65">
        <f t="shared" si="26"/>
        <v>-1.477900937713463E-3</v>
      </c>
      <c r="S179" s="65">
        <f t="shared" si="27"/>
        <v>-1.4586462097298054E-3</v>
      </c>
      <c r="T179" s="26">
        <f t="shared" si="28"/>
        <v>-2.5631162688728223E-2</v>
      </c>
      <c r="U179" s="26">
        <f t="shared" si="29"/>
        <v>-3.0919713105982578E-2</v>
      </c>
      <c r="V179" s="26">
        <f t="shared" si="30"/>
        <v>5.6220882628475743E-2</v>
      </c>
      <c r="W179" s="26">
        <f t="shared" si="31"/>
        <v>-2.9419629299670517E-2</v>
      </c>
      <c r="X179" s="26">
        <f t="shared" si="32"/>
        <v>5.1611037957864085E-2</v>
      </c>
    </row>
    <row r="180" spans="1:24" x14ac:dyDescent="0.2">
      <c r="A180" s="5">
        <v>30863</v>
      </c>
      <c r="B180" s="64">
        <v>0</v>
      </c>
      <c r="C180" s="64">
        <v>0</v>
      </c>
      <c r="D180" s="64">
        <v>0</v>
      </c>
      <c r="E180" s="64">
        <v>0</v>
      </c>
      <c r="F180" s="64">
        <v>0</v>
      </c>
      <c r="G180" s="64">
        <v>0</v>
      </c>
      <c r="H180" s="8">
        <f>+'Simulation and  VaR'!H193/'Simulation and  VaR'!H192-1</f>
        <v>-2.2988505747126409E-2</v>
      </c>
      <c r="I180" s="8">
        <f>+'Simulation and  VaR'!I193/'Simulation and  VaR'!I192-1</f>
        <v>7.7041602465331316E-2</v>
      </c>
      <c r="J180" s="8">
        <f>+'Simulation and  VaR'!J193/'Simulation and  VaR'!J192-1</f>
        <v>-4.8463029631680921E-2</v>
      </c>
      <c r="K180" s="8">
        <f>+'Simulation and  VaR'!K193/'Simulation and  VaR'!K192-1</f>
        <v>1.4404240608434371E-3</v>
      </c>
      <c r="L180" s="8">
        <f>+'Simulation and  VaR'!L193/'Simulation and  VaR'!L192-1</f>
        <v>1.2156386024077648E-2</v>
      </c>
      <c r="N180" s="65">
        <f t="shared" si="22"/>
        <v>-4.0114638603053919E-3</v>
      </c>
      <c r="O180" s="65">
        <f t="shared" si="23"/>
        <v>-1.9783163122913897E-3</v>
      </c>
      <c r="P180" s="65">
        <f t="shared" si="24"/>
        <v>-1.7528760466946488E-3</v>
      </c>
      <c r="Q180" s="65">
        <f t="shared" si="25"/>
        <v>-1.5722682383099995E-3</v>
      </c>
      <c r="R180" s="65">
        <f t="shared" si="26"/>
        <v>-1.477900937713463E-3</v>
      </c>
      <c r="S180" s="65">
        <f t="shared" si="27"/>
        <v>-1.4586462097298054E-3</v>
      </c>
      <c r="T180" s="26">
        <f t="shared" si="28"/>
        <v>-2.8331885792186814E-2</v>
      </c>
      <c r="U180" s="26">
        <f t="shared" si="29"/>
        <v>6.4639836336293943E-2</v>
      </c>
      <c r="V180" s="26">
        <f t="shared" si="30"/>
        <v>-5.8692235603323206E-2</v>
      </c>
      <c r="W180" s="26">
        <f t="shared" si="31"/>
        <v>3.0073393427148517E-3</v>
      </c>
      <c r="X180" s="26">
        <f t="shared" si="32"/>
        <v>1.5680621137833355E-2</v>
      </c>
    </row>
    <row r="181" spans="1:24" x14ac:dyDescent="0.2">
      <c r="A181" s="5">
        <v>30894</v>
      </c>
      <c r="B181" s="64">
        <v>0</v>
      </c>
      <c r="C181" s="64">
        <v>0</v>
      </c>
      <c r="D181" s="64">
        <v>0</v>
      </c>
      <c r="E181" s="64">
        <v>0</v>
      </c>
      <c r="F181" s="64">
        <v>0</v>
      </c>
      <c r="G181" s="64">
        <v>0</v>
      </c>
      <c r="H181" s="8">
        <f>+'Simulation and  VaR'!H194/'Simulation and  VaR'!H193-1</f>
        <v>0.11596638655462188</v>
      </c>
      <c r="I181" s="8">
        <f>+'Simulation and  VaR'!I194/'Simulation and  VaR'!I193-1</f>
        <v>0.20729321771627096</v>
      </c>
      <c r="J181" s="8">
        <f>+'Simulation and  VaR'!J194/'Simulation and  VaR'!J193-1</f>
        <v>-1.5133876600698537E-2</v>
      </c>
      <c r="K181" s="8">
        <f>+'Simulation and  VaR'!K194/'Simulation and  VaR'!K193-1</f>
        <v>-1.0068465565847728E-2</v>
      </c>
      <c r="L181" s="8">
        <f>+'Simulation and  VaR'!L194/'Simulation and  VaR'!L193-1</f>
        <v>1.1622951454806074E-2</v>
      </c>
      <c r="N181" s="65">
        <f t="shared" si="22"/>
        <v>-4.0114638603053919E-3</v>
      </c>
      <c r="O181" s="65">
        <f t="shared" si="23"/>
        <v>-1.9783163122913897E-3</v>
      </c>
      <c r="P181" s="65">
        <f t="shared" si="24"/>
        <v>-1.7528760466946488E-3</v>
      </c>
      <c r="Q181" s="65">
        <f t="shared" si="25"/>
        <v>-1.5722682383099995E-3</v>
      </c>
      <c r="R181" s="65">
        <f t="shared" si="26"/>
        <v>-1.477900937713463E-3</v>
      </c>
      <c r="S181" s="65">
        <f t="shared" si="27"/>
        <v>-1.4586462097298054E-3</v>
      </c>
      <c r="T181" s="26">
        <f t="shared" si="28"/>
        <v>0.11062300650956147</v>
      </c>
      <c r="U181" s="26">
        <f t="shared" si="29"/>
        <v>0.19489145158723359</v>
      </c>
      <c r="V181" s="26">
        <f t="shared" si="30"/>
        <v>-2.5363082572340823E-2</v>
      </c>
      <c r="W181" s="26">
        <f t="shared" si="31"/>
        <v>-8.5015502839763148E-3</v>
      </c>
      <c r="X181" s="26">
        <f t="shared" si="32"/>
        <v>1.5147186568561781E-2</v>
      </c>
    </row>
    <row r="182" spans="1:24" x14ac:dyDescent="0.2">
      <c r="A182" s="5">
        <v>30925</v>
      </c>
      <c r="B182" s="64">
        <v>0</v>
      </c>
      <c r="C182" s="64">
        <v>0</v>
      </c>
      <c r="D182" s="64">
        <v>0</v>
      </c>
      <c r="E182" s="64">
        <v>0</v>
      </c>
      <c r="F182" s="64">
        <v>0</v>
      </c>
      <c r="G182" s="64">
        <v>0</v>
      </c>
      <c r="H182" s="8">
        <f>+'Simulation and  VaR'!H195/'Simulation and  VaR'!H194-1</f>
        <v>7.6137884872824468E-3</v>
      </c>
      <c r="I182" s="8">
        <f>+'Simulation and  VaR'!I195/'Simulation and  VaR'!I194-1</f>
        <v>-4.3529781625595509E-2</v>
      </c>
      <c r="J182" s="8">
        <f>+'Simulation and  VaR'!J195/'Simulation and  VaR'!J194-1</f>
        <v>0</v>
      </c>
      <c r="K182" s="8">
        <f>+'Simulation and  VaR'!K195/'Simulation and  VaR'!K194-1</f>
        <v>-1.5111007787981023E-2</v>
      </c>
      <c r="L182" s="8">
        <f>+'Simulation and  VaR'!L195/'Simulation and  VaR'!L194-1</f>
        <v>2.7574585423767672E-2</v>
      </c>
      <c r="N182" s="65">
        <f t="shared" si="22"/>
        <v>-4.0114638603053919E-3</v>
      </c>
      <c r="O182" s="65">
        <f t="shared" si="23"/>
        <v>-1.9783163122913897E-3</v>
      </c>
      <c r="P182" s="65">
        <f t="shared" si="24"/>
        <v>-1.7528760466946488E-3</v>
      </c>
      <c r="Q182" s="65">
        <f t="shared" si="25"/>
        <v>-1.5722682383099995E-3</v>
      </c>
      <c r="R182" s="65">
        <f t="shared" si="26"/>
        <v>-1.477900937713463E-3</v>
      </c>
      <c r="S182" s="65">
        <f t="shared" si="27"/>
        <v>-1.4586462097298054E-3</v>
      </c>
      <c r="T182" s="26">
        <f t="shared" si="28"/>
        <v>2.2704084422220418E-3</v>
      </c>
      <c r="U182" s="26">
        <f t="shared" si="29"/>
        <v>-5.5931547754632889E-2</v>
      </c>
      <c r="V182" s="26">
        <f t="shared" si="30"/>
        <v>-1.0229205971642284E-2</v>
      </c>
      <c r="W182" s="26">
        <f t="shared" si="31"/>
        <v>-1.354409250610961E-2</v>
      </c>
      <c r="X182" s="26">
        <f t="shared" si="32"/>
        <v>3.1098820537523379E-2</v>
      </c>
    </row>
    <row r="183" spans="1:24" x14ac:dyDescent="0.2">
      <c r="A183" s="5">
        <v>30955</v>
      </c>
      <c r="B183" s="64">
        <v>0</v>
      </c>
      <c r="C183" s="64">
        <v>0</v>
      </c>
      <c r="D183" s="64">
        <v>0</v>
      </c>
      <c r="E183" s="64">
        <v>0</v>
      </c>
      <c r="F183" s="64">
        <v>0</v>
      </c>
      <c r="G183" s="64">
        <v>0</v>
      </c>
      <c r="H183" s="8">
        <f>+'Simulation and  VaR'!H196/'Simulation and  VaR'!H195-1</f>
        <v>0.11035456281657385</v>
      </c>
      <c r="I183" s="8">
        <f>+'Simulation and  VaR'!I196/'Simulation and  VaR'!I195-1</f>
        <v>6.9530479633890474E-2</v>
      </c>
      <c r="J183" s="8">
        <f>+'Simulation and  VaR'!J196/'Simulation and  VaR'!J195-1</f>
        <v>5.8215130023640649E-2</v>
      </c>
      <c r="K183" s="8">
        <f>+'Simulation and  VaR'!K196/'Simulation and  VaR'!K195-1</f>
        <v>-1.0326920807270157E-2</v>
      </c>
      <c r="L183" s="8">
        <f>+'Simulation and  VaR'!L196/'Simulation and  VaR'!L195-1</f>
        <v>3.2797883045730725E-2</v>
      </c>
      <c r="N183" s="65">
        <f t="shared" si="22"/>
        <v>-4.0114638603053919E-3</v>
      </c>
      <c r="O183" s="65">
        <f t="shared" si="23"/>
        <v>-1.9783163122913897E-3</v>
      </c>
      <c r="P183" s="65">
        <f t="shared" si="24"/>
        <v>-1.7528760466946488E-3</v>
      </c>
      <c r="Q183" s="65">
        <f t="shared" si="25"/>
        <v>-1.5722682383099995E-3</v>
      </c>
      <c r="R183" s="65">
        <f t="shared" si="26"/>
        <v>-1.477900937713463E-3</v>
      </c>
      <c r="S183" s="65">
        <f t="shared" si="27"/>
        <v>-1.4586462097298054E-3</v>
      </c>
      <c r="T183" s="26">
        <f t="shared" si="28"/>
        <v>0.10501118277151344</v>
      </c>
      <c r="U183" s="26">
        <f t="shared" si="29"/>
        <v>5.7128713504853094E-2</v>
      </c>
      <c r="V183" s="26">
        <f t="shared" si="30"/>
        <v>4.7985924051998363E-2</v>
      </c>
      <c r="W183" s="26">
        <f t="shared" si="31"/>
        <v>-8.7600055253987431E-3</v>
      </c>
      <c r="X183" s="26">
        <f t="shared" si="32"/>
        <v>3.6322118159486431E-2</v>
      </c>
    </row>
    <row r="184" spans="1:24" x14ac:dyDescent="0.2">
      <c r="A184" s="5">
        <v>30986</v>
      </c>
      <c r="B184" s="64">
        <v>0</v>
      </c>
      <c r="C184" s="64">
        <v>0</v>
      </c>
      <c r="D184" s="64">
        <v>0</v>
      </c>
      <c r="E184" s="64">
        <v>0</v>
      </c>
      <c r="F184" s="64">
        <v>0</v>
      </c>
      <c r="G184" s="64">
        <v>0</v>
      </c>
      <c r="H184" s="8">
        <f>+'Simulation and  VaR'!H197/'Simulation and  VaR'!H196-1</f>
        <v>3.612025127131302E-2</v>
      </c>
      <c r="I184" s="8">
        <f>+'Simulation and  VaR'!I197/'Simulation and  VaR'!I196-1</f>
        <v>3.5460154606274052E-2</v>
      </c>
      <c r="J184" s="8">
        <f>+'Simulation and  VaR'!J197/'Simulation and  VaR'!J196-1</f>
        <v>1.3962580284838655E-3</v>
      </c>
      <c r="K184" s="8">
        <f>+'Simulation and  VaR'!K197/'Simulation and  VaR'!K196-1</f>
        <v>-2.6832031482916907E-2</v>
      </c>
      <c r="L184" s="8">
        <f>+'Simulation and  VaR'!L197/'Simulation and  VaR'!L196-1</f>
        <v>-0.10068203962325439</v>
      </c>
      <c r="N184" s="65">
        <f t="shared" si="22"/>
        <v>-4.0114638603053919E-3</v>
      </c>
      <c r="O184" s="65">
        <f t="shared" si="23"/>
        <v>-1.9783163122913897E-3</v>
      </c>
      <c r="P184" s="65">
        <f t="shared" si="24"/>
        <v>-1.7528760466946488E-3</v>
      </c>
      <c r="Q184" s="65">
        <f t="shared" si="25"/>
        <v>-1.5722682383099995E-3</v>
      </c>
      <c r="R184" s="65">
        <f t="shared" si="26"/>
        <v>-1.477900937713463E-3</v>
      </c>
      <c r="S184" s="65">
        <f t="shared" si="27"/>
        <v>-1.4586462097298054E-3</v>
      </c>
      <c r="T184" s="26">
        <f t="shared" si="28"/>
        <v>3.0776871226252615E-2</v>
      </c>
      <c r="U184" s="26">
        <f t="shared" si="29"/>
        <v>2.3058388477236673E-2</v>
      </c>
      <c r="V184" s="26">
        <f t="shared" si="30"/>
        <v>-8.8329479431584184E-3</v>
      </c>
      <c r="W184" s="26">
        <f t="shared" si="31"/>
        <v>-2.5265116201045493E-2</v>
      </c>
      <c r="X184" s="26">
        <f t="shared" si="32"/>
        <v>-9.7157804509498694E-2</v>
      </c>
    </row>
    <row r="185" spans="1:24" x14ac:dyDescent="0.2">
      <c r="A185" s="5">
        <v>31016</v>
      </c>
      <c r="B185" s="64">
        <v>0</v>
      </c>
      <c r="C185" s="64">
        <v>0</v>
      </c>
      <c r="D185" s="64">
        <v>0</v>
      </c>
      <c r="E185" s="64">
        <v>0</v>
      </c>
      <c r="F185" s="64">
        <v>0</v>
      </c>
      <c r="G185" s="64">
        <v>0</v>
      </c>
      <c r="H185" s="8">
        <f>+'Simulation and  VaR'!H198/'Simulation and  VaR'!H197-1</f>
        <v>1.5156983038614236E-2</v>
      </c>
      <c r="I185" s="8">
        <f>+'Simulation and  VaR'!I198/'Simulation and  VaR'!I197-1</f>
        <v>2.2830528983356579E-2</v>
      </c>
      <c r="J185" s="8">
        <f>+'Simulation and  VaR'!J198/'Simulation and  VaR'!J197-1</f>
        <v>-5.1589514779698864E-2</v>
      </c>
      <c r="K185" s="8">
        <f>+'Simulation and  VaR'!K198/'Simulation and  VaR'!K197-1</f>
        <v>-8.5779057655779312E-3</v>
      </c>
      <c r="L185" s="8">
        <f>+'Simulation and  VaR'!L198/'Simulation and  VaR'!L197-1</f>
        <v>-5.8183861000762449E-2</v>
      </c>
      <c r="N185" s="65">
        <f t="shared" si="22"/>
        <v>-4.0114638603053919E-3</v>
      </c>
      <c r="O185" s="65">
        <f t="shared" si="23"/>
        <v>-1.9783163122913897E-3</v>
      </c>
      <c r="P185" s="65">
        <f t="shared" si="24"/>
        <v>-1.7528760466946488E-3</v>
      </c>
      <c r="Q185" s="65">
        <f t="shared" si="25"/>
        <v>-1.5722682383099995E-3</v>
      </c>
      <c r="R185" s="65">
        <f t="shared" si="26"/>
        <v>-1.477900937713463E-3</v>
      </c>
      <c r="S185" s="65">
        <f t="shared" si="27"/>
        <v>-1.4586462097298054E-3</v>
      </c>
      <c r="T185" s="26">
        <f t="shared" si="28"/>
        <v>9.8136029935538306E-3</v>
      </c>
      <c r="U185" s="26">
        <f t="shared" si="29"/>
        <v>1.04287628543192E-2</v>
      </c>
      <c r="V185" s="26">
        <f t="shared" si="30"/>
        <v>-6.181872075134115E-2</v>
      </c>
      <c r="W185" s="26">
        <f t="shared" si="31"/>
        <v>-7.0109904837065166E-3</v>
      </c>
      <c r="X185" s="26">
        <f t="shared" si="32"/>
        <v>-5.4659625887006742E-2</v>
      </c>
    </row>
    <row r="186" spans="1:24" x14ac:dyDescent="0.2">
      <c r="A186" s="5">
        <v>31047</v>
      </c>
      <c r="B186" s="64">
        <v>0</v>
      </c>
      <c r="C186" s="64">
        <v>0</v>
      </c>
      <c r="D186" s="64">
        <v>0</v>
      </c>
      <c r="E186" s="64">
        <v>0</v>
      </c>
      <c r="F186" s="64">
        <v>0</v>
      </c>
      <c r="G186" s="64">
        <v>0</v>
      </c>
      <c r="H186" s="8">
        <f>+'Simulation and  VaR'!H199/'Simulation and  VaR'!H198-1</f>
        <v>3.3131887664415327E-2</v>
      </c>
      <c r="I186" s="8">
        <f>+'Simulation and  VaR'!I199/'Simulation and  VaR'!I198-1</f>
        <v>0.11606883774915744</v>
      </c>
      <c r="J186" s="8">
        <f>+'Simulation and  VaR'!J199/'Simulation and  VaR'!J198-1</f>
        <v>-7.938841517200812E-2</v>
      </c>
      <c r="K186" s="8">
        <f>+'Simulation and  VaR'!K199/'Simulation and  VaR'!K198-1</f>
        <v>-6.0441258265867437E-2</v>
      </c>
      <c r="L186" s="8">
        <f>+'Simulation and  VaR'!L199/'Simulation and  VaR'!L198-1</f>
        <v>2.1941970942865652E-2</v>
      </c>
      <c r="N186" s="65">
        <f t="shared" si="22"/>
        <v>-4.0114638603053919E-3</v>
      </c>
      <c r="O186" s="65">
        <f t="shared" si="23"/>
        <v>-1.9783163122913897E-3</v>
      </c>
      <c r="P186" s="65">
        <f t="shared" si="24"/>
        <v>-1.7528760466946488E-3</v>
      </c>
      <c r="Q186" s="65">
        <f t="shared" si="25"/>
        <v>-1.5722682383099995E-3</v>
      </c>
      <c r="R186" s="65">
        <f t="shared" si="26"/>
        <v>-1.477900937713463E-3</v>
      </c>
      <c r="S186" s="65">
        <f t="shared" si="27"/>
        <v>-1.4586462097298054E-3</v>
      </c>
      <c r="T186" s="26">
        <f t="shared" si="28"/>
        <v>2.7788507619354922E-2</v>
      </c>
      <c r="U186" s="26">
        <f t="shared" si="29"/>
        <v>0.10366707162012007</v>
      </c>
      <c r="V186" s="26">
        <f t="shared" si="30"/>
        <v>-8.9617621143650406E-2</v>
      </c>
      <c r="W186" s="26">
        <f t="shared" si="31"/>
        <v>-5.887434298399602E-2</v>
      </c>
      <c r="X186" s="26">
        <f t="shared" si="32"/>
        <v>2.5466206056621359E-2</v>
      </c>
    </row>
    <row r="187" spans="1:24" x14ac:dyDescent="0.2">
      <c r="A187" s="5">
        <v>31078</v>
      </c>
      <c r="B187" s="64">
        <v>0</v>
      </c>
      <c r="C187" s="64">
        <v>0</v>
      </c>
      <c r="D187" s="64">
        <v>0</v>
      </c>
      <c r="E187" s="64">
        <v>0</v>
      </c>
      <c r="F187" s="64">
        <v>0</v>
      </c>
      <c r="G187" s="64">
        <v>0</v>
      </c>
      <c r="H187" s="8">
        <f>+'Simulation and  VaR'!H200/'Simulation and  VaR'!H199-1</f>
        <v>1.899387516344353E-2</v>
      </c>
      <c r="I187" s="8">
        <f>+'Simulation and  VaR'!I200/'Simulation and  VaR'!I199-1</f>
        <v>-0.17399652006959865</v>
      </c>
      <c r="J187" s="8">
        <f>+'Simulation and  VaR'!J200/'Simulation and  VaR'!J199-1</f>
        <v>-5.7489619929734892E-2</v>
      </c>
      <c r="K187" s="8">
        <f>+'Simulation and  VaR'!K200/'Simulation and  VaR'!K199-1</f>
        <v>-5.7225547589292436E-3</v>
      </c>
      <c r="L187" s="8">
        <f>+'Simulation and  VaR'!L200/'Simulation and  VaR'!L199-1</f>
        <v>-8.3381972817476724E-3</v>
      </c>
      <c r="N187" s="65">
        <f t="shared" si="22"/>
        <v>-4.0114638603053919E-3</v>
      </c>
      <c r="O187" s="65">
        <f t="shared" si="23"/>
        <v>-1.9783163122913897E-3</v>
      </c>
      <c r="P187" s="65">
        <f t="shared" si="24"/>
        <v>-1.7528760466946488E-3</v>
      </c>
      <c r="Q187" s="65">
        <f t="shared" si="25"/>
        <v>-1.5722682383099995E-3</v>
      </c>
      <c r="R187" s="65">
        <f t="shared" si="26"/>
        <v>-1.477900937713463E-3</v>
      </c>
      <c r="S187" s="65">
        <f t="shared" si="27"/>
        <v>-1.4586462097298054E-3</v>
      </c>
      <c r="T187" s="26">
        <f t="shared" si="28"/>
        <v>1.3650495118383125E-2</v>
      </c>
      <c r="U187" s="26">
        <f t="shared" si="29"/>
        <v>-0.18639828619863602</v>
      </c>
      <c r="V187" s="26">
        <f t="shared" si="30"/>
        <v>-6.7718825901377178E-2</v>
      </c>
      <c r="W187" s="26">
        <f t="shared" si="31"/>
        <v>-4.155639477057829E-3</v>
      </c>
      <c r="X187" s="26">
        <f t="shared" si="32"/>
        <v>-4.8139621679919656E-3</v>
      </c>
    </row>
    <row r="188" spans="1:24" x14ac:dyDescent="0.2">
      <c r="A188" s="5">
        <v>31106</v>
      </c>
      <c r="B188" s="64">
        <v>0</v>
      </c>
      <c r="C188" s="64">
        <v>0</v>
      </c>
      <c r="D188" s="64">
        <v>0</v>
      </c>
      <c r="E188" s="64">
        <v>0</v>
      </c>
      <c r="F188" s="64">
        <v>0</v>
      </c>
      <c r="G188" s="64">
        <v>0</v>
      </c>
      <c r="H188" s="8">
        <f>+'Simulation and  VaR'!H201/'Simulation and  VaR'!H200-1</f>
        <v>3.3092456270682913E-2</v>
      </c>
      <c r="I188" s="8">
        <f>+'Simulation and  VaR'!I201/'Simulation and  VaR'!I200-1</f>
        <v>1.2106244400861943E-2</v>
      </c>
      <c r="J188" s="8">
        <f>+'Simulation and  VaR'!J201/'Simulation and  VaR'!J200-1</f>
        <v>-4.066418163334462E-2</v>
      </c>
      <c r="K188" s="8">
        <f>+'Simulation and  VaR'!K201/'Simulation and  VaR'!K200-1</f>
        <v>-1.9184969568668997E-2</v>
      </c>
      <c r="L188" s="8">
        <f>+'Simulation and  VaR'!L201/'Simulation and  VaR'!L200-1</f>
        <v>4.8347767594383306E-3</v>
      </c>
      <c r="N188" s="65">
        <f t="shared" si="22"/>
        <v>-4.0114638603053919E-3</v>
      </c>
      <c r="O188" s="65">
        <f t="shared" si="23"/>
        <v>-1.9783163122913897E-3</v>
      </c>
      <c r="P188" s="65">
        <f t="shared" si="24"/>
        <v>-1.7528760466946488E-3</v>
      </c>
      <c r="Q188" s="65">
        <f t="shared" si="25"/>
        <v>-1.5722682383099995E-3</v>
      </c>
      <c r="R188" s="65">
        <f t="shared" si="26"/>
        <v>-1.477900937713463E-3</v>
      </c>
      <c r="S188" s="65">
        <f t="shared" si="27"/>
        <v>-1.4586462097298054E-3</v>
      </c>
      <c r="T188" s="26">
        <f t="shared" si="28"/>
        <v>2.7749076225622508E-2</v>
      </c>
      <c r="U188" s="26">
        <f t="shared" si="29"/>
        <v>-2.9552172817543659E-4</v>
      </c>
      <c r="V188" s="26">
        <f t="shared" si="30"/>
        <v>-5.0893387604986906E-2</v>
      </c>
      <c r="W188" s="26">
        <f t="shared" si="31"/>
        <v>-1.7618054286797583E-2</v>
      </c>
      <c r="X188" s="26">
        <f t="shared" si="32"/>
        <v>8.3590118731940374E-3</v>
      </c>
    </row>
    <row r="189" spans="1:24" x14ac:dyDescent="0.2">
      <c r="A189" s="5">
        <v>31137</v>
      </c>
      <c r="B189" s="64">
        <v>0</v>
      </c>
      <c r="C189" s="64">
        <v>0</v>
      </c>
      <c r="D189" s="64">
        <v>0</v>
      </c>
      <c r="E189" s="64">
        <v>0</v>
      </c>
      <c r="F189" s="64">
        <v>0</v>
      </c>
      <c r="G189" s="64">
        <v>0</v>
      </c>
      <c r="H189" s="8">
        <f>+'Simulation and  VaR'!H202/'Simulation and  VaR'!H201-1</f>
        <v>7.4916650323592737E-2</v>
      </c>
      <c r="I189" s="8">
        <f>+'Simulation and  VaR'!I202/'Simulation and  VaR'!I201-1</f>
        <v>2.6315159924403808E-2</v>
      </c>
      <c r="J189" s="8">
        <f>+'Simulation and  VaR'!J202/'Simulation and  VaR'!J201-1</f>
        <v>3.3557046979865834E-2</v>
      </c>
      <c r="K189" s="8">
        <f>+'Simulation and  VaR'!K202/'Simulation and  VaR'!K201-1</f>
        <v>5.0451908808849311E-2</v>
      </c>
      <c r="L189" s="8">
        <f>+'Simulation and  VaR'!L202/'Simulation and  VaR'!L201-1</f>
        <v>-2.9287477511400484E-3</v>
      </c>
      <c r="N189" s="65">
        <f t="shared" si="22"/>
        <v>-4.0114638603053919E-3</v>
      </c>
      <c r="O189" s="65">
        <f t="shared" si="23"/>
        <v>-1.9783163122913897E-3</v>
      </c>
      <c r="P189" s="65">
        <f t="shared" si="24"/>
        <v>-1.7528760466946488E-3</v>
      </c>
      <c r="Q189" s="65">
        <f t="shared" si="25"/>
        <v>-1.5722682383099995E-3</v>
      </c>
      <c r="R189" s="65">
        <f t="shared" si="26"/>
        <v>-1.477900937713463E-3</v>
      </c>
      <c r="S189" s="65">
        <f t="shared" si="27"/>
        <v>-1.4586462097298054E-3</v>
      </c>
      <c r="T189" s="26">
        <f t="shared" si="28"/>
        <v>6.9573270278532329E-2</v>
      </c>
      <c r="U189" s="26">
        <f t="shared" si="29"/>
        <v>1.3913393795366429E-2</v>
      </c>
      <c r="V189" s="26">
        <f t="shared" si="30"/>
        <v>2.3327841008223549E-2</v>
      </c>
      <c r="W189" s="26">
        <f t="shared" si="31"/>
        <v>5.2018824090720728E-2</v>
      </c>
      <c r="X189" s="26">
        <f t="shared" si="32"/>
        <v>5.95487362615658E-4</v>
      </c>
    </row>
    <row r="190" spans="1:24" x14ac:dyDescent="0.2">
      <c r="A190" s="5">
        <v>31167</v>
      </c>
      <c r="B190" s="64">
        <v>0</v>
      </c>
      <c r="C190" s="64">
        <v>0</v>
      </c>
      <c r="D190" s="64">
        <v>0</v>
      </c>
      <c r="E190" s="64">
        <v>0</v>
      </c>
      <c r="F190" s="64">
        <v>0</v>
      </c>
      <c r="G190" s="64">
        <v>0</v>
      </c>
      <c r="H190" s="8">
        <f>+'Simulation and  VaR'!H203/'Simulation and  VaR'!H202-1</f>
        <v>-1.2345679012345734E-2</v>
      </c>
      <c r="I190" s="8">
        <f>+'Simulation and  VaR'!I203/'Simulation and  VaR'!I202-1</f>
        <v>1.748210997412647E-2</v>
      </c>
      <c r="J190" s="8">
        <f>+'Simulation and  VaR'!J203/'Simulation and  VaR'!J202-1</f>
        <v>5.9808612440191311E-2</v>
      </c>
      <c r="K190" s="8">
        <f>+'Simulation and  VaR'!K203/'Simulation and  VaR'!K202-1</f>
        <v>2.7738538589957784E-2</v>
      </c>
      <c r="L190" s="8">
        <f>+'Simulation and  VaR'!L203/'Simulation and  VaR'!L202-1</f>
        <v>2.3079182577314672E-3</v>
      </c>
      <c r="N190" s="65">
        <f t="shared" si="22"/>
        <v>-4.0114638603053919E-3</v>
      </c>
      <c r="O190" s="65">
        <f t="shared" si="23"/>
        <v>-1.9783163122913897E-3</v>
      </c>
      <c r="P190" s="65">
        <f t="shared" si="24"/>
        <v>-1.7528760466946488E-3</v>
      </c>
      <c r="Q190" s="65">
        <f t="shared" si="25"/>
        <v>-1.5722682383099995E-3</v>
      </c>
      <c r="R190" s="65">
        <f t="shared" si="26"/>
        <v>-1.477900937713463E-3</v>
      </c>
      <c r="S190" s="65">
        <f t="shared" si="27"/>
        <v>-1.4586462097298054E-3</v>
      </c>
      <c r="T190" s="26">
        <f t="shared" si="28"/>
        <v>-1.7689059057406139E-2</v>
      </c>
      <c r="U190" s="26">
        <f t="shared" si="29"/>
        <v>5.08034384508909E-3</v>
      </c>
      <c r="V190" s="26">
        <f t="shared" si="30"/>
        <v>4.9579406468549025E-2</v>
      </c>
      <c r="W190" s="26">
        <f t="shared" si="31"/>
        <v>2.9305453871829198E-2</v>
      </c>
      <c r="X190" s="26">
        <f t="shared" si="32"/>
        <v>5.832153371487174E-3</v>
      </c>
    </row>
    <row r="191" spans="1:24" x14ac:dyDescent="0.2">
      <c r="A191" s="5">
        <v>31198</v>
      </c>
      <c r="B191" s="64">
        <v>0</v>
      </c>
      <c r="C191" s="64">
        <v>0</v>
      </c>
      <c r="D191" s="64">
        <v>0</v>
      </c>
      <c r="E191" s="64">
        <v>0</v>
      </c>
      <c r="F191" s="64">
        <v>0</v>
      </c>
      <c r="G191" s="64">
        <v>0</v>
      </c>
      <c r="H191" s="8">
        <f>+'Simulation and  VaR'!H204/'Simulation and  VaR'!H203-1</f>
        <v>3.5221674876847464E-2</v>
      </c>
      <c r="I191" s="8">
        <f>+'Simulation and  VaR'!I204/'Simulation and  VaR'!I203-1</f>
        <v>-4.6963414354768473E-2</v>
      </c>
      <c r="J191" s="8">
        <f>+'Simulation and  VaR'!J204/'Simulation and  VaR'!J203-1</f>
        <v>-2.4185746533376351E-2</v>
      </c>
      <c r="K191" s="8">
        <f>+'Simulation and  VaR'!K204/'Simulation and  VaR'!K203-1</f>
        <v>-4.2171685617893306E-2</v>
      </c>
      <c r="L191" s="8">
        <f>+'Simulation and  VaR'!L204/'Simulation and  VaR'!L203-1</f>
        <v>1.8002177007452325E-3</v>
      </c>
      <c r="N191" s="65">
        <f t="shared" si="22"/>
        <v>-4.0114638603053919E-3</v>
      </c>
      <c r="O191" s="65">
        <f t="shared" si="23"/>
        <v>-1.9783163122913897E-3</v>
      </c>
      <c r="P191" s="65">
        <f t="shared" si="24"/>
        <v>-1.7528760466946488E-3</v>
      </c>
      <c r="Q191" s="65">
        <f t="shared" si="25"/>
        <v>-1.5722682383099995E-3</v>
      </c>
      <c r="R191" s="65">
        <f t="shared" si="26"/>
        <v>-1.477900937713463E-3</v>
      </c>
      <c r="S191" s="65">
        <f t="shared" si="27"/>
        <v>-1.4586462097298054E-3</v>
      </c>
      <c r="T191" s="26">
        <f t="shared" si="28"/>
        <v>2.9878294831787059E-2</v>
      </c>
      <c r="U191" s="26">
        <f t="shared" si="29"/>
        <v>-5.9365180483805853E-2</v>
      </c>
      <c r="V191" s="26">
        <f t="shared" si="30"/>
        <v>-3.4414952505018637E-2</v>
      </c>
      <c r="W191" s="26">
        <f t="shared" si="31"/>
        <v>-4.0604770336021889E-2</v>
      </c>
      <c r="X191" s="26">
        <f t="shared" si="32"/>
        <v>5.3244528145009393E-3</v>
      </c>
    </row>
    <row r="192" spans="1:24" x14ac:dyDescent="0.2">
      <c r="A192" s="5">
        <v>31228</v>
      </c>
      <c r="B192" s="64">
        <v>0</v>
      </c>
      <c r="C192" s="64">
        <v>0</v>
      </c>
      <c r="D192" s="64">
        <v>0</v>
      </c>
      <c r="E192" s="64">
        <v>0</v>
      </c>
      <c r="F192" s="64">
        <v>0</v>
      </c>
      <c r="G192" s="64">
        <v>0</v>
      </c>
      <c r="H192" s="8">
        <f>+'Simulation and  VaR'!H205/'Simulation and  VaR'!H204-1</f>
        <v>-3.3012134189864484E-2</v>
      </c>
      <c r="I192" s="8">
        <f>+'Simulation and  VaR'!I205/'Simulation and  VaR'!I204-1</f>
        <v>1.3533328525756616E-2</v>
      </c>
      <c r="J192" s="8">
        <f>+'Simulation and  VaR'!J205/'Simulation and  VaR'!J204-1</f>
        <v>4.4613350958360831E-2</v>
      </c>
      <c r="K192" s="8">
        <f>+'Simulation and  VaR'!K205/'Simulation and  VaR'!K204-1</f>
        <v>-8.479551236057703E-3</v>
      </c>
      <c r="L192" s="8">
        <f>+'Simulation and  VaR'!L205/'Simulation and  VaR'!L204-1</f>
        <v>1.0322203184420564E-2</v>
      </c>
      <c r="N192" s="65">
        <f t="shared" si="22"/>
        <v>-4.0114638603053919E-3</v>
      </c>
      <c r="O192" s="65">
        <f t="shared" si="23"/>
        <v>-1.9783163122913897E-3</v>
      </c>
      <c r="P192" s="65">
        <f t="shared" si="24"/>
        <v>-1.7528760466946488E-3</v>
      </c>
      <c r="Q192" s="65">
        <f t="shared" si="25"/>
        <v>-1.5722682383099995E-3</v>
      </c>
      <c r="R192" s="65">
        <f t="shared" si="26"/>
        <v>-1.477900937713463E-3</v>
      </c>
      <c r="S192" s="65">
        <f t="shared" si="27"/>
        <v>-1.4586462097298054E-3</v>
      </c>
      <c r="T192" s="26">
        <f t="shared" si="28"/>
        <v>-3.8355514234924892E-2</v>
      </c>
      <c r="U192" s="26">
        <f t="shared" si="29"/>
        <v>1.1315623967192365E-3</v>
      </c>
      <c r="V192" s="26">
        <f t="shared" si="30"/>
        <v>3.4384144986718546E-2</v>
      </c>
      <c r="W192" s="26">
        <f t="shared" si="31"/>
        <v>-6.9126359541862884E-3</v>
      </c>
      <c r="X192" s="26">
        <f t="shared" si="32"/>
        <v>1.3846438298176271E-2</v>
      </c>
    </row>
    <row r="193" spans="1:24" x14ac:dyDescent="0.2">
      <c r="A193" s="5">
        <v>31259</v>
      </c>
      <c r="B193" s="64">
        <v>0</v>
      </c>
      <c r="C193" s="64">
        <v>0</v>
      </c>
      <c r="D193" s="64">
        <v>0</v>
      </c>
      <c r="E193" s="64">
        <v>0</v>
      </c>
      <c r="F193" s="64">
        <v>0</v>
      </c>
      <c r="G193" s="64">
        <v>0</v>
      </c>
      <c r="H193" s="8">
        <f>+'Simulation and  VaR'!H206/'Simulation and  VaR'!H205-1</f>
        <v>9.1037706833978493E-3</v>
      </c>
      <c r="I193" s="8">
        <f>+'Simulation and  VaR'!I206/'Simulation and  VaR'!I205-1</f>
        <v>-1.6601840432596493E-2</v>
      </c>
      <c r="J193" s="8">
        <f>+'Simulation and  VaR'!J206/'Simulation and  VaR'!J205-1</f>
        <v>3.1635558367604233E-3</v>
      </c>
      <c r="K193" s="8">
        <f>+'Simulation and  VaR'!K206/'Simulation and  VaR'!K205-1</f>
        <v>-1.7104137885665338E-2</v>
      </c>
      <c r="L193" s="8">
        <f>+'Simulation and  VaR'!L206/'Simulation and  VaR'!L205-1</f>
        <v>1.9440767703507555E-2</v>
      </c>
      <c r="N193" s="65">
        <f t="shared" si="22"/>
        <v>-4.0114638603053919E-3</v>
      </c>
      <c r="O193" s="65">
        <f t="shared" si="23"/>
        <v>-1.9783163122913897E-3</v>
      </c>
      <c r="P193" s="65">
        <f t="shared" si="24"/>
        <v>-1.7528760466946488E-3</v>
      </c>
      <c r="Q193" s="65">
        <f t="shared" si="25"/>
        <v>-1.5722682383099995E-3</v>
      </c>
      <c r="R193" s="65">
        <f t="shared" si="26"/>
        <v>-1.477900937713463E-3</v>
      </c>
      <c r="S193" s="65">
        <f t="shared" si="27"/>
        <v>-1.4586462097298054E-3</v>
      </c>
      <c r="T193" s="26">
        <f t="shared" si="28"/>
        <v>3.7603906383374443E-3</v>
      </c>
      <c r="U193" s="26">
        <f t="shared" si="29"/>
        <v>-2.9003606561633873E-2</v>
      </c>
      <c r="V193" s="26">
        <f t="shared" si="30"/>
        <v>-7.0656501348818606E-3</v>
      </c>
      <c r="W193" s="26">
        <f t="shared" si="31"/>
        <v>-1.5537222603793924E-2</v>
      </c>
      <c r="X193" s="26">
        <f t="shared" si="32"/>
        <v>2.2965002817263262E-2</v>
      </c>
    </row>
    <row r="194" spans="1:24" x14ac:dyDescent="0.2">
      <c r="A194" s="5">
        <v>31290</v>
      </c>
      <c r="B194" s="64">
        <v>0</v>
      </c>
      <c r="C194" s="64">
        <v>0</v>
      </c>
      <c r="D194" s="64">
        <v>0</v>
      </c>
      <c r="E194" s="64">
        <v>0</v>
      </c>
      <c r="F194" s="64">
        <v>0</v>
      </c>
      <c r="G194" s="64">
        <v>0</v>
      </c>
      <c r="H194" s="8">
        <f>+'Simulation and  VaR'!H207/'Simulation and  VaR'!H206-1</f>
        <v>1.2374276135324713E-2</v>
      </c>
      <c r="I194" s="8">
        <f>+'Simulation and  VaR'!I207/'Simulation and  VaR'!I206-1</f>
        <v>-1.8690912598881004E-2</v>
      </c>
      <c r="J194" s="8">
        <f>+'Simulation and  VaR'!J207/'Simulation and  VaR'!J206-1</f>
        <v>9.4607379375590828E-3</v>
      </c>
      <c r="K194" s="8">
        <f>+'Simulation and  VaR'!K207/'Simulation and  VaR'!K206-1</f>
        <v>2.4764072016598693E-3</v>
      </c>
      <c r="L194" s="8">
        <f>+'Simulation and  VaR'!L207/'Simulation and  VaR'!L206-1</f>
        <v>-4.3820498255294882E-2</v>
      </c>
      <c r="N194" s="65">
        <f t="shared" si="22"/>
        <v>-4.0114638603053919E-3</v>
      </c>
      <c r="O194" s="65">
        <f t="shared" si="23"/>
        <v>-1.9783163122913897E-3</v>
      </c>
      <c r="P194" s="65">
        <f t="shared" si="24"/>
        <v>-1.7528760466946488E-3</v>
      </c>
      <c r="Q194" s="65">
        <f t="shared" si="25"/>
        <v>-1.5722682383099995E-3</v>
      </c>
      <c r="R194" s="65">
        <f t="shared" si="26"/>
        <v>-1.477900937713463E-3</v>
      </c>
      <c r="S194" s="65">
        <f t="shared" si="27"/>
        <v>-1.4586462097298054E-3</v>
      </c>
      <c r="T194" s="26">
        <f t="shared" si="28"/>
        <v>7.0308960902643082E-3</v>
      </c>
      <c r="U194" s="26">
        <f t="shared" si="29"/>
        <v>-3.1092678727918384E-2</v>
      </c>
      <c r="V194" s="26">
        <f t="shared" si="30"/>
        <v>-7.6846803408320112E-4</v>
      </c>
      <c r="W194" s="26">
        <f t="shared" si="31"/>
        <v>4.0433224835312838E-3</v>
      </c>
      <c r="X194" s="26">
        <f t="shared" si="32"/>
        <v>-4.0296263141539175E-2</v>
      </c>
    </row>
    <row r="195" spans="1:24" x14ac:dyDescent="0.2">
      <c r="A195" s="5">
        <v>31320</v>
      </c>
      <c r="B195" s="64">
        <v>0</v>
      </c>
      <c r="C195" s="64">
        <v>0</v>
      </c>
      <c r="D195" s="64">
        <v>0</v>
      </c>
      <c r="E195" s="64">
        <v>0</v>
      </c>
      <c r="F195" s="64">
        <v>0</v>
      </c>
      <c r="G195" s="64">
        <v>0</v>
      </c>
      <c r="H195" s="8">
        <f>+'Simulation and  VaR'!H208/'Simulation and  VaR'!H207-1</f>
        <v>-1.5173410404624166E-2</v>
      </c>
      <c r="I195" s="8">
        <f>+'Simulation and  VaR'!I208/'Simulation and  VaR'!I207-1</f>
        <v>-5.8984000589839991E-2</v>
      </c>
      <c r="J195" s="8">
        <f>+'Simulation and  VaR'!J208/'Simulation and  VaR'!J207-1</f>
        <v>-5.6232427366447846E-2</v>
      </c>
      <c r="K195" s="8">
        <f>+'Simulation and  VaR'!K208/'Simulation and  VaR'!K207-1</f>
        <v>-1.6691147015622798E-3</v>
      </c>
      <c r="L195" s="8">
        <f>+'Simulation and  VaR'!L208/'Simulation and  VaR'!L207-1</f>
        <v>-6.7894424170414913E-3</v>
      </c>
      <c r="N195" s="65">
        <f t="shared" si="22"/>
        <v>-4.0114638603053919E-3</v>
      </c>
      <c r="O195" s="65">
        <f t="shared" si="23"/>
        <v>-1.9783163122913897E-3</v>
      </c>
      <c r="P195" s="65">
        <f t="shared" si="24"/>
        <v>-1.7528760466946488E-3</v>
      </c>
      <c r="Q195" s="65">
        <f t="shared" si="25"/>
        <v>-1.5722682383099995E-3</v>
      </c>
      <c r="R195" s="65">
        <f t="shared" si="26"/>
        <v>-1.477900937713463E-3</v>
      </c>
      <c r="S195" s="65">
        <f t="shared" si="27"/>
        <v>-1.4586462097298054E-3</v>
      </c>
      <c r="T195" s="26">
        <f t="shared" si="28"/>
        <v>-2.0516790449684571E-2</v>
      </c>
      <c r="U195" s="26">
        <f t="shared" si="29"/>
        <v>-7.1385766718877364E-2</v>
      </c>
      <c r="V195" s="26">
        <f t="shared" si="30"/>
        <v>-6.6461633338090131E-2</v>
      </c>
      <c r="W195" s="26">
        <f t="shared" si="31"/>
        <v>-1.0219941969086526E-4</v>
      </c>
      <c r="X195" s="26">
        <f t="shared" si="32"/>
        <v>-3.2652073032857849E-3</v>
      </c>
    </row>
    <row r="196" spans="1:24" x14ac:dyDescent="0.2">
      <c r="A196" s="5">
        <v>31351</v>
      </c>
      <c r="B196" s="64">
        <v>0</v>
      </c>
      <c r="C196" s="64">
        <v>0</v>
      </c>
      <c r="D196" s="64">
        <v>0</v>
      </c>
      <c r="E196" s="64">
        <v>0</v>
      </c>
      <c r="F196" s="64">
        <v>0</v>
      </c>
      <c r="G196" s="64">
        <v>0</v>
      </c>
      <c r="H196" s="8">
        <f>+'Simulation and  VaR'!H209/'Simulation and  VaR'!H208-1</f>
        <v>1.7424798239178196E-2</v>
      </c>
      <c r="I196" s="8">
        <f>+'Simulation and  VaR'!I209/'Simulation and  VaR'!I208-1</f>
        <v>5.3853587192143948E-2</v>
      </c>
      <c r="J196" s="8">
        <f>+'Simulation and  VaR'!J209/'Simulation and  VaR'!J208-1</f>
        <v>1.6550810989739428E-3</v>
      </c>
      <c r="K196" s="8">
        <f>+'Simulation and  VaR'!K209/'Simulation and  VaR'!K208-1</f>
        <v>-2.1534140306293081E-2</v>
      </c>
      <c r="L196" s="8">
        <f>+'Simulation and  VaR'!L209/'Simulation and  VaR'!L208-1</f>
        <v>-6.622233615312334E-3</v>
      </c>
      <c r="N196" s="65">
        <f t="shared" si="22"/>
        <v>-4.0114638603053919E-3</v>
      </c>
      <c r="O196" s="65">
        <f t="shared" si="23"/>
        <v>-1.9783163122913897E-3</v>
      </c>
      <c r="P196" s="65">
        <f t="shared" si="24"/>
        <v>-1.7528760466946488E-3</v>
      </c>
      <c r="Q196" s="65">
        <f t="shared" si="25"/>
        <v>-1.5722682383099995E-3</v>
      </c>
      <c r="R196" s="65">
        <f t="shared" si="26"/>
        <v>-1.477900937713463E-3</v>
      </c>
      <c r="S196" s="65">
        <f t="shared" si="27"/>
        <v>-1.4586462097298054E-3</v>
      </c>
      <c r="T196" s="26">
        <f t="shared" si="28"/>
        <v>1.2081418194117791E-2</v>
      </c>
      <c r="U196" s="26">
        <f t="shared" si="29"/>
        <v>4.1451821063106568E-2</v>
      </c>
      <c r="V196" s="26">
        <f t="shared" si="30"/>
        <v>-8.574124872668341E-3</v>
      </c>
      <c r="W196" s="26">
        <f t="shared" si="31"/>
        <v>-1.9967225024421668E-2</v>
      </c>
      <c r="X196" s="26">
        <f t="shared" si="32"/>
        <v>-3.0979985015566276E-3</v>
      </c>
    </row>
    <row r="197" spans="1:24" x14ac:dyDescent="0.2">
      <c r="A197" s="5">
        <v>31381</v>
      </c>
      <c r="B197" s="64">
        <v>0</v>
      </c>
      <c r="C197" s="64">
        <v>0</v>
      </c>
      <c r="D197" s="64">
        <v>0</v>
      </c>
      <c r="E197" s="64">
        <v>0</v>
      </c>
      <c r="F197" s="64">
        <v>0</v>
      </c>
      <c r="G197" s="64">
        <v>0</v>
      </c>
      <c r="H197" s="8">
        <f>+'Simulation and  VaR'!H210/'Simulation and  VaR'!H209-1</f>
        <v>-8.8336037497745989E-3</v>
      </c>
      <c r="I197" s="8">
        <f>+'Simulation and  VaR'!I210/'Simulation and  VaR'!I209-1</f>
        <v>-5.3282446531684458E-2</v>
      </c>
      <c r="J197" s="8">
        <f>+'Simulation and  VaR'!J210/'Simulation and  VaR'!J209-1</f>
        <v>-3.3046926635822871E-2</v>
      </c>
      <c r="K197" s="8">
        <f>+'Simulation and  VaR'!K210/'Simulation and  VaR'!K209-1</f>
        <v>-7.8600232383295721E-3</v>
      </c>
      <c r="L197" s="8">
        <f>+'Simulation and  VaR'!L210/'Simulation and  VaR'!L209-1</f>
        <v>-3.4407122274311419E-3</v>
      </c>
      <c r="N197" s="65">
        <f t="shared" si="22"/>
        <v>-4.0114638603053919E-3</v>
      </c>
      <c r="O197" s="65">
        <f t="shared" si="23"/>
        <v>-1.9783163122913897E-3</v>
      </c>
      <c r="P197" s="65">
        <f t="shared" si="24"/>
        <v>-1.7528760466946488E-3</v>
      </c>
      <c r="Q197" s="65">
        <f t="shared" si="25"/>
        <v>-1.5722682383099995E-3</v>
      </c>
      <c r="R197" s="65">
        <f t="shared" si="26"/>
        <v>-1.477900937713463E-3</v>
      </c>
      <c r="S197" s="65">
        <f t="shared" si="27"/>
        <v>-1.4586462097298054E-3</v>
      </c>
      <c r="T197" s="26">
        <f t="shared" si="28"/>
        <v>-1.4176983794835004E-2</v>
      </c>
      <c r="U197" s="26">
        <f t="shared" si="29"/>
        <v>-6.568421266072183E-2</v>
      </c>
      <c r="V197" s="26">
        <f t="shared" si="30"/>
        <v>-4.3276132607465156E-2</v>
      </c>
      <c r="W197" s="26">
        <f t="shared" si="31"/>
        <v>-6.2931079564581575E-3</v>
      </c>
      <c r="X197" s="26">
        <f t="shared" si="32"/>
        <v>8.352288632456446E-5</v>
      </c>
    </row>
    <row r="198" spans="1:24" x14ac:dyDescent="0.2">
      <c r="A198" s="5">
        <v>31412</v>
      </c>
      <c r="B198" s="64">
        <v>0</v>
      </c>
      <c r="C198" s="64">
        <v>0</v>
      </c>
      <c r="D198" s="64">
        <v>0</v>
      </c>
      <c r="E198" s="64">
        <v>0</v>
      </c>
      <c r="F198" s="64">
        <v>0</v>
      </c>
      <c r="G198" s="64">
        <v>0</v>
      </c>
      <c r="H198" s="8">
        <f>+'Simulation and  VaR'!H211/'Simulation and  VaR'!H210-1</f>
        <v>-9.2154722929550514E-3</v>
      </c>
      <c r="I198" s="8">
        <f>+'Simulation and  VaR'!I211/'Simulation and  VaR'!I210-1</f>
        <v>-2.3219287453208004E-2</v>
      </c>
      <c r="J198" s="8">
        <f>+'Simulation and  VaR'!J211/'Simulation and  VaR'!J210-1</f>
        <v>-1.0252904989747069E-2</v>
      </c>
      <c r="K198" s="8">
        <f>+'Simulation and  VaR'!K211/'Simulation and  VaR'!K210-1</f>
        <v>-3.4651419123725602E-2</v>
      </c>
      <c r="L198" s="8">
        <f>+'Simulation and  VaR'!L211/'Simulation and  VaR'!L210-1</f>
        <v>1.2817746320832102E-2</v>
      </c>
      <c r="N198" s="65">
        <f t="shared" ref="N198:N254" si="33">B198-$B$256</f>
        <v>-4.0114638603053919E-3</v>
      </c>
      <c r="O198" s="65">
        <f t="shared" ref="O198:O254" si="34">C198-$C$256</f>
        <v>-1.9783163122913897E-3</v>
      </c>
      <c r="P198" s="65">
        <f t="shared" ref="P198:P254" si="35">D198-$D$256</f>
        <v>-1.7528760466946488E-3</v>
      </c>
      <c r="Q198" s="65">
        <f t="shared" ref="Q198:Q254" si="36">E198-$E$256</f>
        <v>-1.5722682383099995E-3</v>
      </c>
      <c r="R198" s="65">
        <f t="shared" ref="R198:R254" si="37">F198-$F$256</f>
        <v>-1.477900937713463E-3</v>
      </c>
      <c r="S198" s="65">
        <f t="shared" ref="S198:S254" si="38">G198-$G$256</f>
        <v>-1.4586462097298054E-3</v>
      </c>
      <c r="T198" s="26">
        <f t="shared" ref="T198:T254" si="39">H198-$H$256</f>
        <v>-1.4558852338015457E-2</v>
      </c>
      <c r="U198" s="26">
        <f t="shared" ref="U198:U254" si="40">I198-$I$256</f>
        <v>-3.5621053582245384E-2</v>
      </c>
      <c r="V198" s="26">
        <f t="shared" ref="V198:V254" si="41">J198-$J$256</f>
        <v>-2.0482110961389355E-2</v>
      </c>
      <c r="W198" s="26">
        <f t="shared" ref="W198:W254" si="42">K198-$K$256</f>
        <v>-3.3084503841854185E-2</v>
      </c>
      <c r="X198" s="26">
        <f t="shared" ref="X198:X254" si="43">L198-$L$256</f>
        <v>1.6341981434587809E-2</v>
      </c>
    </row>
    <row r="199" spans="1:24" x14ac:dyDescent="0.2">
      <c r="A199" s="5">
        <v>31443</v>
      </c>
      <c r="B199" s="64">
        <v>0</v>
      </c>
      <c r="C199" s="64">
        <v>0</v>
      </c>
      <c r="D199" s="64">
        <v>0</v>
      </c>
      <c r="E199" s="64">
        <v>0</v>
      </c>
      <c r="F199" s="64">
        <v>0</v>
      </c>
      <c r="G199" s="64">
        <v>0</v>
      </c>
      <c r="H199" s="8">
        <f>+'Simulation and  VaR'!H212/'Simulation and  VaR'!H211-1</f>
        <v>-3.8856933055929521E-2</v>
      </c>
      <c r="I199" s="8">
        <f>+'Simulation and  VaR'!I212/'Simulation and  VaR'!I211-1</f>
        <v>5.8610709117221438E-2</v>
      </c>
      <c r="J199" s="8">
        <f>+'Simulation and  VaR'!J212/'Simulation and  VaR'!J211-1</f>
        <v>5.0069060773480611E-2</v>
      </c>
      <c r="K199" s="8">
        <f>+'Simulation and  VaR'!K212/'Simulation and  VaR'!K211-1</f>
        <v>6.3726539641761226E-2</v>
      </c>
      <c r="L199" s="8">
        <f>+'Simulation and  VaR'!L212/'Simulation and  VaR'!L211-1</f>
        <v>-5.2837906937105439E-3</v>
      </c>
      <c r="N199" s="65">
        <f t="shared" si="33"/>
        <v>-4.0114638603053919E-3</v>
      </c>
      <c r="O199" s="65">
        <f t="shared" si="34"/>
        <v>-1.9783163122913897E-3</v>
      </c>
      <c r="P199" s="65">
        <f t="shared" si="35"/>
        <v>-1.7528760466946488E-3</v>
      </c>
      <c r="Q199" s="65">
        <f t="shared" si="36"/>
        <v>-1.5722682383099995E-3</v>
      </c>
      <c r="R199" s="65">
        <f t="shared" si="37"/>
        <v>-1.477900937713463E-3</v>
      </c>
      <c r="S199" s="65">
        <f t="shared" si="38"/>
        <v>-1.4586462097298054E-3</v>
      </c>
      <c r="T199" s="26">
        <f t="shared" si="39"/>
        <v>-4.420031310098993E-2</v>
      </c>
      <c r="U199" s="26">
        <f t="shared" si="40"/>
        <v>4.6208942988184058E-2</v>
      </c>
      <c r="V199" s="26">
        <f t="shared" si="41"/>
        <v>3.9839854801838326E-2</v>
      </c>
      <c r="W199" s="26">
        <f t="shared" si="42"/>
        <v>6.5293454923632643E-2</v>
      </c>
      <c r="X199" s="26">
        <f t="shared" si="43"/>
        <v>-1.7595555799548375E-3</v>
      </c>
    </row>
    <row r="200" spans="1:24" x14ac:dyDescent="0.2">
      <c r="A200" s="5">
        <v>31471</v>
      </c>
      <c r="B200" s="64">
        <v>0</v>
      </c>
      <c r="C200" s="64">
        <v>0</v>
      </c>
      <c r="D200" s="64">
        <v>0</v>
      </c>
      <c r="E200" s="64">
        <v>0</v>
      </c>
      <c r="F200" s="64">
        <v>0</v>
      </c>
      <c r="G200" s="64">
        <v>0</v>
      </c>
      <c r="H200" s="8">
        <f>+'Simulation and  VaR'!H213/'Simulation and  VaR'!H212-1</f>
        <v>1.349716686827529E-2</v>
      </c>
      <c r="I200" s="8">
        <f>+'Simulation and  VaR'!I213/'Simulation and  VaR'!I212-1</f>
        <v>-1.7088174982911819E-2</v>
      </c>
      <c r="J200" s="8">
        <f>+'Simulation and  VaR'!J213/'Simulation and  VaR'!J212-1</f>
        <v>3.2883919763235792E-3</v>
      </c>
      <c r="K200" s="8">
        <f>+'Simulation and  VaR'!K213/'Simulation and  VaR'!K212-1</f>
        <v>-3.5556151885147047E-2</v>
      </c>
      <c r="L200" s="8">
        <f>+'Simulation and  VaR'!L213/'Simulation and  VaR'!L212-1</f>
        <v>-3.7183002056202952E-2</v>
      </c>
      <c r="N200" s="65">
        <f t="shared" si="33"/>
        <v>-4.0114638603053919E-3</v>
      </c>
      <c r="O200" s="65">
        <f t="shared" si="34"/>
        <v>-1.9783163122913897E-3</v>
      </c>
      <c r="P200" s="65">
        <f t="shared" si="35"/>
        <v>-1.7528760466946488E-3</v>
      </c>
      <c r="Q200" s="65">
        <f t="shared" si="36"/>
        <v>-1.5722682383099995E-3</v>
      </c>
      <c r="R200" s="65">
        <f t="shared" si="37"/>
        <v>-1.477900937713463E-3</v>
      </c>
      <c r="S200" s="65">
        <f t="shared" si="38"/>
        <v>-1.4586462097298054E-3</v>
      </c>
      <c r="T200" s="26">
        <f t="shared" si="39"/>
        <v>8.1537868232148848E-3</v>
      </c>
      <c r="U200" s="26">
        <f t="shared" si="40"/>
        <v>-2.9489941111949199E-2</v>
      </c>
      <c r="V200" s="26">
        <f t="shared" si="41"/>
        <v>-6.9408139953187047E-3</v>
      </c>
      <c r="W200" s="26">
        <f t="shared" si="42"/>
        <v>-3.398923660327563E-2</v>
      </c>
      <c r="X200" s="26">
        <f t="shared" si="43"/>
        <v>-3.3658766942447245E-2</v>
      </c>
    </row>
    <row r="201" spans="1:24" x14ac:dyDescent="0.2">
      <c r="A201" s="5">
        <v>31502</v>
      </c>
      <c r="B201" s="64">
        <v>0</v>
      </c>
      <c r="C201" s="64">
        <v>0</v>
      </c>
      <c r="D201" s="64">
        <v>0</v>
      </c>
      <c r="E201" s="64">
        <v>0</v>
      </c>
      <c r="F201" s="64">
        <v>0</v>
      </c>
      <c r="G201" s="64">
        <v>0</v>
      </c>
      <c r="H201" s="8">
        <f>+'Simulation and  VaR'!H214/'Simulation and  VaR'!H213-1</f>
        <v>5.4651674100132386E-3</v>
      </c>
      <c r="I201" s="8">
        <f>+'Simulation and  VaR'!I214/'Simulation and  VaR'!I213-1</f>
        <v>-3.2838819347859705E-2</v>
      </c>
      <c r="J201" s="8">
        <f>+'Simulation and  VaR'!J214/'Simulation and  VaR'!J213-1</f>
        <v>6.555227794165841E-3</v>
      </c>
      <c r="K201" s="8">
        <f>+'Simulation and  VaR'!K214/'Simulation and  VaR'!K213-1</f>
        <v>-2.7476349471341033E-2</v>
      </c>
      <c r="L201" s="8">
        <f>+'Simulation and  VaR'!L214/'Simulation and  VaR'!L213-1</f>
        <v>1.0010678056593614E-2</v>
      </c>
      <c r="N201" s="65">
        <f t="shared" si="33"/>
        <v>-4.0114638603053919E-3</v>
      </c>
      <c r="O201" s="65">
        <f t="shared" si="34"/>
        <v>-1.9783163122913897E-3</v>
      </c>
      <c r="P201" s="65">
        <f t="shared" si="35"/>
        <v>-1.7528760466946488E-3</v>
      </c>
      <c r="Q201" s="65">
        <f t="shared" si="36"/>
        <v>-1.5722682383099995E-3</v>
      </c>
      <c r="R201" s="65">
        <f t="shared" si="37"/>
        <v>-1.477900937713463E-3</v>
      </c>
      <c r="S201" s="65">
        <f t="shared" si="38"/>
        <v>-1.4586462097298054E-3</v>
      </c>
      <c r="T201" s="26">
        <f t="shared" si="39"/>
        <v>1.2178736495283352E-4</v>
      </c>
      <c r="U201" s="26">
        <f t="shared" si="40"/>
        <v>-4.5240585476897084E-2</v>
      </c>
      <c r="V201" s="26">
        <f t="shared" si="41"/>
        <v>-3.6739781774764429E-3</v>
      </c>
      <c r="W201" s="26">
        <f t="shared" si="42"/>
        <v>-2.5909434189469619E-2</v>
      </c>
      <c r="X201" s="26">
        <f t="shared" si="43"/>
        <v>1.3534913170349321E-2</v>
      </c>
    </row>
    <row r="202" spans="1:24" x14ac:dyDescent="0.2">
      <c r="A202" s="5">
        <v>31532</v>
      </c>
      <c r="B202" s="64">
        <v>0</v>
      </c>
      <c r="C202" s="64">
        <v>0</v>
      </c>
      <c r="D202" s="64">
        <v>0</v>
      </c>
      <c r="E202" s="64">
        <v>0</v>
      </c>
      <c r="F202" s="64">
        <v>0</v>
      </c>
      <c r="G202" s="64">
        <v>0</v>
      </c>
      <c r="H202" s="8">
        <f>+'Simulation and  VaR'!H215/'Simulation and  VaR'!H214-1</f>
        <v>-5.935274272147939E-2</v>
      </c>
      <c r="I202" s="8">
        <f>+'Simulation and  VaR'!I215/'Simulation and  VaR'!I214-1</f>
        <v>2.4633165561503079E-2</v>
      </c>
      <c r="J202" s="8">
        <f>+'Simulation and  VaR'!J215/'Simulation and  VaR'!J214-1</f>
        <v>-1.6281341582546349E-2</v>
      </c>
      <c r="K202" s="8">
        <f>+'Simulation and  VaR'!K215/'Simulation and  VaR'!K214-1</f>
        <v>-8.9407052428295275E-3</v>
      </c>
      <c r="L202" s="8">
        <f>+'Simulation and  VaR'!L215/'Simulation and  VaR'!L214-1</f>
        <v>2.0175322673010143E-2</v>
      </c>
      <c r="N202" s="65">
        <f t="shared" si="33"/>
        <v>-4.0114638603053919E-3</v>
      </c>
      <c r="O202" s="65">
        <f t="shared" si="34"/>
        <v>-1.9783163122913897E-3</v>
      </c>
      <c r="P202" s="65">
        <f t="shared" si="35"/>
        <v>-1.7528760466946488E-3</v>
      </c>
      <c r="Q202" s="65">
        <f t="shared" si="36"/>
        <v>-1.5722682383099995E-3</v>
      </c>
      <c r="R202" s="65">
        <f t="shared" si="37"/>
        <v>-1.477900937713463E-3</v>
      </c>
      <c r="S202" s="65">
        <f t="shared" si="38"/>
        <v>-1.4586462097298054E-3</v>
      </c>
      <c r="T202" s="26">
        <f t="shared" si="39"/>
        <v>-6.4696122766539799E-2</v>
      </c>
      <c r="U202" s="26">
        <f t="shared" si="40"/>
        <v>1.2231399432465699E-2</v>
      </c>
      <c r="V202" s="26">
        <f t="shared" si="41"/>
        <v>-2.6510547554188635E-2</v>
      </c>
      <c r="W202" s="26">
        <f t="shared" si="42"/>
        <v>-7.3737899609581129E-3</v>
      </c>
      <c r="X202" s="26">
        <f t="shared" si="43"/>
        <v>2.369955778676585E-2</v>
      </c>
    </row>
    <row r="203" spans="1:24" x14ac:dyDescent="0.2">
      <c r="A203" s="5">
        <v>31563</v>
      </c>
      <c r="B203" s="64">
        <v>0</v>
      </c>
      <c r="C203" s="64">
        <v>0</v>
      </c>
      <c r="D203" s="64">
        <v>0</v>
      </c>
      <c r="E203" s="64">
        <v>0</v>
      </c>
      <c r="F203" s="64">
        <v>0</v>
      </c>
      <c r="G203" s="64">
        <v>0</v>
      </c>
      <c r="H203" s="8">
        <f>+'Simulation and  VaR'!H216/'Simulation and  VaR'!H215-1</f>
        <v>1.7468119022316708E-2</v>
      </c>
      <c r="I203" s="8">
        <f>+'Simulation and  VaR'!I216/'Simulation and  VaR'!I215-1</f>
        <v>-2.9239006133693679E-2</v>
      </c>
      <c r="J203" s="8">
        <f>+'Simulation and  VaR'!J216/'Simulation and  VaR'!J215-1</f>
        <v>1.8205892088712261E-2</v>
      </c>
      <c r="K203" s="8">
        <f>+'Simulation and  VaR'!K216/'Simulation and  VaR'!K215-1</f>
        <v>-2.0207852193995457E-2</v>
      </c>
      <c r="L203" s="8">
        <f>+'Simulation and  VaR'!L216/'Simulation and  VaR'!L215-1</f>
        <v>2.4698821192624898E-2</v>
      </c>
      <c r="N203" s="65">
        <f t="shared" si="33"/>
        <v>-4.0114638603053919E-3</v>
      </c>
      <c r="O203" s="65">
        <f t="shared" si="34"/>
        <v>-1.9783163122913897E-3</v>
      </c>
      <c r="P203" s="65">
        <f t="shared" si="35"/>
        <v>-1.7528760466946488E-3</v>
      </c>
      <c r="Q203" s="65">
        <f t="shared" si="36"/>
        <v>-1.5722682383099995E-3</v>
      </c>
      <c r="R203" s="65">
        <f t="shared" si="37"/>
        <v>-1.477900937713463E-3</v>
      </c>
      <c r="S203" s="65">
        <f t="shared" si="38"/>
        <v>-1.4586462097298054E-3</v>
      </c>
      <c r="T203" s="26">
        <f t="shared" si="39"/>
        <v>1.2124738977256303E-2</v>
      </c>
      <c r="U203" s="26">
        <f t="shared" si="40"/>
        <v>-4.1640772262731059E-2</v>
      </c>
      <c r="V203" s="26">
        <f t="shared" si="41"/>
        <v>7.9766861170699772E-3</v>
      </c>
      <c r="W203" s="26">
        <f t="shared" si="42"/>
        <v>-1.8640936912124043E-2</v>
      </c>
      <c r="X203" s="26">
        <f t="shared" si="43"/>
        <v>2.8223056306380605E-2</v>
      </c>
    </row>
    <row r="204" spans="1:24" x14ac:dyDescent="0.2">
      <c r="A204" s="5">
        <v>31593</v>
      </c>
      <c r="B204" s="64">
        <v>0</v>
      </c>
      <c r="C204" s="64">
        <v>0</v>
      </c>
      <c r="D204" s="64">
        <v>0</v>
      </c>
      <c r="E204" s="64">
        <v>0</v>
      </c>
      <c r="F204" s="64">
        <v>0</v>
      </c>
      <c r="G204" s="64">
        <v>0</v>
      </c>
      <c r="H204" s="8">
        <f>+'Simulation and  VaR'!H217/'Simulation and  VaR'!H216-1</f>
        <v>-1.645015993211052E-2</v>
      </c>
      <c r="I204" s="8">
        <f>+'Simulation and  VaR'!I217/'Simulation and  VaR'!I216-1</f>
        <v>-8.6664346336108866E-2</v>
      </c>
      <c r="J204" s="8">
        <f>+'Simulation and  VaR'!J217/'Simulation and  VaR'!J216-1</f>
        <v>-3.9011703511053319E-2</v>
      </c>
      <c r="K204" s="8">
        <f>+'Simulation and  VaR'!K217/'Simulation and  VaR'!K216-1</f>
        <v>-3.697701826753097E-2</v>
      </c>
      <c r="L204" s="8">
        <f>+'Simulation and  VaR'!L217/'Simulation and  VaR'!L216-1</f>
        <v>3.3711179469891661E-2</v>
      </c>
      <c r="N204" s="65">
        <f t="shared" si="33"/>
        <v>-4.0114638603053919E-3</v>
      </c>
      <c r="O204" s="65">
        <f t="shared" si="34"/>
        <v>-1.9783163122913897E-3</v>
      </c>
      <c r="P204" s="65">
        <f t="shared" si="35"/>
        <v>-1.7528760466946488E-3</v>
      </c>
      <c r="Q204" s="65">
        <f t="shared" si="36"/>
        <v>-1.5722682383099995E-3</v>
      </c>
      <c r="R204" s="65">
        <f t="shared" si="37"/>
        <v>-1.477900937713463E-3</v>
      </c>
      <c r="S204" s="65">
        <f t="shared" si="38"/>
        <v>-1.4586462097298054E-3</v>
      </c>
      <c r="T204" s="26">
        <f t="shared" si="39"/>
        <v>-2.1793539977170925E-2</v>
      </c>
      <c r="U204" s="26">
        <f t="shared" si="40"/>
        <v>-9.9066112465146239E-2</v>
      </c>
      <c r="V204" s="26">
        <f t="shared" si="41"/>
        <v>-4.9240909482695605E-2</v>
      </c>
      <c r="W204" s="26">
        <f t="shared" si="42"/>
        <v>-3.5410102985659553E-2</v>
      </c>
      <c r="X204" s="26">
        <f t="shared" si="43"/>
        <v>3.7235414583647368E-2</v>
      </c>
    </row>
    <row r="205" spans="1:24" x14ac:dyDescent="0.2">
      <c r="A205" s="5">
        <v>31624</v>
      </c>
      <c r="B205" s="64">
        <v>0</v>
      </c>
      <c r="C205" s="64">
        <v>0</v>
      </c>
      <c r="D205" s="64">
        <v>0</v>
      </c>
      <c r="E205" s="64">
        <v>0</v>
      </c>
      <c r="F205" s="64">
        <v>0</v>
      </c>
      <c r="G205" s="64">
        <v>0</v>
      </c>
      <c r="H205" s="8">
        <f>+'Simulation and  VaR'!H218/'Simulation and  VaR'!H217-1</f>
        <v>0.10632508130351104</v>
      </c>
      <c r="I205" s="8">
        <f>+'Simulation and  VaR'!I218/'Simulation and  VaR'!I217-1</f>
        <v>2.0138359617752233E-2</v>
      </c>
      <c r="J205" s="8">
        <f>+'Simulation and  VaR'!J218/'Simulation and  VaR'!J217-1</f>
        <v>-5.7510148849796994E-2</v>
      </c>
      <c r="K205" s="8">
        <f>+'Simulation and  VaR'!K218/'Simulation and  VaR'!K217-1</f>
        <v>1.5297537096525815E-4</v>
      </c>
      <c r="L205" s="8">
        <f>+'Simulation and  VaR'!L218/'Simulation and  VaR'!L217-1</f>
        <v>-1.3860013860013898E-2</v>
      </c>
      <c r="N205" s="65">
        <f t="shared" si="33"/>
        <v>-4.0114638603053919E-3</v>
      </c>
      <c r="O205" s="65">
        <f t="shared" si="34"/>
        <v>-1.9783163122913897E-3</v>
      </c>
      <c r="P205" s="65">
        <f t="shared" si="35"/>
        <v>-1.7528760466946488E-3</v>
      </c>
      <c r="Q205" s="65">
        <f t="shared" si="36"/>
        <v>-1.5722682383099995E-3</v>
      </c>
      <c r="R205" s="65">
        <f t="shared" si="37"/>
        <v>-1.477900937713463E-3</v>
      </c>
      <c r="S205" s="65">
        <f t="shared" si="38"/>
        <v>-1.4586462097298054E-3</v>
      </c>
      <c r="T205" s="26">
        <f t="shared" si="39"/>
        <v>0.10098170125845063</v>
      </c>
      <c r="U205" s="26">
        <f t="shared" si="40"/>
        <v>7.7365934887148533E-3</v>
      </c>
      <c r="V205" s="26">
        <f t="shared" si="41"/>
        <v>-6.7739354821439279E-2</v>
      </c>
      <c r="W205" s="26">
        <f t="shared" si="42"/>
        <v>1.7198906528366727E-3</v>
      </c>
      <c r="X205" s="26">
        <f t="shared" si="43"/>
        <v>-1.0335778746258191E-2</v>
      </c>
    </row>
    <row r="206" spans="1:24" x14ac:dyDescent="0.2">
      <c r="A206" s="5">
        <v>31655</v>
      </c>
      <c r="B206" s="64">
        <v>0</v>
      </c>
      <c r="C206" s="64">
        <v>0</v>
      </c>
      <c r="D206" s="64">
        <v>0</v>
      </c>
      <c r="E206" s="64">
        <v>0</v>
      </c>
      <c r="F206" s="64">
        <v>0</v>
      </c>
      <c r="G206" s="64">
        <v>0</v>
      </c>
      <c r="H206" s="8">
        <f>+'Simulation and  VaR'!H219/'Simulation and  VaR'!H218-1</f>
        <v>-3.4795128681984755E-3</v>
      </c>
      <c r="I206" s="8">
        <f>+'Simulation and  VaR'!I219/'Simulation and  VaR'!I218-1</f>
        <v>-1.2212292750208298E-2</v>
      </c>
      <c r="J206" s="8">
        <f>+'Simulation and  VaR'!J219/'Simulation and  VaR'!J218-1</f>
        <v>6.8198133524766558E-2</v>
      </c>
      <c r="K206" s="8">
        <f>+'Simulation and  VaR'!K219/'Simulation and  VaR'!K218-1</f>
        <v>-5.620985010706625E-2</v>
      </c>
      <c r="L206" s="8">
        <f>+'Simulation and  VaR'!L219/'Simulation and  VaR'!L218-1</f>
        <v>2.0668843784878765E-2</v>
      </c>
      <c r="N206" s="65">
        <f t="shared" si="33"/>
        <v>-4.0114638603053919E-3</v>
      </c>
      <c r="O206" s="65">
        <f t="shared" si="34"/>
        <v>-1.9783163122913897E-3</v>
      </c>
      <c r="P206" s="65">
        <f t="shared" si="35"/>
        <v>-1.7528760466946488E-3</v>
      </c>
      <c r="Q206" s="65">
        <f t="shared" si="36"/>
        <v>-1.5722682383099995E-3</v>
      </c>
      <c r="R206" s="65">
        <f t="shared" si="37"/>
        <v>-1.477900937713463E-3</v>
      </c>
      <c r="S206" s="65">
        <f t="shared" si="38"/>
        <v>-1.4586462097298054E-3</v>
      </c>
      <c r="T206" s="26">
        <f t="shared" si="39"/>
        <v>-8.8228929132588806E-3</v>
      </c>
      <c r="U206" s="26">
        <f t="shared" si="40"/>
        <v>-2.4614058879245677E-2</v>
      </c>
      <c r="V206" s="26">
        <f t="shared" si="41"/>
        <v>5.7968927553124272E-2</v>
      </c>
      <c r="W206" s="26">
        <f t="shared" si="42"/>
        <v>-5.4642934825194833E-2</v>
      </c>
      <c r="X206" s="26">
        <f t="shared" si="43"/>
        <v>2.4193078898634472E-2</v>
      </c>
    </row>
    <row r="207" spans="1:24" x14ac:dyDescent="0.2">
      <c r="A207" s="5">
        <v>31685</v>
      </c>
      <c r="B207" s="64">
        <v>0</v>
      </c>
      <c r="C207" s="64">
        <v>0</v>
      </c>
      <c r="D207" s="64">
        <v>0</v>
      </c>
      <c r="E207" s="64">
        <v>0</v>
      </c>
      <c r="F207" s="64">
        <v>0</v>
      </c>
      <c r="G207" s="64">
        <v>0</v>
      </c>
      <c r="H207" s="8">
        <f>+'Simulation and  VaR'!H220/'Simulation and  VaR'!H219-1</f>
        <v>-6.0201071579002452E-5</v>
      </c>
      <c r="I207" s="8">
        <f>+'Simulation and  VaR'!I220/'Simulation and  VaR'!I219-1</f>
        <v>-2.9090062834535746E-2</v>
      </c>
      <c r="J207" s="8">
        <f>+'Simulation and  VaR'!J220/'Simulation and  VaR'!J219-1</f>
        <v>-1.6801075268817467E-3</v>
      </c>
      <c r="K207" s="8">
        <f>+'Simulation and  VaR'!K220/'Simulation and  VaR'!K219-1</f>
        <v>-1.2559760149096544E-2</v>
      </c>
      <c r="L207" s="8">
        <f>+'Simulation and  VaR'!L220/'Simulation and  VaR'!L219-1</f>
        <v>-4.8600704710218823E-3</v>
      </c>
      <c r="N207" s="65">
        <f t="shared" si="33"/>
        <v>-4.0114638603053919E-3</v>
      </c>
      <c r="O207" s="65">
        <f t="shared" si="34"/>
        <v>-1.9783163122913897E-3</v>
      </c>
      <c r="P207" s="65">
        <f t="shared" si="35"/>
        <v>-1.7528760466946488E-3</v>
      </c>
      <c r="Q207" s="65">
        <f t="shared" si="36"/>
        <v>-1.5722682383099995E-3</v>
      </c>
      <c r="R207" s="65">
        <f t="shared" si="37"/>
        <v>-1.477900937713463E-3</v>
      </c>
      <c r="S207" s="65">
        <f t="shared" si="38"/>
        <v>-1.4586462097298054E-3</v>
      </c>
      <c r="T207" s="26">
        <f t="shared" si="39"/>
        <v>-5.4035811166394075E-3</v>
      </c>
      <c r="U207" s="26">
        <f t="shared" si="40"/>
        <v>-4.1491828963573125E-2</v>
      </c>
      <c r="V207" s="26">
        <f t="shared" si="41"/>
        <v>-1.1909313498524031E-2</v>
      </c>
      <c r="W207" s="26">
        <f t="shared" si="42"/>
        <v>-1.099284486722513E-2</v>
      </c>
      <c r="X207" s="26">
        <f t="shared" si="43"/>
        <v>-1.3358353572661759E-3</v>
      </c>
    </row>
    <row r="208" spans="1:24" x14ac:dyDescent="0.2">
      <c r="A208" s="5">
        <v>31716</v>
      </c>
      <c r="B208" s="64">
        <v>0</v>
      </c>
      <c r="C208" s="64">
        <v>0</v>
      </c>
      <c r="D208" s="64">
        <v>0</v>
      </c>
      <c r="E208" s="64">
        <v>0</v>
      </c>
      <c r="F208" s="64">
        <v>0</v>
      </c>
      <c r="G208" s="64">
        <v>0</v>
      </c>
      <c r="H208" s="8">
        <f>+'Simulation and  VaR'!H221/'Simulation and  VaR'!H220-1</f>
        <v>-1.5111378687537536E-2</v>
      </c>
      <c r="I208" s="8">
        <f>+'Simulation and  VaR'!I221/'Simulation and  VaR'!I220-1</f>
        <v>-1.3482742090124678E-2</v>
      </c>
      <c r="J208" s="8">
        <f>+'Simulation and  VaR'!J221/'Simulation and  VaR'!J220-1</f>
        <v>-3.1975765735442585E-2</v>
      </c>
      <c r="K208" s="8">
        <f>+'Simulation and  VaR'!K221/'Simulation and  VaR'!K220-1</f>
        <v>-1.7643197111439246E-2</v>
      </c>
      <c r="L208" s="8">
        <f>+'Simulation and  VaR'!L221/'Simulation and  VaR'!L220-1</f>
        <v>7.3257091693459397E-3</v>
      </c>
      <c r="N208" s="65">
        <f t="shared" si="33"/>
        <v>-4.0114638603053919E-3</v>
      </c>
      <c r="O208" s="65">
        <f t="shared" si="34"/>
        <v>-1.9783163122913897E-3</v>
      </c>
      <c r="P208" s="65">
        <f t="shared" si="35"/>
        <v>-1.7528760466946488E-3</v>
      </c>
      <c r="Q208" s="65">
        <f t="shared" si="36"/>
        <v>-1.5722682383099995E-3</v>
      </c>
      <c r="R208" s="65">
        <f t="shared" si="37"/>
        <v>-1.477900937713463E-3</v>
      </c>
      <c r="S208" s="65">
        <f t="shared" si="38"/>
        <v>-1.4586462097298054E-3</v>
      </c>
      <c r="T208" s="26">
        <f t="shared" si="39"/>
        <v>-2.0454758732597941E-2</v>
      </c>
      <c r="U208" s="26">
        <f t="shared" si="40"/>
        <v>-2.5884508219162057E-2</v>
      </c>
      <c r="V208" s="26">
        <f t="shared" si="41"/>
        <v>-4.2204971707084871E-2</v>
      </c>
      <c r="W208" s="26">
        <f t="shared" si="42"/>
        <v>-1.6076281829567832E-2</v>
      </c>
      <c r="X208" s="26">
        <f t="shared" si="43"/>
        <v>1.0849944283101647E-2</v>
      </c>
    </row>
    <row r="209" spans="1:24" x14ac:dyDescent="0.2">
      <c r="A209" s="5">
        <v>31746</v>
      </c>
      <c r="B209" s="64">
        <v>0</v>
      </c>
      <c r="C209" s="64">
        <v>0</v>
      </c>
      <c r="D209" s="64">
        <v>0</v>
      </c>
      <c r="E209" s="64">
        <v>0</v>
      </c>
      <c r="F209" s="64">
        <v>0</v>
      </c>
      <c r="G209" s="64">
        <v>0</v>
      </c>
      <c r="H209" s="8">
        <f>+'Simulation and  VaR'!H222/'Simulation and  VaR'!H221-1</f>
        <v>2.2373005684944047E-2</v>
      </c>
      <c r="I209" s="8">
        <f>+'Simulation and  VaR'!I222/'Simulation and  VaR'!I221-1</f>
        <v>-6.1501548927898941E-2</v>
      </c>
      <c r="J209" s="8">
        <f>+'Simulation and  VaR'!J222/'Simulation and  VaR'!J221-1</f>
        <v>-4.8678720445062496E-2</v>
      </c>
      <c r="K209" s="8">
        <f>+'Simulation and  VaR'!K222/'Simulation and  VaR'!K221-1</f>
        <v>-3.2578731935510863E-2</v>
      </c>
      <c r="L209" s="8">
        <f>+'Simulation and  VaR'!L222/'Simulation and  VaR'!L221-1</f>
        <v>1.6564987273241405E-2</v>
      </c>
      <c r="N209" s="65">
        <f t="shared" si="33"/>
        <v>-4.0114638603053919E-3</v>
      </c>
      <c r="O209" s="65">
        <f t="shared" si="34"/>
        <v>-1.9783163122913897E-3</v>
      </c>
      <c r="P209" s="65">
        <f t="shared" si="35"/>
        <v>-1.7528760466946488E-3</v>
      </c>
      <c r="Q209" s="65">
        <f t="shared" si="36"/>
        <v>-1.5722682383099995E-3</v>
      </c>
      <c r="R209" s="65">
        <f t="shared" si="37"/>
        <v>-1.477900937713463E-3</v>
      </c>
      <c r="S209" s="65">
        <f t="shared" si="38"/>
        <v>-1.4586462097298054E-3</v>
      </c>
      <c r="T209" s="26">
        <f t="shared" si="39"/>
        <v>1.7029625639883642E-2</v>
      </c>
      <c r="U209" s="26">
        <f t="shared" si="40"/>
        <v>-7.3903315056936314E-2</v>
      </c>
      <c r="V209" s="26">
        <f t="shared" si="41"/>
        <v>-5.8907926416704781E-2</v>
      </c>
      <c r="W209" s="26">
        <f t="shared" si="42"/>
        <v>-3.1011816653639449E-2</v>
      </c>
      <c r="X209" s="26">
        <f t="shared" si="43"/>
        <v>2.0089222386997112E-2</v>
      </c>
    </row>
    <row r="210" spans="1:24" x14ac:dyDescent="0.2">
      <c r="A210" s="5">
        <v>31777</v>
      </c>
      <c r="B210" s="64">
        <v>0</v>
      </c>
      <c r="C210" s="64">
        <v>0</v>
      </c>
      <c r="D210" s="64">
        <v>0</v>
      </c>
      <c r="E210" s="64">
        <v>0</v>
      </c>
      <c r="F210" s="64">
        <v>0</v>
      </c>
      <c r="G210" s="64">
        <v>0</v>
      </c>
      <c r="H210" s="8">
        <f>+'Simulation and  VaR'!H223/'Simulation and  VaR'!H222-1</f>
        <v>7.4080717488789194E-2</v>
      </c>
      <c r="I210" s="8">
        <f>+'Simulation and  VaR'!I223/'Simulation and  VaR'!I222-1</f>
        <v>-7.2813177567069287E-3</v>
      </c>
      <c r="J210" s="8">
        <f>+'Simulation and  VaR'!J223/'Simulation and  VaR'!J222-1</f>
        <v>-5.2997076023391876E-2</v>
      </c>
      <c r="K210" s="8">
        <f>+'Simulation and  VaR'!K223/'Simulation and  VaR'!K222-1</f>
        <v>-2.3745790518953425E-2</v>
      </c>
      <c r="L210" s="8">
        <f>+'Simulation and  VaR'!L223/'Simulation and  VaR'!L222-1</f>
        <v>1.2718095465204193E-2</v>
      </c>
      <c r="N210" s="65">
        <f t="shared" si="33"/>
        <v>-4.0114638603053919E-3</v>
      </c>
      <c r="O210" s="65">
        <f t="shared" si="34"/>
        <v>-1.9783163122913897E-3</v>
      </c>
      <c r="P210" s="65">
        <f t="shared" si="35"/>
        <v>-1.7528760466946488E-3</v>
      </c>
      <c r="Q210" s="65">
        <f t="shared" si="36"/>
        <v>-1.5722682383099995E-3</v>
      </c>
      <c r="R210" s="65">
        <f t="shared" si="37"/>
        <v>-1.477900937713463E-3</v>
      </c>
      <c r="S210" s="65">
        <f t="shared" si="38"/>
        <v>-1.4586462097298054E-3</v>
      </c>
      <c r="T210" s="26">
        <f t="shared" si="39"/>
        <v>6.8737337443728785E-2</v>
      </c>
      <c r="U210" s="26">
        <f t="shared" si="40"/>
        <v>-1.9683083885744308E-2</v>
      </c>
      <c r="V210" s="26">
        <f t="shared" si="41"/>
        <v>-6.3226281995034161E-2</v>
      </c>
      <c r="W210" s="26">
        <f t="shared" si="42"/>
        <v>-2.2178875237082011E-2</v>
      </c>
      <c r="X210" s="26">
        <f t="shared" si="43"/>
        <v>1.62423305789599E-2</v>
      </c>
    </row>
    <row r="211" spans="1:24" x14ac:dyDescent="0.2">
      <c r="A211" s="5">
        <v>31808</v>
      </c>
      <c r="B211" s="64">
        <v>0</v>
      </c>
      <c r="C211" s="64">
        <v>0</v>
      </c>
      <c r="D211" s="64">
        <v>0</v>
      </c>
      <c r="E211" s="64">
        <v>0</v>
      </c>
      <c r="F211" s="64">
        <v>0</v>
      </c>
      <c r="G211" s="64">
        <v>0</v>
      </c>
      <c r="H211" s="8">
        <f>+'Simulation and  VaR'!H224/'Simulation and  VaR'!H223-1</f>
        <v>8.6283678468048741E-3</v>
      </c>
      <c r="I211" s="8">
        <f>+'Simulation and  VaR'!I224/'Simulation and  VaR'!I223-1</f>
        <v>-5.8677793714956294E-2</v>
      </c>
      <c r="J211" s="8">
        <f>+'Simulation and  VaR'!J224/'Simulation and  VaR'!J223-1</f>
        <v>3.0876109610189051E-2</v>
      </c>
      <c r="K211" s="8">
        <f>+'Simulation and  VaR'!K224/'Simulation and  VaR'!K223-1</f>
        <v>-4.5551034848752781E-2</v>
      </c>
      <c r="L211" s="8">
        <f>+'Simulation and  VaR'!L224/'Simulation and  VaR'!L223-1</f>
        <v>1.8248891330795436E-2</v>
      </c>
      <c r="N211" s="65">
        <f t="shared" si="33"/>
        <v>-4.0114638603053919E-3</v>
      </c>
      <c r="O211" s="65">
        <f t="shared" si="34"/>
        <v>-1.9783163122913897E-3</v>
      </c>
      <c r="P211" s="65">
        <f t="shared" si="35"/>
        <v>-1.7528760466946488E-3</v>
      </c>
      <c r="Q211" s="65">
        <f t="shared" si="36"/>
        <v>-1.5722682383099995E-3</v>
      </c>
      <c r="R211" s="65">
        <f t="shared" si="37"/>
        <v>-1.477900937713463E-3</v>
      </c>
      <c r="S211" s="65">
        <f t="shared" si="38"/>
        <v>-1.4586462097298054E-3</v>
      </c>
      <c r="T211" s="26">
        <f t="shared" si="39"/>
        <v>3.2849878017444691E-3</v>
      </c>
      <c r="U211" s="26">
        <f t="shared" si="40"/>
        <v>-7.1079559843993667E-2</v>
      </c>
      <c r="V211" s="26">
        <f t="shared" si="41"/>
        <v>2.0646903638546765E-2</v>
      </c>
      <c r="W211" s="26">
        <f t="shared" si="42"/>
        <v>-4.3984119566881363E-2</v>
      </c>
      <c r="X211" s="26">
        <f t="shared" si="43"/>
        <v>2.1773126444551143E-2</v>
      </c>
    </row>
    <row r="212" spans="1:24" x14ac:dyDescent="0.2">
      <c r="A212" s="5">
        <v>31836</v>
      </c>
      <c r="B212" s="64">
        <v>0</v>
      </c>
      <c r="C212" s="64">
        <v>0</v>
      </c>
      <c r="D212" s="64">
        <v>0</v>
      </c>
      <c r="E212" s="64">
        <v>0</v>
      </c>
      <c r="F212" s="64">
        <v>0</v>
      </c>
      <c r="G212" s="64">
        <v>0</v>
      </c>
      <c r="H212" s="8">
        <f>+'Simulation and  VaR'!H225/'Simulation and  VaR'!H224-1</f>
        <v>-2.8699155582537772E-3</v>
      </c>
      <c r="I212" s="8">
        <f>+'Simulation and  VaR'!I225/'Simulation and  VaR'!I224-1</f>
        <v>0.14285219559495776</v>
      </c>
      <c r="J212" s="8">
        <f>+'Simulation and  VaR'!J225/'Simulation and  VaR'!J224-1</f>
        <v>1.8719580681392678E-2</v>
      </c>
      <c r="K212" s="8">
        <f>+'Simulation and  VaR'!K225/'Simulation and  VaR'!K224-1</f>
        <v>0.14549161338152161</v>
      </c>
      <c r="L212" s="8">
        <f>+'Simulation and  VaR'!L225/'Simulation and  VaR'!L224-1</f>
        <v>-3.2567640484082339E-2</v>
      </c>
      <c r="N212" s="65">
        <f t="shared" si="33"/>
        <v>-4.0114638603053919E-3</v>
      </c>
      <c r="O212" s="65">
        <f t="shared" si="34"/>
        <v>-1.9783163122913897E-3</v>
      </c>
      <c r="P212" s="65">
        <f t="shared" si="35"/>
        <v>-1.7528760466946488E-3</v>
      </c>
      <c r="Q212" s="65">
        <f t="shared" si="36"/>
        <v>-1.5722682383099995E-3</v>
      </c>
      <c r="R212" s="65">
        <f t="shared" si="37"/>
        <v>-1.477900937713463E-3</v>
      </c>
      <c r="S212" s="65">
        <f t="shared" si="38"/>
        <v>-1.4586462097298054E-3</v>
      </c>
      <c r="T212" s="26">
        <f t="shared" si="39"/>
        <v>-8.2132956033141823E-3</v>
      </c>
      <c r="U212" s="26">
        <f t="shared" si="40"/>
        <v>0.13045042946592039</v>
      </c>
      <c r="V212" s="26">
        <f t="shared" si="41"/>
        <v>8.4903747097503941E-3</v>
      </c>
      <c r="W212" s="26">
        <f t="shared" si="42"/>
        <v>0.14705852866339303</v>
      </c>
      <c r="X212" s="26">
        <f t="shared" si="43"/>
        <v>-2.9043405370326632E-2</v>
      </c>
    </row>
    <row r="213" spans="1:24" x14ac:dyDescent="0.2">
      <c r="A213" s="5">
        <v>31867</v>
      </c>
      <c r="B213" s="64">
        <v>0</v>
      </c>
      <c r="C213" s="64">
        <v>0</v>
      </c>
      <c r="D213" s="64">
        <v>0</v>
      </c>
      <c r="E213" s="64">
        <v>0</v>
      </c>
      <c r="F213" s="64">
        <v>0</v>
      </c>
      <c r="G213" s="64">
        <v>0</v>
      </c>
      <c r="H213" s="8">
        <f>+'Simulation and  VaR'!H226/'Simulation and  VaR'!H225-1</f>
        <v>-4.5940111806054285E-3</v>
      </c>
      <c r="I213" s="8">
        <f>+'Simulation and  VaR'!I226/'Simulation and  VaR'!I225-1</f>
        <v>-2.7271900851489339E-2</v>
      </c>
      <c r="J213" s="8">
        <f>+'Simulation and  VaR'!J226/'Simulation and  VaR'!J225-1</f>
        <v>5.5126791620727644E-2</v>
      </c>
      <c r="K213" s="8">
        <f>+'Simulation and  VaR'!K226/'Simulation and  VaR'!K225-1</f>
        <v>4.0449801795972018E-3</v>
      </c>
      <c r="L213" s="8">
        <f>+'Simulation and  VaR'!L226/'Simulation and  VaR'!L225-1</f>
        <v>1.9919525118521353E-3</v>
      </c>
      <c r="N213" s="65">
        <f t="shared" si="33"/>
        <v>-4.0114638603053919E-3</v>
      </c>
      <c r="O213" s="65">
        <f t="shared" si="34"/>
        <v>-1.9783163122913897E-3</v>
      </c>
      <c r="P213" s="65">
        <f t="shared" si="35"/>
        <v>-1.7528760466946488E-3</v>
      </c>
      <c r="Q213" s="65">
        <f t="shared" si="36"/>
        <v>-1.5722682383099995E-3</v>
      </c>
      <c r="R213" s="65">
        <f t="shared" si="37"/>
        <v>-1.477900937713463E-3</v>
      </c>
      <c r="S213" s="65">
        <f t="shared" si="38"/>
        <v>-1.4586462097298054E-3</v>
      </c>
      <c r="T213" s="26">
        <f t="shared" si="39"/>
        <v>-9.9373912256658335E-3</v>
      </c>
      <c r="U213" s="26">
        <f t="shared" si="40"/>
        <v>-3.9673666980526719E-2</v>
      </c>
      <c r="V213" s="26">
        <f t="shared" si="41"/>
        <v>4.4897585649085359E-2</v>
      </c>
      <c r="W213" s="26">
        <f t="shared" si="42"/>
        <v>5.6118954614686163E-3</v>
      </c>
      <c r="X213" s="26">
        <f t="shared" si="43"/>
        <v>5.5161876256078421E-3</v>
      </c>
    </row>
    <row r="214" spans="1:24" x14ac:dyDescent="0.2">
      <c r="A214" s="5">
        <v>31897</v>
      </c>
      <c r="B214" s="64">
        <v>0</v>
      </c>
      <c r="C214" s="64">
        <v>0</v>
      </c>
      <c r="D214" s="64">
        <v>0</v>
      </c>
      <c r="E214" s="64">
        <v>0</v>
      </c>
      <c r="F214" s="64">
        <v>0</v>
      </c>
      <c r="G214" s="64">
        <v>0</v>
      </c>
      <c r="H214" s="8">
        <f>+'Simulation and  VaR'!H227/'Simulation and  VaR'!H226-1</f>
        <v>5.4048042704626376E-2</v>
      </c>
      <c r="I214" s="8">
        <f>+'Simulation and  VaR'!I227/'Simulation and  VaR'!I226-1</f>
        <v>-1.5575838758917215E-2</v>
      </c>
      <c r="J214" s="8">
        <f>+'Simulation and  VaR'!J227/'Simulation and  VaR'!J226-1</f>
        <v>-4.7021943573667624E-2</v>
      </c>
      <c r="K214" s="8">
        <f>+'Simulation and  VaR'!K227/'Simulation and  VaR'!K226-1</f>
        <v>3.6258158085569203E-2</v>
      </c>
      <c r="L214" s="8">
        <f>+'Simulation and  VaR'!L227/'Simulation and  VaR'!L226-1</f>
        <v>-1.1927955150888847E-3</v>
      </c>
      <c r="N214" s="65">
        <f t="shared" si="33"/>
        <v>-4.0114638603053919E-3</v>
      </c>
      <c r="O214" s="65">
        <f t="shared" si="34"/>
        <v>-1.9783163122913897E-3</v>
      </c>
      <c r="P214" s="65">
        <f t="shared" si="35"/>
        <v>-1.7528760466946488E-3</v>
      </c>
      <c r="Q214" s="65">
        <f t="shared" si="36"/>
        <v>-1.5722682383099995E-3</v>
      </c>
      <c r="R214" s="65">
        <f t="shared" si="37"/>
        <v>-1.477900937713463E-3</v>
      </c>
      <c r="S214" s="65">
        <f t="shared" si="38"/>
        <v>-1.4586462097298054E-3</v>
      </c>
      <c r="T214" s="26">
        <f t="shared" si="39"/>
        <v>4.8704662659565967E-2</v>
      </c>
      <c r="U214" s="26">
        <f t="shared" si="40"/>
        <v>-2.7977604887954595E-2</v>
      </c>
      <c r="V214" s="26">
        <f t="shared" si="41"/>
        <v>-5.725114954530991E-2</v>
      </c>
      <c r="W214" s="26">
        <f t="shared" si="42"/>
        <v>3.782507336744062E-2</v>
      </c>
      <c r="X214" s="26">
        <f t="shared" si="43"/>
        <v>2.3314395986668217E-3</v>
      </c>
    </row>
    <row r="215" spans="1:24" x14ac:dyDescent="0.2">
      <c r="A215" s="5">
        <v>31928</v>
      </c>
      <c r="B215" s="64">
        <v>0</v>
      </c>
      <c r="C215" s="64">
        <v>0</v>
      </c>
      <c r="D215" s="64">
        <v>0</v>
      </c>
      <c r="E215" s="64">
        <v>0</v>
      </c>
      <c r="F215" s="64">
        <v>0</v>
      </c>
      <c r="G215" s="64">
        <v>0</v>
      </c>
      <c r="H215" s="8">
        <f>+'Simulation and  VaR'!H228/'Simulation and  VaR'!H227-1</f>
        <v>1.2133361468664283E-2</v>
      </c>
      <c r="I215" s="8">
        <f>+'Simulation and  VaR'!I228/'Simulation and  VaR'!I227-1</f>
        <v>5.5377994367267203E-3</v>
      </c>
      <c r="J215" s="8">
        <f>+'Simulation and  VaR'!J228/'Simulation and  VaR'!J227-1</f>
        <v>5.482456140350811E-3</v>
      </c>
      <c r="K215" s="8">
        <f>+'Simulation and  VaR'!K228/'Simulation and  VaR'!K227-1</f>
        <v>1.8272296088950979E-2</v>
      </c>
      <c r="L215" s="8">
        <f>+'Simulation and  VaR'!L228/'Simulation and  VaR'!L227-1</f>
        <v>-1.1146053102981557E-2</v>
      </c>
      <c r="N215" s="65">
        <f t="shared" si="33"/>
        <v>-4.0114638603053919E-3</v>
      </c>
      <c r="O215" s="65">
        <f t="shared" si="34"/>
        <v>-1.9783163122913897E-3</v>
      </c>
      <c r="P215" s="65">
        <f t="shared" si="35"/>
        <v>-1.7528760466946488E-3</v>
      </c>
      <c r="Q215" s="65">
        <f t="shared" si="36"/>
        <v>-1.5722682383099995E-3</v>
      </c>
      <c r="R215" s="65">
        <f t="shared" si="37"/>
        <v>-1.477900937713463E-3</v>
      </c>
      <c r="S215" s="65">
        <f t="shared" si="38"/>
        <v>-1.4586462097298054E-3</v>
      </c>
      <c r="T215" s="26">
        <f t="shared" si="39"/>
        <v>6.7899814236038782E-3</v>
      </c>
      <c r="U215" s="26">
        <f t="shared" si="40"/>
        <v>-6.8639666923106593E-3</v>
      </c>
      <c r="V215" s="26">
        <f t="shared" si="41"/>
        <v>-4.7467498312914729E-3</v>
      </c>
      <c r="W215" s="26">
        <f t="shared" si="42"/>
        <v>1.9839211370822393E-2</v>
      </c>
      <c r="X215" s="26">
        <f t="shared" si="43"/>
        <v>-7.62181798922585E-3</v>
      </c>
    </row>
    <row r="216" spans="1:24" x14ac:dyDescent="0.2">
      <c r="A216" s="5">
        <v>31958</v>
      </c>
      <c r="B216" s="64">
        <v>0</v>
      </c>
      <c r="C216" s="64">
        <v>0</v>
      </c>
      <c r="D216" s="64">
        <v>0</v>
      </c>
      <c r="E216" s="64">
        <v>0</v>
      </c>
      <c r="F216" s="64">
        <v>0</v>
      </c>
      <c r="G216" s="64">
        <v>0</v>
      </c>
      <c r="H216" s="8">
        <f>+'Simulation and  VaR'!H229/'Simulation and  VaR'!H228-1</f>
        <v>-4.8472844782654345E-3</v>
      </c>
      <c r="I216" s="8">
        <f>+'Simulation and  VaR'!I229/'Simulation and  VaR'!I228-1</f>
        <v>2.3602719033232633E-2</v>
      </c>
      <c r="J216" s="8">
        <f>+'Simulation and  VaR'!J229/'Simulation and  VaR'!J228-1</f>
        <v>-2.9080334423845944E-2</v>
      </c>
      <c r="K216" s="8">
        <f>+'Simulation and  VaR'!K229/'Simulation and  VaR'!K228-1</f>
        <v>7.7504581551618879E-2</v>
      </c>
      <c r="L216" s="8">
        <f>+'Simulation and  VaR'!L229/'Simulation and  VaR'!L228-1</f>
        <v>-4.8105953866591555E-2</v>
      </c>
      <c r="N216" s="65">
        <f t="shared" si="33"/>
        <v>-4.0114638603053919E-3</v>
      </c>
      <c r="O216" s="65">
        <f t="shared" si="34"/>
        <v>-1.9783163122913897E-3</v>
      </c>
      <c r="P216" s="65">
        <f t="shared" si="35"/>
        <v>-1.7528760466946488E-3</v>
      </c>
      <c r="Q216" s="65">
        <f t="shared" si="36"/>
        <v>-1.5722682383099995E-3</v>
      </c>
      <c r="R216" s="65">
        <f t="shared" si="37"/>
        <v>-1.477900937713463E-3</v>
      </c>
      <c r="S216" s="65">
        <f t="shared" si="38"/>
        <v>-1.4586462097298054E-3</v>
      </c>
      <c r="T216" s="26">
        <f t="shared" si="39"/>
        <v>-1.019066452332584E-2</v>
      </c>
      <c r="U216" s="26">
        <f t="shared" si="40"/>
        <v>1.1200952904195254E-2</v>
      </c>
      <c r="V216" s="26">
        <f t="shared" si="41"/>
        <v>-3.9309540395488229E-2</v>
      </c>
      <c r="W216" s="26">
        <f t="shared" si="42"/>
        <v>7.9071496833490296E-2</v>
      </c>
      <c r="X216" s="26">
        <f t="shared" si="43"/>
        <v>-4.4581718752835849E-2</v>
      </c>
    </row>
    <row r="217" spans="1:24" x14ac:dyDescent="0.2">
      <c r="A217" s="5">
        <v>31989</v>
      </c>
      <c r="B217" s="64">
        <v>0</v>
      </c>
      <c r="C217" s="64">
        <v>0</v>
      </c>
      <c r="D217" s="64">
        <v>0</v>
      </c>
      <c r="E217" s="64">
        <v>0</v>
      </c>
      <c r="F217" s="64">
        <v>0</v>
      </c>
      <c r="G217" s="64">
        <v>0</v>
      </c>
      <c r="H217" s="8">
        <f>+'Simulation and  VaR'!H230/'Simulation and  VaR'!H229-1</f>
        <v>-1.1993924474938411E-2</v>
      </c>
      <c r="I217" s="8">
        <f>+'Simulation and  VaR'!I230/'Simulation and  VaR'!I229-1</f>
        <v>2.5364323925475052E-2</v>
      </c>
      <c r="J217" s="8">
        <f>+'Simulation and  VaR'!J230/'Simulation and  VaR'!J229-1</f>
        <v>1.6847622613253455E-2</v>
      </c>
      <c r="K217" s="8">
        <f>+'Simulation and  VaR'!K230/'Simulation and  VaR'!K229-1</f>
        <v>-1.417333994755865E-2</v>
      </c>
      <c r="L217" s="8">
        <f>+'Simulation and  VaR'!L230/'Simulation and  VaR'!L229-1</f>
        <v>1.0784064958132555E-2</v>
      </c>
      <c r="N217" s="65">
        <f t="shared" si="33"/>
        <v>-4.0114638603053919E-3</v>
      </c>
      <c r="O217" s="65">
        <f t="shared" si="34"/>
        <v>-1.9783163122913897E-3</v>
      </c>
      <c r="P217" s="65">
        <f t="shared" si="35"/>
        <v>-1.7528760466946488E-3</v>
      </c>
      <c r="Q217" s="65">
        <f t="shared" si="36"/>
        <v>-1.5722682383099995E-3</v>
      </c>
      <c r="R217" s="65">
        <f t="shared" si="37"/>
        <v>-1.477900937713463E-3</v>
      </c>
      <c r="S217" s="65">
        <f t="shared" si="38"/>
        <v>-1.4586462097298054E-3</v>
      </c>
      <c r="T217" s="26">
        <f t="shared" si="39"/>
        <v>-1.7337304519998816E-2</v>
      </c>
      <c r="U217" s="26">
        <f t="shared" si="40"/>
        <v>1.2962557796437672E-2</v>
      </c>
      <c r="V217" s="26">
        <f t="shared" si="41"/>
        <v>6.6184166416111707E-3</v>
      </c>
      <c r="W217" s="26">
        <f t="shared" si="42"/>
        <v>-1.2606424665687236E-2</v>
      </c>
      <c r="X217" s="26">
        <f t="shared" si="43"/>
        <v>1.4308300071888262E-2</v>
      </c>
    </row>
    <row r="218" spans="1:24" x14ac:dyDescent="0.2">
      <c r="A218" s="5">
        <v>32020</v>
      </c>
      <c r="B218" s="64">
        <v>0</v>
      </c>
      <c r="C218" s="64">
        <v>0</v>
      </c>
      <c r="D218" s="64">
        <v>0</v>
      </c>
      <c r="E218" s="64">
        <v>0</v>
      </c>
      <c r="F218" s="64">
        <v>0</v>
      </c>
      <c r="G218" s="64">
        <v>0</v>
      </c>
      <c r="H218" s="8">
        <f>+'Simulation and  VaR'!H231/'Simulation and  VaR'!H230-1</f>
        <v>-3.4722222222222099E-2</v>
      </c>
      <c r="I218" s="8">
        <f>+'Simulation and  VaR'!I231/'Simulation and  VaR'!I230-1</f>
        <v>-2.4736889448592203E-2</v>
      </c>
      <c r="J218" s="8">
        <f>+'Simulation and  VaR'!J231/'Simulation and  VaR'!J230-1</f>
        <v>3.6818851251841034E-2</v>
      </c>
      <c r="K218" s="8">
        <f>+'Simulation and  VaR'!K231/'Simulation and  VaR'!K230-1</f>
        <v>1.2579972683487872E-2</v>
      </c>
      <c r="L218" s="8">
        <f>+'Simulation and  VaR'!L231/'Simulation and  VaR'!L230-1</f>
        <v>-9.4138320572361045E-2</v>
      </c>
      <c r="N218" s="65">
        <f t="shared" si="33"/>
        <v>-4.0114638603053919E-3</v>
      </c>
      <c r="O218" s="65">
        <f t="shared" si="34"/>
        <v>-1.9783163122913897E-3</v>
      </c>
      <c r="P218" s="65">
        <f t="shared" si="35"/>
        <v>-1.7528760466946488E-3</v>
      </c>
      <c r="Q218" s="65">
        <f t="shared" si="36"/>
        <v>-1.5722682383099995E-3</v>
      </c>
      <c r="R218" s="65">
        <f t="shared" si="37"/>
        <v>-1.477900937713463E-3</v>
      </c>
      <c r="S218" s="65">
        <f t="shared" si="38"/>
        <v>-1.4586462097298054E-3</v>
      </c>
      <c r="T218" s="26">
        <f t="shared" si="39"/>
        <v>-4.0065602267282507E-2</v>
      </c>
      <c r="U218" s="26">
        <f t="shared" si="40"/>
        <v>-3.7138655577629583E-2</v>
      </c>
      <c r="V218" s="26">
        <f t="shared" si="41"/>
        <v>2.6589645280198748E-2</v>
      </c>
      <c r="W218" s="26">
        <f t="shared" si="42"/>
        <v>1.4146887965359286E-2</v>
      </c>
      <c r="X218" s="26">
        <f t="shared" si="43"/>
        <v>-9.0614085458605345E-2</v>
      </c>
    </row>
    <row r="219" spans="1:24" x14ac:dyDescent="0.2">
      <c r="A219" s="5">
        <v>32050</v>
      </c>
      <c r="B219" s="64">
        <v>0</v>
      </c>
      <c r="C219" s="64">
        <v>0</v>
      </c>
      <c r="D219" s="64">
        <v>0</v>
      </c>
      <c r="E219" s="64">
        <v>0</v>
      </c>
      <c r="F219" s="64">
        <v>0</v>
      </c>
      <c r="G219" s="64">
        <v>0</v>
      </c>
      <c r="H219" s="8">
        <f>+'Simulation and  VaR'!H232/'Simulation and  VaR'!H231-1</f>
        <v>4.25064528529846E-2</v>
      </c>
      <c r="I219" s="8">
        <f>+'Simulation and  VaR'!I232/'Simulation and  VaR'!I231-1</f>
        <v>-2.305847629588631E-3</v>
      </c>
      <c r="J219" s="8">
        <f>+'Simulation and  VaR'!J232/'Simulation and  VaR'!J231-1</f>
        <v>3.1960227272727293E-2</v>
      </c>
      <c r="K219" s="8">
        <f>+'Simulation and  VaR'!K232/'Simulation and  VaR'!K231-1</f>
        <v>2.271759193525491E-2</v>
      </c>
      <c r="L219" s="8">
        <f>+'Simulation and  VaR'!L232/'Simulation and  VaR'!L231-1</f>
        <v>-2.2862685326312859E-2</v>
      </c>
      <c r="N219" s="65">
        <f t="shared" si="33"/>
        <v>-4.0114638603053919E-3</v>
      </c>
      <c r="O219" s="65">
        <f t="shared" si="34"/>
        <v>-1.9783163122913897E-3</v>
      </c>
      <c r="P219" s="65">
        <f t="shared" si="35"/>
        <v>-1.7528760466946488E-3</v>
      </c>
      <c r="Q219" s="65">
        <f t="shared" si="36"/>
        <v>-1.5722682383099995E-3</v>
      </c>
      <c r="R219" s="65">
        <f t="shared" si="37"/>
        <v>-1.477900937713463E-3</v>
      </c>
      <c r="S219" s="65">
        <f t="shared" si="38"/>
        <v>-1.4586462097298054E-3</v>
      </c>
      <c r="T219" s="26">
        <f t="shared" si="39"/>
        <v>3.7163072807924191E-2</v>
      </c>
      <c r="U219" s="26">
        <f t="shared" si="40"/>
        <v>-1.4707613758626011E-2</v>
      </c>
      <c r="V219" s="26">
        <f t="shared" si="41"/>
        <v>2.1731021301085007E-2</v>
      </c>
      <c r="W219" s="26">
        <f t="shared" si="42"/>
        <v>2.4284507217126324E-2</v>
      </c>
      <c r="X219" s="26">
        <f t="shared" si="43"/>
        <v>-1.9338450212557153E-2</v>
      </c>
    </row>
    <row r="220" spans="1:24" x14ac:dyDescent="0.2">
      <c r="A220" s="5">
        <v>32081</v>
      </c>
      <c r="B220" s="64">
        <v>0</v>
      </c>
      <c r="C220" s="64">
        <v>0</v>
      </c>
      <c r="D220" s="64">
        <v>0</v>
      </c>
      <c r="E220" s="64">
        <v>0</v>
      </c>
      <c r="F220" s="64">
        <v>0</v>
      </c>
      <c r="G220" s="64">
        <v>0</v>
      </c>
      <c r="H220" s="8">
        <f>+'Simulation and  VaR'!H233/'Simulation and  VaR'!H232-1</f>
        <v>6.5058209977348236E-2</v>
      </c>
      <c r="I220" s="8">
        <f>+'Simulation and  VaR'!I233/'Simulation and  VaR'!I232-1</f>
        <v>1.5407845675017295E-3</v>
      </c>
      <c r="J220" s="8">
        <f>+'Simulation and  VaR'!J233/'Simulation and  VaR'!J232-1</f>
        <v>4.4735030970405987E-2</v>
      </c>
      <c r="K220" s="8">
        <f>+'Simulation and  VaR'!K233/'Simulation and  VaR'!K232-1</f>
        <v>3.3666527835624072E-2</v>
      </c>
      <c r="L220" s="8">
        <f>+'Simulation and  VaR'!L233/'Simulation and  VaR'!L232-1</f>
        <v>-4.4668179239932049E-2</v>
      </c>
      <c r="N220" s="65">
        <f t="shared" si="33"/>
        <v>-4.0114638603053919E-3</v>
      </c>
      <c r="O220" s="65">
        <f t="shared" si="34"/>
        <v>-1.9783163122913897E-3</v>
      </c>
      <c r="P220" s="65">
        <f t="shared" si="35"/>
        <v>-1.7528760466946488E-3</v>
      </c>
      <c r="Q220" s="65">
        <f t="shared" si="36"/>
        <v>-1.5722682383099995E-3</v>
      </c>
      <c r="R220" s="65">
        <f t="shared" si="37"/>
        <v>-1.477900937713463E-3</v>
      </c>
      <c r="S220" s="65">
        <f t="shared" si="38"/>
        <v>-1.4586462097298054E-3</v>
      </c>
      <c r="T220" s="26">
        <f t="shared" si="39"/>
        <v>5.9714829932287827E-2</v>
      </c>
      <c r="U220" s="26">
        <f t="shared" si="40"/>
        <v>-1.086098156153565E-2</v>
      </c>
      <c r="V220" s="26">
        <f t="shared" si="41"/>
        <v>3.4505824998763701E-2</v>
      </c>
      <c r="W220" s="26">
        <f t="shared" si="42"/>
        <v>3.5233443117495489E-2</v>
      </c>
      <c r="X220" s="26">
        <f t="shared" si="43"/>
        <v>-4.1143944126176342E-2</v>
      </c>
    </row>
    <row r="221" spans="1:24" x14ac:dyDescent="0.2">
      <c r="A221" s="5">
        <v>32111</v>
      </c>
      <c r="B221" s="64">
        <v>0</v>
      </c>
      <c r="C221" s="64">
        <v>0</v>
      </c>
      <c r="D221" s="64">
        <v>0</v>
      </c>
      <c r="E221" s="64">
        <v>0</v>
      </c>
      <c r="F221" s="64">
        <v>0</v>
      </c>
      <c r="G221" s="64">
        <v>0</v>
      </c>
      <c r="H221" s="8">
        <f>+'Simulation and  VaR'!H234/'Simulation and  VaR'!H233-1</f>
        <v>4.5058858442971639E-2</v>
      </c>
      <c r="I221" s="8">
        <f>+'Simulation and  VaR'!I234/'Simulation and  VaR'!I233-1</f>
        <v>6.9228639118796842E-3</v>
      </c>
      <c r="J221" s="8">
        <f>+'Simulation and  VaR'!J234/'Simulation and  VaR'!J233-1</f>
        <v>-1.8115942028985477E-2</v>
      </c>
      <c r="K221" s="8">
        <f>+'Simulation and  VaR'!K234/'Simulation and  VaR'!K233-1</f>
        <v>-2.95480491572091E-2</v>
      </c>
      <c r="L221" s="8">
        <f>+'Simulation and  VaR'!L234/'Simulation and  VaR'!L233-1</f>
        <v>-9.1534312997871847E-3</v>
      </c>
      <c r="N221" s="65">
        <f t="shared" si="33"/>
        <v>-4.0114638603053919E-3</v>
      </c>
      <c r="O221" s="65">
        <f t="shared" si="34"/>
        <v>-1.9783163122913897E-3</v>
      </c>
      <c r="P221" s="65">
        <f t="shared" si="35"/>
        <v>-1.7528760466946488E-3</v>
      </c>
      <c r="Q221" s="65">
        <f t="shared" si="36"/>
        <v>-1.5722682383099995E-3</v>
      </c>
      <c r="R221" s="65">
        <f t="shared" si="37"/>
        <v>-1.477900937713463E-3</v>
      </c>
      <c r="S221" s="65">
        <f t="shared" si="38"/>
        <v>-1.4586462097298054E-3</v>
      </c>
      <c r="T221" s="26">
        <f t="shared" si="39"/>
        <v>3.971547839791123E-2</v>
      </c>
      <c r="U221" s="26">
        <f t="shared" si="40"/>
        <v>-5.4789022171576954E-3</v>
      </c>
      <c r="V221" s="26">
        <f t="shared" si="41"/>
        <v>-2.8345148000627762E-2</v>
      </c>
      <c r="W221" s="26">
        <f t="shared" si="42"/>
        <v>-2.7981133875337686E-2</v>
      </c>
      <c r="X221" s="26">
        <f t="shared" si="43"/>
        <v>-5.6291961860314779E-3</v>
      </c>
    </row>
    <row r="222" spans="1:24" x14ac:dyDescent="0.2">
      <c r="A222" s="5">
        <v>32142</v>
      </c>
      <c r="B222" s="64">
        <v>0</v>
      </c>
      <c r="C222" s="64">
        <v>0</v>
      </c>
      <c r="D222" s="64">
        <v>0</v>
      </c>
      <c r="E222" s="64">
        <v>0</v>
      </c>
      <c r="F222" s="64">
        <v>0</v>
      </c>
      <c r="G222" s="64">
        <v>0</v>
      </c>
      <c r="H222" s="8">
        <f>+'Simulation and  VaR'!H235/'Simulation and  VaR'!H234-1</f>
        <v>2.36641582658903E-3</v>
      </c>
      <c r="I222" s="8">
        <f>+'Simulation and  VaR'!I235/'Simulation and  VaR'!I234-1</f>
        <v>6.8385992788608352E-2</v>
      </c>
      <c r="J222" s="8">
        <f>+'Simulation and  VaR'!J235/'Simulation and  VaR'!J234-1</f>
        <v>-0.10734652801073463</v>
      </c>
      <c r="K222" s="8">
        <f>+'Simulation and  VaR'!K235/'Simulation and  VaR'!K234-1</f>
        <v>-2.2835789910732873E-2</v>
      </c>
      <c r="L222" s="8">
        <f>+'Simulation and  VaR'!L235/'Simulation and  VaR'!L234-1</f>
        <v>-3.9698392090282586E-2</v>
      </c>
      <c r="N222" s="65">
        <f t="shared" si="33"/>
        <v>-4.0114638603053919E-3</v>
      </c>
      <c r="O222" s="65">
        <f t="shared" si="34"/>
        <v>-1.9783163122913897E-3</v>
      </c>
      <c r="P222" s="65">
        <f t="shared" si="35"/>
        <v>-1.7528760466946488E-3</v>
      </c>
      <c r="Q222" s="65">
        <f t="shared" si="36"/>
        <v>-1.5722682383099995E-3</v>
      </c>
      <c r="R222" s="65">
        <f t="shared" si="37"/>
        <v>-1.477900937713463E-3</v>
      </c>
      <c r="S222" s="65">
        <f t="shared" si="38"/>
        <v>-1.4586462097298054E-3</v>
      </c>
      <c r="T222" s="26">
        <f t="shared" si="39"/>
        <v>-2.976964218471375E-3</v>
      </c>
      <c r="U222" s="26">
        <f t="shared" si="40"/>
        <v>5.5984226659570972E-2</v>
      </c>
      <c r="V222" s="26">
        <f t="shared" si="41"/>
        <v>-0.11757573398237692</v>
      </c>
      <c r="W222" s="26">
        <f t="shared" si="42"/>
        <v>-2.126887462886146E-2</v>
      </c>
      <c r="X222" s="26">
        <f t="shared" si="43"/>
        <v>-3.6174156976526879E-2</v>
      </c>
    </row>
    <row r="223" spans="1:24" x14ac:dyDescent="0.2">
      <c r="A223" s="5">
        <v>32173</v>
      </c>
      <c r="B223" s="64">
        <v>0</v>
      </c>
      <c r="C223" s="64">
        <v>0</v>
      </c>
      <c r="D223" s="64">
        <v>0</v>
      </c>
      <c r="E223" s="64">
        <v>0</v>
      </c>
      <c r="F223" s="64">
        <v>0</v>
      </c>
      <c r="G223" s="64">
        <v>0</v>
      </c>
      <c r="H223" s="8">
        <f>+'Simulation and  VaR'!H236/'Simulation and  VaR'!H235-1</f>
        <v>7.1485905850134479E-2</v>
      </c>
      <c r="I223" s="8">
        <f>+'Simulation and  VaR'!I236/'Simulation and  VaR'!I235-1</f>
        <v>-3.6122869236929422E-2</v>
      </c>
      <c r="J223" s="8">
        <f>+'Simulation and  VaR'!J236/'Simulation and  VaR'!J235-1</f>
        <v>-0.35512965050732814</v>
      </c>
      <c r="K223" s="8">
        <f>+'Simulation and  VaR'!K236/'Simulation and  VaR'!K235-1</f>
        <v>2.4077614899794764E-2</v>
      </c>
      <c r="L223" s="8">
        <f>+'Simulation and  VaR'!L236/'Simulation and  VaR'!L235-1</f>
        <v>-6.1099266808798292E-2</v>
      </c>
      <c r="N223" s="65">
        <f t="shared" si="33"/>
        <v>-4.0114638603053919E-3</v>
      </c>
      <c r="O223" s="65">
        <f t="shared" si="34"/>
        <v>-1.9783163122913897E-3</v>
      </c>
      <c r="P223" s="65">
        <f t="shared" si="35"/>
        <v>-1.7528760466946488E-3</v>
      </c>
      <c r="Q223" s="65">
        <f t="shared" si="36"/>
        <v>-1.5722682383099995E-3</v>
      </c>
      <c r="R223" s="65">
        <f t="shared" si="37"/>
        <v>-1.477900937713463E-3</v>
      </c>
      <c r="S223" s="65">
        <f t="shared" si="38"/>
        <v>-1.4586462097298054E-3</v>
      </c>
      <c r="T223" s="26">
        <f t="shared" si="39"/>
        <v>6.6142525805074071E-2</v>
      </c>
      <c r="U223" s="26">
        <f t="shared" si="40"/>
        <v>-4.8524635365966802E-2</v>
      </c>
      <c r="V223" s="26">
        <f t="shared" si="41"/>
        <v>-0.36535885647897043</v>
      </c>
      <c r="W223" s="26">
        <f t="shared" si="42"/>
        <v>2.5644530181666177E-2</v>
      </c>
      <c r="X223" s="26">
        <f t="shared" si="43"/>
        <v>-5.7575031695042585E-2</v>
      </c>
    </row>
    <row r="224" spans="1:24" x14ac:dyDescent="0.2">
      <c r="A224" s="5">
        <v>32202</v>
      </c>
      <c r="B224" s="64">
        <v>0</v>
      </c>
      <c r="C224" s="64">
        <v>0</v>
      </c>
      <c r="D224" s="64">
        <v>0</v>
      </c>
      <c r="E224" s="64">
        <v>0</v>
      </c>
      <c r="F224" s="64">
        <v>0</v>
      </c>
      <c r="G224" s="64">
        <v>0</v>
      </c>
      <c r="H224" s="8">
        <f>+'Simulation and  VaR'!H237/'Simulation and  VaR'!H236-1</f>
        <v>5.2791609747499413E-2</v>
      </c>
      <c r="I224" s="8">
        <f>+'Simulation and  VaR'!I237/'Simulation and  VaR'!I236-1</f>
        <v>2.0029079255808435E-2</v>
      </c>
      <c r="J224" s="8">
        <f>+'Simulation and  VaR'!J237/'Simulation and  VaR'!J236-1</f>
        <v>-0.29428904428904434</v>
      </c>
      <c r="K224" s="8">
        <f>+'Simulation and  VaR'!K237/'Simulation and  VaR'!K236-1</f>
        <v>1.9016665514141495E-2</v>
      </c>
      <c r="L224" s="8">
        <f>+'Simulation and  VaR'!L237/'Simulation and  VaR'!L236-1</f>
        <v>-1.6338059370846314E-2</v>
      </c>
      <c r="N224" s="65">
        <f t="shared" si="33"/>
        <v>-4.0114638603053919E-3</v>
      </c>
      <c r="O224" s="65">
        <f t="shared" si="34"/>
        <v>-1.9783163122913897E-3</v>
      </c>
      <c r="P224" s="65">
        <f t="shared" si="35"/>
        <v>-1.7528760466946488E-3</v>
      </c>
      <c r="Q224" s="65">
        <f t="shared" si="36"/>
        <v>-1.5722682383099995E-3</v>
      </c>
      <c r="R224" s="65">
        <f t="shared" si="37"/>
        <v>-1.477900937713463E-3</v>
      </c>
      <c r="S224" s="65">
        <f t="shared" si="38"/>
        <v>-1.4586462097298054E-3</v>
      </c>
      <c r="T224" s="26">
        <f t="shared" si="39"/>
        <v>4.7448229702439004E-2</v>
      </c>
      <c r="U224" s="26">
        <f t="shared" si="40"/>
        <v>7.6273131267710556E-3</v>
      </c>
      <c r="V224" s="26">
        <f t="shared" si="41"/>
        <v>-0.30451825026068663</v>
      </c>
      <c r="W224" s="26">
        <f t="shared" si="42"/>
        <v>2.0583580796012909E-2</v>
      </c>
      <c r="X224" s="26">
        <f t="shared" si="43"/>
        <v>-1.2813824257090607E-2</v>
      </c>
    </row>
    <row r="225" spans="1:24" x14ac:dyDescent="0.2">
      <c r="A225" s="5">
        <v>32233</v>
      </c>
      <c r="B225" s="64">
        <v>0</v>
      </c>
      <c r="C225" s="64">
        <v>0</v>
      </c>
      <c r="D225" s="64">
        <v>0</v>
      </c>
      <c r="E225" s="64">
        <v>0</v>
      </c>
      <c r="F225" s="64">
        <v>0</v>
      </c>
      <c r="G225" s="64">
        <v>0</v>
      </c>
      <c r="H225" s="8">
        <f>+'Simulation and  VaR'!H238/'Simulation and  VaR'!H237-1</f>
        <v>-1.4147586957431679E-2</v>
      </c>
      <c r="I225" s="8">
        <f>+'Simulation and  VaR'!I238/'Simulation and  VaR'!I237-1</f>
        <v>5.8180125669071714E-3</v>
      </c>
      <c r="J225" s="8">
        <f>+'Simulation and  VaR'!J238/'Simulation and  VaR'!J237-1</f>
        <v>-6.6061106523534141E-2</v>
      </c>
      <c r="K225" s="8">
        <f>+'Simulation and  VaR'!K238/'Simulation and  VaR'!K237-1</f>
        <v>5.2592290988056511E-2</v>
      </c>
      <c r="L225" s="8">
        <f>+'Simulation and  VaR'!L238/'Simulation and  VaR'!L237-1</f>
        <v>-5.6303136084679961E-2</v>
      </c>
      <c r="N225" s="65">
        <f t="shared" si="33"/>
        <v>-4.0114638603053919E-3</v>
      </c>
      <c r="O225" s="65">
        <f t="shared" si="34"/>
        <v>-1.9783163122913897E-3</v>
      </c>
      <c r="P225" s="65">
        <f t="shared" si="35"/>
        <v>-1.7528760466946488E-3</v>
      </c>
      <c r="Q225" s="65">
        <f t="shared" si="36"/>
        <v>-1.5722682383099995E-3</v>
      </c>
      <c r="R225" s="65">
        <f t="shared" si="37"/>
        <v>-1.477900937713463E-3</v>
      </c>
      <c r="S225" s="65">
        <f t="shared" si="38"/>
        <v>-1.4586462097298054E-3</v>
      </c>
      <c r="T225" s="26">
        <f t="shared" si="39"/>
        <v>-1.9490967002492084E-2</v>
      </c>
      <c r="U225" s="26">
        <f t="shared" si="40"/>
        <v>-6.5837535621302082E-3</v>
      </c>
      <c r="V225" s="26">
        <f t="shared" si="41"/>
        <v>-7.6290312495176427E-2</v>
      </c>
      <c r="W225" s="26">
        <f t="shared" si="42"/>
        <v>5.4159206269927929E-2</v>
      </c>
      <c r="X225" s="26">
        <f t="shared" si="43"/>
        <v>-5.2778900970924254E-2</v>
      </c>
    </row>
    <row r="226" spans="1:24" x14ac:dyDescent="0.2">
      <c r="A226" s="5">
        <v>32263</v>
      </c>
      <c r="B226" s="64">
        <v>0</v>
      </c>
      <c r="C226" s="64">
        <v>0</v>
      </c>
      <c r="D226" s="64">
        <v>0</v>
      </c>
      <c r="E226" s="64">
        <v>0</v>
      </c>
      <c r="F226" s="64">
        <v>0</v>
      </c>
      <c r="G226" s="64">
        <v>0</v>
      </c>
      <c r="H226" s="8">
        <f>+'Simulation and  VaR'!H239/'Simulation and  VaR'!H238-1</f>
        <v>5.0227147284846785E-2</v>
      </c>
      <c r="I226" s="8">
        <f>+'Simulation and  VaR'!I239/'Simulation and  VaR'!I238-1</f>
        <v>-6.5074039796390037E-3</v>
      </c>
      <c r="J226" s="8">
        <f>+'Simulation and  VaR'!J239/'Simulation and  VaR'!J238-1</f>
        <v>0.22988505747126431</v>
      </c>
      <c r="K226" s="8">
        <f>+'Simulation and  VaR'!K239/'Simulation and  VaR'!K238-1</f>
        <v>-5.0738185803623215E-2</v>
      </c>
      <c r="L226" s="8">
        <f>+'Simulation and  VaR'!L239/'Simulation and  VaR'!L238-1</f>
        <v>4.116699480937891E-2</v>
      </c>
      <c r="N226" s="65">
        <f t="shared" si="33"/>
        <v>-4.0114638603053919E-3</v>
      </c>
      <c r="O226" s="65">
        <f t="shared" si="34"/>
        <v>-1.9783163122913897E-3</v>
      </c>
      <c r="P226" s="65">
        <f t="shared" si="35"/>
        <v>-1.7528760466946488E-3</v>
      </c>
      <c r="Q226" s="65">
        <f t="shared" si="36"/>
        <v>-1.5722682383099995E-3</v>
      </c>
      <c r="R226" s="65">
        <f t="shared" si="37"/>
        <v>-1.477900937713463E-3</v>
      </c>
      <c r="S226" s="65">
        <f t="shared" si="38"/>
        <v>-1.4586462097298054E-3</v>
      </c>
      <c r="T226" s="26">
        <f t="shared" si="39"/>
        <v>4.4883767239786376E-2</v>
      </c>
      <c r="U226" s="26">
        <f t="shared" si="40"/>
        <v>-1.8909170108676383E-2</v>
      </c>
      <c r="V226" s="26">
        <f t="shared" si="41"/>
        <v>0.21965585149962202</v>
      </c>
      <c r="W226" s="26">
        <f t="shared" si="42"/>
        <v>-4.9171270521751798E-2</v>
      </c>
      <c r="X226" s="26">
        <f t="shared" si="43"/>
        <v>4.4691229923134616E-2</v>
      </c>
    </row>
    <row r="227" spans="1:24" x14ac:dyDescent="0.2">
      <c r="A227" s="5">
        <v>32294</v>
      </c>
      <c r="B227" s="64">
        <v>0</v>
      </c>
      <c r="C227" s="64">
        <v>0</v>
      </c>
      <c r="D227" s="64">
        <v>0</v>
      </c>
      <c r="E227" s="64">
        <v>0</v>
      </c>
      <c r="F227" s="64">
        <v>0</v>
      </c>
      <c r="G227" s="64">
        <v>0</v>
      </c>
      <c r="H227" s="8">
        <f>+'Simulation and  VaR'!H240/'Simulation and  VaR'!H239-1</f>
        <v>1.4108990944372568E-2</v>
      </c>
      <c r="I227" s="8">
        <f>+'Simulation and  VaR'!I240/'Simulation and  VaR'!I239-1</f>
        <v>1.1644493610084128E-2</v>
      </c>
      <c r="J227" s="8">
        <f>+'Simulation and  VaR'!J240/'Simulation and  VaR'!J239-1</f>
        <v>-7.1890726096333069E-3</v>
      </c>
      <c r="K227" s="8">
        <f>+'Simulation and  VaR'!K240/'Simulation and  VaR'!K239-1</f>
        <v>4.054604726976363E-2</v>
      </c>
      <c r="L227" s="8">
        <f>+'Simulation and  VaR'!L240/'Simulation and  VaR'!L239-1</f>
        <v>-6.1314537848833783E-2</v>
      </c>
      <c r="N227" s="65">
        <f t="shared" si="33"/>
        <v>-4.0114638603053919E-3</v>
      </c>
      <c r="O227" s="65">
        <f t="shared" si="34"/>
        <v>-1.9783163122913897E-3</v>
      </c>
      <c r="P227" s="65">
        <f t="shared" si="35"/>
        <v>-1.7528760466946488E-3</v>
      </c>
      <c r="Q227" s="65">
        <f t="shared" si="36"/>
        <v>-1.5722682383099995E-3</v>
      </c>
      <c r="R227" s="65">
        <f t="shared" si="37"/>
        <v>-1.477900937713463E-3</v>
      </c>
      <c r="S227" s="65">
        <f t="shared" si="38"/>
        <v>-1.4586462097298054E-3</v>
      </c>
      <c r="T227" s="26">
        <f t="shared" si="39"/>
        <v>8.765610899312163E-3</v>
      </c>
      <c r="U227" s="26">
        <f t="shared" si="40"/>
        <v>-7.5727251895325171E-4</v>
      </c>
      <c r="V227" s="26">
        <f t="shared" si="41"/>
        <v>-1.7418278581275592E-2</v>
      </c>
      <c r="W227" s="26">
        <f t="shared" si="42"/>
        <v>4.2112962551635047E-2</v>
      </c>
      <c r="X227" s="26">
        <f t="shared" si="43"/>
        <v>-5.7790302735078077E-2</v>
      </c>
    </row>
    <row r="228" spans="1:24" x14ac:dyDescent="0.2">
      <c r="A228" s="5">
        <v>32324</v>
      </c>
      <c r="B228" s="64">
        <v>0</v>
      </c>
      <c r="C228" s="64">
        <v>0</v>
      </c>
      <c r="D228" s="64">
        <v>0</v>
      </c>
      <c r="E228" s="64">
        <v>0</v>
      </c>
      <c r="F228" s="64">
        <v>0</v>
      </c>
      <c r="G228" s="64">
        <v>0</v>
      </c>
      <c r="H228" s="8">
        <f>+'Simulation and  VaR'!H241/'Simulation and  VaR'!H240-1</f>
        <v>-5.86804863464222E-2</v>
      </c>
      <c r="I228" s="8">
        <f>+'Simulation and  VaR'!I241/'Simulation and  VaR'!I240-1</f>
        <v>3.2747259071681301E-2</v>
      </c>
      <c r="J228" s="8">
        <f>+'Simulation and  VaR'!J241/'Simulation and  VaR'!J240-1</f>
        <v>-0.11006517016654604</v>
      </c>
      <c r="K228" s="8">
        <f>+'Simulation and  VaR'!K241/'Simulation and  VaR'!K240-1</f>
        <v>-2.6434305854709073E-2</v>
      </c>
      <c r="L228" s="8">
        <f>+'Simulation and  VaR'!L241/'Simulation and  VaR'!L240-1</f>
        <v>-6.0741102496795207E-2</v>
      </c>
      <c r="N228" s="65">
        <f t="shared" si="33"/>
        <v>-4.0114638603053919E-3</v>
      </c>
      <c r="O228" s="65">
        <f t="shared" si="34"/>
        <v>-1.9783163122913897E-3</v>
      </c>
      <c r="P228" s="65">
        <f t="shared" si="35"/>
        <v>-1.7528760466946488E-3</v>
      </c>
      <c r="Q228" s="65">
        <f t="shared" si="36"/>
        <v>-1.5722682383099995E-3</v>
      </c>
      <c r="R228" s="65">
        <f t="shared" si="37"/>
        <v>-1.477900937713463E-3</v>
      </c>
      <c r="S228" s="65">
        <f t="shared" si="38"/>
        <v>-1.4586462097298054E-3</v>
      </c>
      <c r="T228" s="26">
        <f t="shared" si="39"/>
        <v>-6.4023866391482609E-2</v>
      </c>
      <c r="U228" s="26">
        <f t="shared" si="40"/>
        <v>2.0345492942643921E-2</v>
      </c>
      <c r="V228" s="26">
        <f t="shared" si="41"/>
        <v>-0.12029437613818833</v>
      </c>
      <c r="W228" s="26">
        <f t="shared" si="42"/>
        <v>-2.4867390572837659E-2</v>
      </c>
      <c r="X228" s="26">
        <f t="shared" si="43"/>
        <v>-5.7216867383039501E-2</v>
      </c>
    </row>
    <row r="229" spans="1:24" x14ac:dyDescent="0.2">
      <c r="A229" s="5">
        <v>32355</v>
      </c>
      <c r="B229" s="64">
        <v>0</v>
      </c>
      <c r="C229" s="64">
        <v>0</v>
      </c>
      <c r="D229" s="64">
        <v>0</v>
      </c>
      <c r="E229" s="64">
        <v>0</v>
      </c>
      <c r="F229" s="64">
        <v>0</v>
      </c>
      <c r="G229" s="64">
        <v>0</v>
      </c>
      <c r="H229" s="8">
        <f>+'Simulation and  VaR'!H242/'Simulation and  VaR'!H241-1</f>
        <v>7.1189598949731092E-2</v>
      </c>
      <c r="I229" s="8">
        <f>+'Simulation and  VaR'!I242/'Simulation and  VaR'!I241-1</f>
        <v>7.3476552704171194E-2</v>
      </c>
      <c r="J229" s="8">
        <f>+'Simulation and  VaR'!J242/'Simulation and  VaR'!J241-1</f>
        <v>-5.9397884458909589E-2</v>
      </c>
      <c r="K229" s="8">
        <f>+'Simulation and  VaR'!K242/'Simulation and  VaR'!K241-1</f>
        <v>-2.3464735854116237E-3</v>
      </c>
      <c r="L229" s="8">
        <f>+'Simulation and  VaR'!L242/'Simulation and  VaR'!L241-1</f>
        <v>4.5495905368517775E-3</v>
      </c>
      <c r="N229" s="65">
        <f t="shared" si="33"/>
        <v>-4.0114638603053919E-3</v>
      </c>
      <c r="O229" s="65">
        <f t="shared" si="34"/>
        <v>-1.9783163122913897E-3</v>
      </c>
      <c r="P229" s="65">
        <f t="shared" si="35"/>
        <v>-1.7528760466946488E-3</v>
      </c>
      <c r="Q229" s="65">
        <f t="shared" si="36"/>
        <v>-1.5722682383099995E-3</v>
      </c>
      <c r="R229" s="65">
        <f t="shared" si="37"/>
        <v>-1.477900937713463E-3</v>
      </c>
      <c r="S229" s="65">
        <f t="shared" si="38"/>
        <v>-1.4586462097298054E-3</v>
      </c>
      <c r="T229" s="26">
        <f t="shared" si="39"/>
        <v>6.5846218904670684E-2</v>
      </c>
      <c r="U229" s="26">
        <f t="shared" si="40"/>
        <v>6.1074786575133815E-2</v>
      </c>
      <c r="V229" s="26">
        <f t="shared" si="41"/>
        <v>-6.9627090430551875E-2</v>
      </c>
      <c r="W229" s="26">
        <f t="shared" si="42"/>
        <v>-7.795583035402091E-4</v>
      </c>
      <c r="X229" s="26">
        <f t="shared" si="43"/>
        <v>8.0738256506074843E-3</v>
      </c>
    </row>
    <row r="230" spans="1:24" x14ac:dyDescent="0.2">
      <c r="A230" s="5">
        <v>32386</v>
      </c>
      <c r="B230" s="64">
        <v>0</v>
      </c>
      <c r="C230" s="64">
        <v>0</v>
      </c>
      <c r="D230" s="64">
        <v>0</v>
      </c>
      <c r="E230" s="64">
        <v>0</v>
      </c>
      <c r="F230" s="64">
        <v>0</v>
      </c>
      <c r="G230" s="64">
        <v>0</v>
      </c>
      <c r="H230" s="8">
        <f>+'Simulation and  VaR'!H243/'Simulation and  VaR'!H242-1</f>
        <v>-8.5435281094330739E-2</v>
      </c>
      <c r="I230" s="8">
        <f>+'Simulation and  VaR'!I243/'Simulation and  VaR'!I242-1</f>
        <v>9.9621035145096792E-2</v>
      </c>
      <c r="J230" s="8">
        <f>+'Simulation and  VaR'!J243/'Simulation and  VaR'!J242-1</f>
        <v>0.37629757785467133</v>
      </c>
      <c r="K230" s="8">
        <f>+'Simulation and  VaR'!K243/'Simulation and  VaR'!K242-1</f>
        <v>-2.768631140380351E-2</v>
      </c>
      <c r="L230" s="8">
        <f>+'Simulation and  VaR'!L243/'Simulation and  VaR'!L242-1</f>
        <v>-1.2939958592134149E-3</v>
      </c>
      <c r="N230" s="65">
        <f t="shared" si="33"/>
        <v>-4.0114638603053919E-3</v>
      </c>
      <c r="O230" s="65">
        <f t="shared" si="34"/>
        <v>-1.9783163122913897E-3</v>
      </c>
      <c r="P230" s="65">
        <f t="shared" si="35"/>
        <v>-1.7528760466946488E-3</v>
      </c>
      <c r="Q230" s="65">
        <f t="shared" si="36"/>
        <v>-1.5722682383099995E-3</v>
      </c>
      <c r="R230" s="65">
        <f t="shared" si="37"/>
        <v>-1.477900937713463E-3</v>
      </c>
      <c r="S230" s="65">
        <f t="shared" si="38"/>
        <v>-1.4586462097298054E-3</v>
      </c>
      <c r="T230" s="26">
        <f t="shared" si="39"/>
        <v>-9.0778661139391148E-2</v>
      </c>
      <c r="U230" s="26">
        <f t="shared" si="40"/>
        <v>8.721926901605942E-2</v>
      </c>
      <c r="V230" s="26">
        <f t="shared" si="41"/>
        <v>0.36606837188302904</v>
      </c>
      <c r="W230" s="26">
        <f t="shared" si="42"/>
        <v>-2.6119396121932096E-2</v>
      </c>
      <c r="X230" s="26">
        <f t="shared" si="43"/>
        <v>2.2302392545422915E-3</v>
      </c>
    </row>
    <row r="231" spans="1:24" x14ac:dyDescent="0.2">
      <c r="A231" s="5">
        <v>32416</v>
      </c>
      <c r="B231" s="64">
        <v>0</v>
      </c>
      <c r="C231" s="64">
        <v>0</v>
      </c>
      <c r="D231" s="64">
        <v>0</v>
      </c>
      <c r="E231" s="64">
        <v>0</v>
      </c>
      <c r="F231" s="64">
        <v>0</v>
      </c>
      <c r="G231" s="64">
        <v>0</v>
      </c>
      <c r="H231" s="8">
        <f>+'Simulation and  VaR'!H244/'Simulation and  VaR'!H243-1</f>
        <v>5.4727013357541265E-2</v>
      </c>
      <c r="I231" s="8">
        <f>+'Simulation and  VaR'!I244/'Simulation and  VaR'!I243-1</f>
        <v>-5.4291379473137558E-2</v>
      </c>
      <c r="J231" s="8">
        <f>+'Simulation and  VaR'!J244/'Simulation and  VaR'!J243-1</f>
        <v>-4.0854808296668765E-2</v>
      </c>
      <c r="K231" s="8">
        <f>+'Simulation and  VaR'!K244/'Simulation and  VaR'!K243-1</f>
        <v>-2.8543783260764344E-2</v>
      </c>
      <c r="L231" s="8">
        <f>+'Simulation and  VaR'!L244/'Simulation and  VaR'!L243-1</f>
        <v>5.862917854366434E-2</v>
      </c>
      <c r="N231" s="65">
        <f t="shared" si="33"/>
        <v>-4.0114638603053919E-3</v>
      </c>
      <c r="O231" s="65">
        <f t="shared" si="34"/>
        <v>-1.9783163122913897E-3</v>
      </c>
      <c r="P231" s="65">
        <f t="shared" si="35"/>
        <v>-1.7528760466946488E-3</v>
      </c>
      <c r="Q231" s="65">
        <f t="shared" si="36"/>
        <v>-1.5722682383099995E-3</v>
      </c>
      <c r="R231" s="65">
        <f t="shared" si="37"/>
        <v>-1.477900937713463E-3</v>
      </c>
      <c r="S231" s="65">
        <f t="shared" si="38"/>
        <v>-1.4586462097298054E-3</v>
      </c>
      <c r="T231" s="26">
        <f t="shared" si="39"/>
        <v>4.9383633312480857E-2</v>
      </c>
      <c r="U231" s="26">
        <f t="shared" si="40"/>
        <v>-6.669314560217493E-2</v>
      </c>
      <c r="V231" s="26">
        <f t="shared" si="41"/>
        <v>-5.1084014268311051E-2</v>
      </c>
      <c r="W231" s="26">
        <f t="shared" si="42"/>
        <v>-2.697686797889293E-2</v>
      </c>
      <c r="X231" s="26">
        <f t="shared" si="43"/>
        <v>6.2153413657420047E-2</v>
      </c>
    </row>
    <row r="232" spans="1:24" x14ac:dyDescent="0.2">
      <c r="A232" s="5">
        <v>32447</v>
      </c>
      <c r="B232" s="64">
        <v>0</v>
      </c>
      <c r="C232" s="64">
        <v>0</v>
      </c>
      <c r="D232" s="64">
        <v>0</v>
      </c>
      <c r="E232" s="64">
        <v>0</v>
      </c>
      <c r="F232" s="64">
        <v>0</v>
      </c>
      <c r="G232" s="64">
        <v>0</v>
      </c>
      <c r="H232" s="8">
        <f>+'Simulation and  VaR'!H245/'Simulation and  VaR'!H244-1</f>
        <v>2.1476290011885668E-2</v>
      </c>
      <c r="I232" s="8">
        <f>+'Simulation and  VaR'!I245/'Simulation and  VaR'!I244-1</f>
        <v>-2.8404552715654896E-2</v>
      </c>
      <c r="J232" s="8">
        <f>+'Simulation and  VaR'!J245/'Simulation and  VaR'!J244-1</f>
        <v>-3.6041939711664583E-2</v>
      </c>
      <c r="K232" s="8">
        <f>+'Simulation and  VaR'!K245/'Simulation and  VaR'!K244-1</f>
        <v>1.9920318725099584E-2</v>
      </c>
      <c r="L232" s="8">
        <f>+'Simulation and  VaR'!L245/'Simulation and  VaR'!L244-1</f>
        <v>-8.2614283091609897E-3</v>
      </c>
      <c r="N232" s="65">
        <f t="shared" si="33"/>
        <v>-4.0114638603053919E-3</v>
      </c>
      <c r="O232" s="65">
        <f t="shared" si="34"/>
        <v>-1.9783163122913897E-3</v>
      </c>
      <c r="P232" s="65">
        <f t="shared" si="35"/>
        <v>-1.7528760466946488E-3</v>
      </c>
      <c r="Q232" s="65">
        <f t="shared" si="36"/>
        <v>-1.5722682383099995E-3</v>
      </c>
      <c r="R232" s="65">
        <f t="shared" si="37"/>
        <v>-1.477900937713463E-3</v>
      </c>
      <c r="S232" s="65">
        <f t="shared" si="38"/>
        <v>-1.4586462097298054E-3</v>
      </c>
      <c r="T232" s="26">
        <f t="shared" si="39"/>
        <v>1.6132909966825263E-2</v>
      </c>
      <c r="U232" s="26">
        <f t="shared" si="40"/>
        <v>-4.0806318844692276E-2</v>
      </c>
      <c r="V232" s="26">
        <f t="shared" si="41"/>
        <v>-4.6271145683306869E-2</v>
      </c>
      <c r="W232" s="26">
        <f t="shared" si="42"/>
        <v>2.1487234006970998E-2</v>
      </c>
      <c r="X232" s="26">
        <f t="shared" si="43"/>
        <v>-4.7371931954052829E-3</v>
      </c>
    </row>
    <row r="233" spans="1:24" x14ac:dyDescent="0.2">
      <c r="A233" s="5">
        <v>32477</v>
      </c>
      <c r="B233" s="64">
        <v>0</v>
      </c>
      <c r="C233" s="64">
        <v>0</v>
      </c>
      <c r="D233" s="64">
        <v>0</v>
      </c>
      <c r="E233" s="64">
        <v>0</v>
      </c>
      <c r="F233" s="64">
        <v>0</v>
      </c>
      <c r="G233" s="64">
        <v>0</v>
      </c>
      <c r="H233" s="8">
        <f>+'Simulation and  VaR'!H246/'Simulation and  VaR'!H245-1</f>
        <v>-2.8287124342976422E-2</v>
      </c>
      <c r="I233" s="8">
        <f>+'Simulation and  VaR'!I246/'Simulation and  VaR'!I245-1</f>
        <v>4.4957098083542313E-3</v>
      </c>
      <c r="J233" s="8">
        <f>+'Simulation and  VaR'!J246/'Simulation and  VaR'!J245-1</f>
        <v>3.7389530931339232E-2</v>
      </c>
      <c r="K233" s="8">
        <f>+'Simulation and  VaR'!K246/'Simulation and  VaR'!K245-1</f>
        <v>3.41796875E-2</v>
      </c>
      <c r="L233" s="8">
        <f>+'Simulation and  VaR'!L246/'Simulation and  VaR'!L245-1</f>
        <v>-2.3139577934098488E-2</v>
      </c>
      <c r="N233" s="65">
        <f t="shared" si="33"/>
        <v>-4.0114638603053919E-3</v>
      </c>
      <c r="O233" s="65">
        <f t="shared" si="34"/>
        <v>-1.9783163122913897E-3</v>
      </c>
      <c r="P233" s="65">
        <f t="shared" si="35"/>
        <v>-1.7528760466946488E-3</v>
      </c>
      <c r="Q233" s="65">
        <f t="shared" si="36"/>
        <v>-1.5722682383099995E-3</v>
      </c>
      <c r="R233" s="65">
        <f t="shared" si="37"/>
        <v>-1.477900937713463E-3</v>
      </c>
      <c r="S233" s="65">
        <f t="shared" si="38"/>
        <v>-1.4586462097298054E-3</v>
      </c>
      <c r="T233" s="26">
        <f t="shared" si="39"/>
        <v>-3.363050438803683E-2</v>
      </c>
      <c r="U233" s="26">
        <f t="shared" si="40"/>
        <v>-7.9060563206831483E-3</v>
      </c>
      <c r="V233" s="26">
        <f t="shared" si="41"/>
        <v>2.7160324959696946E-2</v>
      </c>
      <c r="W233" s="26">
        <f t="shared" si="42"/>
        <v>3.5746602781871417E-2</v>
      </c>
      <c r="X233" s="26">
        <f t="shared" si="43"/>
        <v>-1.9615342820342781E-2</v>
      </c>
    </row>
    <row r="234" spans="1:24" x14ac:dyDescent="0.2">
      <c r="A234" s="5">
        <v>32508</v>
      </c>
      <c r="B234" s="64">
        <v>0</v>
      </c>
      <c r="C234" s="64">
        <v>0</v>
      </c>
      <c r="D234" s="64">
        <v>0</v>
      </c>
      <c r="E234" s="64">
        <v>0</v>
      </c>
      <c r="F234" s="64">
        <v>0</v>
      </c>
      <c r="G234" s="64">
        <v>0</v>
      </c>
      <c r="H234" s="8">
        <f>+'Simulation and  VaR'!H247/'Simulation and  VaR'!H246-1</f>
        <v>0.13176149971095885</v>
      </c>
      <c r="I234" s="8">
        <f>+'Simulation and  VaR'!I247/'Simulation and  VaR'!I246-1</f>
        <v>3.4219073680979983E-2</v>
      </c>
      <c r="J234" s="8">
        <f>+'Simulation and  VaR'!J247/'Simulation and  VaR'!J246-1</f>
        <v>0.16055045871559637</v>
      </c>
      <c r="K234" s="8">
        <f>+'Simulation and  VaR'!K247/'Simulation and  VaR'!K246-1</f>
        <v>2.1246458923512845E-2</v>
      </c>
      <c r="L234" s="8">
        <f>+'Simulation and  VaR'!L247/'Simulation and  VaR'!L246-1</f>
        <v>-2.9372749668372222E-2</v>
      </c>
      <c r="N234" s="65">
        <f t="shared" si="33"/>
        <v>-4.0114638603053919E-3</v>
      </c>
      <c r="O234" s="65">
        <f t="shared" si="34"/>
        <v>-1.9783163122913897E-3</v>
      </c>
      <c r="P234" s="65">
        <f t="shared" si="35"/>
        <v>-1.7528760466946488E-3</v>
      </c>
      <c r="Q234" s="65">
        <f t="shared" si="36"/>
        <v>-1.5722682383099995E-3</v>
      </c>
      <c r="R234" s="65">
        <f t="shared" si="37"/>
        <v>-1.477900937713463E-3</v>
      </c>
      <c r="S234" s="65">
        <f t="shared" si="38"/>
        <v>-1.4586462097298054E-3</v>
      </c>
      <c r="T234" s="26">
        <f t="shared" si="39"/>
        <v>0.12641811966589844</v>
      </c>
      <c r="U234" s="26">
        <f t="shared" si="40"/>
        <v>2.1817307551942604E-2</v>
      </c>
      <c r="V234" s="26">
        <f t="shared" si="41"/>
        <v>0.15032125274395408</v>
      </c>
      <c r="W234" s="26">
        <f t="shared" si="42"/>
        <v>2.2813374205384259E-2</v>
      </c>
      <c r="X234" s="26">
        <f t="shared" si="43"/>
        <v>-2.5848514554616515E-2</v>
      </c>
    </row>
    <row r="235" spans="1:24" x14ac:dyDescent="0.2">
      <c r="A235" s="5">
        <v>32539</v>
      </c>
      <c r="B235" s="8">
        <f>+'Simulation and  VaR'!B248/'Simulation and  VaR'!B247-1</f>
        <v>3.1098634985864626E-2</v>
      </c>
      <c r="C235" s="8">
        <f>+'Simulation and  VaR'!C248/'Simulation and  VaR'!C247-1</f>
        <v>2.3402116555077956E-2</v>
      </c>
      <c r="D235" s="8">
        <f>+'Simulation and  VaR'!D248/'Simulation and  VaR'!D247-1</f>
        <v>2.389486260454099E-3</v>
      </c>
      <c r="E235" s="8">
        <f>+'Simulation and  VaR'!E248/'Simulation and  VaR'!E247-1</f>
        <v>2.2547914317927464E-3</v>
      </c>
      <c r="F235" s="8">
        <f>+'Simulation and  VaR'!F248/'Simulation and  VaR'!F247-1</f>
        <v>-3.2467532467533866E-3</v>
      </c>
      <c r="G235" s="8">
        <f>+'Simulation and  VaR'!G248/'Simulation and  VaR'!G247-1</f>
        <v>-7.1942446043166131E-3</v>
      </c>
      <c r="H235" s="8">
        <f>+'Simulation and  VaR'!H248/'Simulation and  VaR'!H247-1</f>
        <v>3.6922178846364284E-2</v>
      </c>
      <c r="I235" s="8">
        <f>+'Simulation and  VaR'!I248/'Simulation and  VaR'!I247-1</f>
        <v>2.7696036004847269E-3</v>
      </c>
      <c r="J235" s="8">
        <f>+'Simulation and  VaR'!J248/'Simulation and  VaR'!J247-1</f>
        <v>4.7995482778091514E-2</v>
      </c>
      <c r="K235" s="8">
        <f>+'Simulation and  VaR'!K248/'Simulation and  VaR'!K247-1</f>
        <v>2.113466745921655E-2</v>
      </c>
      <c r="L235" s="8">
        <f>+'Simulation and  VaR'!L248/'Simulation and  VaR'!L247-1</f>
        <v>-2.4729923207080784E-3</v>
      </c>
      <c r="N235" s="26">
        <f t="shared" si="33"/>
        <v>2.7087171125559233E-2</v>
      </c>
      <c r="O235" s="26">
        <f t="shared" si="34"/>
        <v>2.1423800242786568E-2</v>
      </c>
      <c r="P235" s="26">
        <f t="shared" si="35"/>
        <v>6.3661021375945015E-4</v>
      </c>
      <c r="Q235" s="26">
        <f t="shared" si="36"/>
        <v>6.8252319348274695E-4</v>
      </c>
      <c r="R235" s="26">
        <f t="shared" si="37"/>
        <v>-4.7246541844668498E-3</v>
      </c>
      <c r="S235" s="26">
        <f t="shared" si="38"/>
        <v>-8.6528908140464187E-3</v>
      </c>
      <c r="T235" s="26">
        <f t="shared" si="39"/>
        <v>3.1578798801303876E-2</v>
      </c>
      <c r="U235" s="26">
        <f t="shared" si="40"/>
        <v>-9.6321625285526527E-3</v>
      </c>
      <c r="V235" s="26">
        <f t="shared" si="41"/>
        <v>3.7766276806449228E-2</v>
      </c>
      <c r="W235" s="26">
        <f t="shared" si="42"/>
        <v>2.2701582741087963E-2</v>
      </c>
      <c r="X235" s="26">
        <f t="shared" si="43"/>
        <v>1.051242793047628E-3</v>
      </c>
    </row>
    <row r="236" spans="1:24" x14ac:dyDescent="0.2">
      <c r="A236" s="5">
        <v>32567</v>
      </c>
      <c r="B236" s="8">
        <f>+'Simulation and  VaR'!B249/'Simulation and  VaR'!B248-1</f>
        <v>-3.4405283316851776E-4</v>
      </c>
      <c r="C236" s="8">
        <f>+'Simulation and  VaR'!C249/'Simulation and  VaR'!C248-1</f>
        <v>-2.603051373646359E-4</v>
      </c>
      <c r="D236" s="8">
        <f>+'Simulation and  VaR'!D249/'Simulation and  VaR'!D248-1</f>
        <v>-2.3837902264601807E-3</v>
      </c>
      <c r="E236" s="8">
        <f>+'Simulation and  VaR'!E249/'Simulation and  VaR'!E248-1</f>
        <v>-4.4994375703037992E-3</v>
      </c>
      <c r="F236" s="8">
        <f>+'Simulation and  VaR'!F249/'Simulation and  VaR'!F248-1</f>
        <v>-7.6004343105319228E-3</v>
      </c>
      <c r="G236" s="8">
        <f>+'Simulation and  VaR'!G249/'Simulation and  VaR'!G248-1</f>
        <v>-4.1407867494824835E-3</v>
      </c>
      <c r="H236" s="8">
        <f>+'Simulation and  VaR'!H249/'Simulation and  VaR'!H248-1</f>
        <v>2.6388937757292119E-2</v>
      </c>
      <c r="I236" s="8">
        <f>+'Simulation and  VaR'!I249/'Simulation and  VaR'!I248-1</f>
        <v>3.4524426031417255E-2</v>
      </c>
      <c r="J236" s="8">
        <f>+'Simulation and  VaR'!J249/'Simulation and  VaR'!J248-1</f>
        <v>-0.11045258620689657</v>
      </c>
      <c r="K236" s="8">
        <f>+'Simulation and  VaR'!K249/'Simulation and  VaR'!K248-1</f>
        <v>3.9454110342151294E-2</v>
      </c>
      <c r="L236" s="8">
        <f>+'Simulation and  VaR'!L249/'Simulation and  VaR'!L248-1</f>
        <v>-4.9517223382046005E-2</v>
      </c>
      <c r="N236" s="26">
        <f t="shared" si="33"/>
        <v>-4.3555166934739096E-3</v>
      </c>
      <c r="O236" s="26">
        <f t="shared" si="34"/>
        <v>-2.2386214496560256E-3</v>
      </c>
      <c r="P236" s="26">
        <f t="shared" si="35"/>
        <v>-4.1366662731548293E-3</v>
      </c>
      <c r="Q236" s="26">
        <f t="shared" si="36"/>
        <v>-6.0717058086137985E-3</v>
      </c>
      <c r="R236" s="26">
        <f t="shared" si="37"/>
        <v>-9.0783352482453859E-3</v>
      </c>
      <c r="S236" s="26">
        <f t="shared" si="38"/>
        <v>-5.5994329592122891E-3</v>
      </c>
      <c r="T236" s="26">
        <f t="shared" si="39"/>
        <v>2.1045557712231714E-2</v>
      </c>
      <c r="U236" s="26">
        <f t="shared" si="40"/>
        <v>2.2122659902379875E-2</v>
      </c>
      <c r="V236" s="26">
        <f t="shared" si="41"/>
        <v>-0.12068179217853886</v>
      </c>
      <c r="W236" s="26">
        <f t="shared" si="42"/>
        <v>4.1021025624022711E-2</v>
      </c>
      <c r="X236" s="26">
        <f t="shared" si="43"/>
        <v>-4.5992988268290298E-2</v>
      </c>
    </row>
    <row r="237" spans="1:24" x14ac:dyDescent="0.2">
      <c r="A237" s="5">
        <v>32598</v>
      </c>
      <c r="B237" s="8">
        <f>+'Simulation and  VaR'!B250/'Simulation and  VaR'!B249-1</f>
        <v>8.0455979964582092E-3</v>
      </c>
      <c r="C237" s="8">
        <f>+'Simulation and  VaR'!C250/'Simulation and  VaR'!C249-1</f>
        <v>0.10666201480797377</v>
      </c>
      <c r="D237" s="8">
        <f>+'Simulation and  VaR'!D250/'Simulation and  VaR'!D249-1</f>
        <v>5.8542413381122982E-2</v>
      </c>
      <c r="E237" s="8">
        <f>+'Simulation and  VaR'!E250/'Simulation and  VaR'!E249-1</f>
        <v>3.5028248587570587E-2</v>
      </c>
      <c r="F237" s="8">
        <f>+'Simulation and  VaR'!F250/'Simulation and  VaR'!F249-1</f>
        <v>2.5164113785557829E-2</v>
      </c>
      <c r="G237" s="8">
        <f>+'Simulation and  VaR'!G250/'Simulation and  VaR'!G249-1</f>
        <v>4.4698544698544618E-2</v>
      </c>
      <c r="H237" s="8">
        <f>+'Simulation and  VaR'!H250/'Simulation and  VaR'!H249-1</f>
        <v>-1.1449727469061699E-2</v>
      </c>
      <c r="I237" s="8">
        <f>+'Simulation and  VaR'!I250/'Simulation and  VaR'!I249-1</f>
        <v>7.9259135658267921E-2</v>
      </c>
      <c r="J237" s="8">
        <f>+'Simulation and  VaR'!J250/'Simulation and  VaR'!J249-1</f>
        <v>0.13930950938824949</v>
      </c>
      <c r="K237" s="8">
        <f>+'Simulation and  VaR'!K250/'Simulation and  VaR'!K249-1</f>
        <v>3.3289776616265421E-2</v>
      </c>
      <c r="L237" s="8">
        <f>+'Simulation and  VaR'!L250/'Simulation and  VaR'!L249-1</f>
        <v>-3.4388084288557996E-2</v>
      </c>
      <c r="N237" s="26">
        <f t="shared" si="33"/>
        <v>4.0341341361528173E-3</v>
      </c>
      <c r="O237" s="26">
        <f t="shared" si="34"/>
        <v>0.10468369849568238</v>
      </c>
      <c r="P237" s="26">
        <f t="shared" si="35"/>
        <v>5.6789537334428333E-2</v>
      </c>
      <c r="Q237" s="26">
        <f t="shared" si="36"/>
        <v>3.3455980349260589E-2</v>
      </c>
      <c r="R237" s="26">
        <f t="shared" si="37"/>
        <v>2.3686212847844366E-2</v>
      </c>
      <c r="S237" s="26">
        <f t="shared" si="38"/>
        <v>4.3239898488814814E-2</v>
      </c>
      <c r="T237" s="26">
        <f t="shared" si="39"/>
        <v>-1.6793107514122104E-2</v>
      </c>
      <c r="U237" s="26">
        <f t="shared" si="40"/>
        <v>6.6857369529230548E-2</v>
      </c>
      <c r="V237" s="26">
        <f t="shared" si="41"/>
        <v>0.1290803034166072</v>
      </c>
      <c r="W237" s="26">
        <f t="shared" si="42"/>
        <v>3.4856691898136838E-2</v>
      </c>
      <c r="X237" s="26">
        <f t="shared" si="43"/>
        <v>-3.0863849174802289E-2</v>
      </c>
    </row>
    <row r="238" spans="1:24" x14ac:dyDescent="0.2">
      <c r="A238" s="5">
        <v>32628</v>
      </c>
      <c r="B238" s="8">
        <f>+'Simulation and  VaR'!B251/'Simulation and  VaR'!B250-1</f>
        <v>5.8896264404033616E-3</v>
      </c>
      <c r="C238" s="8">
        <f>+'Simulation and  VaR'!C251/'Simulation and  VaR'!C250-1</f>
        <v>7.3466121281841712E-2</v>
      </c>
      <c r="D238" s="8">
        <f>+'Simulation and  VaR'!D251/'Simulation and  VaR'!D250-1</f>
        <v>5.4176072234763062E-2</v>
      </c>
      <c r="E238" s="8">
        <f>+'Simulation and  VaR'!E251/'Simulation and  VaR'!E250-1</f>
        <v>4.8034934497816595E-2</v>
      </c>
      <c r="F238" s="8">
        <f>+'Simulation and  VaR'!F251/'Simulation and  VaR'!F250-1</f>
        <v>5.0160085378868846E-2</v>
      </c>
      <c r="G238" s="8">
        <f>+'Simulation and  VaR'!G251/'Simulation and  VaR'!G250-1</f>
        <v>4.6766169154228932E-2</v>
      </c>
      <c r="H238" s="8">
        <f>+'Simulation and  VaR'!H251/'Simulation and  VaR'!H250-1</f>
        <v>6.0339147622845424E-3</v>
      </c>
      <c r="I238" s="8">
        <f>+'Simulation and  VaR'!I251/'Simulation and  VaR'!I250-1</f>
        <v>-2.2086756780634875E-3</v>
      </c>
      <c r="J238" s="8">
        <f>+'Simulation and  VaR'!J251/'Simulation and  VaR'!J250-1</f>
        <v>2.6581605528974706E-3</v>
      </c>
      <c r="K238" s="8">
        <f>+'Simulation and  VaR'!K251/'Simulation and  VaR'!K250-1</f>
        <v>-1.8667951342888234E-2</v>
      </c>
      <c r="L238" s="8">
        <f>+'Simulation and  VaR'!L251/'Simulation and  VaR'!L250-1</f>
        <v>2.4381575206141592E-2</v>
      </c>
      <c r="N238" s="26">
        <f t="shared" si="33"/>
        <v>1.8781625800979697E-3</v>
      </c>
      <c r="O238" s="26">
        <f t="shared" si="34"/>
        <v>7.1487804969550317E-2</v>
      </c>
      <c r="P238" s="26">
        <f t="shared" si="35"/>
        <v>5.2423196188068413E-2</v>
      </c>
      <c r="Q238" s="26">
        <f t="shared" si="36"/>
        <v>4.6462666259506596E-2</v>
      </c>
      <c r="R238" s="26">
        <f t="shared" si="37"/>
        <v>4.8682184441155386E-2</v>
      </c>
      <c r="S238" s="26">
        <f t="shared" si="38"/>
        <v>4.5307522944499128E-2</v>
      </c>
      <c r="T238" s="26">
        <f t="shared" si="39"/>
        <v>6.9053471722413731E-4</v>
      </c>
      <c r="U238" s="26">
        <f t="shared" si="40"/>
        <v>-1.4610441807100867E-2</v>
      </c>
      <c r="V238" s="26">
        <f t="shared" si="41"/>
        <v>-7.5710454187448133E-3</v>
      </c>
      <c r="W238" s="26">
        <f t="shared" si="42"/>
        <v>-1.710103606101682E-2</v>
      </c>
      <c r="X238" s="26">
        <f t="shared" si="43"/>
        <v>2.7905810319897299E-2</v>
      </c>
    </row>
    <row r="239" spans="1:24" x14ac:dyDescent="0.2">
      <c r="A239" s="5">
        <v>32659</v>
      </c>
      <c r="B239" s="8">
        <f>+'Simulation and  VaR'!B252/'Simulation and  VaR'!B251-1</f>
        <v>-1.500462685747328E-4</v>
      </c>
      <c r="C239" s="8">
        <f>+'Simulation and  VaR'!C252/'Simulation and  VaR'!C251-1</f>
        <v>-2.4437814287370907E-2</v>
      </c>
      <c r="D239" s="8">
        <f>+'Simulation and  VaR'!D252/'Simulation and  VaR'!D251-1</f>
        <v>-1.0706638115631772E-3</v>
      </c>
      <c r="E239" s="8">
        <f>+'Simulation and  VaR'!E252/'Simulation and  VaR'!E251-1</f>
        <v>6.2500000000000888E-3</v>
      </c>
      <c r="F239" s="8">
        <f>+'Simulation and  VaR'!F252/'Simulation and  VaR'!F251-1</f>
        <v>1.5243902439024515E-2</v>
      </c>
      <c r="G239" s="8">
        <f>+'Simulation and  VaR'!G252/'Simulation and  VaR'!G251-1</f>
        <v>9.5057034220524805E-4</v>
      </c>
      <c r="H239" s="8">
        <f>+'Simulation and  VaR'!H252/'Simulation and  VaR'!H251-1</f>
        <v>4.7912860639067967E-2</v>
      </c>
      <c r="I239" s="8">
        <f>+'Simulation and  VaR'!I252/'Simulation and  VaR'!I251-1</f>
        <v>-1.106782362316272E-2</v>
      </c>
      <c r="J239" s="8">
        <f>+'Simulation and  VaR'!J252/'Simulation and  VaR'!J251-1</f>
        <v>3.9766702014846222E-2</v>
      </c>
      <c r="K239" s="8">
        <f>+'Simulation and  VaR'!K252/'Simulation and  VaR'!K251-1</f>
        <v>-1.0247913598429026E-2</v>
      </c>
      <c r="L239" s="8">
        <f>+'Simulation and  VaR'!L252/'Simulation and  VaR'!L251-1</f>
        <v>1.8735688016098928E-2</v>
      </c>
      <c r="N239" s="26">
        <f t="shared" si="33"/>
        <v>-4.1615101288801247E-3</v>
      </c>
      <c r="O239" s="26">
        <f t="shared" si="34"/>
        <v>-2.6416130599662295E-2</v>
      </c>
      <c r="P239" s="26">
        <f t="shared" si="35"/>
        <v>-2.8235398582578258E-3</v>
      </c>
      <c r="Q239" s="26">
        <f t="shared" si="36"/>
        <v>4.6777317616900895E-3</v>
      </c>
      <c r="R239" s="26">
        <f t="shared" si="37"/>
        <v>1.3766001501311052E-2</v>
      </c>
      <c r="S239" s="26">
        <f t="shared" si="38"/>
        <v>-5.0807586752455738E-4</v>
      </c>
      <c r="T239" s="26">
        <f t="shared" si="39"/>
        <v>4.2569480594007558E-2</v>
      </c>
      <c r="U239" s="26">
        <f t="shared" si="40"/>
        <v>-2.34695897522001E-2</v>
      </c>
      <c r="V239" s="26">
        <f t="shared" si="41"/>
        <v>2.9537496043203937E-2</v>
      </c>
      <c r="W239" s="26">
        <f t="shared" si="42"/>
        <v>-8.6809983165576123E-3</v>
      </c>
      <c r="X239" s="26">
        <f t="shared" si="43"/>
        <v>2.2259923129854635E-2</v>
      </c>
    </row>
    <row r="240" spans="1:24" x14ac:dyDescent="0.2">
      <c r="A240" s="5">
        <v>32689</v>
      </c>
      <c r="B240" s="8">
        <f>+'Simulation and  VaR'!B253/'Simulation and  VaR'!B252-1</f>
        <v>4.3108430695495414E-3</v>
      </c>
      <c r="C240" s="8">
        <f>+'Simulation and  VaR'!C253/'Simulation and  VaR'!C252-1</f>
        <v>5.2952936671808448E-3</v>
      </c>
      <c r="D240" s="8">
        <f>+'Simulation and  VaR'!D253/'Simulation and  VaR'!D252-1</f>
        <v>1.0718113612004254E-2</v>
      </c>
      <c r="E240" s="8">
        <f>+'Simulation and  VaR'!E253/'Simulation and  VaR'!E252-1</f>
        <v>-1.0351966873706209E-3</v>
      </c>
      <c r="F240" s="8">
        <f>+'Simulation and  VaR'!F253/'Simulation and  VaR'!F252-1</f>
        <v>2.0020020020019569E-3</v>
      </c>
      <c r="G240" s="8">
        <f>+'Simulation and  VaR'!G253/'Simulation and  VaR'!G252-1</f>
        <v>8.5470085470085166E-3</v>
      </c>
      <c r="H240" s="8">
        <f>+'Simulation and  VaR'!H253/'Simulation and  VaR'!H252-1</f>
        <v>4.8222097957304033E-2</v>
      </c>
      <c r="I240" s="8">
        <f>+'Simulation and  VaR'!I253/'Simulation and  VaR'!I252-1</f>
        <v>3.3575073865162564E-2</v>
      </c>
      <c r="J240" s="8">
        <f>+'Simulation and  VaR'!J253/'Simulation and  VaR'!J252-1</f>
        <v>4.8444671086180557E-2</v>
      </c>
      <c r="K240" s="8">
        <f>+'Simulation and  VaR'!K253/'Simulation and  VaR'!K252-1</f>
        <v>-1.3516027032054123E-2</v>
      </c>
      <c r="L240" s="8">
        <f>+'Simulation and  VaR'!L253/'Simulation and  VaR'!L252-1</f>
        <v>2.1115727811456875E-2</v>
      </c>
      <c r="N240" s="26">
        <f t="shared" si="33"/>
        <v>2.9937920924414958E-4</v>
      </c>
      <c r="O240" s="26">
        <f t="shared" si="34"/>
        <v>3.3169773548894551E-3</v>
      </c>
      <c r="P240" s="26">
        <f t="shared" si="35"/>
        <v>8.9652375653096056E-3</v>
      </c>
      <c r="Q240" s="26">
        <f t="shared" si="36"/>
        <v>-2.6074649256806201E-3</v>
      </c>
      <c r="R240" s="26">
        <f t="shared" si="37"/>
        <v>5.2410106428849392E-4</v>
      </c>
      <c r="S240" s="26">
        <f t="shared" si="38"/>
        <v>7.088362337278711E-3</v>
      </c>
      <c r="T240" s="26">
        <f t="shared" si="39"/>
        <v>4.2878717912243625E-2</v>
      </c>
      <c r="U240" s="26">
        <f t="shared" si="40"/>
        <v>2.1173307736125184E-2</v>
      </c>
      <c r="V240" s="26">
        <f t="shared" si="41"/>
        <v>3.8215465114538272E-2</v>
      </c>
      <c r="W240" s="26">
        <f t="shared" si="42"/>
        <v>-1.1949111750182709E-2</v>
      </c>
      <c r="X240" s="26">
        <f t="shared" si="43"/>
        <v>2.4639962925212582E-2</v>
      </c>
    </row>
    <row r="241" spans="1:24" x14ac:dyDescent="0.2">
      <c r="A241" s="5">
        <v>32720</v>
      </c>
      <c r="B241" s="8">
        <f>+'Simulation and  VaR'!B254/'Simulation and  VaR'!B253-1</f>
        <v>6.1239690527308488E-2</v>
      </c>
      <c r="C241" s="8">
        <f>+'Simulation and  VaR'!C254/'Simulation and  VaR'!C253-1</f>
        <v>3.7089364091014598E-2</v>
      </c>
      <c r="D241" s="8">
        <f>+'Simulation and  VaR'!D254/'Simulation and  VaR'!D253-1</f>
        <v>2.6511134676564074E-2</v>
      </c>
      <c r="E241" s="8">
        <f>+'Simulation and  VaR'!E254/'Simulation and  VaR'!E253-1</f>
        <v>2.2797927461139844E-2</v>
      </c>
      <c r="F241" s="8">
        <f>+'Simulation and  VaR'!F254/'Simulation and  VaR'!F253-1</f>
        <v>1.998001998001997E-2</v>
      </c>
      <c r="G241" s="8">
        <f>+'Simulation and  VaR'!G254/'Simulation and  VaR'!G253-1</f>
        <v>1.7890772128060339E-2</v>
      </c>
      <c r="H241" s="8">
        <f>+'Simulation and  VaR'!H254/'Simulation and  VaR'!H253-1</f>
        <v>3.4957793328521669E-2</v>
      </c>
      <c r="I241" s="8">
        <f>+'Simulation and  VaR'!I254/'Simulation and  VaR'!I253-1</f>
        <v>-1.7325017325017344E-2</v>
      </c>
      <c r="J241" s="8">
        <f>+'Simulation and  VaR'!J254/'Simulation and  VaR'!J253-1</f>
        <v>8.2684824902723664E-2</v>
      </c>
      <c r="K241" s="8">
        <f>+'Simulation and  VaR'!K254/'Simulation and  VaR'!K253-1</f>
        <v>2.6271133178304318E-2</v>
      </c>
      <c r="L241" s="8">
        <f>+'Simulation and  VaR'!L254/'Simulation and  VaR'!L253-1</f>
        <v>-5.4365952905076398E-2</v>
      </c>
      <c r="N241" s="26">
        <f t="shared" si="33"/>
        <v>5.7228226667003099E-2</v>
      </c>
      <c r="O241" s="26">
        <f t="shared" si="34"/>
        <v>3.511104777872321E-2</v>
      </c>
      <c r="P241" s="26">
        <f t="shared" si="35"/>
        <v>2.4758258629869426E-2</v>
      </c>
      <c r="Q241" s="26">
        <f t="shared" si="36"/>
        <v>2.1225659222829846E-2</v>
      </c>
      <c r="R241" s="26">
        <f t="shared" si="37"/>
        <v>1.8502119042306506E-2</v>
      </c>
      <c r="S241" s="26">
        <f t="shared" si="38"/>
        <v>1.6432125918330535E-2</v>
      </c>
      <c r="T241" s="26">
        <f t="shared" si="39"/>
        <v>2.9614413283461264E-2</v>
      </c>
      <c r="U241" s="26">
        <f t="shared" si="40"/>
        <v>-2.9726783454054724E-2</v>
      </c>
      <c r="V241" s="26">
        <f t="shared" si="41"/>
        <v>7.2455618931081378E-2</v>
      </c>
      <c r="W241" s="26">
        <f t="shared" si="42"/>
        <v>2.7838048460175732E-2</v>
      </c>
      <c r="X241" s="26">
        <f t="shared" si="43"/>
        <v>-5.0841717791320691E-2</v>
      </c>
    </row>
    <row r="242" spans="1:24" x14ac:dyDescent="0.2">
      <c r="A242" s="5">
        <v>32751</v>
      </c>
      <c r="B242" s="8">
        <f>+'Simulation and  VaR'!B255/'Simulation and  VaR'!B254-1</f>
        <v>6.0829932529742337E-2</v>
      </c>
      <c r="C242" s="8">
        <f>+'Simulation and  VaR'!C255/'Simulation and  VaR'!C254-1</f>
        <v>7.5415354552406777E-2</v>
      </c>
      <c r="D242" s="8">
        <f>+'Simulation and  VaR'!D255/'Simulation and  VaR'!D254-1</f>
        <v>5.2685950413223104E-2</v>
      </c>
      <c r="E242" s="8">
        <f>+'Simulation and  VaR'!E255/'Simulation and  VaR'!E254-1</f>
        <v>4.9645390070921946E-2</v>
      </c>
      <c r="F242" s="8">
        <f>+'Simulation and  VaR'!F255/'Simulation and  VaR'!F254-1</f>
        <v>5.0930460333006966E-2</v>
      </c>
      <c r="G242" s="8">
        <f>+'Simulation and  VaR'!G255/'Simulation and  VaR'!G254-1</f>
        <v>4.7178538390379332E-2</v>
      </c>
      <c r="H242" s="8">
        <f>+'Simulation and  VaR'!H255/'Simulation and  VaR'!H254-1</f>
        <v>-2.416542858009163E-2</v>
      </c>
      <c r="I242" s="8">
        <f>+'Simulation and  VaR'!I255/'Simulation and  VaR'!I254-1</f>
        <v>1.2120944992947802E-2</v>
      </c>
      <c r="J242" s="8">
        <f>+'Simulation and  VaR'!J255/'Simulation and  VaR'!J254-1</f>
        <v>-0.11859838274932621</v>
      </c>
      <c r="K242" s="8">
        <f>+'Simulation and  VaR'!K255/'Simulation and  VaR'!K254-1</f>
        <v>-4.8992589870783254E-3</v>
      </c>
      <c r="L242" s="8">
        <f>+'Simulation and  VaR'!L255/'Simulation and  VaR'!L254-1</f>
        <v>3.3577878103837389E-2</v>
      </c>
      <c r="N242" s="26">
        <f t="shared" si="33"/>
        <v>5.6818468669436947E-2</v>
      </c>
      <c r="O242" s="26">
        <f t="shared" si="34"/>
        <v>7.3437038240115382E-2</v>
      </c>
      <c r="P242" s="26">
        <f t="shared" si="35"/>
        <v>5.0933074366528455E-2</v>
      </c>
      <c r="Q242" s="26">
        <f t="shared" si="36"/>
        <v>4.8073121832611948E-2</v>
      </c>
      <c r="R242" s="26">
        <f t="shared" si="37"/>
        <v>4.9452559395293506E-2</v>
      </c>
      <c r="S242" s="26">
        <f t="shared" si="38"/>
        <v>4.5719892180649528E-2</v>
      </c>
      <c r="T242" s="26">
        <f t="shared" si="39"/>
        <v>-2.9508808625152035E-2</v>
      </c>
      <c r="U242" s="26">
        <f t="shared" si="40"/>
        <v>-2.8082113608957765E-4</v>
      </c>
      <c r="V242" s="26">
        <f t="shared" si="41"/>
        <v>-0.1288275887209685</v>
      </c>
      <c r="W242" s="26">
        <f t="shared" si="42"/>
        <v>-3.3323437052069109E-3</v>
      </c>
      <c r="X242" s="26">
        <f t="shared" si="43"/>
        <v>3.7102113217593095E-2</v>
      </c>
    </row>
    <row r="243" spans="1:24" x14ac:dyDescent="0.2">
      <c r="A243" s="5">
        <v>32781</v>
      </c>
      <c r="B243" s="8">
        <f>+'Simulation and  VaR'!B256/'Simulation and  VaR'!B255-1</f>
        <v>-4.1753936961814064E-2</v>
      </c>
      <c r="C243" s="8">
        <f>+'Simulation and  VaR'!C256/'Simulation and  VaR'!C255-1</f>
        <v>1.0400363508250576E-2</v>
      </c>
      <c r="D243" s="8">
        <f>+'Simulation and  VaR'!D256/'Simulation and  VaR'!D255-1</f>
        <v>3.3366045142296352E-2</v>
      </c>
      <c r="E243" s="8">
        <f>+'Simulation and  VaR'!E256/'Simulation and  VaR'!E255-1</f>
        <v>3.7644787644787625E-2</v>
      </c>
      <c r="F243" s="8">
        <f>+'Simulation and  VaR'!F256/'Simulation and  VaR'!F255-1</f>
        <v>2.4231127679403608E-2</v>
      </c>
      <c r="G243" s="8">
        <f>+'Simulation and  VaR'!G256/'Simulation and  VaR'!G255-1</f>
        <v>2.7385159010600679E-2</v>
      </c>
      <c r="H243" s="8">
        <f>+'Simulation and  VaR'!H256/'Simulation and  VaR'!H255-1</f>
        <v>-0.21762366393238874</v>
      </c>
      <c r="I243" s="8">
        <f>+'Simulation and  VaR'!I256/'Simulation and  VaR'!I255-1</f>
        <v>1.850803466446016E-2</v>
      </c>
      <c r="J243" s="8">
        <f>+'Simulation and  VaR'!J256/'Simulation and  VaR'!J255-1</f>
        <v>0</v>
      </c>
      <c r="K243" s="8">
        <f>+'Simulation and  VaR'!K256/'Simulation and  VaR'!K255-1</f>
        <v>5.951135454489509E-2</v>
      </c>
      <c r="L243" s="8">
        <f>+'Simulation and  VaR'!L256/'Simulation and  VaR'!L255-1</f>
        <v>-5.5282555282555212E-2</v>
      </c>
      <c r="N243" s="26">
        <f t="shared" si="33"/>
        <v>-4.5765400822119454E-2</v>
      </c>
      <c r="O243" s="26">
        <f t="shared" si="34"/>
        <v>8.4220471959591866E-3</v>
      </c>
      <c r="P243" s="26">
        <f t="shared" si="35"/>
        <v>3.1613169095601704E-2</v>
      </c>
      <c r="Q243" s="26">
        <f t="shared" si="36"/>
        <v>3.6072519406477627E-2</v>
      </c>
      <c r="R243" s="26">
        <f t="shared" si="37"/>
        <v>2.2753226741690145E-2</v>
      </c>
      <c r="S243" s="26">
        <f t="shared" si="38"/>
        <v>2.5926512800870875E-2</v>
      </c>
      <c r="T243" s="26">
        <f t="shared" si="39"/>
        <v>-0.22296704397744915</v>
      </c>
      <c r="U243" s="26">
        <f t="shared" si="40"/>
        <v>6.1062685354227805E-3</v>
      </c>
      <c r="V243" s="26">
        <f t="shared" si="41"/>
        <v>-1.0229205971642284E-2</v>
      </c>
      <c r="W243" s="26">
        <f t="shared" si="42"/>
        <v>6.1078269826766507E-2</v>
      </c>
      <c r="X243" s="26">
        <f t="shared" si="43"/>
        <v>-5.1758320168799506E-2</v>
      </c>
    </row>
    <row r="244" spans="1:24" x14ac:dyDescent="0.2">
      <c r="A244" s="5">
        <v>32812</v>
      </c>
      <c r="B244" s="8">
        <f>+'Simulation and  VaR'!B257/'Simulation and  VaR'!B256-1</f>
        <v>-7.262776365697643E-2</v>
      </c>
      <c r="C244" s="8">
        <f>+'Simulation and  VaR'!C257/'Simulation and  VaR'!C256-1</f>
        <v>-6.9199757008717722E-2</v>
      </c>
      <c r="D244" s="8">
        <f>+'Simulation and  VaR'!D257/'Simulation and  VaR'!D256-1</f>
        <v>-4.8433048433048409E-2</v>
      </c>
      <c r="E244" s="8">
        <f>+'Simulation and  VaR'!E257/'Simulation and  VaR'!E256-1</f>
        <v>-4.3720930232558186E-2</v>
      </c>
      <c r="F244" s="8">
        <f>+'Simulation and  VaR'!F257/'Simulation and  VaR'!F256-1</f>
        <v>-3.1847133757961776E-2</v>
      </c>
      <c r="G244" s="8">
        <f>+'Simulation and  VaR'!G257/'Simulation and  VaR'!G256-1</f>
        <v>-3.3533963886500318E-2</v>
      </c>
      <c r="H244" s="8">
        <f>+'Simulation and  VaR'!H257/'Simulation and  VaR'!H256-1</f>
        <v>-8.5345512311358118E-2</v>
      </c>
      <c r="I244" s="8">
        <f>+'Simulation and  VaR'!I257/'Simulation and  VaR'!I256-1</f>
        <v>5.3189669916196225E-2</v>
      </c>
      <c r="J244" s="8">
        <f>+'Simulation and  VaR'!J257/'Simulation and  VaR'!J256-1</f>
        <v>2.0387359836899765E-3</v>
      </c>
      <c r="K244" s="8">
        <f>+'Simulation and  VaR'!K257/'Simulation and  VaR'!K256-1</f>
        <v>6.0467007434944264E-2</v>
      </c>
      <c r="L244" s="8">
        <f>+'Simulation and  VaR'!L257/'Simulation and  VaR'!L256-1</f>
        <v>-4.3274093339112918E-2</v>
      </c>
      <c r="N244" s="26">
        <f t="shared" si="33"/>
        <v>-7.6639227517281819E-2</v>
      </c>
      <c r="O244" s="26">
        <f t="shared" si="34"/>
        <v>-7.1178073321009117E-2</v>
      </c>
      <c r="P244" s="26">
        <f t="shared" si="35"/>
        <v>-5.0185924479743058E-2</v>
      </c>
      <c r="Q244" s="26">
        <f t="shared" si="36"/>
        <v>-4.5293198470868185E-2</v>
      </c>
      <c r="R244" s="26">
        <f t="shared" si="37"/>
        <v>-3.3325034695675236E-2</v>
      </c>
      <c r="S244" s="26">
        <f t="shared" si="38"/>
        <v>-3.4992610096230121E-2</v>
      </c>
      <c r="T244" s="26">
        <f t="shared" si="39"/>
        <v>-9.0688892356418527E-2</v>
      </c>
      <c r="U244" s="26">
        <f t="shared" si="40"/>
        <v>4.0787903787158845E-2</v>
      </c>
      <c r="V244" s="26">
        <f t="shared" si="41"/>
        <v>-8.1904699879523073E-3</v>
      </c>
      <c r="W244" s="26">
        <f t="shared" si="42"/>
        <v>6.2033922716815681E-2</v>
      </c>
      <c r="X244" s="26">
        <f t="shared" si="43"/>
        <v>-3.9749858225357211E-2</v>
      </c>
    </row>
    <row r="245" spans="1:24" x14ac:dyDescent="0.2">
      <c r="A245" s="5">
        <v>32842</v>
      </c>
      <c r="B245" s="8">
        <f>+'Simulation and  VaR'!B258/'Simulation and  VaR'!B257-1</f>
        <v>1.2984506753298319E-2</v>
      </c>
      <c r="C245" s="8">
        <f>+'Simulation and  VaR'!C258/'Simulation and  VaR'!C257-1</f>
        <v>1.4339730526861105E-2</v>
      </c>
      <c r="D245" s="8">
        <f>+'Simulation and  VaR'!D258/'Simulation and  VaR'!D257-1</f>
        <v>9.9800399201597223E-3</v>
      </c>
      <c r="E245" s="8">
        <f>+'Simulation and  VaR'!E258/'Simulation and  VaR'!E257-1</f>
        <v>5.8365758754863606E-3</v>
      </c>
      <c r="F245" s="8">
        <f>+'Simulation and  VaR'!F258/'Simulation and  VaR'!F257-1</f>
        <v>-9.3984962406035155E-4</v>
      </c>
      <c r="G245" s="8">
        <f>+'Simulation and  VaR'!G258/'Simulation and  VaR'!G257-1</f>
        <v>5.3380782918148739E-3</v>
      </c>
      <c r="H245" s="8">
        <f>+'Simulation and  VaR'!H258/'Simulation and  VaR'!H257-1</f>
        <v>7.2858321392905268E-2</v>
      </c>
      <c r="I245" s="8">
        <f>+'Simulation and  VaR'!I258/'Simulation and  VaR'!I257-1</f>
        <v>-1.2443163364728838E-2</v>
      </c>
      <c r="J245" s="8">
        <f>+'Simulation and  VaR'!J258/'Simulation and  VaR'!J257-1</f>
        <v>-6.1037639877924654E-2</v>
      </c>
      <c r="K245" s="8">
        <f>+'Simulation and  VaR'!K258/'Simulation and  VaR'!K257-1</f>
        <v>3.3083200964013848E-2</v>
      </c>
      <c r="L245" s="8">
        <f>+'Simulation and  VaR'!L258/'Simulation and  VaR'!L257-1</f>
        <v>-8.4346447179641904E-2</v>
      </c>
      <c r="N245" s="26">
        <f t="shared" si="33"/>
        <v>8.9730428929929267E-3</v>
      </c>
      <c r="O245" s="26">
        <f t="shared" si="34"/>
        <v>1.2361414214569716E-2</v>
      </c>
      <c r="P245" s="26">
        <f t="shared" si="35"/>
        <v>8.2271638734650737E-3</v>
      </c>
      <c r="Q245" s="26">
        <f t="shared" si="36"/>
        <v>4.2643076371763613E-3</v>
      </c>
      <c r="R245" s="26">
        <f t="shared" si="37"/>
        <v>-2.4177505617738147E-3</v>
      </c>
      <c r="S245" s="26">
        <f t="shared" si="38"/>
        <v>3.8794320820850683E-3</v>
      </c>
      <c r="T245" s="26">
        <f t="shared" si="39"/>
        <v>6.7514941347844859E-2</v>
      </c>
      <c r="U245" s="26">
        <f t="shared" si="40"/>
        <v>-2.4844929493766217E-2</v>
      </c>
      <c r="V245" s="26">
        <f t="shared" si="41"/>
        <v>-7.126684584956694E-2</v>
      </c>
      <c r="W245" s="26">
        <f t="shared" si="42"/>
        <v>3.4650116245885265E-2</v>
      </c>
      <c r="X245" s="26">
        <f t="shared" si="43"/>
        <v>-8.0822212065886204E-2</v>
      </c>
    </row>
    <row r="246" spans="1:24" x14ac:dyDescent="0.2">
      <c r="A246" s="5">
        <v>32873</v>
      </c>
      <c r="B246" s="8">
        <f>+'Simulation and  VaR'!B259/'Simulation and  VaR'!B258-1</f>
        <v>8.0623033858453486E-3</v>
      </c>
      <c r="C246" s="8">
        <f>+'Simulation and  VaR'!C259/'Simulation and  VaR'!C258-1</f>
        <v>-3.5779901906252909E-2</v>
      </c>
      <c r="D246" s="8">
        <f>+'Simulation and  VaR'!D259/'Simulation and  VaR'!D258-1</f>
        <v>-2.2727272727272596E-2</v>
      </c>
      <c r="E246" s="8">
        <f>+'Simulation and  VaR'!E259/'Simulation and  VaR'!E258-1</f>
        <v>-2.3210831721470093E-2</v>
      </c>
      <c r="F246" s="8">
        <f>+'Simulation and  VaR'!F259/'Simulation and  VaR'!F258-1</f>
        <v>-1.7873941674506066E-2</v>
      </c>
      <c r="G246" s="8">
        <f>+'Simulation and  VaR'!G259/'Simulation and  VaR'!G258-1</f>
        <v>-1.9469026548672441E-2</v>
      </c>
      <c r="H246" s="8">
        <f>+'Simulation and  VaR'!H259/'Simulation and  VaR'!H258-1</f>
        <v>4.043061232749201E-2</v>
      </c>
      <c r="I246" s="8">
        <f>+'Simulation and  VaR'!I259/'Simulation and  VaR'!I258-1</f>
        <v>-6.2177550307290663E-2</v>
      </c>
      <c r="J246" s="8">
        <f>+'Simulation and  VaR'!J259/'Simulation and  VaR'!J258-1</f>
        <v>-9.4257854821235054E-2</v>
      </c>
      <c r="K246" s="8">
        <f>+'Simulation and  VaR'!K259/'Simulation and  VaR'!K258-1</f>
        <v>-6.1979746566990124E-2</v>
      </c>
      <c r="L246" s="8">
        <f>+'Simulation and  VaR'!L259/'Simulation and  VaR'!L258-1</f>
        <v>5.360382648853701E-2</v>
      </c>
      <c r="N246" s="26">
        <f t="shared" si="33"/>
        <v>4.0508395255399567E-3</v>
      </c>
      <c r="O246" s="26">
        <f t="shared" si="34"/>
        <v>-3.7758218218544297E-2</v>
      </c>
      <c r="P246" s="26">
        <f t="shared" si="35"/>
        <v>-2.4480148773967245E-2</v>
      </c>
      <c r="Q246" s="26">
        <f t="shared" si="36"/>
        <v>-2.4783099959780092E-2</v>
      </c>
      <c r="R246" s="26">
        <f t="shared" si="37"/>
        <v>-1.935184261221953E-2</v>
      </c>
      <c r="S246" s="26">
        <f t="shared" si="38"/>
        <v>-2.0927672758402245E-2</v>
      </c>
      <c r="T246" s="26">
        <f t="shared" si="39"/>
        <v>3.5087232282431602E-2</v>
      </c>
      <c r="U246" s="26">
        <f t="shared" si="40"/>
        <v>-7.4579316436328036E-2</v>
      </c>
      <c r="V246" s="26">
        <f t="shared" si="41"/>
        <v>-0.10448706079287734</v>
      </c>
      <c r="W246" s="26">
        <f t="shared" si="42"/>
        <v>-6.0412831285118707E-2</v>
      </c>
      <c r="X246" s="26">
        <f t="shared" si="43"/>
        <v>5.7128061602292717E-2</v>
      </c>
    </row>
    <row r="247" spans="1:24" x14ac:dyDescent="0.2">
      <c r="A247" s="5">
        <v>32904</v>
      </c>
      <c r="B247" s="8">
        <f>+'Simulation and  VaR'!B260/'Simulation and  VaR'!B259-1</f>
        <v>-2.6684275056036766E-2</v>
      </c>
      <c r="C247" s="8">
        <f>+'Simulation and  VaR'!C260/'Simulation and  VaR'!C259-1</f>
        <v>-5.2305265703007198E-2</v>
      </c>
      <c r="D247" s="8">
        <f>+'Simulation and  VaR'!D260/'Simulation and  VaR'!D259-1</f>
        <v>-4.7522750252780632E-2</v>
      </c>
      <c r="E247" s="8">
        <f>+'Simulation and  VaR'!E260/'Simulation and  VaR'!E259-1</f>
        <v>-4.7524752475247567E-2</v>
      </c>
      <c r="F247" s="8">
        <f>+'Simulation and  VaR'!F260/'Simulation and  VaR'!F259-1</f>
        <v>-4.6934865900383205E-2</v>
      </c>
      <c r="G247" s="8">
        <f>+'Simulation and  VaR'!G260/'Simulation and  VaR'!G259-1</f>
        <v>-4.061371841155248E-2</v>
      </c>
      <c r="H247" s="8">
        <f>+'Simulation and  VaR'!H260/'Simulation and  VaR'!H259-1</f>
        <v>4.1815777189979864E-2</v>
      </c>
      <c r="I247" s="8">
        <f>+'Simulation and  VaR'!I260/'Simulation and  VaR'!I259-1</f>
        <v>-6.8469732170253872E-2</v>
      </c>
      <c r="J247" s="8">
        <f>+'Simulation and  VaR'!J260/'Simulation and  VaR'!J259-1</f>
        <v>5.9808612440190867E-3</v>
      </c>
      <c r="K247" s="8">
        <f>+'Simulation and  VaR'!K260/'Simulation and  VaR'!K259-1</f>
        <v>2.4869997739092042E-3</v>
      </c>
      <c r="L247" s="8">
        <f>+'Simulation and  VaR'!L260/'Simulation and  VaR'!L259-1</f>
        <v>5.4790231684407331E-3</v>
      </c>
      <c r="N247" s="26">
        <f t="shared" si="33"/>
        <v>-3.0695738916342159E-2</v>
      </c>
      <c r="O247" s="26">
        <f t="shared" si="34"/>
        <v>-5.4283582015298586E-2</v>
      </c>
      <c r="P247" s="26">
        <f t="shared" si="35"/>
        <v>-4.9275626299475281E-2</v>
      </c>
      <c r="Q247" s="26">
        <f t="shared" si="36"/>
        <v>-4.9097020713557565E-2</v>
      </c>
      <c r="R247" s="26">
        <f t="shared" si="37"/>
        <v>-4.8412766838096664E-2</v>
      </c>
      <c r="S247" s="26">
        <f t="shared" si="38"/>
        <v>-4.2072364621282284E-2</v>
      </c>
      <c r="T247" s="26">
        <f t="shared" si="39"/>
        <v>3.6472397144919455E-2</v>
      </c>
      <c r="U247" s="26">
        <f t="shared" si="40"/>
        <v>-8.0871498299291245E-2</v>
      </c>
      <c r="V247" s="26">
        <f t="shared" si="41"/>
        <v>-4.2483447276231972E-3</v>
      </c>
      <c r="W247" s="26">
        <f t="shared" si="42"/>
        <v>4.0539150557806188E-3</v>
      </c>
      <c r="X247" s="26">
        <f t="shared" si="43"/>
        <v>9.0032582821964399E-3</v>
      </c>
    </row>
    <row r="248" spans="1:24" x14ac:dyDescent="0.2">
      <c r="A248" s="5">
        <v>32932</v>
      </c>
      <c r="B248" s="8">
        <f>+'Simulation and  VaR'!B261/'Simulation and  VaR'!B260-1</f>
        <v>7.612329608114754E-3</v>
      </c>
      <c r="C248" s="8">
        <f>+'Simulation and  VaR'!C261/'Simulation and  VaR'!C260-1</f>
        <v>1.963977873996603E-2</v>
      </c>
      <c r="D248" s="8">
        <f>+'Simulation and  VaR'!D261/'Simulation and  VaR'!D260-1</f>
        <v>-2.1231422505307851E-3</v>
      </c>
      <c r="E248" s="8">
        <f>+'Simulation and  VaR'!E261/'Simulation and  VaR'!E260-1</f>
        <v>-2.0790020790020236E-3</v>
      </c>
      <c r="F248" s="8">
        <f>+'Simulation and  VaR'!F261/'Simulation and  VaR'!F260-1</f>
        <v>-5.0251256281406143E-3</v>
      </c>
      <c r="G248" s="8">
        <f>+'Simulation and  VaR'!G261/'Simulation and  VaR'!G260-1</f>
        <v>-4.7036688617120292E-3</v>
      </c>
      <c r="H248" s="8">
        <f>+'Simulation and  VaR'!H261/'Simulation and  VaR'!H260-1</f>
        <v>-3.3342045327259817E-2</v>
      </c>
      <c r="I248" s="8">
        <f>+'Simulation and  VaR'!I261/'Simulation and  VaR'!I260-1</f>
        <v>7.3502423415368723E-2</v>
      </c>
      <c r="J248" s="8">
        <f>+'Simulation and  VaR'!J261/'Simulation and  VaR'!J260-1</f>
        <v>-7.7288941736028627E-2</v>
      </c>
      <c r="K248" s="8">
        <f>+'Simulation and  VaR'!K261/'Simulation and  VaR'!K260-1</f>
        <v>6.371222372575569E-2</v>
      </c>
      <c r="L248" s="8">
        <f>+'Simulation and  VaR'!L261/'Simulation and  VaR'!L260-1</f>
        <v>-3.378483574653568E-2</v>
      </c>
      <c r="N248" s="26">
        <f t="shared" si="33"/>
        <v>3.6008657478093621E-3</v>
      </c>
      <c r="O248" s="26">
        <f t="shared" si="34"/>
        <v>1.7661462427674642E-2</v>
      </c>
      <c r="P248" s="26">
        <f t="shared" si="35"/>
        <v>-3.8760182972254337E-3</v>
      </c>
      <c r="Q248" s="26">
        <f t="shared" si="36"/>
        <v>-3.6512703173120229E-3</v>
      </c>
      <c r="R248" s="26">
        <f t="shared" si="37"/>
        <v>-6.5030265658540774E-3</v>
      </c>
      <c r="S248" s="26">
        <f t="shared" si="38"/>
        <v>-6.1623150714418349E-3</v>
      </c>
      <c r="T248" s="26">
        <f t="shared" si="39"/>
        <v>-3.8685425372320226E-2</v>
      </c>
      <c r="U248" s="26">
        <f t="shared" si="40"/>
        <v>6.1100657286331343E-2</v>
      </c>
      <c r="V248" s="26">
        <f t="shared" si="41"/>
        <v>-8.7518147707670912E-2</v>
      </c>
      <c r="W248" s="26">
        <f t="shared" si="42"/>
        <v>6.5279139007627107E-2</v>
      </c>
      <c r="X248" s="26">
        <f t="shared" si="43"/>
        <v>-3.0260600632779973E-2</v>
      </c>
    </row>
    <row r="249" spans="1:24" x14ac:dyDescent="0.2">
      <c r="A249" s="5">
        <v>32963</v>
      </c>
      <c r="B249" s="8">
        <f>+'Simulation and  VaR'!B262/'Simulation and  VaR'!B261-1</f>
        <v>3.6238587048687432E-2</v>
      </c>
      <c r="C249" s="8">
        <f>+'Simulation and  VaR'!C262/'Simulation and  VaR'!C261-1</f>
        <v>4.1154963186732951E-2</v>
      </c>
      <c r="D249" s="8">
        <f>+'Simulation and  VaR'!D262/'Simulation and  VaR'!D261-1</f>
        <v>2.9787234042553123E-2</v>
      </c>
      <c r="E249" s="8">
        <f>+'Simulation and  VaR'!E262/'Simulation and  VaR'!E261-1</f>
        <v>2.8124999999999956E-2</v>
      </c>
      <c r="F249" s="8">
        <f>+'Simulation and  VaR'!F262/'Simulation and  VaR'!F261-1</f>
        <v>2.8282828282828243E-2</v>
      </c>
      <c r="G249" s="8">
        <f>+'Simulation and  VaR'!G262/'Simulation and  VaR'!G261-1</f>
        <v>3.1190926275992403E-2</v>
      </c>
      <c r="H249" s="8">
        <f>+'Simulation and  VaR'!H262/'Simulation and  VaR'!H261-1</f>
        <v>9.4244882193896817E-3</v>
      </c>
      <c r="I249" s="8">
        <f>+'Simulation and  VaR'!I262/'Simulation and  VaR'!I261-1</f>
        <v>-1.5868145355718233E-2</v>
      </c>
      <c r="J249" s="8">
        <f>+'Simulation and  VaR'!J262/'Simulation and  VaR'!J261-1</f>
        <v>9.9226804123711432E-2</v>
      </c>
      <c r="K249" s="8">
        <f>+'Simulation and  VaR'!K262/'Simulation and  VaR'!K261-1</f>
        <v>-4.2404325241175433E-3</v>
      </c>
      <c r="L249" s="8">
        <f>+'Simulation and  VaR'!L262/'Simulation and  VaR'!L261-1</f>
        <v>6.5259426361585771E-3</v>
      </c>
      <c r="N249" s="26">
        <f t="shared" si="33"/>
        <v>3.2227123188382042E-2</v>
      </c>
      <c r="O249" s="26">
        <f t="shared" si="34"/>
        <v>3.9176646874441563E-2</v>
      </c>
      <c r="P249" s="26">
        <f t="shared" si="35"/>
        <v>2.8034357995858475E-2</v>
      </c>
      <c r="Q249" s="26">
        <f t="shared" si="36"/>
        <v>2.6552731761689957E-2</v>
      </c>
      <c r="R249" s="26">
        <f t="shared" si="37"/>
        <v>2.680492734511478E-2</v>
      </c>
      <c r="S249" s="26">
        <f t="shared" si="38"/>
        <v>2.9732280066262599E-2</v>
      </c>
      <c r="T249" s="26">
        <f t="shared" si="39"/>
        <v>4.0811081743292767E-3</v>
      </c>
      <c r="U249" s="26">
        <f t="shared" si="40"/>
        <v>-2.8269911484755612E-2</v>
      </c>
      <c r="V249" s="26">
        <f t="shared" si="41"/>
        <v>8.8997598152069146E-2</v>
      </c>
      <c r="W249" s="26">
        <f t="shared" si="42"/>
        <v>-2.6735172422461288E-3</v>
      </c>
      <c r="X249" s="26">
        <f t="shared" si="43"/>
        <v>1.0050177749914284E-2</v>
      </c>
    </row>
    <row r="250" spans="1:24" x14ac:dyDescent="0.2">
      <c r="A250" s="5">
        <v>32993</v>
      </c>
      <c r="B250" s="8">
        <f>+'Simulation and  VaR'!B263/'Simulation and  VaR'!B262-1</f>
        <v>6.0119613037395325E-2</v>
      </c>
      <c r="C250" s="8">
        <f>+'Simulation and  VaR'!C263/'Simulation and  VaR'!C262-1</f>
        <v>4.2452611445265465E-2</v>
      </c>
      <c r="D250" s="8">
        <f>+'Simulation and  VaR'!D263/'Simulation and  VaR'!D262-1</f>
        <v>2.4793388429751984E-2</v>
      </c>
      <c r="E250" s="8">
        <f>+'Simulation and  VaR'!E263/'Simulation and  VaR'!E262-1</f>
        <v>2.5329280648429542E-2</v>
      </c>
      <c r="F250" s="8">
        <f>+'Simulation and  VaR'!F263/'Simulation and  VaR'!F262-1</f>
        <v>2.3575638506876162E-2</v>
      </c>
      <c r="G250" s="8">
        <f>+'Simulation and  VaR'!G263/'Simulation and  VaR'!G262-1</f>
        <v>1.2832263978001635E-2</v>
      </c>
      <c r="H250" s="8">
        <f>+'Simulation and  VaR'!H263/'Simulation and  VaR'!H262-1</f>
        <v>3.1759393893013854E-3</v>
      </c>
      <c r="I250" s="8">
        <f>+'Simulation and  VaR'!I263/'Simulation and  VaR'!I262-1</f>
        <v>1.278339494900016E-2</v>
      </c>
      <c r="J250" s="8">
        <f>+'Simulation and  VaR'!J263/'Simulation and  VaR'!J262-1</f>
        <v>3.5169988276668729E-3</v>
      </c>
      <c r="K250" s="8">
        <f>+'Simulation and  VaR'!K263/'Simulation and  VaR'!K262-1</f>
        <v>-2.1452145214521434E-2</v>
      </c>
      <c r="L250" s="8">
        <f>+'Simulation and  VaR'!L263/'Simulation and  VaR'!L262-1</f>
        <v>1.5208516769391611E-3</v>
      </c>
      <c r="N250" s="26">
        <f t="shared" si="33"/>
        <v>5.6108149177089936E-2</v>
      </c>
      <c r="O250" s="26">
        <f t="shared" si="34"/>
        <v>4.0474295132974077E-2</v>
      </c>
      <c r="P250" s="26">
        <f t="shared" si="35"/>
        <v>2.3040512383057335E-2</v>
      </c>
      <c r="Q250" s="26">
        <f t="shared" si="36"/>
        <v>2.3757012410119543E-2</v>
      </c>
      <c r="R250" s="26">
        <f t="shared" si="37"/>
        <v>2.2097737569162699E-2</v>
      </c>
      <c r="S250" s="26">
        <f t="shared" si="38"/>
        <v>1.1373617768271829E-2</v>
      </c>
      <c r="T250" s="26">
        <f t="shared" si="39"/>
        <v>-2.1674406557590196E-3</v>
      </c>
      <c r="U250" s="26">
        <f t="shared" si="40"/>
        <v>3.8162881996278014E-4</v>
      </c>
      <c r="V250" s="26">
        <f t="shared" si="41"/>
        <v>-6.712207143975411E-3</v>
      </c>
      <c r="W250" s="26">
        <f t="shared" si="42"/>
        <v>-1.9885229932650021E-2</v>
      </c>
      <c r="X250" s="26">
        <f t="shared" si="43"/>
        <v>5.0450867906948679E-3</v>
      </c>
    </row>
    <row r="251" spans="1:24" x14ac:dyDescent="0.2">
      <c r="A251" s="5">
        <v>33024</v>
      </c>
      <c r="B251" s="8">
        <f>+'Simulation and  VaR'!B264/'Simulation and  VaR'!B263-1</f>
        <v>3.2826212399730714E-2</v>
      </c>
      <c r="C251" s="8">
        <f>+'Simulation and  VaR'!C264/'Simulation and  VaR'!C263-1</f>
        <v>-1.842873997602279E-2</v>
      </c>
      <c r="D251" s="8">
        <f>+'Simulation and  VaR'!D264/'Simulation and  VaR'!D263-1</f>
        <v>-5.0403225806452401E-3</v>
      </c>
      <c r="E251" s="8">
        <f>+'Simulation and  VaR'!E264/'Simulation and  VaR'!E263-1</f>
        <v>1.9762845849804478E-3</v>
      </c>
      <c r="F251" s="8">
        <f>+'Simulation and  VaR'!F264/'Simulation and  VaR'!F263-1</f>
        <v>9.596928982724684E-4</v>
      </c>
      <c r="G251" s="8">
        <f>+'Simulation and  VaR'!G264/'Simulation and  VaR'!G263-1</f>
        <v>-2.7149321266968229E-3</v>
      </c>
      <c r="H251" s="8">
        <f>+'Simulation and  VaR'!H264/'Simulation and  VaR'!H263-1</f>
        <v>4.3254376930998761E-2</v>
      </c>
      <c r="I251" s="8">
        <f>+'Simulation and  VaR'!I264/'Simulation and  VaR'!I263-1</f>
        <v>-4.1780279707977819E-2</v>
      </c>
      <c r="J251" s="8">
        <f>+'Simulation and  VaR'!J264/'Simulation and  VaR'!J263-1</f>
        <v>2.9205607476635587E-2</v>
      </c>
      <c r="K251" s="8">
        <f>+'Simulation and  VaR'!K264/'Simulation and  VaR'!K263-1</f>
        <v>-7.0554316488059654E-2</v>
      </c>
      <c r="L251" s="8">
        <f>+'Simulation and  VaR'!L264/'Simulation and  VaR'!L263-1</f>
        <v>6.7295396419437159E-2</v>
      </c>
      <c r="N251" s="26">
        <f t="shared" si="33"/>
        <v>2.8814748539425322E-2</v>
      </c>
      <c r="O251" s="26">
        <f t="shared" si="34"/>
        <v>-2.0407056288314178E-2</v>
      </c>
      <c r="P251" s="26">
        <f t="shared" si="35"/>
        <v>-6.7931986273398887E-3</v>
      </c>
      <c r="Q251" s="26">
        <f t="shared" si="36"/>
        <v>4.040163466704483E-4</v>
      </c>
      <c r="R251" s="26">
        <f t="shared" si="37"/>
        <v>-5.1820803944099456E-4</v>
      </c>
      <c r="S251" s="26">
        <f t="shared" si="38"/>
        <v>-4.1735783364266286E-3</v>
      </c>
      <c r="T251" s="26">
        <f t="shared" si="39"/>
        <v>3.7910996885938353E-2</v>
      </c>
      <c r="U251" s="26">
        <f t="shared" si="40"/>
        <v>-5.4182045837015198E-2</v>
      </c>
      <c r="V251" s="26">
        <f t="shared" si="41"/>
        <v>1.8976401504993301E-2</v>
      </c>
      <c r="W251" s="26">
        <f t="shared" si="42"/>
        <v>-6.8987401206188237E-2</v>
      </c>
      <c r="X251" s="26">
        <f t="shared" si="43"/>
        <v>7.0819631533192859E-2</v>
      </c>
    </row>
    <row r="252" spans="1:24" x14ac:dyDescent="0.2">
      <c r="A252" s="5">
        <v>33054</v>
      </c>
      <c r="B252" s="8">
        <f>+'Simulation and  VaR'!B265/'Simulation and  VaR'!B264-1</f>
        <v>3.4026326656395822E-2</v>
      </c>
      <c r="C252" s="8">
        <f>+'Simulation and  VaR'!C265/'Simulation and  VaR'!C264-1</f>
        <v>1.5074558497571999E-2</v>
      </c>
      <c r="D252" s="8">
        <f>+'Simulation and  VaR'!D265/'Simulation and  VaR'!D264-1</f>
        <v>1.0131712259372039E-2</v>
      </c>
      <c r="E252" s="8">
        <f>+'Simulation and  VaR'!E265/'Simulation and  VaR'!E264-1</f>
        <v>1.2820512820512775E-2</v>
      </c>
      <c r="F252" s="8">
        <f>+'Simulation and  VaR'!F265/'Simulation and  VaR'!F264-1</f>
        <v>1.2464046021092967E-2</v>
      </c>
      <c r="G252" s="8">
        <f>+'Simulation and  VaR'!G265/'Simulation and  VaR'!G264-1</f>
        <v>9.0744101633393193E-3</v>
      </c>
      <c r="H252" s="8">
        <f>+'Simulation and  VaR'!H265/'Simulation and  VaR'!H264-1</f>
        <v>-5.4111367043253589E-3</v>
      </c>
      <c r="I252" s="8">
        <f>+'Simulation and  VaR'!I265/'Simulation and  VaR'!I264-1</f>
        <v>0</v>
      </c>
      <c r="J252" s="8">
        <f>+'Simulation and  VaR'!J265/'Simulation and  VaR'!J264-1</f>
        <v>-0.15323496027241779</v>
      </c>
      <c r="K252" s="8">
        <f>+'Simulation and  VaR'!K265/'Simulation and  VaR'!K264-1</f>
        <v>9.3643918997998732E-4</v>
      </c>
      <c r="L252" s="8">
        <f>+'Simulation and  VaR'!L265/'Simulation and  VaR'!L264-1</f>
        <v>-3.5944286356147659E-3</v>
      </c>
      <c r="N252" s="26">
        <f t="shared" si="33"/>
        <v>3.0014862796090429E-2</v>
      </c>
      <c r="O252" s="26">
        <f t="shared" si="34"/>
        <v>1.309624218528061E-2</v>
      </c>
      <c r="P252" s="26">
        <f t="shared" si="35"/>
        <v>8.3788362126773902E-3</v>
      </c>
      <c r="Q252" s="26">
        <f t="shared" si="36"/>
        <v>1.1248244582202775E-2</v>
      </c>
      <c r="R252" s="26">
        <f t="shared" si="37"/>
        <v>1.0986145083379504E-2</v>
      </c>
      <c r="S252" s="26">
        <f t="shared" si="38"/>
        <v>7.6157639536095136E-3</v>
      </c>
      <c r="T252" s="26">
        <f t="shared" si="39"/>
        <v>-1.0754516749385764E-2</v>
      </c>
      <c r="U252" s="26">
        <f t="shared" si="40"/>
        <v>-1.240176612903738E-2</v>
      </c>
      <c r="V252" s="26">
        <f t="shared" si="41"/>
        <v>-0.16346416624406007</v>
      </c>
      <c r="W252" s="26">
        <f t="shared" si="42"/>
        <v>2.5033544718514019E-3</v>
      </c>
      <c r="X252" s="26">
        <f t="shared" si="43"/>
        <v>-7.0193521859059516E-5</v>
      </c>
    </row>
    <row r="253" spans="1:24" x14ac:dyDescent="0.2">
      <c r="A253" s="5">
        <v>33085</v>
      </c>
      <c r="B253" s="8">
        <f>+'Simulation and  VaR'!B266/'Simulation and  VaR'!B265-1</f>
        <v>5.8872061230484718E-2</v>
      </c>
      <c r="C253" s="8">
        <f>+'Simulation and  VaR'!C266/'Simulation and  VaR'!C265-1</f>
        <v>2.2549612011912856E-2</v>
      </c>
      <c r="D253" s="8">
        <f>+'Simulation and  VaR'!D266/'Simulation and  VaR'!D265-1</f>
        <v>1.5045135406218435E-2</v>
      </c>
      <c r="E253" s="8">
        <f>+'Simulation and  VaR'!E266/'Simulation and  VaR'!E265-1</f>
        <v>1.0710808179162479E-2</v>
      </c>
      <c r="F253" s="8">
        <f>+'Simulation and  VaR'!F266/'Simulation and  VaR'!F265-1</f>
        <v>7.575757575757569E-3</v>
      </c>
      <c r="G253" s="8">
        <f>+'Simulation and  VaR'!G266/'Simulation and  VaR'!G265-1</f>
        <v>8.9928057553958496E-3</v>
      </c>
      <c r="H253" s="8">
        <f>+'Simulation and  VaR'!H266/'Simulation and  VaR'!H265-1</f>
        <v>-3.8598683968679937E-2</v>
      </c>
      <c r="I253" s="8">
        <f>+'Simulation and  VaR'!I266/'Simulation and  VaR'!I265-1</f>
        <v>-1.43427574811823E-2</v>
      </c>
      <c r="J253" s="8">
        <f>+'Simulation and  VaR'!J266/'Simulation and  VaR'!J265-1</f>
        <v>7.3726541554959946E-2</v>
      </c>
      <c r="K253" s="8">
        <f>+'Simulation and  VaR'!K266/'Simulation and  VaR'!K265-1</f>
        <v>-1.6138463337621256E-2</v>
      </c>
      <c r="L253" s="8">
        <f>+'Simulation and  VaR'!L266/'Simulation and  VaR'!L265-1</f>
        <v>2.6078460844731755E-2</v>
      </c>
      <c r="N253" s="26">
        <f t="shared" si="33"/>
        <v>5.4860597370179329E-2</v>
      </c>
      <c r="O253" s="26">
        <f t="shared" si="34"/>
        <v>2.0571295699621468E-2</v>
      </c>
      <c r="P253" s="26">
        <f t="shared" si="35"/>
        <v>1.3292259359523786E-2</v>
      </c>
      <c r="Q253" s="26">
        <f t="shared" si="36"/>
        <v>9.1385399408524786E-3</v>
      </c>
      <c r="R253" s="26">
        <f t="shared" si="37"/>
        <v>6.0978566380441059E-3</v>
      </c>
      <c r="S253" s="26">
        <f t="shared" si="38"/>
        <v>7.5341595456660439E-3</v>
      </c>
      <c r="T253" s="26">
        <f t="shared" si="39"/>
        <v>-4.3942064013740345E-2</v>
      </c>
      <c r="U253" s="26">
        <f t="shared" si="40"/>
        <v>-2.674452361021968E-2</v>
      </c>
      <c r="V253" s="26">
        <f t="shared" si="41"/>
        <v>6.349733558331766E-2</v>
      </c>
      <c r="W253" s="26">
        <f t="shared" si="42"/>
        <v>-1.4571548055749842E-2</v>
      </c>
      <c r="X253" s="26">
        <f t="shared" si="43"/>
        <v>2.9602695958487461E-2</v>
      </c>
    </row>
    <row r="254" spans="1:24" x14ac:dyDescent="0.2">
      <c r="A254" s="5">
        <v>33116</v>
      </c>
      <c r="B254" s="8">
        <f>+'Simulation and  VaR'!B267/'Simulation and  VaR'!B266-1</f>
        <v>2.5469269073109091E-2</v>
      </c>
      <c r="C254" s="8">
        <f>+'Simulation and  VaR'!C267/'Simulation and  VaR'!C266-1</f>
        <v>-3.0558644987695338E-2</v>
      </c>
      <c r="D254" s="8">
        <f>+'Simulation and  VaR'!D267/'Simulation and  VaR'!D266-1</f>
        <v>-2.8656126482213384E-2</v>
      </c>
      <c r="E254" s="8">
        <f>+'Simulation and  VaR'!E267/'Simulation and  VaR'!E266-1</f>
        <v>-2.9865125240847612E-2</v>
      </c>
      <c r="F254" s="8">
        <f>+'Simulation and  VaR'!F267/'Simulation and  VaR'!F266-1</f>
        <v>-2.7255639097744422E-2</v>
      </c>
      <c r="G254" s="8">
        <f>+'Simulation and  VaR'!G267/'Simulation and  VaR'!G266-1</f>
        <v>-2.673796791443861E-2</v>
      </c>
      <c r="H254" s="8">
        <f>+'Simulation and  VaR'!H267/'Simulation and  VaR'!H266-1</f>
        <v>3.9727755897985162E-2</v>
      </c>
      <c r="I254" s="8">
        <f>+'Simulation and  VaR'!I267/'Simulation and  VaR'!I266-1</f>
        <v>-8.0906148867313954E-2</v>
      </c>
      <c r="J254" s="8">
        <f>+'Simulation and  VaR'!J267/'Simulation and  VaR'!J266-1</f>
        <v>-5.9925093632958948E-2</v>
      </c>
      <c r="K254" s="8">
        <f>+'Simulation and  VaR'!K267/'Simulation and  VaR'!K266-1</f>
        <v>5.1111375252586022E-3</v>
      </c>
      <c r="L254" s="8">
        <f>+'Simulation and  VaR'!L267/'Simulation and  VaR'!L266-1</f>
        <v>-1.9189921628946061E-2</v>
      </c>
      <c r="N254" s="26">
        <f t="shared" si="33"/>
        <v>2.1457805212803698E-2</v>
      </c>
      <c r="O254" s="26">
        <f t="shared" si="34"/>
        <v>-3.2536961299986726E-2</v>
      </c>
      <c r="P254" s="26">
        <f t="shared" si="35"/>
        <v>-3.0409002528908033E-2</v>
      </c>
      <c r="Q254" s="26">
        <f t="shared" si="36"/>
        <v>-3.143739347915761E-2</v>
      </c>
      <c r="R254" s="26">
        <f t="shared" si="37"/>
        <v>-2.8733540035457885E-2</v>
      </c>
      <c r="S254" s="26">
        <f t="shared" si="38"/>
        <v>-2.8196614124168413E-2</v>
      </c>
      <c r="T254" s="26">
        <f t="shared" si="39"/>
        <v>3.4384375852924753E-2</v>
      </c>
      <c r="U254" s="26">
        <f t="shared" si="40"/>
        <v>-9.3307914996351327E-2</v>
      </c>
      <c r="V254" s="26">
        <f t="shared" si="41"/>
        <v>-7.0154299604601233E-2</v>
      </c>
      <c r="W254" s="26">
        <f t="shared" si="42"/>
        <v>6.6780528071300168E-3</v>
      </c>
      <c r="X254" s="26">
        <f t="shared" si="43"/>
        <v>-1.5665686515190354E-2</v>
      </c>
    </row>
    <row r="255" spans="1:24" x14ac:dyDescent="0.2">
      <c r="A255" s="5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24" x14ac:dyDescent="0.2">
      <c r="A256" s="25" t="s">
        <v>33</v>
      </c>
      <c r="B256" s="18">
        <f>AVERAGE(B5:B254)</f>
        <v>4.0114638603053919E-3</v>
      </c>
      <c r="C256" s="18">
        <f t="shared" ref="C256:L256" si="44">AVERAGE(C5:C254)</f>
        <v>1.9783163122913897E-3</v>
      </c>
      <c r="D256" s="18">
        <f t="shared" si="44"/>
        <v>1.7528760466946488E-3</v>
      </c>
      <c r="E256" s="18">
        <f t="shared" si="44"/>
        <v>1.5722682383099995E-3</v>
      </c>
      <c r="F256" s="18">
        <f t="shared" si="44"/>
        <v>1.477900937713463E-3</v>
      </c>
      <c r="G256" s="18">
        <f t="shared" si="44"/>
        <v>1.4586462097298054E-3</v>
      </c>
      <c r="H256" s="18">
        <f t="shared" si="44"/>
        <v>5.3433800450604051E-3</v>
      </c>
      <c r="I256" s="18">
        <f t="shared" si="44"/>
        <v>1.240176612903738E-2</v>
      </c>
      <c r="J256" s="18">
        <f t="shared" si="44"/>
        <v>1.0229205971642284E-2</v>
      </c>
      <c r="K256" s="18">
        <f t="shared" si="44"/>
        <v>-1.5669152818714146E-3</v>
      </c>
      <c r="L256" s="18">
        <f t="shared" si="44"/>
        <v>-3.5242351137557064E-3</v>
      </c>
    </row>
    <row r="257" spans="1:12" x14ac:dyDescent="0.2">
      <c r="A257" s="25" t="s">
        <v>34</v>
      </c>
      <c r="B257" s="18">
        <f>STDEV(B5:B254)</f>
        <v>4.0620731421857015E-2</v>
      </c>
      <c r="C257" s="18">
        <f t="shared" ref="C257:L257" si="45">STDEV(C5:C254)</f>
        <v>2.2592736728547821E-2</v>
      </c>
      <c r="D257" s="18">
        <f t="shared" si="45"/>
        <v>1.3588979743164819E-2</v>
      </c>
      <c r="E257" s="18">
        <f t="shared" si="45"/>
        <v>1.1433172858202445E-2</v>
      </c>
      <c r="F257" s="18">
        <f t="shared" si="45"/>
        <v>1.1584058456186229E-2</v>
      </c>
      <c r="G257" s="18">
        <f t="shared" si="45"/>
        <v>1.1626222651815624E-2</v>
      </c>
      <c r="H257" s="18">
        <f t="shared" si="45"/>
        <v>4.6503495984036587E-2</v>
      </c>
      <c r="I257" s="18">
        <f t="shared" si="45"/>
        <v>7.4907816212061981E-2</v>
      </c>
      <c r="J257" s="18">
        <f t="shared" si="45"/>
        <v>0.10464112690663466</v>
      </c>
      <c r="K257" s="18">
        <f t="shared" si="45"/>
        <v>2.9133568089123391E-2</v>
      </c>
      <c r="L257" s="18">
        <f t="shared" si="45"/>
        <v>2.9729017075862747E-2</v>
      </c>
    </row>
    <row r="258" spans="1:12" x14ac:dyDescent="0.2">
      <c r="A258" s="24" t="s">
        <v>35</v>
      </c>
      <c r="B258" s="55">
        <f>VAR(B5:B254)</f>
        <v>1.6500438212466416E-3</v>
      </c>
      <c r="C258" s="55">
        <f t="shared" ref="C258:L258" si="46">VAR(C5:C254)</f>
        <v>5.1043175288547379E-4</v>
      </c>
      <c r="D258" s="55">
        <f t="shared" si="46"/>
        <v>1.8466037046014377E-4</v>
      </c>
      <c r="E258" s="55">
        <f t="shared" si="46"/>
        <v>1.3071744160553705E-4</v>
      </c>
      <c r="F258" s="55">
        <f t="shared" si="46"/>
        <v>1.3419041031633968E-4</v>
      </c>
      <c r="G258" s="55">
        <f t="shared" si="46"/>
        <v>1.3516905314959072E-4</v>
      </c>
      <c r="H258" s="55">
        <f t="shared" si="46"/>
        <v>2.1625751387373067E-3</v>
      </c>
      <c r="I258" s="55">
        <f t="shared" si="46"/>
        <v>5.611180929660055E-3</v>
      </c>
      <c r="J258" s="55">
        <f t="shared" si="46"/>
        <v>1.0949765440290419E-2</v>
      </c>
      <c r="K258" s="55">
        <f t="shared" si="46"/>
        <v>8.4876478960358879E-4</v>
      </c>
      <c r="L258" s="55">
        <f t="shared" si="46"/>
        <v>8.8381445629693873E-4</v>
      </c>
    </row>
  </sheetData>
  <mergeCells count="4">
    <mergeCell ref="AN4:AX4"/>
    <mergeCell ref="B3:L3"/>
    <mergeCell ref="N3:X3"/>
    <mergeCell ref="BA4:BK4"/>
  </mergeCells>
  <hyperlinks>
    <hyperlink ref="AT3" r:id="rId1"/>
    <hyperlink ref="AT18" r:id="rId2" location="VBA"/>
  </hyperlink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BI1012"/>
  <sheetViews>
    <sheetView topLeftCell="U26" workbookViewId="0">
      <selection activeCell="AC47" sqref="AC47"/>
    </sheetView>
  </sheetViews>
  <sheetFormatPr baseColWidth="10" defaultRowHeight="16" x14ac:dyDescent="0.2"/>
  <cols>
    <col min="1" max="1" width="16.1640625" customWidth="1"/>
    <col min="2" max="12" width="9.1640625" customWidth="1"/>
    <col min="39" max="46" width="11" bestFit="1" customWidth="1"/>
    <col min="47" max="47" width="12.33203125" bestFit="1" customWidth="1"/>
    <col min="48" max="48" width="11.33203125" bestFit="1" customWidth="1"/>
    <col min="49" max="49" width="12.33203125" bestFit="1" customWidth="1"/>
  </cols>
  <sheetData>
    <row r="1" spans="1:61" ht="20" x14ac:dyDescent="0.2">
      <c r="A1" s="45" t="s">
        <v>61</v>
      </c>
      <c r="B1" s="51" t="s">
        <v>60</v>
      </c>
      <c r="G1" s="39" t="s">
        <v>88</v>
      </c>
      <c r="H1" s="38" t="s">
        <v>92</v>
      </c>
      <c r="I1" s="77" t="s">
        <v>97</v>
      </c>
      <c r="J1" s="49" t="s">
        <v>106</v>
      </c>
    </row>
    <row r="2" spans="1:61" x14ac:dyDescent="0.2">
      <c r="A2" s="1">
        <v>8</v>
      </c>
      <c r="B2" s="2" t="s">
        <v>18</v>
      </c>
    </row>
    <row r="3" spans="1:61" ht="20" x14ac:dyDescent="0.2">
      <c r="A3" s="1">
        <v>9</v>
      </c>
      <c r="B3" s="3" t="s">
        <v>4</v>
      </c>
      <c r="Z3" s="38" t="s">
        <v>92</v>
      </c>
      <c r="AM3" s="77" t="s">
        <v>97</v>
      </c>
      <c r="AY3" s="49" t="s">
        <v>106</v>
      </c>
    </row>
    <row r="4" spans="1:61" x14ac:dyDescent="0.2">
      <c r="A4" s="1">
        <v>10</v>
      </c>
      <c r="B4" s="3" t="s">
        <v>19</v>
      </c>
      <c r="AM4" t="s">
        <v>105</v>
      </c>
    </row>
    <row r="5" spans="1:61" x14ac:dyDescent="0.2">
      <c r="A5" s="1">
        <v>11</v>
      </c>
      <c r="B5" s="1" t="s">
        <v>20</v>
      </c>
      <c r="Z5" s="31" t="s">
        <v>93</v>
      </c>
      <c r="AA5" s="31"/>
      <c r="AM5" t="s">
        <v>98</v>
      </c>
      <c r="AY5" t="s">
        <v>107</v>
      </c>
    </row>
    <row r="6" spans="1:61" ht="20" x14ac:dyDescent="0.2">
      <c r="B6" s="39" t="s">
        <v>88</v>
      </c>
      <c r="C6" s="34" t="s">
        <v>91</v>
      </c>
      <c r="D6" s="34"/>
      <c r="E6" s="34"/>
      <c r="F6" s="34"/>
      <c r="G6" s="34"/>
      <c r="H6" s="34"/>
      <c r="Z6" s="31" t="s">
        <v>94</v>
      </c>
      <c r="AA6" s="31"/>
      <c r="AB6" s="31"/>
      <c r="AC6" s="31">
        <f ca="1">COUNT(L9:L1008)</f>
        <v>1000</v>
      </c>
    </row>
    <row r="7" spans="1:61" x14ac:dyDescent="0.2">
      <c r="B7" s="34" t="s">
        <v>89</v>
      </c>
      <c r="C7" s="34">
        <v>0</v>
      </c>
      <c r="D7" s="34" t="s">
        <v>90</v>
      </c>
      <c r="E7" s="34"/>
      <c r="F7" s="34">
        <v>1</v>
      </c>
      <c r="N7" s="43" t="s">
        <v>95</v>
      </c>
      <c r="O7" s="43"/>
      <c r="P7" s="43"/>
      <c r="Q7" s="43"/>
      <c r="R7" s="43"/>
      <c r="S7" s="43"/>
      <c r="T7" s="43"/>
      <c r="U7" s="43"/>
      <c r="V7" s="43"/>
      <c r="W7" s="43"/>
      <c r="X7" s="43"/>
      <c r="AY7" s="27">
        <f t="array" ref="AY7:BI17">MINVERSE('Q1-4'!$AA$5:$AK$15)</f>
        <v>321.37266330051875</v>
      </c>
      <c r="AZ7" s="27">
        <v>-303.2469104864968</v>
      </c>
      <c r="BA7" s="27">
        <v>-122.0072000509558</v>
      </c>
      <c r="BB7" s="27">
        <v>72.702190859291804</v>
      </c>
      <c r="BC7" s="27">
        <v>-136.87978141894487</v>
      </c>
      <c r="BD7" s="27">
        <v>62.719767410495351</v>
      </c>
      <c r="BE7" s="27">
        <v>29.800604762046667</v>
      </c>
      <c r="BF7" s="27">
        <v>26.965483401288026</v>
      </c>
      <c r="BG7" s="27">
        <v>8.2143854492921999</v>
      </c>
      <c r="BH7" s="27">
        <v>79.05907735408563</v>
      </c>
      <c r="BI7" s="27">
        <v>24.202725313550658</v>
      </c>
    </row>
    <row r="8" spans="1:61" x14ac:dyDescent="0.2">
      <c r="B8" s="69" t="s">
        <v>77</v>
      </c>
      <c r="C8" s="69" t="s">
        <v>78</v>
      </c>
      <c r="D8" s="69" t="s">
        <v>79</v>
      </c>
      <c r="E8" s="69" t="s">
        <v>80</v>
      </c>
      <c r="F8" s="69" t="s">
        <v>81</v>
      </c>
      <c r="G8" s="69" t="s">
        <v>82</v>
      </c>
      <c r="H8" s="69" t="s">
        <v>83</v>
      </c>
      <c r="I8" s="69" t="s">
        <v>84</v>
      </c>
      <c r="J8" s="69" t="s">
        <v>85</v>
      </c>
      <c r="K8" s="69" t="s">
        <v>86</v>
      </c>
      <c r="L8" s="69" t="s">
        <v>87</v>
      </c>
      <c r="N8" s="69" t="s">
        <v>77</v>
      </c>
      <c r="O8" s="69" t="s">
        <v>78</v>
      </c>
      <c r="P8" s="69" t="s">
        <v>79</v>
      </c>
      <c r="Q8" s="69" t="s">
        <v>80</v>
      </c>
      <c r="R8" s="69" t="s">
        <v>81</v>
      </c>
      <c r="S8" s="69" t="s">
        <v>82</v>
      </c>
      <c r="T8" s="69" t="s">
        <v>83</v>
      </c>
      <c r="U8" s="69" t="s">
        <v>84</v>
      </c>
      <c r="V8" s="69" t="s">
        <v>85</v>
      </c>
      <c r="W8" s="69" t="s">
        <v>86</v>
      </c>
      <c r="X8" s="69" t="s">
        <v>87</v>
      </c>
      <c r="Y8" s="69"/>
      <c r="Z8" s="27"/>
      <c r="AA8" s="29" t="s">
        <v>77</v>
      </c>
      <c r="AB8" s="29" t="s">
        <v>78</v>
      </c>
      <c r="AC8" s="29" t="s">
        <v>79</v>
      </c>
      <c r="AD8" s="29" t="s">
        <v>80</v>
      </c>
      <c r="AE8" s="29" t="s">
        <v>81</v>
      </c>
      <c r="AF8" s="29" t="s">
        <v>82</v>
      </c>
      <c r="AG8" s="29" t="s">
        <v>83</v>
      </c>
      <c r="AH8" s="29" t="s">
        <v>84</v>
      </c>
      <c r="AI8" s="29" t="s">
        <v>85</v>
      </c>
      <c r="AJ8" s="29" t="s">
        <v>86</v>
      </c>
      <c r="AK8" s="29" t="s">
        <v>87</v>
      </c>
      <c r="AM8" s="45" t="s">
        <v>99</v>
      </c>
      <c r="AQ8">
        <v>5</v>
      </c>
      <c r="AY8" s="27">
        <v>-303.24691048649657</v>
      </c>
      <c r="AZ8" s="27">
        <v>2893.840323859697</v>
      </c>
      <c r="BA8" s="27">
        <v>-3273.4595325479681</v>
      </c>
      <c r="BB8" s="27">
        <v>41.40405912104994</v>
      </c>
      <c r="BC8" s="27">
        <v>795.19889335316338</v>
      </c>
      <c r="BD8" s="27">
        <v>-482.02825683374044</v>
      </c>
      <c r="BE8" s="27">
        <v>71.623599804814788</v>
      </c>
      <c r="BF8" s="27">
        <v>-71.601212665315813</v>
      </c>
      <c r="BG8" s="27">
        <v>-32.684935078947255</v>
      </c>
      <c r="BH8" s="27">
        <v>-41.162887022665601</v>
      </c>
      <c r="BI8" s="27">
        <v>-55.45638267460393</v>
      </c>
    </row>
    <row r="9" spans="1:61" x14ac:dyDescent="0.2">
      <c r="B9" s="69">
        <f ca="1">NORMINV(RAND(),$C$7,$F$7)</f>
        <v>-1.3205419684915789</v>
      </c>
      <c r="C9" s="69">
        <f t="shared" ref="C9:L24" ca="1" si="0">NORMINV(RAND(),$C$7,$F$7)</f>
        <v>0.38669700033084226</v>
      </c>
      <c r="D9" s="69">
        <f t="shared" ca="1" si="0"/>
        <v>-0.7663388742716114</v>
      </c>
      <c r="E9" s="69">
        <f t="shared" ca="1" si="0"/>
        <v>-0.33354349260155292</v>
      </c>
      <c r="F9" s="69">
        <f t="shared" ca="1" si="0"/>
        <v>-0.81263886503473659</v>
      </c>
      <c r="G9" s="69">
        <f t="shared" ca="1" si="0"/>
        <v>1.2248185189581147</v>
      </c>
      <c r="H9" s="69">
        <f t="shared" ca="1" si="0"/>
        <v>1.6704166596060055</v>
      </c>
      <c r="I9" s="69">
        <f t="shared" ca="1" si="0"/>
        <v>-0.4731075339849683</v>
      </c>
      <c r="J9" s="69">
        <f t="shared" ca="1" si="0"/>
        <v>0.71990487514542123</v>
      </c>
      <c r="K9" s="69">
        <f t="shared" ca="1" si="0"/>
        <v>-0.28269952081688654</v>
      </c>
      <c r="L9" s="69">
        <f t="shared" ca="1" si="0"/>
        <v>-0.9890189070493155</v>
      </c>
      <c r="N9" s="69">
        <f ca="1">B9-$B$1010</f>
        <v>-1.2827739246534702</v>
      </c>
      <c r="O9" s="69">
        <f ca="1">C9-$C$1010</f>
        <v>0.36020343724795556</v>
      </c>
      <c r="P9" s="69">
        <f ca="1">D9-$D$1010</f>
        <v>-0.82408093910870139</v>
      </c>
      <c r="Q9" s="69">
        <f ca="1">E9-$E$1010</f>
        <v>-0.28443481373979396</v>
      </c>
      <c r="R9" s="69">
        <f ca="1">F9-$F$1010</f>
        <v>-0.81893355044238547</v>
      </c>
      <c r="S9" s="69">
        <f ca="1">G9-$G$1010</f>
        <v>1.2576454912149231</v>
      </c>
      <c r="T9" s="69">
        <f ca="1">H9-$H$1010</f>
        <v>1.6655856218908156</v>
      </c>
      <c r="U9" s="69">
        <f ca="1">I9-$I$1010</f>
        <v>-0.45006740710725862</v>
      </c>
      <c r="V9" s="69">
        <f ca="1">J9-$J$1010</f>
        <v>0.71379528157182393</v>
      </c>
      <c r="W9" s="69">
        <f ca="1">K9-$K$1010</f>
        <v>-0.2817181639927876</v>
      </c>
      <c r="X9" s="69">
        <f ca="1">L9-$L$1010</f>
        <v>-0.96185041667488003</v>
      </c>
      <c r="Z9" s="29" t="s">
        <v>77</v>
      </c>
      <c r="AA9" s="72">
        <f t="array" aca="1" ref="AA9:AK19" ca="1">MMULT(TRANSPOSE(N9:X1008),N9:X1008)/(AC6-1)</f>
        <v>1.0704765782891774</v>
      </c>
      <c r="AB9" s="35">
        <f ca="1"/>
        <v>-2.373213237758286E-2</v>
      </c>
      <c r="AC9" s="35">
        <f ca="1"/>
        <v>-5.2754933542762401E-2</v>
      </c>
      <c r="AD9" s="35">
        <f ca="1"/>
        <v>3.167085397466234E-3</v>
      </c>
      <c r="AE9" s="35">
        <f ca="1"/>
        <v>3.2476248979599436E-2</v>
      </c>
      <c r="AF9" s="35">
        <f ca="1"/>
        <v>-3.0543414166372767E-3</v>
      </c>
      <c r="AG9" s="35">
        <f ca="1"/>
        <v>-4.9332209305285703E-3</v>
      </c>
      <c r="AH9" s="35">
        <f ca="1"/>
        <v>-1.1200965788497445E-2</v>
      </c>
      <c r="AI9" s="35">
        <f ca="1"/>
        <v>-2.3383846662666332E-3</v>
      </c>
      <c r="AJ9" s="35">
        <f ca="1"/>
        <v>-2.4277930431838658E-2</v>
      </c>
      <c r="AK9" s="35">
        <f ca="1"/>
        <v>-2.4492327055655416E-2</v>
      </c>
      <c r="AY9" s="27">
        <v>-122.00720005095629</v>
      </c>
      <c r="AZ9" s="27">
        <v>-3273.4595325479663</v>
      </c>
      <c r="BA9" s="27">
        <v>20567.154158441645</v>
      </c>
      <c r="BB9" s="27">
        <v>-17977.202197019349</v>
      </c>
      <c r="BC9" s="27">
        <v>46.322795477830311</v>
      </c>
      <c r="BD9" s="27">
        <v>484.68227027217989</v>
      </c>
      <c r="BE9" s="27">
        <v>-119.19221431789441</v>
      </c>
      <c r="BF9" s="27">
        <v>-166.21890274839788</v>
      </c>
      <c r="BG9" s="27">
        <v>-24.397752671506129</v>
      </c>
      <c r="BH9" s="27">
        <v>246.19542623069049</v>
      </c>
      <c r="BI9" s="27">
        <v>-138.5547341477178</v>
      </c>
    </row>
    <row r="10" spans="1:61" x14ac:dyDescent="0.2">
      <c r="B10" s="69">
        <f t="shared" ref="B10:L73" ca="1" si="1">NORMINV(RAND(),$C$7,$F$7)</f>
        <v>1.0688672437931868</v>
      </c>
      <c r="C10" s="69">
        <f t="shared" ca="1" si="0"/>
        <v>-1.7543527113393689</v>
      </c>
      <c r="D10" s="69">
        <f t="shared" ca="1" si="0"/>
        <v>4.0039185513996912E-2</v>
      </c>
      <c r="E10" s="69">
        <f t="shared" ca="1" si="0"/>
        <v>-2.3110644370562703</v>
      </c>
      <c r="F10" s="69">
        <f t="shared" ca="1" si="0"/>
        <v>-0.44654688324587771</v>
      </c>
      <c r="G10" s="69">
        <f t="shared" ca="1" si="0"/>
        <v>-0.42571782778520234</v>
      </c>
      <c r="H10" s="69">
        <f t="shared" ca="1" si="0"/>
        <v>-0.70948907925383109</v>
      </c>
      <c r="I10" s="69">
        <f t="shared" ca="1" si="0"/>
        <v>0.46053419583406208</v>
      </c>
      <c r="J10" s="69">
        <f t="shared" ca="1" si="0"/>
        <v>-1.3201129942486278</v>
      </c>
      <c r="K10" s="69">
        <f t="shared" ca="1" si="0"/>
        <v>1.9954182265216645</v>
      </c>
      <c r="L10" s="69">
        <f t="shared" ca="1" si="0"/>
        <v>-1.9230964119604899</v>
      </c>
      <c r="N10" s="69">
        <f t="shared" ref="N10:N73" ca="1" si="2">B10-$B$1010</f>
        <v>1.1066352876312955</v>
      </c>
      <c r="O10" s="69">
        <f t="shared" ref="O10:O73" ca="1" si="3">C10-$C$1010</f>
        <v>-1.7808462744222555</v>
      </c>
      <c r="P10" s="69">
        <f t="shared" ref="P10:P73" ca="1" si="4">D10-$D$1010</f>
        <v>-1.7702879323093119E-2</v>
      </c>
      <c r="Q10" s="69">
        <f t="shared" ref="Q10:Q73" ca="1" si="5">E10-$E$1010</f>
        <v>-2.2619557581945116</v>
      </c>
      <c r="R10" s="69">
        <f t="shared" ref="R10:R73" ca="1" si="6">F10-$F$1010</f>
        <v>-0.45284156865352659</v>
      </c>
      <c r="S10" s="69">
        <f t="shared" ref="S10:S73" ca="1" si="7">G10-$G$1010</f>
        <v>-0.39289085552839387</v>
      </c>
      <c r="T10" s="69">
        <f t="shared" ref="T10:T73" ca="1" si="8">H10-$H$1010</f>
        <v>-0.71432011696902098</v>
      </c>
      <c r="U10" s="69">
        <f t="shared" ref="U10:U73" ca="1" si="9">I10-$I$1010</f>
        <v>0.48357432271177175</v>
      </c>
      <c r="V10" s="69">
        <f t="shared" ref="V10:V73" ca="1" si="10">J10-$J$1010</f>
        <v>-1.3262225878222251</v>
      </c>
      <c r="W10" s="69">
        <f t="shared" ref="W10:W73" ca="1" si="11">K10-$K$1010</f>
        <v>1.9963995833457635</v>
      </c>
      <c r="X10" s="69">
        <f t="shared" ref="X10:X73" ca="1" si="12">L10-$L$1010</f>
        <v>-1.8959279215860543</v>
      </c>
      <c r="Z10" s="29" t="s">
        <v>78</v>
      </c>
      <c r="AA10" s="35">
        <f ca="1"/>
        <v>-2.373213237758286E-2</v>
      </c>
      <c r="AB10" s="72">
        <f ca="1"/>
        <v>1.0527422802966506</v>
      </c>
      <c r="AC10" s="35">
        <f ca="1"/>
        <v>2.7451374460859799E-2</v>
      </c>
      <c r="AD10" s="35">
        <f ca="1"/>
        <v>-1.7865321506545438E-2</v>
      </c>
      <c r="AE10" s="35">
        <f ca="1"/>
        <v>1.5446124468478694E-2</v>
      </c>
      <c r="AF10" s="35">
        <f ca="1"/>
        <v>-4.9947532854764292E-3</v>
      </c>
      <c r="AG10" s="35">
        <f ca="1"/>
        <v>-3.6030611977790734E-2</v>
      </c>
      <c r="AH10" s="35">
        <f ca="1"/>
        <v>-2.0563721182991729E-2</v>
      </c>
      <c r="AI10" s="35">
        <f ca="1"/>
        <v>-3.0416180755395063E-3</v>
      </c>
      <c r="AJ10" s="35">
        <f ca="1"/>
        <v>1.4195900832133118E-3</v>
      </c>
      <c r="AK10" s="35">
        <f ca="1"/>
        <v>2.1805280871386348E-2</v>
      </c>
      <c r="AM10" s="75" t="s">
        <v>100</v>
      </c>
      <c r="AQ10" s="67" t="s">
        <v>102</v>
      </c>
      <c r="AY10" s="27">
        <v>72.702190859290894</v>
      </c>
      <c r="AZ10" s="27">
        <v>41.404059121045307</v>
      </c>
      <c r="BA10" s="27">
        <v>-17977.20219701932</v>
      </c>
      <c r="BB10" s="27">
        <v>37731.799673266069</v>
      </c>
      <c r="BC10" s="27">
        <v>-12443.272801989187</v>
      </c>
      <c r="BD10" s="27">
        <v>-6415.9362515904759</v>
      </c>
      <c r="BE10" s="27">
        <v>560.9835831943119</v>
      </c>
      <c r="BF10" s="27">
        <v>326.54361888282358</v>
      </c>
      <c r="BG10" s="27">
        <v>-100.0812685495975</v>
      </c>
      <c r="BH10" s="27">
        <v>-459.21061061704728</v>
      </c>
      <c r="BI10" s="27">
        <v>232.60329303434622</v>
      </c>
    </row>
    <row r="11" spans="1:61" x14ac:dyDescent="0.2">
      <c r="B11" s="69">
        <f t="shared" ca="1" si="1"/>
        <v>-0.8514488877392592</v>
      </c>
      <c r="C11" s="69">
        <f t="shared" ca="1" si="0"/>
        <v>0.38487280634943744</v>
      </c>
      <c r="D11" s="69">
        <f t="shared" ca="1" si="0"/>
        <v>1.1772689290902743</v>
      </c>
      <c r="E11" s="69">
        <f t="shared" ca="1" si="0"/>
        <v>-0.53121101498307466</v>
      </c>
      <c r="F11" s="69">
        <f t="shared" ca="1" si="0"/>
        <v>-0.34298074857174865</v>
      </c>
      <c r="G11" s="69">
        <f t="shared" ca="1" si="0"/>
        <v>-0.72992823528416229</v>
      </c>
      <c r="H11" s="69">
        <f t="shared" ca="1" si="0"/>
        <v>1.1217365730690347</v>
      </c>
      <c r="I11" s="69">
        <f t="shared" ca="1" si="0"/>
        <v>-1.515623560356302</v>
      </c>
      <c r="J11" s="69">
        <f t="shared" ca="1" si="0"/>
        <v>-0.21991460758004358</v>
      </c>
      <c r="K11" s="69">
        <f t="shared" ca="1" si="0"/>
        <v>-1.4956007669391997</v>
      </c>
      <c r="L11" s="69">
        <f t="shared" ca="1" si="0"/>
        <v>-0.23889056069215911</v>
      </c>
      <c r="N11" s="69">
        <f t="shared" ca="1" si="2"/>
        <v>-0.81368084390115036</v>
      </c>
      <c r="O11" s="69">
        <f t="shared" ca="1" si="3"/>
        <v>0.35837924326655074</v>
      </c>
      <c r="P11" s="69">
        <f t="shared" ca="1" si="4"/>
        <v>1.1195268642531842</v>
      </c>
      <c r="Q11" s="69">
        <f t="shared" ca="1" si="5"/>
        <v>-0.4821023361213157</v>
      </c>
      <c r="R11" s="69">
        <f t="shared" ca="1" si="6"/>
        <v>-0.34927543397939753</v>
      </c>
      <c r="S11" s="69">
        <f t="shared" ca="1" si="7"/>
        <v>-0.69710126302735376</v>
      </c>
      <c r="T11" s="69">
        <f t="shared" ca="1" si="8"/>
        <v>1.1169055353538448</v>
      </c>
      <c r="U11" s="69">
        <f t="shared" ca="1" si="9"/>
        <v>-1.4925834334785923</v>
      </c>
      <c r="V11" s="69">
        <f t="shared" ca="1" si="10"/>
        <v>-0.22602420115364091</v>
      </c>
      <c r="W11" s="69">
        <f t="shared" ca="1" si="11"/>
        <v>-1.4946194101151007</v>
      </c>
      <c r="X11" s="69">
        <f t="shared" ca="1" si="12"/>
        <v>-0.21172207031772364</v>
      </c>
      <c r="Z11" s="29" t="s">
        <v>79</v>
      </c>
      <c r="AA11" s="35">
        <f ca="1"/>
        <v>-5.2754933542762401E-2</v>
      </c>
      <c r="AB11" s="35">
        <f ca="1"/>
        <v>2.7451374460859799E-2</v>
      </c>
      <c r="AC11" s="72">
        <f ca="1"/>
        <v>1.0086799684037195</v>
      </c>
      <c r="AD11" s="35">
        <f ca="1"/>
        <v>6.1272878387874555E-2</v>
      </c>
      <c r="AE11" s="35">
        <f ca="1"/>
        <v>2.5722352897415007E-2</v>
      </c>
      <c r="AF11" s="35">
        <f ca="1"/>
        <v>1.5740969313575923E-2</v>
      </c>
      <c r="AG11" s="35">
        <f ca="1"/>
        <v>-3.5738377496479928E-2</v>
      </c>
      <c r="AH11" s="35">
        <f ca="1"/>
        <v>1.6051204582665434E-3</v>
      </c>
      <c r="AI11" s="35">
        <f ca="1"/>
        <v>-3.2467373307470473E-2</v>
      </c>
      <c r="AJ11" s="35">
        <f ca="1"/>
        <v>-1.9056908070079665E-2</v>
      </c>
      <c r="AK11" s="35">
        <f ca="1"/>
        <v>4.518653914536698E-2</v>
      </c>
      <c r="AM11" s="27">
        <f t="array" aca="1" ref="AM11:AW11" ca="1">Get_Row(AQ8,COUNT(B9:L9))</f>
        <v>0.64538292113183682</v>
      </c>
      <c r="AN11" s="27">
        <f ca="1"/>
        <v>0.7029267536189131</v>
      </c>
      <c r="AO11" s="27">
        <f ca="1"/>
        <v>-0.16100984322680978</v>
      </c>
      <c r="AP11" s="27">
        <f ca="1"/>
        <v>-1.1237400788171201</v>
      </c>
      <c r="AQ11" s="27">
        <f ca="1"/>
        <v>0.17423627086330784</v>
      </c>
      <c r="AR11" s="27">
        <f ca="1"/>
        <v>-1.5172635302815038</v>
      </c>
      <c r="AS11" s="27">
        <f ca="1"/>
        <v>-0.20547270333490289</v>
      </c>
      <c r="AT11" s="27">
        <f ca="1"/>
        <v>1.0929896294360726</v>
      </c>
      <c r="AU11" s="27">
        <f ca="1"/>
        <v>1.3126028979773139</v>
      </c>
      <c r="AV11" s="27">
        <f ca="1"/>
        <v>1.6219624933325973</v>
      </c>
      <c r="AW11" s="27">
        <f ca="1"/>
        <v>1.3907321279366023</v>
      </c>
      <c r="AY11" s="27">
        <v>-136.87978141894428</v>
      </c>
      <c r="AZ11" s="27">
        <v>795.19889335316668</v>
      </c>
      <c r="BA11" s="27">
        <v>46.322795477803076</v>
      </c>
      <c r="BB11" s="27">
        <v>-12443.272801989158</v>
      </c>
      <c r="BC11" s="27">
        <v>22205.562428313271</v>
      </c>
      <c r="BD11" s="27">
        <v>-10657.326056002747</v>
      </c>
      <c r="BE11" s="27">
        <v>-304.6730678433895</v>
      </c>
      <c r="BF11" s="27">
        <v>-169.57696422008087</v>
      </c>
      <c r="BG11" s="27">
        <v>64.823296360198412</v>
      </c>
      <c r="BH11" s="27">
        <v>591.25110532223619</v>
      </c>
      <c r="BI11" s="27">
        <v>-309.14328932043543</v>
      </c>
    </row>
    <row r="12" spans="1:61" x14ac:dyDescent="0.2">
      <c r="B12" s="69">
        <f t="shared" ca="1" si="1"/>
        <v>-1.0140868345912679</v>
      </c>
      <c r="C12" s="69">
        <f t="shared" ca="1" si="0"/>
        <v>0.34043723590886299</v>
      </c>
      <c r="D12" s="69">
        <f t="shared" ca="1" si="0"/>
        <v>-2.2160651784160774</v>
      </c>
      <c r="E12" s="69">
        <f t="shared" ca="1" si="0"/>
        <v>0.36151499867705555</v>
      </c>
      <c r="F12" s="69">
        <f t="shared" ca="1" si="0"/>
        <v>-0.7193236490925905</v>
      </c>
      <c r="G12" s="69">
        <f t="shared" ca="1" si="0"/>
        <v>-1.1081002567550038</v>
      </c>
      <c r="H12" s="69">
        <f t="shared" ca="1" si="0"/>
        <v>1.7213568452432626</v>
      </c>
      <c r="I12" s="69">
        <f t="shared" ca="1" si="0"/>
        <v>0.92140928692516322</v>
      </c>
      <c r="J12" s="69">
        <f t="shared" ca="1" si="0"/>
        <v>-7.0558201646318638E-2</v>
      </c>
      <c r="K12" s="69">
        <f t="shared" ca="1" si="0"/>
        <v>1.1753602299768557</v>
      </c>
      <c r="L12" s="69">
        <f t="shared" ca="1" si="0"/>
        <v>0.48853371304920062</v>
      </c>
      <c r="N12" s="69">
        <f t="shared" ca="1" si="2"/>
        <v>-0.97631879075315908</v>
      </c>
      <c r="O12" s="69">
        <f t="shared" ca="1" si="3"/>
        <v>0.31394367282597629</v>
      </c>
      <c r="P12" s="69">
        <f t="shared" ca="1" si="4"/>
        <v>-2.2738072432531675</v>
      </c>
      <c r="Q12" s="69">
        <f t="shared" ca="1" si="5"/>
        <v>0.41062367753881451</v>
      </c>
      <c r="R12" s="69">
        <f t="shared" ca="1" si="6"/>
        <v>-0.72561833450023938</v>
      </c>
      <c r="S12" s="69">
        <f t="shared" ca="1" si="7"/>
        <v>-1.0752732844981954</v>
      </c>
      <c r="T12" s="69">
        <f t="shared" ca="1" si="8"/>
        <v>1.7165258075280727</v>
      </c>
      <c r="U12" s="69">
        <f t="shared" ca="1" si="9"/>
        <v>0.94444941380287284</v>
      </c>
      <c r="V12" s="69">
        <f t="shared" ca="1" si="10"/>
        <v>-7.6667795219915971E-2</v>
      </c>
      <c r="W12" s="69">
        <f t="shared" ca="1" si="11"/>
        <v>1.1763415868009548</v>
      </c>
      <c r="X12" s="69">
        <f t="shared" ca="1" si="12"/>
        <v>0.51570220342363615</v>
      </c>
      <c r="Z12" s="29" t="s">
        <v>80</v>
      </c>
      <c r="AA12" s="35">
        <f ca="1"/>
        <v>3.167085397466234E-3</v>
      </c>
      <c r="AB12" s="35">
        <f ca="1"/>
        <v>-1.7865321506545438E-2</v>
      </c>
      <c r="AC12" s="35">
        <f ca="1"/>
        <v>6.1272878387874555E-2</v>
      </c>
      <c r="AD12" s="72">
        <f ca="1"/>
        <v>1.0251156666219432</v>
      </c>
      <c r="AE12" s="35">
        <f ca="1"/>
        <v>8.5868949937063753E-3</v>
      </c>
      <c r="AF12" s="35">
        <f ca="1"/>
        <v>6.3594499496137394E-2</v>
      </c>
      <c r="AG12" s="35">
        <f ca="1"/>
        <v>-9.2027669634380402E-2</v>
      </c>
      <c r="AH12" s="35">
        <f ca="1"/>
        <v>9.0638275885759415E-3</v>
      </c>
      <c r="AI12" s="35">
        <f ca="1"/>
        <v>-2.788549143660948E-2</v>
      </c>
      <c r="AJ12" s="35">
        <f ca="1"/>
        <v>9.9208361986690682E-2</v>
      </c>
      <c r="AK12" s="35">
        <f ca="1"/>
        <v>-4.554376977813783E-2</v>
      </c>
      <c r="AY12" s="27">
        <v>62.719767410494583</v>
      </c>
      <c r="AZ12" s="27">
        <v>-482.02825683374112</v>
      </c>
      <c r="BA12" s="27">
        <v>484.68227027217591</v>
      </c>
      <c r="BB12" s="27">
        <v>-6415.9362515904741</v>
      </c>
      <c r="BC12" s="27">
        <v>-10657.326056002741</v>
      </c>
      <c r="BD12" s="27">
        <v>19423.246317898243</v>
      </c>
      <c r="BE12" s="27">
        <v>51.697660938288266</v>
      </c>
      <c r="BF12" s="27">
        <v>72.985414083224356</v>
      </c>
      <c r="BG12" s="27">
        <v>66.480490266088552</v>
      </c>
      <c r="BH12" s="27">
        <v>-464.81608063896226</v>
      </c>
      <c r="BI12" s="27">
        <v>-109.29652158481417</v>
      </c>
    </row>
    <row r="13" spans="1:61" x14ac:dyDescent="0.2">
      <c r="B13" s="69">
        <f t="shared" ca="1" si="1"/>
        <v>0.64538292113183682</v>
      </c>
      <c r="C13" s="69">
        <f t="shared" ca="1" si="0"/>
        <v>0.7029267536189131</v>
      </c>
      <c r="D13" s="69">
        <f t="shared" ca="1" si="0"/>
        <v>-0.16100984322680978</v>
      </c>
      <c r="E13" s="69">
        <f t="shared" ca="1" si="0"/>
        <v>-1.1237400788171201</v>
      </c>
      <c r="F13" s="69">
        <f t="shared" ca="1" si="0"/>
        <v>0.17423627086330784</v>
      </c>
      <c r="G13" s="69">
        <f t="shared" ca="1" si="0"/>
        <v>-1.5172635302815038</v>
      </c>
      <c r="H13" s="69">
        <f t="shared" ca="1" si="0"/>
        <v>-0.20547270333490289</v>
      </c>
      <c r="I13" s="69">
        <f t="shared" ca="1" si="0"/>
        <v>1.0929896294360726</v>
      </c>
      <c r="J13" s="69">
        <f t="shared" ca="1" si="0"/>
        <v>1.3126028979773139</v>
      </c>
      <c r="K13" s="69">
        <f t="shared" ca="1" si="0"/>
        <v>1.6219624933325973</v>
      </c>
      <c r="L13" s="69">
        <f t="shared" ca="1" si="0"/>
        <v>1.3907321279366023</v>
      </c>
      <c r="N13" s="69">
        <f t="shared" ca="1" si="2"/>
        <v>0.68315096496994565</v>
      </c>
      <c r="O13" s="69">
        <f t="shared" ca="1" si="3"/>
        <v>0.67643319053602646</v>
      </c>
      <c r="P13" s="69">
        <f t="shared" ca="1" si="4"/>
        <v>-0.21875190806389982</v>
      </c>
      <c r="Q13" s="69">
        <f t="shared" ca="1" si="5"/>
        <v>-1.0746313999553612</v>
      </c>
      <c r="R13" s="69">
        <f t="shared" ca="1" si="6"/>
        <v>0.16794158545565893</v>
      </c>
      <c r="S13" s="69">
        <f t="shared" ca="1" si="7"/>
        <v>-1.4844365580246954</v>
      </c>
      <c r="T13" s="69">
        <f t="shared" ca="1" si="8"/>
        <v>-0.21030374105009272</v>
      </c>
      <c r="U13" s="69">
        <f t="shared" ca="1" si="9"/>
        <v>1.1160297563137822</v>
      </c>
      <c r="V13" s="69">
        <f t="shared" ca="1" si="10"/>
        <v>1.3064933044037166</v>
      </c>
      <c r="W13" s="69">
        <f t="shared" ca="1" si="11"/>
        <v>1.6229438501566964</v>
      </c>
      <c r="X13" s="69">
        <f t="shared" ca="1" si="12"/>
        <v>1.4179006183110379</v>
      </c>
      <c r="Z13" s="29" t="s">
        <v>81</v>
      </c>
      <c r="AA13" s="35">
        <f ca="1"/>
        <v>3.2476248979599436E-2</v>
      </c>
      <c r="AB13" s="35">
        <f ca="1"/>
        <v>1.5446124468478694E-2</v>
      </c>
      <c r="AC13" s="35">
        <f ca="1"/>
        <v>2.5722352897415007E-2</v>
      </c>
      <c r="AD13" s="35">
        <f ca="1"/>
        <v>8.5868949937063753E-3</v>
      </c>
      <c r="AE13" s="72">
        <f ca="1"/>
        <v>1.0374152510541006</v>
      </c>
      <c r="AF13" s="35">
        <f ca="1"/>
        <v>-2.674903670667864E-2</v>
      </c>
      <c r="AG13" s="35">
        <f ca="1"/>
        <v>7.9167664625312217E-2</v>
      </c>
      <c r="AH13" s="35">
        <f ca="1"/>
        <v>3.6835185217953842E-2</v>
      </c>
      <c r="AI13" s="35">
        <f ca="1"/>
        <v>1.186719444204627E-2</v>
      </c>
      <c r="AJ13" s="35">
        <f ca="1"/>
        <v>3.9821280096930034E-2</v>
      </c>
      <c r="AK13" s="35">
        <f ca="1"/>
        <v>1.2333970764268754E-2</v>
      </c>
      <c r="AM13" s="45" t="s">
        <v>103</v>
      </c>
      <c r="AY13" s="27">
        <v>29.800604762046667</v>
      </c>
      <c r="AZ13" s="27">
        <v>71.623599804814759</v>
      </c>
      <c r="BA13" s="27">
        <v>-119.19221431789353</v>
      </c>
      <c r="BB13" s="27">
        <v>560.98358319431065</v>
      </c>
      <c r="BC13" s="27">
        <v>-304.67306784338945</v>
      </c>
      <c r="BD13" s="27">
        <v>51.697660938288472</v>
      </c>
      <c r="BE13" s="27">
        <v>531.70669799770485</v>
      </c>
      <c r="BF13" s="27">
        <v>-11.097922596249044</v>
      </c>
      <c r="BG13" s="27">
        <v>5.9597247255216148</v>
      </c>
      <c r="BH13" s="27">
        <v>18.549657423827558</v>
      </c>
      <c r="BI13" s="27">
        <v>-52.790177420449261</v>
      </c>
    </row>
    <row r="14" spans="1:61" x14ac:dyDescent="0.2">
      <c r="B14" s="69">
        <f t="shared" ca="1" si="1"/>
        <v>-0.16627643003176734</v>
      </c>
      <c r="C14" s="69">
        <f t="shared" ca="1" si="0"/>
        <v>-1.054349232081736</v>
      </c>
      <c r="D14" s="69">
        <f t="shared" ca="1" si="0"/>
        <v>-1.6083515575819433E-2</v>
      </c>
      <c r="E14" s="69">
        <f t="shared" ca="1" si="0"/>
        <v>-2.079702374276104</v>
      </c>
      <c r="F14" s="69">
        <f t="shared" ca="1" si="0"/>
        <v>-1.0253806481149841</v>
      </c>
      <c r="G14" s="69">
        <f t="shared" ca="1" si="0"/>
        <v>-0.18229376576643508</v>
      </c>
      <c r="H14" s="69">
        <f t="shared" ca="1" si="0"/>
        <v>-0.13664620583912693</v>
      </c>
      <c r="I14" s="69">
        <f t="shared" ca="1" si="0"/>
        <v>0.64775238539565327</v>
      </c>
      <c r="J14" s="69">
        <f t="shared" ca="1" si="0"/>
        <v>1.1336692115902425</v>
      </c>
      <c r="K14" s="69">
        <f t="shared" ca="1" si="0"/>
        <v>0.31129695696212967</v>
      </c>
      <c r="L14" s="69">
        <f t="shared" ca="1" si="0"/>
        <v>-1.2664419987024056</v>
      </c>
      <c r="N14" s="69">
        <f t="shared" ca="1" si="2"/>
        <v>-0.12850838619365851</v>
      </c>
      <c r="O14" s="69">
        <f t="shared" ca="1" si="3"/>
        <v>-1.0808427951646227</v>
      </c>
      <c r="P14" s="69">
        <f t="shared" ca="1" si="4"/>
        <v>-7.3825580412909458E-2</v>
      </c>
      <c r="Q14" s="69">
        <f t="shared" ca="1" si="5"/>
        <v>-2.0305936954143453</v>
      </c>
      <c r="R14" s="69">
        <f t="shared" ca="1" si="6"/>
        <v>-1.031675333522633</v>
      </c>
      <c r="S14" s="69">
        <f t="shared" ca="1" si="7"/>
        <v>-0.14946679350962661</v>
      </c>
      <c r="T14" s="69">
        <f t="shared" ca="1" si="8"/>
        <v>-0.14147724355431676</v>
      </c>
      <c r="U14" s="69">
        <f t="shared" ca="1" si="9"/>
        <v>0.6707925122733629</v>
      </c>
      <c r="V14" s="69">
        <f t="shared" ca="1" si="10"/>
        <v>1.1275596180166452</v>
      </c>
      <c r="W14" s="69">
        <f t="shared" ca="1" si="11"/>
        <v>0.31227831378622861</v>
      </c>
      <c r="X14" s="69">
        <f t="shared" ca="1" si="12"/>
        <v>-1.23927350832797</v>
      </c>
      <c r="Z14" s="29" t="s">
        <v>82</v>
      </c>
      <c r="AA14" s="35">
        <f ca="1"/>
        <v>-3.0543414166372767E-3</v>
      </c>
      <c r="AB14" s="35">
        <f ca="1"/>
        <v>-4.9947532854764292E-3</v>
      </c>
      <c r="AC14" s="35">
        <f ca="1"/>
        <v>1.5740969313575923E-2</v>
      </c>
      <c r="AD14" s="35">
        <f ca="1"/>
        <v>6.3594499496137394E-2</v>
      </c>
      <c r="AE14" s="35">
        <f ca="1"/>
        <v>-2.674903670667864E-2</v>
      </c>
      <c r="AF14" s="72">
        <f ca="1"/>
        <v>0.93692185485474888</v>
      </c>
      <c r="AG14" s="35">
        <f ca="1"/>
        <v>5.6888390388192656E-2</v>
      </c>
      <c r="AH14" s="35">
        <f ca="1"/>
        <v>-3.0871773488393775E-2</v>
      </c>
      <c r="AI14" s="35">
        <f ca="1"/>
        <v>-3.1277642046458339E-2</v>
      </c>
      <c r="AJ14" s="35">
        <f ca="1"/>
        <v>5.1524387027976626E-2</v>
      </c>
      <c r="AK14" s="35">
        <f ca="1"/>
        <v>-4.0822530248496485E-3</v>
      </c>
      <c r="AM14" s="45" t="s">
        <v>104</v>
      </c>
      <c r="AY14" s="27">
        <v>26.965483401288051</v>
      </c>
      <c r="AZ14" s="27">
        <v>-71.601212665316012</v>
      </c>
      <c r="BA14" s="27">
        <v>-166.21890274840086</v>
      </c>
      <c r="BB14" s="27">
        <v>326.54361888283188</v>
      </c>
      <c r="BC14" s="27">
        <v>-169.57696422008749</v>
      </c>
      <c r="BD14" s="27">
        <v>72.985414083226317</v>
      </c>
      <c r="BE14" s="27">
        <v>-11.097922596248846</v>
      </c>
      <c r="BF14" s="27">
        <v>215.59004937824616</v>
      </c>
      <c r="BG14" s="27">
        <v>-35.382040236638346</v>
      </c>
      <c r="BH14" s="27">
        <v>-123.49963588916133</v>
      </c>
      <c r="BI14" s="27">
        <v>81.706225440673236</v>
      </c>
    </row>
    <row r="15" spans="1:61" x14ac:dyDescent="0.2">
      <c r="B15" s="69">
        <f t="shared" ca="1" si="1"/>
        <v>-2.1151338854897471E-2</v>
      </c>
      <c r="C15" s="69">
        <f t="shared" ca="1" si="0"/>
        <v>-0.86233642760659279</v>
      </c>
      <c r="D15" s="69">
        <f t="shared" ca="1" si="0"/>
        <v>0.79672292142450929</v>
      </c>
      <c r="E15" s="69">
        <f t="shared" ca="1" si="0"/>
        <v>0.76618614690577058</v>
      </c>
      <c r="F15" s="69">
        <f t="shared" ca="1" si="0"/>
        <v>1.5311789802673397</v>
      </c>
      <c r="G15" s="69">
        <f t="shared" ca="1" si="0"/>
        <v>1.6349906906241189</v>
      </c>
      <c r="H15" s="69">
        <f t="shared" ca="1" si="0"/>
        <v>0.93481811188750796</v>
      </c>
      <c r="I15" s="69">
        <f t="shared" ca="1" si="0"/>
        <v>-1.3907696241473828</v>
      </c>
      <c r="J15" s="69">
        <f t="shared" ca="1" si="0"/>
        <v>0.1453045313155335</v>
      </c>
      <c r="K15" s="69">
        <f t="shared" ca="1" si="0"/>
        <v>1.8804435473768064</v>
      </c>
      <c r="L15" s="69">
        <f t="shared" ca="1" si="0"/>
        <v>-0.58951604484139863</v>
      </c>
      <c r="N15" s="69">
        <f t="shared" ca="1" si="2"/>
        <v>1.6616704983211349E-2</v>
      </c>
      <c r="O15" s="69">
        <f t="shared" ca="1" si="3"/>
        <v>-0.88882999068947943</v>
      </c>
      <c r="P15" s="69">
        <f t="shared" ca="1" si="4"/>
        <v>0.7389808565874193</v>
      </c>
      <c r="Q15" s="69">
        <f t="shared" ca="1" si="5"/>
        <v>0.81529482576752954</v>
      </c>
      <c r="R15" s="69">
        <f t="shared" ca="1" si="6"/>
        <v>1.5248842948596908</v>
      </c>
      <c r="S15" s="69">
        <f t="shared" ca="1" si="7"/>
        <v>1.6678176628809274</v>
      </c>
      <c r="T15" s="69">
        <f t="shared" ca="1" si="8"/>
        <v>0.92998707417231807</v>
      </c>
      <c r="U15" s="69">
        <f t="shared" ca="1" si="9"/>
        <v>-1.3677294972696732</v>
      </c>
      <c r="V15" s="69">
        <f t="shared" ca="1" si="10"/>
        <v>0.13919493774193617</v>
      </c>
      <c r="W15" s="69">
        <f t="shared" ca="1" si="11"/>
        <v>1.8814249042009055</v>
      </c>
      <c r="X15" s="69">
        <f t="shared" ca="1" si="12"/>
        <v>-0.56234755446696316</v>
      </c>
      <c r="Z15" s="29" t="s">
        <v>83</v>
      </c>
      <c r="AA15" s="35">
        <f ca="1"/>
        <v>-4.9332209305285703E-3</v>
      </c>
      <c r="AB15" s="35">
        <f ca="1"/>
        <v>-3.6030611977790734E-2</v>
      </c>
      <c r="AC15" s="35">
        <f ca="1"/>
        <v>-3.5738377496479928E-2</v>
      </c>
      <c r="AD15" s="35">
        <f ca="1"/>
        <v>-9.2027669634380402E-2</v>
      </c>
      <c r="AE15" s="35">
        <f ca="1"/>
        <v>7.9167664625312217E-2</v>
      </c>
      <c r="AF15" s="35">
        <f ca="1"/>
        <v>5.6888390388192656E-2</v>
      </c>
      <c r="AG15" s="72">
        <f ca="1"/>
        <v>1.0561373419711624</v>
      </c>
      <c r="AH15" s="35">
        <f ca="1"/>
        <v>-3.3056267428840554E-2</v>
      </c>
      <c r="AI15" s="35">
        <f ca="1"/>
        <v>1.6980867271431548E-2</v>
      </c>
      <c r="AJ15" s="35">
        <f ca="1"/>
        <v>1.6821201249954208E-2</v>
      </c>
      <c r="AK15" s="35">
        <f ca="1"/>
        <v>2.5989525245939751E-2</v>
      </c>
      <c r="AM15" s="27">
        <f t="array" ref="AM15:AW25">MMULT('Q1-4'!$AM$20:$AW$30,SQRT('Q1-4'!$AY$20:$BI$30))</f>
        <v>1.2275839000200758E-2</v>
      </c>
      <c r="AN15" s="27">
        <v>-6.5704940397347561E-2</v>
      </c>
      <c r="AO15" s="27">
        <v>1.8379581331022358E-2</v>
      </c>
      <c r="AP15" s="27">
        <v>-1.7692809421523129E-2</v>
      </c>
      <c r="AQ15" s="27">
        <v>-1.7181393088587057E-2</v>
      </c>
      <c r="AR15" s="27">
        <v>-5.9144226779989833E-4</v>
      </c>
      <c r="AS15" s="27">
        <v>9.9188400200981761E-4</v>
      </c>
      <c r="AT15" s="27">
        <v>1.3144728641180051E-3</v>
      </c>
      <c r="AU15" s="27">
        <v>1.237462336802317E-6</v>
      </c>
      <c r="AV15" s="27">
        <v>2.2278986056223082E-5</v>
      </c>
      <c r="AW15" s="27">
        <v>1.2093195664681339E-5</v>
      </c>
      <c r="AY15" s="27">
        <v>8.2143854492921928</v>
      </c>
      <c r="AZ15" s="27">
        <v>-32.684935078947156</v>
      </c>
      <c r="BA15" s="27">
        <v>-24.3977526715063</v>
      </c>
      <c r="BB15" s="27">
        <v>-100.08126854959789</v>
      </c>
      <c r="BC15" s="27">
        <v>64.823296360199379</v>
      </c>
      <c r="BD15" s="27">
        <v>66.480490266087997</v>
      </c>
      <c r="BE15" s="27">
        <v>5.9597247255215837</v>
      </c>
      <c r="BF15" s="27">
        <v>-35.382040236638339</v>
      </c>
      <c r="BG15" s="27">
        <v>104.88168108482668</v>
      </c>
      <c r="BH15" s="27">
        <v>-4.9189121130112525</v>
      </c>
      <c r="BI15" s="27">
        <v>-91.734419822301007</v>
      </c>
    </row>
    <row r="16" spans="1:61" x14ac:dyDescent="0.2">
      <c r="B16" s="69">
        <f t="shared" ca="1" si="1"/>
        <v>0.56536802831350852</v>
      </c>
      <c r="C16" s="69">
        <f t="shared" ca="1" si="0"/>
        <v>-0.4388576815869874</v>
      </c>
      <c r="D16" s="69">
        <f t="shared" ca="1" si="0"/>
        <v>-0.56397585071877421</v>
      </c>
      <c r="E16" s="69">
        <f t="shared" ca="1" si="0"/>
        <v>0.41275724011681292</v>
      </c>
      <c r="F16" s="69">
        <f t="shared" ca="1" si="0"/>
        <v>-0.29603181241072624</v>
      </c>
      <c r="G16" s="69">
        <f t="shared" ca="1" si="0"/>
        <v>-8.5302466345619027E-2</v>
      </c>
      <c r="H16" s="69">
        <f t="shared" ca="1" si="0"/>
        <v>-1.4537775487629183</v>
      </c>
      <c r="I16" s="69">
        <f t="shared" ca="1" si="0"/>
        <v>-1.0602943977226145</v>
      </c>
      <c r="J16" s="69">
        <f t="shared" ca="1" si="0"/>
        <v>-1.3604868150283158</v>
      </c>
      <c r="K16" s="69">
        <f t="shared" ca="1" si="0"/>
        <v>0.17489814991326907</v>
      </c>
      <c r="L16" s="69">
        <f t="shared" ca="1" si="0"/>
        <v>-1.4537254090193223</v>
      </c>
      <c r="N16" s="69">
        <f t="shared" ca="1" si="2"/>
        <v>0.60313607215161735</v>
      </c>
      <c r="O16" s="69">
        <f t="shared" ca="1" si="3"/>
        <v>-0.4653512446698741</v>
      </c>
      <c r="P16" s="69">
        <f t="shared" ca="1" si="4"/>
        <v>-0.6217179155558642</v>
      </c>
      <c r="Q16" s="69">
        <f t="shared" ca="1" si="5"/>
        <v>0.46186591897857188</v>
      </c>
      <c r="R16" s="69">
        <f t="shared" ca="1" si="6"/>
        <v>-0.30232649781837512</v>
      </c>
      <c r="S16" s="69">
        <f t="shared" ca="1" si="7"/>
        <v>-5.2475494088810547E-2</v>
      </c>
      <c r="T16" s="69">
        <f t="shared" ca="1" si="8"/>
        <v>-1.4586085864781082</v>
      </c>
      <c r="U16" s="69">
        <f t="shared" ca="1" si="9"/>
        <v>-1.0372542708449048</v>
      </c>
      <c r="V16" s="69">
        <f t="shared" ca="1" si="10"/>
        <v>-1.3665964086019131</v>
      </c>
      <c r="W16" s="69">
        <f t="shared" ca="1" si="11"/>
        <v>0.17587950673736802</v>
      </c>
      <c r="X16" s="69">
        <f t="shared" ca="1" si="12"/>
        <v>-1.4265569186448868</v>
      </c>
      <c r="Z16" s="29" t="s">
        <v>84</v>
      </c>
      <c r="AA16" s="35">
        <f ca="1"/>
        <v>-1.1200965788497445E-2</v>
      </c>
      <c r="AB16" s="35">
        <f ca="1"/>
        <v>-2.0563721182991729E-2</v>
      </c>
      <c r="AC16" s="35">
        <f ca="1"/>
        <v>1.6051204582665434E-3</v>
      </c>
      <c r="AD16" s="35">
        <f ca="1"/>
        <v>9.0638275885759415E-3</v>
      </c>
      <c r="AE16" s="35">
        <f ca="1"/>
        <v>3.6835185217953842E-2</v>
      </c>
      <c r="AF16" s="35">
        <f ca="1"/>
        <v>-3.0871773488393775E-2</v>
      </c>
      <c r="AG16" s="35">
        <f ca="1"/>
        <v>-3.3056267428840554E-2</v>
      </c>
      <c r="AH16" s="72">
        <f ca="1"/>
        <v>1.0138117606301515</v>
      </c>
      <c r="AI16" s="35">
        <f ca="1"/>
        <v>3.4171234986272732E-2</v>
      </c>
      <c r="AJ16" s="35">
        <f ca="1"/>
        <v>1.2199838888573414E-2</v>
      </c>
      <c r="AK16" s="35">
        <f ca="1"/>
        <v>1.7909944508422121E-2</v>
      </c>
      <c r="AM16" s="27">
        <v>1.1334336137752634E-2</v>
      </c>
      <c r="AN16" s="27">
        <v>-2.7428370559090219E-2</v>
      </c>
      <c r="AO16" s="27">
        <v>1.0810702220645646E-2</v>
      </c>
      <c r="AP16" s="27">
        <v>5.2108709539706579E-3</v>
      </c>
      <c r="AQ16" s="27">
        <v>1.4981348949909559E-2</v>
      </c>
      <c r="AR16" s="27">
        <v>4.495308506337602E-3</v>
      </c>
      <c r="AS16" s="27">
        <v>-1.5189351384739696E-3</v>
      </c>
      <c r="AT16" s="27">
        <v>-1.4129049170424927E-2</v>
      </c>
      <c r="AU16" s="27">
        <v>-1.603555485863239E-3</v>
      </c>
      <c r="AV16" s="27">
        <v>-3.0786459588250732E-4</v>
      </c>
      <c r="AW16" s="27">
        <v>1.1540384606473748E-4</v>
      </c>
      <c r="AY16" s="27">
        <v>79.059077354085701</v>
      </c>
      <c r="AZ16" s="27">
        <v>-41.162887022665615</v>
      </c>
      <c r="BA16" s="27">
        <v>246.19542623069171</v>
      </c>
      <c r="BB16" s="27">
        <v>-459.2106106170491</v>
      </c>
      <c r="BC16" s="27">
        <v>591.251105322238</v>
      </c>
      <c r="BD16" s="27">
        <v>-464.81608063896402</v>
      </c>
      <c r="BE16" s="27">
        <v>18.549657423827426</v>
      </c>
      <c r="BF16" s="27">
        <v>-123.49963588916111</v>
      </c>
      <c r="BG16" s="27">
        <v>-4.9189121130112836</v>
      </c>
      <c r="BH16" s="27">
        <v>1677.1340419393657</v>
      </c>
      <c r="BI16" s="27">
        <v>718.91891433854857</v>
      </c>
    </row>
    <row r="17" spans="2:61" x14ac:dyDescent="0.2">
      <c r="B17" s="69">
        <f t="shared" ca="1" si="1"/>
        <v>-0.74348040020440997</v>
      </c>
      <c r="C17" s="69">
        <f t="shared" ca="1" si="0"/>
        <v>3.0442041407378237</v>
      </c>
      <c r="D17" s="69">
        <f t="shared" ca="1" si="0"/>
        <v>1.9009010013792449</v>
      </c>
      <c r="E17" s="69">
        <f t="shared" ca="1" si="0"/>
        <v>-0.72341876270253824</v>
      </c>
      <c r="F17" s="69">
        <f t="shared" ca="1" si="0"/>
        <v>-1.7634995972745025</v>
      </c>
      <c r="G17" s="69">
        <f t="shared" ca="1" si="0"/>
        <v>0.89786604472787834</v>
      </c>
      <c r="H17" s="69">
        <f t="shared" ca="1" si="0"/>
        <v>-0.83773138282559745</v>
      </c>
      <c r="I17" s="69">
        <f t="shared" ca="1" si="0"/>
        <v>0.40111592986450095</v>
      </c>
      <c r="J17" s="69">
        <f t="shared" ca="1" si="0"/>
        <v>-1.7754605757617357</v>
      </c>
      <c r="K17" s="69">
        <f t="shared" ca="1" si="0"/>
        <v>-0.76900165750403293</v>
      </c>
      <c r="L17" s="69">
        <f t="shared" ca="1" si="0"/>
        <v>-0.13111001928225294</v>
      </c>
      <c r="N17" s="69">
        <f t="shared" ca="1" si="2"/>
        <v>-0.70571235636630114</v>
      </c>
      <c r="O17" s="69">
        <f t="shared" ca="1" si="3"/>
        <v>3.0177105776549369</v>
      </c>
      <c r="P17" s="69">
        <f t="shared" ca="1" si="4"/>
        <v>1.8431589365421548</v>
      </c>
      <c r="Q17" s="69">
        <f t="shared" ca="1" si="5"/>
        <v>-0.67431008384077928</v>
      </c>
      <c r="R17" s="69">
        <f t="shared" ca="1" si="6"/>
        <v>-1.7697942826821513</v>
      </c>
      <c r="S17" s="69">
        <f t="shared" ca="1" si="7"/>
        <v>0.93069301698468687</v>
      </c>
      <c r="T17" s="69">
        <f t="shared" ca="1" si="8"/>
        <v>-0.84256242054078734</v>
      </c>
      <c r="U17" s="69">
        <f t="shared" ca="1" si="9"/>
        <v>0.42415605674221063</v>
      </c>
      <c r="V17" s="69">
        <f t="shared" ca="1" si="10"/>
        <v>-1.781570169335333</v>
      </c>
      <c r="W17" s="69">
        <f t="shared" ca="1" si="11"/>
        <v>-0.76802030067993399</v>
      </c>
      <c r="X17" s="69">
        <f t="shared" ca="1" si="12"/>
        <v>-0.10394152890781747</v>
      </c>
      <c r="Z17" s="29" t="s">
        <v>85</v>
      </c>
      <c r="AA17" s="35">
        <f ca="1"/>
        <v>-2.3383846662666332E-3</v>
      </c>
      <c r="AB17" s="35">
        <f ca="1"/>
        <v>-3.0416180755395063E-3</v>
      </c>
      <c r="AC17" s="35">
        <f ca="1"/>
        <v>-3.2467373307470473E-2</v>
      </c>
      <c r="AD17" s="35">
        <f ca="1"/>
        <v>-2.788549143660948E-2</v>
      </c>
      <c r="AE17" s="35">
        <f ca="1"/>
        <v>1.186719444204627E-2</v>
      </c>
      <c r="AF17" s="35">
        <f ca="1"/>
        <v>-3.1277642046458339E-2</v>
      </c>
      <c r="AG17" s="35">
        <f ca="1"/>
        <v>1.6980867271431548E-2</v>
      </c>
      <c r="AH17" s="35">
        <f ca="1"/>
        <v>3.4171234986272732E-2</v>
      </c>
      <c r="AI17" s="72">
        <f ca="1"/>
        <v>0.98855952113543633</v>
      </c>
      <c r="AJ17" s="35">
        <f ca="1"/>
        <v>-3.174940156316286E-2</v>
      </c>
      <c r="AK17" s="35">
        <f ca="1"/>
        <v>-2.4606095004467039E-2</v>
      </c>
      <c r="AM17" s="27">
        <v>7.4767729681002029E-3</v>
      </c>
      <c r="AN17" s="27">
        <v>-1.942453750904093E-2</v>
      </c>
      <c r="AO17" s="27">
        <v>6.5219039600354139E-3</v>
      </c>
      <c r="AP17" s="27">
        <v>5.0732297210729959E-3</v>
      </c>
      <c r="AQ17" s="27">
        <v>1.3543705378208981E-2</v>
      </c>
      <c r="AR17" s="27">
        <v>3.1407697160947779E-3</v>
      </c>
      <c r="AS17" s="27">
        <v>-8.6464852725537443E-4</v>
      </c>
      <c r="AT17" s="27">
        <v>2.0359305057293877E-3</v>
      </c>
      <c r="AU17" s="27">
        <v>5.9144887425532653E-3</v>
      </c>
      <c r="AV17" s="27">
        <v>1.1337611466460177E-3</v>
      </c>
      <c r="AW17" s="27">
        <v>-2.0085427336230515E-3</v>
      </c>
      <c r="AY17" s="27">
        <v>24.202725313550701</v>
      </c>
      <c r="AZ17" s="27">
        <v>-55.456382674604036</v>
      </c>
      <c r="BA17" s="27">
        <v>-138.5547341477203</v>
      </c>
      <c r="BB17" s="27">
        <v>232.60329303435066</v>
      </c>
      <c r="BC17" s="27">
        <v>-309.14328932043747</v>
      </c>
      <c r="BD17" s="27">
        <v>-109.29652158481342</v>
      </c>
      <c r="BE17" s="27">
        <v>-52.790177420449254</v>
      </c>
      <c r="BF17" s="27">
        <v>81.706225440673279</v>
      </c>
      <c r="BG17" s="27">
        <v>-91.734419822301035</v>
      </c>
      <c r="BH17" s="27">
        <v>718.91891433854846</v>
      </c>
      <c r="BI17" s="27">
        <v>1655.4560912516297</v>
      </c>
    </row>
    <row r="18" spans="2:61" x14ac:dyDescent="0.2">
      <c r="B18" s="69">
        <f t="shared" ca="1" si="1"/>
        <v>0.42126703279236988</v>
      </c>
      <c r="C18" s="69">
        <f t="shared" ca="1" si="0"/>
        <v>2.0591010936520284</v>
      </c>
      <c r="D18" s="69">
        <f t="shared" ca="1" si="0"/>
        <v>0.69992783482673859</v>
      </c>
      <c r="E18" s="69">
        <f t="shared" ca="1" si="0"/>
        <v>0.41831363663457422</v>
      </c>
      <c r="F18" s="69">
        <f t="shared" ca="1" si="0"/>
        <v>5.7035265268543925E-2</v>
      </c>
      <c r="G18" s="69">
        <f t="shared" ca="1" si="0"/>
        <v>-8.6588854526390993E-2</v>
      </c>
      <c r="H18" s="69">
        <f t="shared" ca="1" si="0"/>
        <v>-0.34744036247478</v>
      </c>
      <c r="I18" s="69">
        <f t="shared" ca="1" si="0"/>
        <v>4.9239097929919026E-2</v>
      </c>
      <c r="J18" s="69">
        <f t="shared" ca="1" si="0"/>
        <v>-0.15828554037273554</v>
      </c>
      <c r="K18" s="69">
        <f t="shared" ca="1" si="0"/>
        <v>-0.93511861357045534</v>
      </c>
      <c r="L18" s="69">
        <f t="shared" ca="1" si="0"/>
        <v>1.5833599996603198</v>
      </c>
      <c r="N18" s="69">
        <f t="shared" ca="1" si="2"/>
        <v>0.45903507663047871</v>
      </c>
      <c r="O18" s="69">
        <f t="shared" ca="1" si="3"/>
        <v>2.0326075305691416</v>
      </c>
      <c r="P18" s="69">
        <f t="shared" ca="1" si="4"/>
        <v>0.6421857699896486</v>
      </c>
      <c r="Q18" s="69">
        <f t="shared" ca="1" si="5"/>
        <v>0.46742231549633317</v>
      </c>
      <c r="R18" s="69">
        <f t="shared" ca="1" si="6"/>
        <v>5.074057986089503E-2</v>
      </c>
      <c r="S18" s="69">
        <f t="shared" ca="1" si="7"/>
        <v>-5.3761882269582513E-2</v>
      </c>
      <c r="T18" s="69">
        <f t="shared" ca="1" si="8"/>
        <v>-0.35227140018996983</v>
      </c>
      <c r="U18" s="69">
        <f t="shared" ca="1" si="9"/>
        <v>7.2279224807628689E-2</v>
      </c>
      <c r="V18" s="69">
        <f t="shared" ca="1" si="10"/>
        <v>-0.16439513394633287</v>
      </c>
      <c r="W18" s="69">
        <f t="shared" ca="1" si="11"/>
        <v>-0.93413725674635639</v>
      </c>
      <c r="X18" s="69">
        <f t="shared" ca="1" si="12"/>
        <v>1.6105284900347554</v>
      </c>
      <c r="Z18" s="29" t="s">
        <v>86</v>
      </c>
      <c r="AA18" s="35">
        <f ca="1"/>
        <v>-2.4277930431838658E-2</v>
      </c>
      <c r="AB18" s="35">
        <f ca="1"/>
        <v>1.4195900832133118E-3</v>
      </c>
      <c r="AC18" s="35">
        <f ca="1"/>
        <v>-1.9056908070079665E-2</v>
      </c>
      <c r="AD18" s="35">
        <f ca="1"/>
        <v>9.9208361986690682E-2</v>
      </c>
      <c r="AE18" s="35">
        <f ca="1"/>
        <v>3.9821280096930034E-2</v>
      </c>
      <c r="AF18" s="35">
        <f ca="1"/>
        <v>5.1524387027976626E-2</v>
      </c>
      <c r="AG18" s="35">
        <f ca="1"/>
        <v>1.6821201249954208E-2</v>
      </c>
      <c r="AH18" s="35">
        <f ca="1"/>
        <v>1.2199838888573414E-2</v>
      </c>
      <c r="AI18" s="35">
        <f ca="1"/>
        <v>-3.174940156316286E-2</v>
      </c>
      <c r="AJ18" s="72">
        <f ca="1"/>
        <v>1.0507958094920564</v>
      </c>
      <c r="AK18" s="35">
        <f ca="1"/>
        <v>-1.5016072611530549E-2</v>
      </c>
      <c r="AM18" s="27">
        <v>6.1127838992682719E-3</v>
      </c>
      <c r="AN18" s="27">
        <v>-1.7324217119132474E-2</v>
      </c>
      <c r="AO18" s="27">
        <v>5.0867400261360995E-3</v>
      </c>
      <c r="AP18" s="27">
        <v>5.3197595472954861E-3</v>
      </c>
      <c r="AQ18" s="27">
        <v>1.2480279165062577E-2</v>
      </c>
      <c r="AR18" s="27">
        <v>3.1522392272601897E-3</v>
      </c>
      <c r="AS18" s="27">
        <v>-5.1627350195910182E-4</v>
      </c>
      <c r="AT18" s="27">
        <v>4.7110298118287009E-3</v>
      </c>
      <c r="AU18" s="27">
        <v>2.0164249376496686E-3</v>
      </c>
      <c r="AV18" s="27">
        <v>-5.225214649470422E-4</v>
      </c>
      <c r="AW18" s="27">
        <v>3.5909220381971779E-3</v>
      </c>
    </row>
    <row r="19" spans="2:61" x14ac:dyDescent="0.2">
      <c r="B19" s="69">
        <f t="shared" ca="1" si="1"/>
        <v>-0.99263534342722337</v>
      </c>
      <c r="C19" s="69">
        <f t="shared" ca="1" si="0"/>
        <v>-8.9207194295583853E-2</v>
      </c>
      <c r="D19" s="69">
        <f t="shared" ca="1" si="0"/>
        <v>-0.55164933368380076</v>
      </c>
      <c r="E19" s="69">
        <f t="shared" ca="1" si="0"/>
        <v>-0.45414966485644792</v>
      </c>
      <c r="F19" s="69">
        <f t="shared" ca="1" si="0"/>
        <v>-1.8452681912967777</v>
      </c>
      <c r="G19" s="69">
        <f t="shared" ca="1" si="0"/>
        <v>0.54607940033524616</v>
      </c>
      <c r="H19" s="69">
        <f t="shared" ca="1" si="0"/>
        <v>-0.19646859664105878</v>
      </c>
      <c r="I19" s="69">
        <f t="shared" ca="1" si="0"/>
        <v>-1.1075933391789532</v>
      </c>
      <c r="J19" s="69">
        <f t="shared" ca="1" si="0"/>
        <v>-1.1726154553493231</v>
      </c>
      <c r="K19" s="69">
        <f t="shared" ca="1" si="0"/>
        <v>-1.0173501289626565</v>
      </c>
      <c r="L19" s="69">
        <f t="shared" ca="1" si="0"/>
        <v>-1.085325703057999</v>
      </c>
      <c r="N19" s="69">
        <f t="shared" ca="1" si="2"/>
        <v>-0.95486729958911454</v>
      </c>
      <c r="O19" s="69">
        <f t="shared" ca="1" si="3"/>
        <v>-0.11570075737847053</v>
      </c>
      <c r="P19" s="69">
        <f t="shared" ca="1" si="4"/>
        <v>-0.60939139852089075</v>
      </c>
      <c r="Q19" s="69">
        <f t="shared" ca="1" si="5"/>
        <v>-0.40504098599468896</v>
      </c>
      <c r="R19" s="69">
        <f t="shared" ca="1" si="6"/>
        <v>-1.8515628767044265</v>
      </c>
      <c r="S19" s="69">
        <f t="shared" ca="1" si="7"/>
        <v>0.57890637259205469</v>
      </c>
      <c r="T19" s="69">
        <f t="shared" ca="1" si="8"/>
        <v>-0.20129963435624862</v>
      </c>
      <c r="U19" s="69">
        <f t="shared" ca="1" si="9"/>
        <v>-1.0845532123012436</v>
      </c>
      <c r="V19" s="69">
        <f t="shared" ca="1" si="10"/>
        <v>-1.1787250489229204</v>
      </c>
      <c r="W19" s="69">
        <f t="shared" ca="1" si="11"/>
        <v>-1.0163687721385575</v>
      </c>
      <c r="X19" s="69">
        <f t="shared" ca="1" si="12"/>
        <v>-1.0581572126835634</v>
      </c>
      <c r="Z19" s="29" t="s">
        <v>87</v>
      </c>
      <c r="AA19" s="35">
        <f ca="1"/>
        <v>-2.4492327055655416E-2</v>
      </c>
      <c r="AB19" s="35">
        <f ca="1"/>
        <v>2.1805280871386348E-2</v>
      </c>
      <c r="AC19" s="35">
        <f ca="1"/>
        <v>4.518653914536698E-2</v>
      </c>
      <c r="AD19" s="35">
        <f ca="1"/>
        <v>-4.554376977813783E-2</v>
      </c>
      <c r="AE19" s="35">
        <f ca="1"/>
        <v>1.2333970764268754E-2</v>
      </c>
      <c r="AF19" s="35">
        <f ca="1"/>
        <v>-4.0822530248496485E-3</v>
      </c>
      <c r="AG19" s="35">
        <f ca="1"/>
        <v>2.5989525245939751E-2</v>
      </c>
      <c r="AH19" s="35">
        <f ca="1"/>
        <v>1.7909944508422121E-2</v>
      </c>
      <c r="AI19" s="35">
        <f ca="1"/>
        <v>-2.4606095004467039E-2</v>
      </c>
      <c r="AJ19" s="35">
        <f ca="1"/>
        <v>-1.5016072611530549E-2</v>
      </c>
      <c r="AK19" s="72">
        <f ca="1"/>
        <v>0.97777551514868677</v>
      </c>
      <c r="AM19" s="27">
        <v>5.2027629760432294E-3</v>
      </c>
      <c r="AN19" s="27">
        <v>-1.611003051693256E-2</v>
      </c>
      <c r="AO19" s="27">
        <v>4.8699409380056763E-3</v>
      </c>
      <c r="AP19" s="27">
        <v>4.2031403896089243E-3</v>
      </c>
      <c r="AQ19" s="27">
        <v>1.2689766090125539E-2</v>
      </c>
      <c r="AR19" s="27">
        <v>2.2341478590034609E-3</v>
      </c>
      <c r="AS19" s="27">
        <v>-4.7712059762887579E-4</v>
      </c>
      <c r="AT19" s="27">
        <v>7.0153831520455429E-3</v>
      </c>
      <c r="AU19" s="27">
        <v>-2.6618415231644895E-3</v>
      </c>
      <c r="AV19" s="27">
        <v>-3.9093823397152241E-3</v>
      </c>
      <c r="AW19" s="27">
        <v>-1.3535946719448798E-3</v>
      </c>
    </row>
    <row r="20" spans="2:61" x14ac:dyDescent="0.2">
      <c r="B20" s="69">
        <f t="shared" ca="1" si="1"/>
        <v>-1.4500469373366405</v>
      </c>
      <c r="C20" s="69">
        <f t="shared" ca="1" si="0"/>
        <v>-0.88093419934981287</v>
      </c>
      <c r="D20" s="69">
        <f t="shared" ca="1" si="0"/>
        <v>0.75967001491314667</v>
      </c>
      <c r="E20" s="69">
        <f t="shared" ca="1" si="0"/>
        <v>1.3371670122318797</v>
      </c>
      <c r="F20" s="69">
        <f t="shared" ca="1" si="0"/>
        <v>1.8897961842122089</v>
      </c>
      <c r="G20" s="69">
        <f t="shared" ca="1" si="0"/>
        <v>-2.5923014111462233</v>
      </c>
      <c r="H20" s="69">
        <f t="shared" ca="1" si="0"/>
        <v>-2.2537537871468412</v>
      </c>
      <c r="I20" s="69">
        <f t="shared" ca="1" si="0"/>
        <v>-0.18318750717225216</v>
      </c>
      <c r="J20" s="69">
        <f t="shared" ca="1" si="0"/>
        <v>-1.6446035468720108</v>
      </c>
      <c r="K20" s="69">
        <f t="shared" ca="1" si="0"/>
        <v>-0.37849736088699465</v>
      </c>
      <c r="L20" s="69">
        <f t="shared" ca="1" si="0"/>
        <v>-0.66694372175026218</v>
      </c>
      <c r="N20" s="69">
        <f t="shared" ca="1" si="2"/>
        <v>-1.4122788934985318</v>
      </c>
      <c r="O20" s="69">
        <f t="shared" ca="1" si="3"/>
        <v>-0.90742776243269951</v>
      </c>
      <c r="P20" s="69">
        <f t="shared" ca="1" si="4"/>
        <v>0.70192795007605668</v>
      </c>
      <c r="Q20" s="69">
        <f t="shared" ca="1" si="5"/>
        <v>1.3862756910936387</v>
      </c>
      <c r="R20" s="69">
        <f t="shared" ca="1" si="6"/>
        <v>1.88350149880456</v>
      </c>
      <c r="S20" s="69">
        <f t="shared" ca="1" si="7"/>
        <v>-2.5594744388894148</v>
      </c>
      <c r="T20" s="69">
        <f t="shared" ca="1" si="8"/>
        <v>-2.258584824862031</v>
      </c>
      <c r="U20" s="69">
        <f t="shared" ca="1" si="9"/>
        <v>-0.16014738029454251</v>
      </c>
      <c r="V20" s="69">
        <f t="shared" ca="1" si="10"/>
        <v>-1.6507131404456081</v>
      </c>
      <c r="W20" s="69">
        <f t="shared" ca="1" si="11"/>
        <v>-0.3775160040628957</v>
      </c>
      <c r="X20" s="69">
        <f t="shared" ca="1" si="12"/>
        <v>-0.6397752313758267</v>
      </c>
      <c r="AM20" s="27">
        <v>4.5346948919079196E-3</v>
      </c>
      <c r="AN20" s="27">
        <v>-1.4682202945005038E-2</v>
      </c>
      <c r="AO20" s="27">
        <v>4.4453676542490009E-3</v>
      </c>
      <c r="AP20" s="27">
        <v>4.4323701635673694E-3</v>
      </c>
      <c r="AQ20" s="27">
        <v>1.1476700154209978E-2</v>
      </c>
      <c r="AR20" s="27">
        <v>2.847696722934849E-3</v>
      </c>
      <c r="AS20" s="27">
        <v>-2.7429653004169358E-5</v>
      </c>
      <c r="AT20" s="27">
        <v>5.9678701984340809E-3</v>
      </c>
      <c r="AU20" s="27">
        <v>-4.2588494862158969E-3</v>
      </c>
      <c r="AV20" s="27">
        <v>3.8848793010194498E-3</v>
      </c>
      <c r="AW20" s="27">
        <v>-2.8627553702646969E-4</v>
      </c>
    </row>
    <row r="21" spans="2:61" x14ac:dyDescent="0.2">
      <c r="B21" s="69">
        <f t="shared" ca="1" si="1"/>
        <v>-9.9012577549786457E-3</v>
      </c>
      <c r="C21" s="69">
        <f t="shared" ca="1" si="0"/>
        <v>3.6168184822825321E-2</v>
      </c>
      <c r="D21" s="69">
        <f t="shared" ca="1" si="0"/>
        <v>1.5987106559907593</v>
      </c>
      <c r="E21" s="69">
        <f t="shared" ca="1" si="0"/>
        <v>-0.38567708065390849</v>
      </c>
      <c r="F21" s="69">
        <f t="shared" ca="1" si="0"/>
        <v>0.32367972787373317</v>
      </c>
      <c r="G21" s="69">
        <f t="shared" ca="1" si="0"/>
        <v>1.2128142610826611E-2</v>
      </c>
      <c r="H21" s="69">
        <f t="shared" ca="1" si="0"/>
        <v>0.59068875128628917</v>
      </c>
      <c r="I21" s="69">
        <f t="shared" ca="1" si="0"/>
        <v>1.7020506780089826</v>
      </c>
      <c r="J21" s="69">
        <f t="shared" ca="1" si="0"/>
        <v>-1.1790710062067866</v>
      </c>
      <c r="K21" s="69">
        <f t="shared" ca="1" si="0"/>
        <v>-0.10221884905717188</v>
      </c>
      <c r="L21" s="69">
        <f t="shared" ca="1" si="0"/>
        <v>5.5365562114934791E-2</v>
      </c>
      <c r="N21" s="69">
        <f t="shared" ca="1" si="2"/>
        <v>2.7866786083130174E-2</v>
      </c>
      <c r="O21" s="69">
        <f t="shared" ca="1" si="3"/>
        <v>9.674621739938636E-3</v>
      </c>
      <c r="P21" s="69">
        <f t="shared" ca="1" si="4"/>
        <v>1.5409685911536692</v>
      </c>
      <c r="Q21" s="69">
        <f t="shared" ca="1" si="5"/>
        <v>-0.33656840179214953</v>
      </c>
      <c r="R21" s="69">
        <f t="shared" ca="1" si="6"/>
        <v>0.31738504246608429</v>
      </c>
      <c r="S21" s="69">
        <f t="shared" ca="1" si="7"/>
        <v>4.4955114867635093E-2</v>
      </c>
      <c r="T21" s="69">
        <f t="shared" ca="1" si="8"/>
        <v>0.58585771357109928</v>
      </c>
      <c r="U21" s="69">
        <f t="shared" ca="1" si="9"/>
        <v>1.7250908048866922</v>
      </c>
      <c r="V21" s="69">
        <f t="shared" ca="1" si="10"/>
        <v>-1.1851805997803839</v>
      </c>
      <c r="W21" s="69">
        <f t="shared" ca="1" si="11"/>
        <v>-0.10123749223307293</v>
      </c>
      <c r="X21" s="69">
        <f t="shared" ca="1" si="12"/>
        <v>8.2534052489370263E-2</v>
      </c>
      <c r="Z21" s="21" t="s">
        <v>37</v>
      </c>
      <c r="AA21" s="16" t="s">
        <v>96</v>
      </c>
      <c r="AB21" s="24"/>
      <c r="AC21" s="24"/>
      <c r="AD21" s="24"/>
      <c r="AE21" s="24"/>
      <c r="AF21" s="24"/>
      <c r="AG21" s="24"/>
      <c r="AM21" s="27">
        <v>-5.2912323567552745E-3</v>
      </c>
      <c r="AN21" s="27">
        <v>1.7159161251852736E-2</v>
      </c>
      <c r="AO21" s="27">
        <v>-5.678029724209238E-3</v>
      </c>
      <c r="AP21" s="27">
        <v>-3.9454931362338318E-2</v>
      </c>
      <c r="AQ21" s="27">
        <v>1.4699556374385647E-2</v>
      </c>
      <c r="AR21" s="27">
        <v>5.9157797312030455E-3</v>
      </c>
      <c r="AS21" s="27">
        <v>-3.3168357669450442E-4</v>
      </c>
      <c r="AT21" s="27">
        <v>-1.3691568300658473E-4</v>
      </c>
      <c r="AU21" s="27">
        <v>6.233438838377004E-5</v>
      </c>
      <c r="AV21" s="27">
        <v>3.0613419035170041E-5</v>
      </c>
      <c r="AW21" s="27">
        <v>5.0631737102744202E-5</v>
      </c>
    </row>
    <row r="22" spans="2:61" x14ac:dyDescent="0.2">
      <c r="B22" s="69">
        <f t="shared" ca="1" si="1"/>
        <v>-1.0023233814240571</v>
      </c>
      <c r="C22" s="69">
        <f t="shared" ca="1" si="0"/>
        <v>-1.4839179234690367E-2</v>
      </c>
      <c r="D22" s="69">
        <f t="shared" ca="1" si="0"/>
        <v>-2.5756750165879994</v>
      </c>
      <c r="E22" s="69">
        <f t="shared" ca="1" si="0"/>
        <v>9.4994684477404737E-2</v>
      </c>
      <c r="F22" s="69">
        <f t="shared" ca="1" si="0"/>
        <v>-0.75063055445257942</v>
      </c>
      <c r="G22" s="69">
        <f t="shared" ca="1" si="0"/>
        <v>-0.89449805216585354</v>
      </c>
      <c r="H22" s="69">
        <f t="shared" ca="1" si="0"/>
        <v>0.97525044013178519</v>
      </c>
      <c r="I22" s="69">
        <f t="shared" ca="1" si="0"/>
        <v>-0.12685624804792361</v>
      </c>
      <c r="J22" s="69">
        <f t="shared" ca="1" si="0"/>
        <v>1.0055602874314402</v>
      </c>
      <c r="K22" s="69">
        <f t="shared" ca="1" si="0"/>
        <v>-7.7392977357593762E-2</v>
      </c>
      <c r="L22" s="69">
        <f t="shared" ca="1" si="0"/>
        <v>-1.3129068129040511</v>
      </c>
      <c r="N22" s="69">
        <f t="shared" ca="1" si="2"/>
        <v>-0.96455533758594825</v>
      </c>
      <c r="O22" s="69">
        <f t="shared" ca="1" si="3"/>
        <v>-4.1332742317577054E-2</v>
      </c>
      <c r="P22" s="69">
        <f t="shared" ca="1" si="4"/>
        <v>-2.6334170814250895</v>
      </c>
      <c r="Q22" s="69">
        <f t="shared" ca="1" si="5"/>
        <v>0.14410336333916368</v>
      </c>
      <c r="R22" s="69">
        <f t="shared" ca="1" si="6"/>
        <v>-0.7569252398602283</v>
      </c>
      <c r="S22" s="69">
        <f t="shared" ca="1" si="7"/>
        <v>-0.86167107990904501</v>
      </c>
      <c r="T22" s="69">
        <f t="shared" ca="1" si="8"/>
        <v>0.9704194024165953</v>
      </c>
      <c r="U22" s="69">
        <f t="shared" ca="1" si="9"/>
        <v>-0.10381612117021397</v>
      </c>
      <c r="V22" s="69">
        <f t="shared" ca="1" si="10"/>
        <v>0.99945069385784291</v>
      </c>
      <c r="W22" s="69">
        <f t="shared" ca="1" si="11"/>
        <v>-7.6411620533494817E-2</v>
      </c>
      <c r="X22" s="69">
        <f t="shared" ca="1" si="12"/>
        <v>-1.2857383225296155</v>
      </c>
      <c r="AM22" s="27">
        <v>2.5065253546124752E-2</v>
      </c>
      <c r="AN22" s="27">
        <v>3.1841604965287769E-2</v>
      </c>
      <c r="AO22" s="27">
        <v>6.2699055877335777E-2</v>
      </c>
      <c r="AP22" s="27">
        <v>-2.0004578703581126E-3</v>
      </c>
      <c r="AQ22" s="27">
        <v>5.9972630086729394E-4</v>
      </c>
      <c r="AR22" s="27">
        <v>-5.7642933779972812E-3</v>
      </c>
      <c r="AS22" s="27">
        <v>-1.7500958062057289E-4</v>
      </c>
      <c r="AT22" s="27">
        <v>4.8361359975708496E-4</v>
      </c>
      <c r="AU22" s="27">
        <v>-4.840393317679315E-6</v>
      </c>
      <c r="AV22" s="27">
        <v>2.0194229665368937E-5</v>
      </c>
      <c r="AW22" s="27">
        <v>3.2503475665238436E-5</v>
      </c>
    </row>
    <row r="23" spans="2:61" x14ac:dyDescent="0.2">
      <c r="B23" s="69">
        <f t="shared" ca="1" si="1"/>
        <v>-1.0720829447542917</v>
      </c>
      <c r="C23" s="69">
        <f t="shared" ca="1" si="0"/>
        <v>2.8668374724449417E-2</v>
      </c>
      <c r="D23" s="69">
        <f t="shared" ca="1" si="0"/>
        <v>0.86561999753004815</v>
      </c>
      <c r="E23" s="69">
        <f t="shared" ca="1" si="0"/>
        <v>-0.32263197637796809</v>
      </c>
      <c r="F23" s="69">
        <f t="shared" ca="1" si="0"/>
        <v>-0.67377968599139049</v>
      </c>
      <c r="G23" s="69">
        <f t="shared" ca="1" si="0"/>
        <v>2.1118382813273859</v>
      </c>
      <c r="H23" s="69">
        <f t="shared" ca="1" si="0"/>
        <v>3.055455181402332E-2</v>
      </c>
      <c r="I23" s="69">
        <f t="shared" ca="1" si="0"/>
        <v>-1.1721275354099479</v>
      </c>
      <c r="J23" s="69">
        <f t="shared" ca="1" si="0"/>
        <v>1.7339531504965276E-2</v>
      </c>
      <c r="K23" s="69">
        <f t="shared" ca="1" si="0"/>
        <v>1.0926671997087887</v>
      </c>
      <c r="L23" s="69">
        <f t="shared" ca="1" si="0"/>
        <v>-0.55286094036224587</v>
      </c>
      <c r="N23" s="69">
        <f t="shared" ca="1" si="2"/>
        <v>-1.0343149009161829</v>
      </c>
      <c r="O23" s="69">
        <f t="shared" ca="1" si="3"/>
        <v>2.1748116415627322E-3</v>
      </c>
      <c r="P23" s="69">
        <f t="shared" ca="1" si="4"/>
        <v>0.80787793269295816</v>
      </c>
      <c r="Q23" s="69">
        <f t="shared" ca="1" si="5"/>
        <v>-0.27352329751620913</v>
      </c>
      <c r="R23" s="69">
        <f t="shared" ca="1" si="6"/>
        <v>-0.68007437139903937</v>
      </c>
      <c r="S23" s="69">
        <f t="shared" ca="1" si="7"/>
        <v>2.1446652535841944</v>
      </c>
      <c r="T23" s="69">
        <f t="shared" ca="1" si="8"/>
        <v>2.5723514098833476E-2</v>
      </c>
      <c r="U23" s="69">
        <f t="shared" ca="1" si="9"/>
        <v>-1.1490874085322382</v>
      </c>
      <c r="V23" s="69">
        <f t="shared" ca="1" si="10"/>
        <v>1.1229937931367947E-2</v>
      </c>
      <c r="W23" s="69">
        <f t="shared" ca="1" si="11"/>
        <v>1.0936485565328877</v>
      </c>
      <c r="X23" s="69">
        <f t="shared" ca="1" si="12"/>
        <v>-0.5256924499878104</v>
      </c>
      <c r="Z23" s="15" t="s">
        <v>38</v>
      </c>
      <c r="AM23" s="27">
        <v>0.10235565131868721</v>
      </c>
      <c r="AN23" s="27">
        <v>8.4715901232296723E-3</v>
      </c>
      <c r="AO23" s="27">
        <v>-1.9742896036471863E-2</v>
      </c>
      <c r="AP23" s="27">
        <v>-9.2454479231584034E-4</v>
      </c>
      <c r="AQ23" s="27">
        <v>-2.4839431682885564E-3</v>
      </c>
      <c r="AR23" s="27">
        <v>2.0280326334000858E-3</v>
      </c>
      <c r="AS23" s="27">
        <v>-5.6346022603894863E-4</v>
      </c>
      <c r="AT23" s="27">
        <v>2.8013914816312727E-4</v>
      </c>
      <c r="AU23" s="27">
        <v>-5.0951299985287595E-5</v>
      </c>
      <c r="AV23" s="27">
        <v>1.2359534709513532E-6</v>
      </c>
      <c r="AW23" s="27">
        <v>-8.0165556645965777E-6</v>
      </c>
    </row>
    <row r="24" spans="2:61" x14ac:dyDescent="0.2">
      <c r="B24" s="69">
        <f t="shared" ca="1" si="1"/>
        <v>-0.5530895616694611</v>
      </c>
      <c r="C24" s="69">
        <f t="shared" ca="1" si="0"/>
        <v>0.50148795982364358</v>
      </c>
      <c r="D24" s="69">
        <f t="shared" ca="1" si="0"/>
        <v>2.4713527207260104</v>
      </c>
      <c r="E24" s="69">
        <f t="shared" ca="1" si="0"/>
        <v>-1.0408493945041628</v>
      </c>
      <c r="F24" s="69">
        <f t="shared" ca="1" si="0"/>
        <v>-0.49359335856586323</v>
      </c>
      <c r="G24" s="69">
        <f t="shared" ca="1" si="0"/>
        <v>0.17977101364533304</v>
      </c>
      <c r="H24" s="69">
        <f t="shared" ca="1" si="0"/>
        <v>-8.4520983075722714E-2</v>
      </c>
      <c r="I24" s="69">
        <f t="shared" ca="1" si="0"/>
        <v>0.68166423000449616</v>
      </c>
      <c r="J24" s="69">
        <f t="shared" ca="1" si="0"/>
        <v>-1.439447803256154</v>
      </c>
      <c r="K24" s="69">
        <f t="shared" ca="1" si="0"/>
        <v>2.1320307548691835</v>
      </c>
      <c r="L24" s="69">
        <f t="shared" ca="1" si="0"/>
        <v>1.0294071948832977</v>
      </c>
      <c r="N24" s="69">
        <f t="shared" ca="1" si="2"/>
        <v>-0.51532151783135227</v>
      </c>
      <c r="O24" s="69">
        <f t="shared" ca="1" si="3"/>
        <v>0.47499439674075689</v>
      </c>
      <c r="P24" s="69">
        <f t="shared" ca="1" si="4"/>
        <v>2.4136106558889203</v>
      </c>
      <c r="Q24" s="69">
        <f t="shared" ca="1" si="5"/>
        <v>-0.99174071564240385</v>
      </c>
      <c r="R24" s="69">
        <f t="shared" ca="1" si="6"/>
        <v>-0.49988804397351211</v>
      </c>
      <c r="S24" s="69">
        <f t="shared" ca="1" si="7"/>
        <v>0.21259798590214152</v>
      </c>
      <c r="T24" s="69">
        <f t="shared" ca="1" si="8"/>
        <v>-8.9352020790912562E-2</v>
      </c>
      <c r="U24" s="69">
        <f t="shared" ca="1" si="9"/>
        <v>0.70470435688220578</v>
      </c>
      <c r="V24" s="69">
        <f t="shared" ca="1" si="10"/>
        <v>-1.4455573968297513</v>
      </c>
      <c r="W24" s="69">
        <f t="shared" ca="1" si="11"/>
        <v>2.1330121116932825</v>
      </c>
      <c r="X24" s="69">
        <f t="shared" ca="1" si="12"/>
        <v>1.0565756852577333</v>
      </c>
      <c r="Z24" s="1"/>
      <c r="AM24" s="27">
        <v>-7.7952007298311284E-4</v>
      </c>
      <c r="AN24" s="27">
        <v>8.3694537661379072E-3</v>
      </c>
      <c r="AO24" s="27">
        <v>8.2782413918672942E-3</v>
      </c>
      <c r="AP24" s="27">
        <v>3.9272197019959224E-3</v>
      </c>
      <c r="AQ24" s="27">
        <v>-4.8311177792073907E-3</v>
      </c>
      <c r="AR24" s="27">
        <v>2.1568378045878224E-2</v>
      </c>
      <c r="AS24" s="27">
        <v>1.4337529177431604E-2</v>
      </c>
      <c r="AT24" s="27">
        <v>-1.8342200083365574E-4</v>
      </c>
      <c r="AU24" s="27">
        <v>8.002717459241008E-5</v>
      </c>
      <c r="AV24" s="27">
        <v>-1.210695613022305E-4</v>
      </c>
      <c r="AW24" s="27">
        <v>-5.4473192032732169E-5</v>
      </c>
    </row>
    <row r="25" spans="2:61" ht="18" x14ac:dyDescent="0.2">
      <c r="B25" s="69">
        <f t="shared" ca="1" si="1"/>
        <v>-1.18834750620492</v>
      </c>
      <c r="C25" s="69">
        <f t="shared" ca="1" si="1"/>
        <v>0.1418461978303861</v>
      </c>
      <c r="D25" s="69">
        <f t="shared" ca="1" si="1"/>
        <v>-0.47698074460047901</v>
      </c>
      <c r="E25" s="69">
        <f t="shared" ca="1" si="1"/>
        <v>-1.107826697240627</v>
      </c>
      <c r="F25" s="69">
        <f t="shared" ca="1" si="1"/>
        <v>-0.77984439940372563</v>
      </c>
      <c r="G25" s="69">
        <f t="shared" ca="1" si="1"/>
        <v>0.55252351197361171</v>
      </c>
      <c r="H25" s="69">
        <f t="shared" ca="1" si="1"/>
        <v>0.18254932838587032</v>
      </c>
      <c r="I25" s="69">
        <f t="shared" ca="1" si="1"/>
        <v>-0.87568470246030949</v>
      </c>
      <c r="J25" s="69">
        <f t="shared" ca="1" si="1"/>
        <v>1.5117710501790496</v>
      </c>
      <c r="K25" s="69">
        <f t="shared" ca="1" si="1"/>
        <v>-0.72144785858724958</v>
      </c>
      <c r="L25" s="69">
        <f t="shared" ca="1" si="1"/>
        <v>6.0261164372241355E-2</v>
      </c>
      <c r="N25" s="69">
        <f t="shared" ca="1" si="2"/>
        <v>-1.1505794623668113</v>
      </c>
      <c r="O25" s="69">
        <f t="shared" ca="1" si="3"/>
        <v>0.11535263474749942</v>
      </c>
      <c r="P25" s="69">
        <f t="shared" ca="1" si="4"/>
        <v>-0.534722809437569</v>
      </c>
      <c r="Q25" s="69">
        <f t="shared" ca="1" si="5"/>
        <v>-1.058718018378868</v>
      </c>
      <c r="R25" s="69">
        <f t="shared" ca="1" si="6"/>
        <v>-0.78613908481137451</v>
      </c>
      <c r="S25" s="69">
        <f t="shared" ca="1" si="7"/>
        <v>0.58535048423042024</v>
      </c>
      <c r="T25" s="69">
        <f t="shared" ca="1" si="8"/>
        <v>0.17771829067068048</v>
      </c>
      <c r="U25" s="69">
        <f t="shared" ca="1" si="9"/>
        <v>-0.85264457558259987</v>
      </c>
      <c r="V25" s="69">
        <f t="shared" ca="1" si="10"/>
        <v>1.5056614566054523</v>
      </c>
      <c r="W25" s="69">
        <f t="shared" ca="1" si="11"/>
        <v>-0.72046650176315064</v>
      </c>
      <c r="X25" s="69">
        <f t="shared" ca="1" si="12"/>
        <v>8.7429654746676827E-2</v>
      </c>
      <c r="Z25" s="15" t="s">
        <v>39</v>
      </c>
      <c r="AM25" s="27">
        <v>6.1638312042681135E-3</v>
      </c>
      <c r="AN25" s="27">
        <v>-7.9369605625399676E-3</v>
      </c>
      <c r="AO25" s="27">
        <v>-7.7664124704443279E-3</v>
      </c>
      <c r="AP25" s="27">
        <v>-2.4683503130431424E-3</v>
      </c>
      <c r="AQ25" s="27">
        <v>9.5266846438609252E-3</v>
      </c>
      <c r="AR25" s="27">
        <v>-2.0435702661570243E-2</v>
      </c>
      <c r="AS25" s="27">
        <v>1.4398296222783259E-2</v>
      </c>
      <c r="AT25" s="27">
        <v>-8.4972549561324951E-4</v>
      </c>
      <c r="AU25" s="27">
        <v>8.1603097166044346E-5</v>
      </c>
      <c r="AV25" s="27">
        <v>1.4748505824854272E-5</v>
      </c>
      <c r="AW25" s="27">
        <v>2.9573362081745401E-5</v>
      </c>
    </row>
    <row r="26" spans="2:61" x14ac:dyDescent="0.2">
      <c r="B26" s="69">
        <f t="shared" ca="1" si="1"/>
        <v>-0.41904316412100995</v>
      </c>
      <c r="C26" s="69">
        <f t="shared" ca="1" si="1"/>
        <v>-0.48893133405711253</v>
      </c>
      <c r="D26" s="69">
        <f t="shared" ca="1" si="1"/>
        <v>-0.21608012433466489</v>
      </c>
      <c r="E26" s="69">
        <f t="shared" ca="1" si="1"/>
        <v>0.40142771768311897</v>
      </c>
      <c r="F26" s="69">
        <f t="shared" ca="1" si="1"/>
        <v>-2.3021641874555394</v>
      </c>
      <c r="G26" s="69">
        <f t="shared" ca="1" si="1"/>
        <v>0.87891191768907073</v>
      </c>
      <c r="H26" s="69">
        <f t="shared" ca="1" si="1"/>
        <v>0.13050839571267175</v>
      </c>
      <c r="I26" s="69">
        <f t="shared" ca="1" si="1"/>
        <v>-1.6424451973355561</v>
      </c>
      <c r="J26" s="69">
        <f t="shared" ca="1" si="1"/>
        <v>-0.53231129100056607</v>
      </c>
      <c r="K26" s="69">
        <f t="shared" ca="1" si="1"/>
        <v>0.55681172166517534</v>
      </c>
      <c r="L26" s="69">
        <f t="shared" ca="1" si="1"/>
        <v>-1.1263079471730104</v>
      </c>
      <c r="N26" s="69">
        <f t="shared" ca="1" si="2"/>
        <v>-0.38127512028290111</v>
      </c>
      <c r="O26" s="69">
        <f t="shared" ca="1" si="3"/>
        <v>-0.51542489713999917</v>
      </c>
      <c r="P26" s="69">
        <f t="shared" ca="1" si="4"/>
        <v>-0.27382218917175494</v>
      </c>
      <c r="Q26" s="69">
        <f t="shared" ca="1" si="5"/>
        <v>0.45053639654487793</v>
      </c>
      <c r="R26" s="69">
        <f t="shared" ca="1" si="6"/>
        <v>-2.3084588728631883</v>
      </c>
      <c r="S26" s="69">
        <f t="shared" ca="1" si="7"/>
        <v>0.91173888994587926</v>
      </c>
      <c r="T26" s="69">
        <f t="shared" ca="1" si="8"/>
        <v>0.12567735799748192</v>
      </c>
      <c r="U26" s="69">
        <f t="shared" ca="1" si="9"/>
        <v>-1.6194050704578464</v>
      </c>
      <c r="V26" s="69">
        <f t="shared" ca="1" si="10"/>
        <v>-0.53842088457416337</v>
      </c>
      <c r="W26" s="69">
        <f t="shared" ca="1" si="11"/>
        <v>0.55779307848927429</v>
      </c>
      <c r="X26" s="69">
        <f t="shared" ca="1" si="12"/>
        <v>-1.0991394567985748</v>
      </c>
      <c r="Z26" s="27"/>
      <c r="AA26" s="29" t="s">
        <v>77</v>
      </c>
      <c r="AB26" s="29" t="s">
        <v>78</v>
      </c>
      <c r="AC26" s="29" t="s">
        <v>79</v>
      </c>
      <c r="AD26" s="29" t="s">
        <v>80</v>
      </c>
      <c r="AE26" s="29" t="s">
        <v>81</v>
      </c>
      <c r="AF26" s="29" t="s">
        <v>82</v>
      </c>
      <c r="AG26" s="29" t="s">
        <v>83</v>
      </c>
      <c r="AH26" s="29" t="s">
        <v>84</v>
      </c>
      <c r="AI26" s="29" t="s">
        <v>85</v>
      </c>
      <c r="AJ26" s="29" t="s">
        <v>86</v>
      </c>
      <c r="AK26" s="29" t="s">
        <v>87</v>
      </c>
    </row>
    <row r="27" spans="2:61" ht="18" x14ac:dyDescent="0.2">
      <c r="B27" s="69">
        <f t="shared" ca="1" si="1"/>
        <v>2.0160950537725078</v>
      </c>
      <c r="C27" s="69">
        <f t="shared" ca="1" si="1"/>
        <v>-1.1401421550410382</v>
      </c>
      <c r="D27" s="69">
        <f t="shared" ca="1" si="1"/>
        <v>0.30395466765026868</v>
      </c>
      <c r="E27" s="69">
        <f t="shared" ca="1" si="1"/>
        <v>-0.82782644674427619</v>
      </c>
      <c r="F27" s="69">
        <f t="shared" ca="1" si="1"/>
        <v>0.77797608891127545</v>
      </c>
      <c r="G27" s="69">
        <f t="shared" ca="1" si="1"/>
        <v>-0.69276074544929644</v>
      </c>
      <c r="H27" s="69">
        <f t="shared" ca="1" si="1"/>
        <v>0.355074236918349</v>
      </c>
      <c r="I27" s="69">
        <f t="shared" ca="1" si="1"/>
        <v>1.2670725827439149</v>
      </c>
      <c r="J27" s="69">
        <f t="shared" ca="1" si="1"/>
        <v>0.62388938172098041</v>
      </c>
      <c r="K27" s="69">
        <f t="shared" ca="1" si="1"/>
        <v>-0.55293101266955558</v>
      </c>
      <c r="L27" s="69">
        <f t="shared" ca="1" si="1"/>
        <v>3.0061706680473543E-2</v>
      </c>
      <c r="N27" s="69">
        <f t="shared" ca="1" si="2"/>
        <v>2.0538630976106167</v>
      </c>
      <c r="O27" s="69">
        <f t="shared" ca="1" si="3"/>
        <v>-1.1666357181239249</v>
      </c>
      <c r="P27" s="69">
        <f t="shared" ca="1" si="4"/>
        <v>0.24621260281317864</v>
      </c>
      <c r="Q27" s="69">
        <f t="shared" ca="1" si="5"/>
        <v>-0.77871776788251723</v>
      </c>
      <c r="R27" s="69">
        <f t="shared" ca="1" si="6"/>
        <v>0.77168140350362657</v>
      </c>
      <c r="S27" s="69">
        <f t="shared" ca="1" si="7"/>
        <v>-0.65993377319248792</v>
      </c>
      <c r="T27" s="69">
        <f t="shared" ca="1" si="8"/>
        <v>0.35024319920315916</v>
      </c>
      <c r="U27" s="69">
        <f t="shared" ca="1" si="9"/>
        <v>1.2901127096216245</v>
      </c>
      <c r="V27" s="69">
        <f t="shared" ca="1" si="10"/>
        <v>0.6177797881473831</v>
      </c>
      <c r="W27" s="69">
        <f t="shared" ca="1" si="11"/>
        <v>-0.55194965584545663</v>
      </c>
      <c r="X27" s="69">
        <f t="shared" ca="1" si="12"/>
        <v>5.7230197054909018E-2</v>
      </c>
      <c r="Z27" s="29" t="s">
        <v>77</v>
      </c>
      <c r="AA27" s="35">
        <f t="array" aca="1" ref="AA27:AK37" ca="1">MMULT(TRANSPOSE(B1011:L1011),B1011:L1011)</f>
        <v>1.0704765782891761</v>
      </c>
      <c r="AB27" s="35">
        <f ca="1"/>
        <v>1.061572396981149</v>
      </c>
      <c r="AC27" s="35">
        <f ca="1"/>
        <v>1.0391189927845834</v>
      </c>
      <c r="AD27" s="35">
        <f ca="1"/>
        <v>1.0475506246268409</v>
      </c>
      <c r="AE27" s="35">
        <f ca="1"/>
        <v>1.05381626871737</v>
      </c>
      <c r="AF27" s="35">
        <f ca="1"/>
        <v>1.0014753623076598</v>
      </c>
      <c r="AG27" s="35">
        <f ca="1"/>
        <v>1.0632827883666298</v>
      </c>
      <c r="AH27" s="35">
        <f ca="1"/>
        <v>1.0417589666274489</v>
      </c>
      <c r="AI27" s="35">
        <f ca="1"/>
        <v>1.0287029763834883</v>
      </c>
      <c r="AJ27" s="35">
        <f ca="1"/>
        <v>1.0605905442844854</v>
      </c>
      <c r="AK27" s="35">
        <f ca="1"/>
        <v>1.0230766285040931</v>
      </c>
      <c r="AM27" s="76" t="s">
        <v>101</v>
      </c>
      <c r="AN27" s="70"/>
    </row>
    <row r="28" spans="2:61" x14ac:dyDescent="0.2">
      <c r="B28" s="69">
        <f t="shared" ca="1" si="1"/>
        <v>0.2594423782693443</v>
      </c>
      <c r="C28" s="69">
        <f t="shared" ca="1" si="1"/>
        <v>-1.0221392611012001</v>
      </c>
      <c r="D28" s="69">
        <f t="shared" ca="1" si="1"/>
        <v>0.2200142371482523</v>
      </c>
      <c r="E28" s="69">
        <f t="shared" ca="1" si="1"/>
        <v>-2.9620748872064402E-2</v>
      </c>
      <c r="F28" s="69">
        <f t="shared" ca="1" si="1"/>
        <v>-1.1438006474728637</v>
      </c>
      <c r="G28" s="69">
        <f t="shared" ca="1" si="1"/>
        <v>-0.18701345207637599</v>
      </c>
      <c r="H28" s="69">
        <f t="shared" ca="1" si="1"/>
        <v>-0.62710735828434616</v>
      </c>
      <c r="I28" s="69">
        <f t="shared" ca="1" si="1"/>
        <v>-0.28203141886643185</v>
      </c>
      <c r="J28" s="69">
        <f t="shared" ca="1" si="1"/>
        <v>-0.12004072401684866</v>
      </c>
      <c r="K28" s="69">
        <f t="shared" ca="1" si="1"/>
        <v>-4.2542669879234961E-2</v>
      </c>
      <c r="L28" s="69">
        <f t="shared" ca="1" si="1"/>
        <v>-1.8379435850817452</v>
      </c>
      <c r="N28" s="69">
        <f t="shared" ca="1" si="2"/>
        <v>0.29721042210745313</v>
      </c>
      <c r="O28" s="69">
        <f t="shared" ca="1" si="3"/>
        <v>-1.0486328241840868</v>
      </c>
      <c r="P28" s="69">
        <f t="shared" ca="1" si="4"/>
        <v>0.16227217231116225</v>
      </c>
      <c r="Q28" s="69">
        <f t="shared" ca="1" si="5"/>
        <v>1.9487929989694543E-2</v>
      </c>
      <c r="R28" s="69">
        <f t="shared" ca="1" si="6"/>
        <v>-1.1500953328805126</v>
      </c>
      <c r="S28" s="69">
        <f t="shared" ca="1" si="7"/>
        <v>-0.15418647981956751</v>
      </c>
      <c r="T28" s="69">
        <f t="shared" ca="1" si="8"/>
        <v>-0.63193839599953605</v>
      </c>
      <c r="U28" s="69">
        <f t="shared" ca="1" si="9"/>
        <v>-0.25899129198872217</v>
      </c>
      <c r="V28" s="69">
        <f t="shared" ca="1" si="10"/>
        <v>-0.12615031759044598</v>
      </c>
      <c r="W28" s="69">
        <f t="shared" ca="1" si="11"/>
        <v>-4.1561313055136009E-2</v>
      </c>
      <c r="X28" s="69">
        <f t="shared" ca="1" si="12"/>
        <v>-1.8107750947073096</v>
      </c>
      <c r="Z28" s="29" t="s">
        <v>78</v>
      </c>
      <c r="AA28" s="35">
        <f ca="1"/>
        <v>1.061572396981149</v>
      </c>
      <c r="AB28" s="35">
        <f ca="1"/>
        <v>1.0527422802966497</v>
      </c>
      <c r="AC28" s="35">
        <f ca="1"/>
        <v>1.0304756426169828</v>
      </c>
      <c r="AD28" s="35">
        <f ca="1"/>
        <v>1.0388371404832444</v>
      </c>
      <c r="AE28" s="35">
        <f ca="1"/>
        <v>1.0450506671971533</v>
      </c>
      <c r="AF28" s="35">
        <f ca="1"/>
        <v>0.9931451303508233</v>
      </c>
      <c r="AG28" s="35">
        <f ca="1"/>
        <v>1.0544384447150836</v>
      </c>
      <c r="AH28" s="35">
        <f ca="1"/>
        <v>1.0330936572631484</v>
      </c>
      <c r="AI28" s="35">
        <f ca="1"/>
        <v>1.0201462662231739</v>
      </c>
      <c r="AJ28" s="35">
        <f ca="1"/>
        <v>1.0517685946113962</v>
      </c>
      <c r="AK28" s="35">
        <f ca="1"/>
        <v>1.014566718080117</v>
      </c>
      <c r="AM28" s="27">
        <f t="array" aca="1" ref="AM28:AW28" ca="1">MMULT(AM11:AW11,AM15:AW25)</f>
        <v>0.17198646978597876</v>
      </c>
      <c r="AN28" s="27">
        <f ca="1"/>
        <v>2.5313688995651035E-2</v>
      </c>
      <c r="AO28" s="27">
        <f ca="1"/>
        <v>5.320597458211427E-2</v>
      </c>
      <c r="AP28" s="27">
        <f ca="1"/>
        <v>-1.2899516950640892E-2</v>
      </c>
      <c r="AQ28" s="27">
        <f ca="1"/>
        <v>-3.2177326912621339E-2</v>
      </c>
      <c r="AR28" s="27">
        <f ca="1"/>
        <v>-3.4925939534522915E-3</v>
      </c>
      <c r="AS28" s="27">
        <f ca="1"/>
        <v>4.2666681753186816E-2</v>
      </c>
      <c r="AT28" s="27">
        <f ca="1"/>
        <v>-2.3092439408405854E-2</v>
      </c>
      <c r="AU28" s="27">
        <f ca="1"/>
        <v>1.8117076129290685E-3</v>
      </c>
      <c r="AV28" s="27">
        <f ca="1"/>
        <v>-6.5313929482329414E-3</v>
      </c>
      <c r="AW28" s="27">
        <f ca="1"/>
        <v>-3.4570574085820908E-3</v>
      </c>
    </row>
    <row r="29" spans="2:61" x14ac:dyDescent="0.2">
      <c r="B29" s="69">
        <f t="shared" ca="1" si="1"/>
        <v>0.36425986959005169</v>
      </c>
      <c r="C29" s="69">
        <f t="shared" ca="1" si="1"/>
        <v>-0.72026621752487208</v>
      </c>
      <c r="D29" s="69">
        <f t="shared" ca="1" si="1"/>
        <v>-0.54716805177033112</v>
      </c>
      <c r="E29" s="69">
        <f t="shared" ca="1" si="1"/>
        <v>-0.20892808444791092</v>
      </c>
      <c r="F29" s="69">
        <f t="shared" ca="1" si="1"/>
        <v>-2.199425276597637</v>
      </c>
      <c r="G29" s="69">
        <f t="shared" ca="1" si="1"/>
        <v>-1.0144732512624686</v>
      </c>
      <c r="H29" s="69">
        <f t="shared" ca="1" si="1"/>
        <v>-1.5409741224015829</v>
      </c>
      <c r="I29" s="69">
        <f t="shared" ca="1" si="1"/>
        <v>1.7635183793472444</v>
      </c>
      <c r="J29" s="69">
        <f t="shared" ca="1" si="1"/>
        <v>0.62249578841196052</v>
      </c>
      <c r="K29" s="69">
        <f t="shared" ca="1" si="1"/>
        <v>-0.57281277052253565</v>
      </c>
      <c r="L29" s="69">
        <f t="shared" ca="1" si="1"/>
        <v>-0.27415842878072183</v>
      </c>
      <c r="N29" s="69">
        <f t="shared" ca="1" si="2"/>
        <v>0.40202791342816052</v>
      </c>
      <c r="O29" s="69">
        <f t="shared" ca="1" si="3"/>
        <v>-0.74675978060775872</v>
      </c>
      <c r="P29" s="69">
        <f t="shared" ca="1" si="4"/>
        <v>-0.60491011660742111</v>
      </c>
      <c r="Q29" s="69">
        <f t="shared" ca="1" si="5"/>
        <v>-0.15981940558615199</v>
      </c>
      <c r="R29" s="69">
        <f t="shared" ca="1" si="6"/>
        <v>-2.2057199620052859</v>
      </c>
      <c r="S29" s="69">
        <f t="shared" ca="1" si="7"/>
        <v>-0.98164627900566004</v>
      </c>
      <c r="T29" s="69">
        <f t="shared" ca="1" si="8"/>
        <v>-1.5458051601167728</v>
      </c>
      <c r="U29" s="69">
        <f t="shared" ca="1" si="9"/>
        <v>1.786558506224954</v>
      </c>
      <c r="V29" s="69">
        <f t="shared" ca="1" si="10"/>
        <v>0.61638619483836321</v>
      </c>
      <c r="W29" s="69">
        <f t="shared" ca="1" si="11"/>
        <v>-0.57183141369843671</v>
      </c>
      <c r="X29" s="69">
        <f t="shared" ca="1" si="12"/>
        <v>-0.24698993840628636</v>
      </c>
      <c r="Z29" s="29" t="s">
        <v>79</v>
      </c>
      <c r="AA29" s="35">
        <f ca="1"/>
        <v>1.0391189927845834</v>
      </c>
      <c r="AB29" s="35">
        <f ca="1"/>
        <v>1.0304756426169828</v>
      </c>
      <c r="AC29" s="35">
        <f ca="1"/>
        <v>1.0086799684037189</v>
      </c>
      <c r="AD29" s="35">
        <f ca="1"/>
        <v>1.016864611547859</v>
      </c>
      <c r="AE29" s="35">
        <f ca="1"/>
        <v>1.0229467154523673</v>
      </c>
      <c r="AF29" s="35">
        <f ca="1"/>
        <v>0.97213903684176806</v>
      </c>
      <c r="AG29" s="35">
        <f ca="1"/>
        <v>1.0321359313237088</v>
      </c>
      <c r="AH29" s="35">
        <f ca="1"/>
        <v>1.0112426092089575</v>
      </c>
      <c r="AI29" s="35">
        <f ca="1"/>
        <v>0.99856906949098256</v>
      </c>
      <c r="AJ29" s="35">
        <f ca="1"/>
        <v>1.0295225514369306</v>
      </c>
      <c r="AK29" s="35">
        <f ca="1"/>
        <v>0.99310753482495884</v>
      </c>
    </row>
    <row r="30" spans="2:61" x14ac:dyDescent="0.2">
      <c r="B30" s="69">
        <f t="shared" ca="1" si="1"/>
        <v>0.54555788597896204</v>
      </c>
      <c r="C30" s="69">
        <f t="shared" ca="1" si="1"/>
        <v>-0.80253651867580489</v>
      </c>
      <c r="D30" s="69">
        <f t="shared" ca="1" si="1"/>
        <v>-1.6082407072838363</v>
      </c>
      <c r="E30" s="69">
        <f t="shared" ca="1" si="1"/>
        <v>0.49156749758433982</v>
      </c>
      <c r="F30" s="69">
        <f t="shared" ca="1" si="1"/>
        <v>1.2134276411168963</v>
      </c>
      <c r="G30" s="69">
        <f t="shared" ca="1" si="1"/>
        <v>1.6605905408987027</v>
      </c>
      <c r="H30" s="69">
        <f t="shared" ca="1" si="1"/>
        <v>0.35258039548899239</v>
      </c>
      <c r="I30" s="69">
        <f t="shared" ca="1" si="1"/>
        <v>0.43296092599242353</v>
      </c>
      <c r="J30" s="69">
        <f t="shared" ca="1" si="1"/>
        <v>-1.6926444168211039</v>
      </c>
      <c r="K30" s="69">
        <f t="shared" ca="1" si="1"/>
        <v>2.307563947845559</v>
      </c>
      <c r="L30" s="69">
        <f t="shared" ca="1" si="1"/>
        <v>1.4156324867517263</v>
      </c>
      <c r="N30" s="69">
        <f t="shared" ca="1" si="2"/>
        <v>0.58332592981707088</v>
      </c>
      <c r="O30" s="69">
        <f t="shared" ca="1" si="3"/>
        <v>-0.82903008175869153</v>
      </c>
      <c r="P30" s="69">
        <f t="shared" ca="1" si="4"/>
        <v>-1.6659827721209264</v>
      </c>
      <c r="Q30" s="69">
        <f t="shared" ca="1" si="5"/>
        <v>0.54067617644609878</v>
      </c>
      <c r="R30" s="69">
        <f t="shared" ca="1" si="6"/>
        <v>1.2071329557092474</v>
      </c>
      <c r="S30" s="69">
        <f t="shared" ca="1" si="7"/>
        <v>1.6934175131555111</v>
      </c>
      <c r="T30" s="69">
        <f t="shared" ca="1" si="8"/>
        <v>0.34774935777380256</v>
      </c>
      <c r="U30" s="69">
        <f t="shared" ca="1" si="9"/>
        <v>0.45600105287013321</v>
      </c>
      <c r="V30" s="69">
        <f t="shared" ca="1" si="10"/>
        <v>-1.6987540103947012</v>
      </c>
      <c r="W30" s="69">
        <f t="shared" ca="1" si="11"/>
        <v>2.308545304669658</v>
      </c>
      <c r="X30" s="69">
        <f t="shared" ca="1" si="12"/>
        <v>1.4428009771261618</v>
      </c>
      <c r="Z30" s="29" t="s">
        <v>80</v>
      </c>
      <c r="AA30" s="35">
        <f ca="1"/>
        <v>1.0475506246268409</v>
      </c>
      <c r="AB30" s="35">
        <f ca="1"/>
        <v>1.0388371404832444</v>
      </c>
      <c r="AC30" s="35">
        <f ca="1"/>
        <v>1.016864611547859</v>
      </c>
      <c r="AD30" s="35">
        <f ca="1"/>
        <v>1.0251156666219425</v>
      </c>
      <c r="AE30" s="35">
        <f ca="1"/>
        <v>1.0312471220071813</v>
      </c>
      <c r="AF30" s="35">
        <f ca="1"/>
        <v>0.980027179119075</v>
      </c>
      <c r="AG30" s="35">
        <f ca="1"/>
        <v>1.0405109011245846</v>
      </c>
      <c r="AH30" s="35">
        <f ca="1"/>
        <v>1.0194480461639737</v>
      </c>
      <c r="AI30" s="35">
        <f ca="1"/>
        <v>1.0066716706574297</v>
      </c>
      <c r="AJ30" s="35">
        <f ca="1"/>
        <v>1.0378763157192636</v>
      </c>
      <c r="AK30" s="35">
        <f ca="1"/>
        <v>1.001165819941062</v>
      </c>
    </row>
    <row r="31" spans="2:61" x14ac:dyDescent="0.2">
      <c r="B31" s="69">
        <f t="shared" ca="1" si="1"/>
        <v>0.43938222391804721</v>
      </c>
      <c r="C31" s="69">
        <f t="shared" ca="1" si="1"/>
        <v>1.0277545548181533</v>
      </c>
      <c r="D31" s="69">
        <f t="shared" ca="1" si="1"/>
        <v>-0.27655869391482335</v>
      </c>
      <c r="E31" s="69">
        <f t="shared" ca="1" si="1"/>
        <v>-0.19827847442717461</v>
      </c>
      <c r="F31" s="69">
        <f t="shared" ca="1" si="1"/>
        <v>-1.7471164797471761</v>
      </c>
      <c r="G31" s="69">
        <f t="shared" ca="1" si="1"/>
        <v>-0.5639521191203275</v>
      </c>
      <c r="H31" s="69">
        <f t="shared" ca="1" si="1"/>
        <v>1.1689206357813557</v>
      </c>
      <c r="I31" s="69">
        <f t="shared" ca="1" si="1"/>
        <v>-1.1722356528315776</v>
      </c>
      <c r="J31" s="69">
        <f t="shared" ca="1" si="1"/>
        <v>0.46704719905784681</v>
      </c>
      <c r="K31" s="69">
        <f t="shared" ca="1" si="1"/>
        <v>-1.0786112235542897</v>
      </c>
      <c r="L31" s="69">
        <f t="shared" ca="1" si="1"/>
        <v>-0.64220578914342663</v>
      </c>
      <c r="N31" s="69">
        <f t="shared" ca="1" si="2"/>
        <v>0.47715026775615604</v>
      </c>
      <c r="O31" s="69">
        <f t="shared" ca="1" si="3"/>
        <v>1.0012609917352666</v>
      </c>
      <c r="P31" s="69">
        <f t="shared" ca="1" si="4"/>
        <v>-0.3343007587519134</v>
      </c>
      <c r="Q31" s="69">
        <f t="shared" ca="1" si="5"/>
        <v>-0.14916979556541565</v>
      </c>
      <c r="R31" s="69">
        <f t="shared" ca="1" si="6"/>
        <v>-1.753411165154825</v>
      </c>
      <c r="S31" s="69">
        <f t="shared" ca="1" si="7"/>
        <v>-0.53112514686351897</v>
      </c>
      <c r="T31" s="69">
        <f t="shared" ca="1" si="8"/>
        <v>1.1640895980661659</v>
      </c>
      <c r="U31" s="69">
        <f t="shared" ca="1" si="9"/>
        <v>-1.149195525953868</v>
      </c>
      <c r="V31" s="69">
        <f t="shared" ca="1" si="10"/>
        <v>0.4609376054842495</v>
      </c>
      <c r="W31" s="69">
        <f t="shared" ca="1" si="11"/>
        <v>-1.0776298667301907</v>
      </c>
      <c r="X31" s="69">
        <f t="shared" ca="1" si="12"/>
        <v>-0.61503729876899116</v>
      </c>
      <c r="Z31" s="29" t="s">
        <v>81</v>
      </c>
      <c r="AA31" s="35">
        <f ca="1"/>
        <v>1.05381626871737</v>
      </c>
      <c r="AB31" s="35">
        <f ca="1"/>
        <v>1.0450506671971533</v>
      </c>
      <c r="AC31" s="35">
        <f ca="1"/>
        <v>1.0229467154523673</v>
      </c>
      <c r="AD31" s="35">
        <f ca="1"/>
        <v>1.0312471220071813</v>
      </c>
      <c r="AE31" s="35">
        <f ca="1"/>
        <v>1.0374152510541006</v>
      </c>
      <c r="AF31" s="35">
        <f ca="1"/>
        <v>0.98588894976676333</v>
      </c>
      <c r="AG31" s="35">
        <f ca="1"/>
        <v>1.0467344389904367</v>
      </c>
      <c r="AH31" s="35">
        <f ca="1"/>
        <v>1.0255456021921838</v>
      </c>
      <c r="AI31" s="35">
        <f ca="1"/>
        <v>1.0126928082101894</v>
      </c>
      <c r="AJ31" s="35">
        <f ca="1"/>
        <v>1.0440840955166391</v>
      </c>
      <c r="AK31" s="35">
        <f ca="1"/>
        <v>1.0071540257192675</v>
      </c>
    </row>
    <row r="32" spans="2:61" x14ac:dyDescent="0.2">
      <c r="B32" s="69">
        <f t="shared" ca="1" si="1"/>
        <v>-1.8804335731476178</v>
      </c>
      <c r="C32" s="69">
        <f t="shared" ca="1" si="1"/>
        <v>-1.7204833106910582</v>
      </c>
      <c r="D32" s="69">
        <f t="shared" ca="1" si="1"/>
        <v>0.42951896665323208</v>
      </c>
      <c r="E32" s="69">
        <f t="shared" ca="1" si="1"/>
        <v>0.13573123563579398</v>
      </c>
      <c r="F32" s="69">
        <f t="shared" ca="1" si="1"/>
        <v>0.71200122873702332</v>
      </c>
      <c r="G32" s="69">
        <f t="shared" ca="1" si="1"/>
        <v>0.28628812219218713</v>
      </c>
      <c r="H32" s="69">
        <f t="shared" ca="1" si="1"/>
        <v>-4.3030349354306933E-2</v>
      </c>
      <c r="I32" s="69">
        <f t="shared" ca="1" si="1"/>
        <v>1.1421735061898952</v>
      </c>
      <c r="J32" s="69">
        <f t="shared" ca="1" si="1"/>
        <v>-0.77920091985937301</v>
      </c>
      <c r="K32" s="69">
        <f t="shared" ca="1" si="1"/>
        <v>2.0963887576153795</v>
      </c>
      <c r="L32" s="69">
        <f t="shared" ca="1" si="1"/>
        <v>1.4902950913287318</v>
      </c>
      <c r="N32" s="69">
        <f t="shared" ca="1" si="2"/>
        <v>-1.8426655293095091</v>
      </c>
      <c r="O32" s="69">
        <f t="shared" ca="1" si="3"/>
        <v>-1.7469768737739448</v>
      </c>
      <c r="P32" s="69">
        <f t="shared" ca="1" si="4"/>
        <v>0.37177690181614204</v>
      </c>
      <c r="Q32" s="69">
        <f t="shared" ca="1" si="5"/>
        <v>0.18483991449755294</v>
      </c>
      <c r="R32" s="69">
        <f t="shared" ca="1" si="6"/>
        <v>0.70570654332937444</v>
      </c>
      <c r="S32" s="69">
        <f t="shared" ca="1" si="7"/>
        <v>0.31911509444899561</v>
      </c>
      <c r="T32" s="69">
        <f t="shared" ca="1" si="8"/>
        <v>-4.7861387069496782E-2</v>
      </c>
      <c r="U32" s="69">
        <f t="shared" ca="1" si="9"/>
        <v>1.1652136330676048</v>
      </c>
      <c r="V32" s="69">
        <f t="shared" ca="1" si="10"/>
        <v>-0.78531051343297031</v>
      </c>
      <c r="W32" s="69">
        <f t="shared" ca="1" si="11"/>
        <v>2.0973701144394785</v>
      </c>
      <c r="X32" s="69">
        <f t="shared" ca="1" si="12"/>
        <v>1.5174635817031674</v>
      </c>
      <c r="Z32" s="29" t="s">
        <v>82</v>
      </c>
      <c r="AA32" s="35">
        <f ca="1"/>
        <v>1.0014753623076598</v>
      </c>
      <c r="AB32" s="35">
        <f ca="1"/>
        <v>0.9931451303508233</v>
      </c>
      <c r="AC32" s="35">
        <f ca="1"/>
        <v>0.97213903684176806</v>
      </c>
      <c r="AD32" s="35">
        <f ca="1"/>
        <v>0.980027179119075</v>
      </c>
      <c r="AE32" s="35">
        <f ca="1"/>
        <v>0.98588894976676333</v>
      </c>
      <c r="AF32" s="35">
        <f ca="1"/>
        <v>0.93692185485474766</v>
      </c>
      <c r="AG32" s="35">
        <f ca="1"/>
        <v>0.99474527263062906</v>
      </c>
      <c r="AH32" s="35">
        <f ca="1"/>
        <v>0.97460884217369959</v>
      </c>
      <c r="AI32" s="35">
        <f ca="1"/>
        <v>0.96239442027504163</v>
      </c>
      <c r="AJ32" s="35">
        <f ca="1"/>
        <v>0.99222656631582551</v>
      </c>
      <c r="AK32" s="35">
        <f ca="1"/>
        <v>0.95713073782251068</v>
      </c>
    </row>
    <row r="33" spans="2:37" x14ac:dyDescent="0.2">
      <c r="B33" s="69">
        <f t="shared" ca="1" si="1"/>
        <v>0.91917868064028474</v>
      </c>
      <c r="C33" s="69">
        <f t="shared" ca="1" si="1"/>
        <v>-1.783393394542135</v>
      </c>
      <c r="D33" s="69">
        <f t="shared" ca="1" si="1"/>
        <v>0.55354224496702964</v>
      </c>
      <c r="E33" s="69">
        <f t="shared" ca="1" si="1"/>
        <v>-0.38926041711374204</v>
      </c>
      <c r="F33" s="69">
        <f t="shared" ca="1" si="1"/>
        <v>1.5581593101568489</v>
      </c>
      <c r="G33" s="69">
        <f t="shared" ca="1" si="1"/>
        <v>-1.342187450173693</v>
      </c>
      <c r="H33" s="69">
        <f t="shared" ca="1" si="1"/>
        <v>-1.6574550703046338</v>
      </c>
      <c r="I33" s="69">
        <f t="shared" ca="1" si="1"/>
        <v>0.48284409496955882</v>
      </c>
      <c r="J33" s="69">
        <f t="shared" ca="1" si="1"/>
        <v>1.2893881538451736E-2</v>
      </c>
      <c r="K33" s="69">
        <f t="shared" ca="1" si="1"/>
        <v>-0.40679648230291782</v>
      </c>
      <c r="L33" s="69">
        <f t="shared" ca="1" si="1"/>
        <v>-0.14977679124422535</v>
      </c>
      <c r="N33" s="69">
        <f t="shared" ca="1" si="2"/>
        <v>0.95694672447839357</v>
      </c>
      <c r="O33" s="69">
        <f t="shared" ca="1" si="3"/>
        <v>-1.8098869576250216</v>
      </c>
      <c r="P33" s="69">
        <f t="shared" ca="1" si="4"/>
        <v>0.49580018012993959</v>
      </c>
      <c r="Q33" s="69">
        <f t="shared" ca="1" si="5"/>
        <v>-0.34015173825198308</v>
      </c>
      <c r="R33" s="69">
        <f t="shared" ca="1" si="6"/>
        <v>1.5518646247492001</v>
      </c>
      <c r="S33" s="69">
        <f t="shared" ca="1" si="7"/>
        <v>-1.3093604779168846</v>
      </c>
      <c r="T33" s="69">
        <f t="shared" ca="1" si="8"/>
        <v>-1.6622861080198237</v>
      </c>
      <c r="U33" s="69">
        <f t="shared" ca="1" si="9"/>
        <v>0.50588422184726844</v>
      </c>
      <c r="V33" s="69">
        <f t="shared" ca="1" si="10"/>
        <v>6.7842879648544055E-3</v>
      </c>
      <c r="W33" s="69">
        <f t="shared" ca="1" si="11"/>
        <v>-0.40581512547881887</v>
      </c>
      <c r="X33" s="69">
        <f t="shared" ca="1" si="12"/>
        <v>-0.12260830086978988</v>
      </c>
      <c r="Z33" s="29" t="s">
        <v>83</v>
      </c>
      <c r="AA33" s="35">
        <f ca="1"/>
        <v>1.0632827883666298</v>
      </c>
      <c r="AB33" s="35">
        <f ca="1"/>
        <v>1.0544384447150836</v>
      </c>
      <c r="AC33" s="35">
        <f ca="1"/>
        <v>1.0321359313237088</v>
      </c>
      <c r="AD33" s="35">
        <f ca="1"/>
        <v>1.0405109011245846</v>
      </c>
      <c r="AE33" s="35">
        <f ca="1"/>
        <v>1.0467344389904367</v>
      </c>
      <c r="AF33" s="35">
        <f ca="1"/>
        <v>0.99474527263062906</v>
      </c>
      <c r="AG33" s="35">
        <f ca="1"/>
        <v>1.0561373419711626</v>
      </c>
      <c r="AH33" s="35">
        <f ca="1"/>
        <v>1.0347581640803967</v>
      </c>
      <c r="AI33" s="35">
        <f ca="1"/>
        <v>1.021789912375467</v>
      </c>
      <c r="AJ33" s="35">
        <f ca="1"/>
        <v>1.0534631902403502</v>
      </c>
      <c r="AK33" s="35">
        <f ca="1"/>
        <v>1.0162013745383431</v>
      </c>
    </row>
    <row r="34" spans="2:37" x14ac:dyDescent="0.2">
      <c r="B34" s="69">
        <f t="shared" ca="1" si="1"/>
        <v>-6.9497927031733084E-3</v>
      </c>
      <c r="C34" s="69">
        <f t="shared" ca="1" si="1"/>
        <v>-0.74061659884190889</v>
      </c>
      <c r="D34" s="69">
        <f t="shared" ca="1" si="1"/>
        <v>1.1354256025380518</v>
      </c>
      <c r="E34" s="69">
        <f t="shared" ca="1" si="1"/>
        <v>0.31774014110516363</v>
      </c>
      <c r="F34" s="69">
        <f t="shared" ca="1" si="1"/>
        <v>2.0325473665236258</v>
      </c>
      <c r="G34" s="69">
        <f t="shared" ca="1" si="1"/>
        <v>-0.62098484654310937</v>
      </c>
      <c r="H34" s="69">
        <f t="shared" ca="1" si="1"/>
        <v>-0.5921412122737103</v>
      </c>
      <c r="I34" s="69">
        <f t="shared" ca="1" si="1"/>
        <v>-1.6928711666329133</v>
      </c>
      <c r="J34" s="69">
        <f t="shared" ca="1" si="1"/>
        <v>-6.3996889539733509E-2</v>
      </c>
      <c r="K34" s="69">
        <f t="shared" ca="1" si="1"/>
        <v>0.30095859091139354</v>
      </c>
      <c r="L34" s="69">
        <f t="shared" ca="1" si="1"/>
        <v>0.18456444611789732</v>
      </c>
      <c r="N34" s="69">
        <f t="shared" ca="1" si="2"/>
        <v>3.0818251134935512E-2</v>
      </c>
      <c r="O34" s="69">
        <f t="shared" ca="1" si="3"/>
        <v>-0.76711016192479553</v>
      </c>
      <c r="P34" s="69">
        <f t="shared" ca="1" si="4"/>
        <v>1.0776835377009617</v>
      </c>
      <c r="Q34" s="69">
        <f t="shared" ca="1" si="5"/>
        <v>0.36684881996692259</v>
      </c>
      <c r="R34" s="69">
        <f t="shared" ca="1" si="6"/>
        <v>2.0262526811159769</v>
      </c>
      <c r="S34" s="69">
        <f t="shared" ca="1" si="7"/>
        <v>-0.58815787428630084</v>
      </c>
      <c r="T34" s="69">
        <f t="shared" ca="1" si="8"/>
        <v>-0.59697224998890019</v>
      </c>
      <c r="U34" s="69">
        <f t="shared" ca="1" si="9"/>
        <v>-1.6698310397552036</v>
      </c>
      <c r="V34" s="69">
        <f t="shared" ca="1" si="10"/>
        <v>-7.0106483113330842E-2</v>
      </c>
      <c r="W34" s="69">
        <f t="shared" ca="1" si="11"/>
        <v>0.30193994773549249</v>
      </c>
      <c r="X34" s="69">
        <f t="shared" ca="1" si="12"/>
        <v>0.2117329364923328</v>
      </c>
      <c r="Z34" s="29" t="s">
        <v>84</v>
      </c>
      <c r="AA34" s="35">
        <f ca="1"/>
        <v>1.0417589666274489</v>
      </c>
      <c r="AB34" s="35">
        <f ca="1"/>
        <v>1.0330936572631484</v>
      </c>
      <c r="AC34" s="35">
        <f ca="1"/>
        <v>1.0112426092089575</v>
      </c>
      <c r="AD34" s="35">
        <f ca="1"/>
        <v>1.0194480461639737</v>
      </c>
      <c r="AE34" s="35">
        <f ca="1"/>
        <v>1.0255456021921838</v>
      </c>
      <c r="AF34" s="35">
        <f ca="1"/>
        <v>0.97460884217369959</v>
      </c>
      <c r="AG34" s="35">
        <f ca="1"/>
        <v>1.0347581640803967</v>
      </c>
      <c r="AH34" s="35">
        <f ca="1"/>
        <v>1.013811760630152</v>
      </c>
      <c r="AI34" s="35">
        <f ca="1"/>
        <v>1.0011060226619437</v>
      </c>
      <c r="AJ34" s="35">
        <f ca="1"/>
        <v>1.0321381446705316</v>
      </c>
      <c r="AK34" s="35">
        <f ca="1"/>
        <v>0.9956306124833364</v>
      </c>
    </row>
    <row r="35" spans="2:37" x14ac:dyDescent="0.2">
      <c r="B35" s="69">
        <f t="shared" ca="1" si="1"/>
        <v>1.0280152511868057</v>
      </c>
      <c r="C35" s="69">
        <f t="shared" ca="1" si="1"/>
        <v>-0.89867525045000918</v>
      </c>
      <c r="D35" s="69">
        <f t="shared" ca="1" si="1"/>
        <v>-1.0290425917113493</v>
      </c>
      <c r="E35" s="69">
        <f t="shared" ca="1" si="1"/>
        <v>-1.6239138274903979</v>
      </c>
      <c r="F35" s="69">
        <f t="shared" ca="1" si="1"/>
        <v>1.3383095918459813</v>
      </c>
      <c r="G35" s="69">
        <f t="shared" ca="1" si="1"/>
        <v>-0.78546294006228079</v>
      </c>
      <c r="H35" s="69">
        <f t="shared" ca="1" si="1"/>
        <v>2.7385353523501781</v>
      </c>
      <c r="I35" s="69">
        <f t="shared" ca="1" si="1"/>
        <v>0.11890794691775587</v>
      </c>
      <c r="J35" s="69">
        <f t="shared" ca="1" si="1"/>
        <v>0.87741704875363757</v>
      </c>
      <c r="K35" s="69">
        <f t="shared" ca="1" si="1"/>
        <v>1.3200686978114282</v>
      </c>
      <c r="L35" s="69">
        <f t="shared" ca="1" si="1"/>
        <v>-0.64209893735103041</v>
      </c>
      <c r="N35" s="69">
        <f t="shared" ca="1" si="2"/>
        <v>1.0657832950249144</v>
      </c>
      <c r="O35" s="69">
        <f t="shared" ca="1" si="3"/>
        <v>-0.92516881353289582</v>
      </c>
      <c r="P35" s="69">
        <f t="shared" ca="1" si="4"/>
        <v>-1.0867846565484394</v>
      </c>
      <c r="Q35" s="69">
        <f t="shared" ca="1" si="5"/>
        <v>-1.574805148628639</v>
      </c>
      <c r="R35" s="69">
        <f t="shared" ca="1" si="6"/>
        <v>1.3320149064383324</v>
      </c>
      <c r="S35" s="69">
        <f t="shared" ca="1" si="7"/>
        <v>-0.75263596780547226</v>
      </c>
      <c r="T35" s="69">
        <f t="shared" ca="1" si="8"/>
        <v>2.7337043146349882</v>
      </c>
      <c r="U35" s="69">
        <f t="shared" ca="1" si="9"/>
        <v>0.14194807379546553</v>
      </c>
      <c r="V35" s="69">
        <f t="shared" ca="1" si="10"/>
        <v>0.87130745518004027</v>
      </c>
      <c r="W35" s="69">
        <f t="shared" ca="1" si="11"/>
        <v>1.3210500546355273</v>
      </c>
      <c r="X35" s="69">
        <f t="shared" ca="1" si="12"/>
        <v>-0.61493044697659494</v>
      </c>
      <c r="Z35" s="29" t="s">
        <v>85</v>
      </c>
      <c r="AA35" s="35">
        <f ca="1"/>
        <v>1.0287029763834883</v>
      </c>
      <c r="AB35" s="35">
        <f ca="1"/>
        <v>1.0201462662231739</v>
      </c>
      <c r="AC35" s="35">
        <f ca="1"/>
        <v>0.99856906949098256</v>
      </c>
      <c r="AD35" s="35">
        <f ca="1"/>
        <v>1.0066716706574297</v>
      </c>
      <c r="AE35" s="35">
        <f ca="1"/>
        <v>1.0126928082101894</v>
      </c>
      <c r="AF35" s="35">
        <f ca="1"/>
        <v>0.96239442027504163</v>
      </c>
      <c r="AG35" s="35">
        <f ca="1"/>
        <v>1.021789912375467</v>
      </c>
      <c r="AH35" s="35">
        <f ca="1"/>
        <v>1.0011060226619437</v>
      </c>
      <c r="AI35" s="35">
        <f ca="1"/>
        <v>0.98855952113543577</v>
      </c>
      <c r="AJ35" s="35">
        <f ca="1"/>
        <v>1.0192027287260319</v>
      </c>
      <c r="AK35" s="35">
        <f ca="1"/>
        <v>0.98315273230222955</v>
      </c>
    </row>
    <row r="36" spans="2:37" x14ac:dyDescent="0.2">
      <c r="B36" s="69">
        <f t="shared" ca="1" si="1"/>
        <v>-1.6612635249948626</v>
      </c>
      <c r="C36" s="69">
        <f t="shared" ca="1" si="1"/>
        <v>-0.48594611583324543</v>
      </c>
      <c r="D36" s="69">
        <f t="shared" ca="1" si="1"/>
        <v>-0.44125387772150249</v>
      </c>
      <c r="E36" s="69">
        <f t="shared" ca="1" si="1"/>
        <v>-0.27598390976172715</v>
      </c>
      <c r="F36" s="69">
        <f t="shared" ca="1" si="1"/>
        <v>6.8548491990984062E-2</v>
      </c>
      <c r="G36" s="69">
        <f t="shared" ca="1" si="1"/>
        <v>-1.6396770212074547</v>
      </c>
      <c r="H36" s="69">
        <f t="shared" ca="1" si="1"/>
        <v>0.55127750392394204</v>
      </c>
      <c r="I36" s="69">
        <f t="shared" ca="1" si="1"/>
        <v>1.0120602747821927E-2</v>
      </c>
      <c r="J36" s="69">
        <f t="shared" ca="1" si="1"/>
        <v>-0.69987666925745606</v>
      </c>
      <c r="K36" s="69">
        <f t="shared" ca="1" si="1"/>
        <v>0.1936562303145728</v>
      </c>
      <c r="L36" s="69">
        <f t="shared" ca="1" si="1"/>
        <v>1.6234413707091029</v>
      </c>
      <c r="N36" s="69">
        <f t="shared" ca="1" si="2"/>
        <v>-1.6234954811567539</v>
      </c>
      <c r="O36" s="69">
        <f t="shared" ca="1" si="3"/>
        <v>-0.51243967891613207</v>
      </c>
      <c r="P36" s="69">
        <f t="shared" ca="1" si="4"/>
        <v>-0.49899594255859253</v>
      </c>
      <c r="Q36" s="69">
        <f t="shared" ca="1" si="5"/>
        <v>-0.22687523089996819</v>
      </c>
      <c r="R36" s="69">
        <f t="shared" ca="1" si="6"/>
        <v>6.2253806583335167E-2</v>
      </c>
      <c r="S36" s="69">
        <f t="shared" ca="1" si="7"/>
        <v>-1.6068500489506463</v>
      </c>
      <c r="T36" s="69">
        <f t="shared" ca="1" si="8"/>
        <v>0.54644646620875215</v>
      </c>
      <c r="U36" s="69">
        <f t="shared" ca="1" si="9"/>
        <v>3.3160729625531585E-2</v>
      </c>
      <c r="V36" s="69">
        <f t="shared" ca="1" si="10"/>
        <v>-0.70598626283105337</v>
      </c>
      <c r="W36" s="69">
        <f t="shared" ca="1" si="11"/>
        <v>0.19463758713867174</v>
      </c>
      <c r="X36" s="69">
        <f t="shared" ca="1" si="12"/>
        <v>1.6506098610835385</v>
      </c>
      <c r="Z36" s="29" t="s">
        <v>86</v>
      </c>
      <c r="AA36" s="35">
        <f ca="1"/>
        <v>1.0605905442844854</v>
      </c>
      <c r="AB36" s="35">
        <f ca="1"/>
        <v>1.0517685946113962</v>
      </c>
      <c r="AC36" s="35">
        <f ca="1"/>
        <v>1.0295225514369306</v>
      </c>
      <c r="AD36" s="35">
        <f ca="1"/>
        <v>1.0378763157192636</v>
      </c>
      <c r="AE36" s="35">
        <f ca="1"/>
        <v>1.0440840955166391</v>
      </c>
      <c r="AF36" s="35">
        <f ca="1"/>
        <v>0.99222656631582551</v>
      </c>
      <c r="AG36" s="35">
        <f ca="1"/>
        <v>1.0534631902403502</v>
      </c>
      <c r="AH36" s="35">
        <f ca="1"/>
        <v>1.0321381446705316</v>
      </c>
      <c r="AI36" s="35">
        <f ca="1"/>
        <v>1.0192027287260319</v>
      </c>
      <c r="AJ36" s="35">
        <f ca="1"/>
        <v>1.0507958094920562</v>
      </c>
      <c r="AK36" s="35">
        <f ca="1"/>
        <v>1.0136283411301088</v>
      </c>
    </row>
    <row r="37" spans="2:37" x14ac:dyDescent="0.2">
      <c r="B37" s="69">
        <f t="shared" ca="1" si="1"/>
        <v>-1.1279202091177547</v>
      </c>
      <c r="C37" s="69">
        <f t="shared" ca="1" si="1"/>
        <v>1.6830283730562134</v>
      </c>
      <c r="D37" s="69">
        <f t="shared" ca="1" si="1"/>
        <v>0.40448151714285679</v>
      </c>
      <c r="E37" s="69">
        <f t="shared" ca="1" si="1"/>
        <v>1.2194832783381402</v>
      </c>
      <c r="F37" s="69">
        <f t="shared" ca="1" si="1"/>
        <v>0.56194644645499792</v>
      </c>
      <c r="G37" s="69">
        <f t="shared" ca="1" si="1"/>
        <v>-0.15927622744527131</v>
      </c>
      <c r="H37" s="69">
        <f t="shared" ca="1" si="1"/>
        <v>-3.0058413612779091</v>
      </c>
      <c r="I37" s="69">
        <f t="shared" ca="1" si="1"/>
        <v>1.384628209287019</v>
      </c>
      <c r="J37" s="69">
        <f t="shared" ca="1" si="1"/>
        <v>-1.4488836769467799</v>
      </c>
      <c r="K37" s="69">
        <f t="shared" ca="1" si="1"/>
        <v>0.49294616516795775</v>
      </c>
      <c r="L37" s="69">
        <f t="shared" ca="1" si="1"/>
        <v>-0.2739362091714847</v>
      </c>
      <c r="N37" s="69">
        <f t="shared" ca="1" si="2"/>
        <v>-1.090152165279646</v>
      </c>
      <c r="O37" s="69">
        <f t="shared" ca="1" si="3"/>
        <v>1.6565348099733268</v>
      </c>
      <c r="P37" s="69">
        <f t="shared" ca="1" si="4"/>
        <v>0.34673945230576675</v>
      </c>
      <c r="Q37" s="69">
        <f t="shared" ca="1" si="5"/>
        <v>1.2685919571998991</v>
      </c>
      <c r="R37" s="69">
        <f t="shared" ca="1" si="6"/>
        <v>0.55565176104734904</v>
      </c>
      <c r="S37" s="69">
        <f t="shared" ca="1" si="7"/>
        <v>-0.12644925518846284</v>
      </c>
      <c r="T37" s="69">
        <f t="shared" ca="1" si="8"/>
        <v>-3.010672398993099</v>
      </c>
      <c r="U37" s="69">
        <f t="shared" ca="1" si="9"/>
        <v>1.4076683361647286</v>
      </c>
      <c r="V37" s="69">
        <f t="shared" ca="1" si="10"/>
        <v>-1.4549932705203772</v>
      </c>
      <c r="W37" s="69">
        <f t="shared" ca="1" si="11"/>
        <v>0.4939275219920567</v>
      </c>
      <c r="X37" s="69">
        <f t="shared" ca="1" si="12"/>
        <v>-0.24676771879704923</v>
      </c>
      <c r="Z37" s="29" t="s">
        <v>87</v>
      </c>
      <c r="AA37" s="35">
        <f ca="1"/>
        <v>1.0230766285040931</v>
      </c>
      <c r="AB37" s="35">
        <f ca="1"/>
        <v>1.014566718080117</v>
      </c>
      <c r="AC37" s="35">
        <f ca="1"/>
        <v>0.99310753482495884</v>
      </c>
      <c r="AD37" s="35">
        <f ca="1"/>
        <v>1.001165819941062</v>
      </c>
      <c r="AE37" s="35">
        <f ca="1"/>
        <v>1.0071540257192675</v>
      </c>
      <c r="AF37" s="35">
        <f ca="1"/>
        <v>0.95713073782251068</v>
      </c>
      <c r="AG37" s="35">
        <f ca="1"/>
        <v>1.0162013745383431</v>
      </c>
      <c r="AH37" s="35">
        <f ca="1"/>
        <v>0.9956306124833364</v>
      </c>
      <c r="AI37" s="35">
        <f ca="1"/>
        <v>0.98315273230222955</v>
      </c>
      <c r="AJ37" s="35">
        <f ca="1"/>
        <v>1.0136283411301088</v>
      </c>
      <c r="AK37" s="35">
        <f ca="1"/>
        <v>0.97777551514868632</v>
      </c>
    </row>
    <row r="38" spans="2:37" x14ac:dyDescent="0.2">
      <c r="B38" s="69">
        <f t="shared" ca="1" si="1"/>
        <v>1.4064418485332886</v>
      </c>
      <c r="C38" s="69">
        <f t="shared" ca="1" si="1"/>
        <v>-0.13390190837099758</v>
      </c>
      <c r="D38" s="69">
        <f t="shared" ca="1" si="1"/>
        <v>-1.3772284994298085</v>
      </c>
      <c r="E38" s="69">
        <f t="shared" ca="1" si="1"/>
        <v>-1.8005123125030011</v>
      </c>
      <c r="F38" s="69">
        <f t="shared" ca="1" si="1"/>
        <v>2.7555662948328705</v>
      </c>
      <c r="G38" s="69">
        <f t="shared" ca="1" si="1"/>
        <v>-1.2820270301682402</v>
      </c>
      <c r="H38" s="69">
        <f t="shared" ca="1" si="1"/>
        <v>-0.24802318872084766</v>
      </c>
      <c r="I38" s="69">
        <f t="shared" ca="1" si="1"/>
        <v>-0.65582548894501769</v>
      </c>
      <c r="J38" s="69">
        <f t="shared" ca="1" si="1"/>
        <v>1.1620924887060278</v>
      </c>
      <c r="K38" s="69">
        <f t="shared" ca="1" si="1"/>
        <v>1.4140073061112464</v>
      </c>
      <c r="L38" s="69">
        <f t="shared" ca="1" si="1"/>
        <v>1.606089346728613</v>
      </c>
      <c r="N38" s="69">
        <f t="shared" ca="1" si="2"/>
        <v>1.4442098923713973</v>
      </c>
      <c r="O38" s="69">
        <f t="shared" ca="1" si="3"/>
        <v>-0.16039547145388428</v>
      </c>
      <c r="P38" s="69">
        <f t="shared" ca="1" si="4"/>
        <v>-1.4349705642668986</v>
      </c>
      <c r="Q38" s="69">
        <f t="shared" ca="1" si="5"/>
        <v>-1.7514036336412422</v>
      </c>
      <c r="R38" s="69">
        <f t="shared" ca="1" si="6"/>
        <v>2.7492716094252216</v>
      </c>
      <c r="S38" s="69">
        <f t="shared" ca="1" si="7"/>
        <v>-1.2492000579114317</v>
      </c>
      <c r="T38" s="69">
        <f t="shared" ca="1" si="8"/>
        <v>-0.2528542264360375</v>
      </c>
      <c r="U38" s="69">
        <f t="shared" ca="1" si="9"/>
        <v>-0.63278536206730807</v>
      </c>
      <c r="V38" s="69">
        <f t="shared" ca="1" si="10"/>
        <v>1.1559828951324305</v>
      </c>
      <c r="W38" s="69">
        <f t="shared" ca="1" si="11"/>
        <v>1.4149886629353454</v>
      </c>
      <c r="X38" s="69">
        <f t="shared" ca="1" si="12"/>
        <v>1.6332578371030486</v>
      </c>
    </row>
    <row r="39" spans="2:37" x14ac:dyDescent="0.2">
      <c r="B39" s="69">
        <f t="shared" ca="1" si="1"/>
        <v>0.38623920413618335</v>
      </c>
      <c r="C39" s="69">
        <f t="shared" ca="1" si="1"/>
        <v>-1.1175037477573886</v>
      </c>
      <c r="D39" s="69">
        <f t="shared" ca="1" si="1"/>
        <v>-0.28877044677173908</v>
      </c>
      <c r="E39" s="69">
        <f t="shared" ca="1" si="1"/>
        <v>-0.95316469657807679</v>
      </c>
      <c r="F39" s="69">
        <f t="shared" ca="1" si="1"/>
        <v>-0.5622800136999111</v>
      </c>
      <c r="G39" s="69">
        <f t="shared" ca="1" si="1"/>
        <v>-4.0830229978668017E-2</v>
      </c>
      <c r="H39" s="69">
        <f t="shared" ca="1" si="1"/>
        <v>0.24147385695402188</v>
      </c>
      <c r="I39" s="69">
        <f t="shared" ca="1" si="1"/>
        <v>-8.6942040458225137E-2</v>
      </c>
      <c r="J39" s="69">
        <f t="shared" ca="1" si="1"/>
        <v>-0.18942039922929932</v>
      </c>
      <c r="K39" s="69">
        <f t="shared" ca="1" si="1"/>
        <v>0.185534565833993</v>
      </c>
      <c r="L39" s="69">
        <f t="shared" ca="1" si="1"/>
        <v>-0.11527573843006303</v>
      </c>
      <c r="N39" s="69">
        <f t="shared" ca="1" si="2"/>
        <v>0.42400724797429218</v>
      </c>
      <c r="O39" s="69">
        <f t="shared" ca="1" si="3"/>
        <v>-1.1439973108402752</v>
      </c>
      <c r="P39" s="69">
        <f t="shared" ca="1" si="4"/>
        <v>-0.34651251160882912</v>
      </c>
      <c r="Q39" s="69">
        <f t="shared" ca="1" si="5"/>
        <v>-0.90405601771631783</v>
      </c>
      <c r="R39" s="69">
        <f t="shared" ca="1" si="6"/>
        <v>-0.56857469910755998</v>
      </c>
      <c r="S39" s="69">
        <f t="shared" ca="1" si="7"/>
        <v>-8.0032577218595372E-3</v>
      </c>
      <c r="T39" s="69">
        <f t="shared" ca="1" si="8"/>
        <v>0.23664281923883204</v>
      </c>
      <c r="U39" s="69">
        <f t="shared" ca="1" si="9"/>
        <v>-6.3901913580515474E-2</v>
      </c>
      <c r="V39" s="69">
        <f t="shared" ca="1" si="10"/>
        <v>-0.19552999280289665</v>
      </c>
      <c r="W39" s="69">
        <f t="shared" ca="1" si="11"/>
        <v>0.18651592265809194</v>
      </c>
      <c r="X39" s="69">
        <f t="shared" ca="1" si="12"/>
        <v>-8.8107248055627557E-2</v>
      </c>
      <c r="Z39" s="17" t="s">
        <v>40</v>
      </c>
      <c r="AA39" s="23"/>
    </row>
    <row r="40" spans="2:37" x14ac:dyDescent="0.2">
      <c r="B40" s="69">
        <f t="shared" ca="1" si="1"/>
        <v>-0.72474943385200519</v>
      </c>
      <c r="C40" s="69">
        <f t="shared" ca="1" si="1"/>
        <v>0.24045442183553842</v>
      </c>
      <c r="D40" s="69">
        <f t="shared" ca="1" si="1"/>
        <v>1.7414822522209141</v>
      </c>
      <c r="E40" s="69">
        <f t="shared" ca="1" si="1"/>
        <v>0.40855856149101027</v>
      </c>
      <c r="F40" s="69">
        <f t="shared" ca="1" si="1"/>
        <v>-0.27081763087566163</v>
      </c>
      <c r="G40" s="69">
        <f t="shared" ca="1" si="1"/>
        <v>0.2842164759431155</v>
      </c>
      <c r="H40" s="69">
        <f t="shared" ca="1" si="1"/>
        <v>0.15545337445791838</v>
      </c>
      <c r="I40" s="69">
        <f t="shared" ca="1" si="1"/>
        <v>0.20293487894445944</v>
      </c>
      <c r="J40" s="69">
        <f t="shared" ca="1" si="1"/>
        <v>-0.72306810799154431</v>
      </c>
      <c r="K40" s="69">
        <f t="shared" ca="1" si="1"/>
        <v>0.41124816170911027</v>
      </c>
      <c r="L40" s="69">
        <f t="shared" ca="1" si="1"/>
        <v>-0.80829965723448594</v>
      </c>
      <c r="N40" s="69">
        <f t="shared" ca="1" si="2"/>
        <v>-0.68698139001389635</v>
      </c>
      <c r="O40" s="69">
        <f t="shared" ca="1" si="3"/>
        <v>0.21396085875265172</v>
      </c>
      <c r="P40" s="69">
        <f t="shared" ca="1" si="4"/>
        <v>1.683740187383824</v>
      </c>
      <c r="Q40" s="69">
        <f t="shared" ca="1" si="5"/>
        <v>0.45766724035276923</v>
      </c>
      <c r="R40" s="69">
        <f t="shared" ca="1" si="6"/>
        <v>-0.27711231628331051</v>
      </c>
      <c r="S40" s="69">
        <f t="shared" ca="1" si="7"/>
        <v>0.31704344819992397</v>
      </c>
      <c r="T40" s="69">
        <f t="shared" ca="1" si="8"/>
        <v>0.15062233674272854</v>
      </c>
      <c r="U40" s="69">
        <f t="shared" ca="1" si="9"/>
        <v>0.22597500582216909</v>
      </c>
      <c r="V40" s="69">
        <f t="shared" ca="1" si="10"/>
        <v>-0.72917770156514161</v>
      </c>
      <c r="W40" s="69">
        <f t="shared" ca="1" si="11"/>
        <v>0.41222951853320922</v>
      </c>
      <c r="X40" s="69">
        <f t="shared" ca="1" si="12"/>
        <v>-0.78113116686005046</v>
      </c>
      <c r="Z40" s="27"/>
      <c r="AA40" s="29" t="s">
        <v>77</v>
      </c>
      <c r="AB40" s="29" t="s">
        <v>78</v>
      </c>
      <c r="AC40" s="29" t="s">
        <v>79</v>
      </c>
      <c r="AD40" s="29" t="s">
        <v>80</v>
      </c>
      <c r="AE40" s="29" t="s">
        <v>81</v>
      </c>
      <c r="AF40" s="29" t="s">
        <v>82</v>
      </c>
      <c r="AG40" s="29" t="s">
        <v>83</v>
      </c>
      <c r="AH40" s="29" t="s">
        <v>84</v>
      </c>
      <c r="AI40" s="29" t="s">
        <v>85</v>
      </c>
      <c r="AJ40" s="29" t="s">
        <v>86</v>
      </c>
      <c r="AK40" s="29" t="s">
        <v>87</v>
      </c>
    </row>
    <row r="41" spans="2:37" x14ac:dyDescent="0.2">
      <c r="B41" s="69">
        <f t="shared" ca="1" si="1"/>
        <v>2.1871626780749458</v>
      </c>
      <c r="C41" s="69">
        <f t="shared" ca="1" si="1"/>
        <v>0.3625164822656422</v>
      </c>
      <c r="D41" s="69">
        <f t="shared" ca="1" si="1"/>
        <v>0.20012041084506746</v>
      </c>
      <c r="E41" s="69">
        <f t="shared" ca="1" si="1"/>
        <v>-1.393312090542123</v>
      </c>
      <c r="F41" s="69">
        <f t="shared" ca="1" si="1"/>
        <v>-0.62250542678177334</v>
      </c>
      <c r="G41" s="69">
        <f t="shared" ca="1" si="1"/>
        <v>-0.85916827281349673</v>
      </c>
      <c r="H41" s="69">
        <f t="shared" ca="1" si="1"/>
        <v>1.3402272902403167</v>
      </c>
      <c r="I41" s="69">
        <f t="shared" ca="1" si="1"/>
        <v>-0.24874350027223682</v>
      </c>
      <c r="J41" s="69">
        <f t="shared" ca="1" si="1"/>
        <v>-0.62307139180272164</v>
      </c>
      <c r="K41" s="69">
        <f t="shared" ca="1" si="1"/>
        <v>1.0155542182408395</v>
      </c>
      <c r="L41" s="69">
        <f t="shared" ca="1" si="1"/>
        <v>0.48577913111168491</v>
      </c>
      <c r="N41" s="69">
        <f t="shared" ca="1" si="2"/>
        <v>2.2249307219130547</v>
      </c>
      <c r="O41" s="69">
        <f t="shared" ca="1" si="3"/>
        <v>0.33602291918275551</v>
      </c>
      <c r="P41" s="69">
        <f t="shared" ca="1" si="4"/>
        <v>0.14237834600797744</v>
      </c>
      <c r="Q41" s="69">
        <f t="shared" ca="1" si="5"/>
        <v>-1.3442034116803641</v>
      </c>
      <c r="R41" s="69">
        <f t="shared" ca="1" si="6"/>
        <v>-0.62880011218942222</v>
      </c>
      <c r="S41" s="69">
        <f t="shared" ca="1" si="7"/>
        <v>-0.8263413005566882</v>
      </c>
      <c r="T41" s="69">
        <f t="shared" ca="1" si="8"/>
        <v>1.3353962525251268</v>
      </c>
      <c r="U41" s="69">
        <f t="shared" ca="1" si="9"/>
        <v>-0.22570337339452717</v>
      </c>
      <c r="V41" s="69">
        <f t="shared" ca="1" si="10"/>
        <v>-0.62918098537631895</v>
      </c>
      <c r="W41" s="69">
        <f t="shared" ca="1" si="11"/>
        <v>1.0165355750649385</v>
      </c>
      <c r="X41" s="69">
        <f t="shared" ca="1" si="12"/>
        <v>0.51294762148612039</v>
      </c>
      <c r="Z41" s="29" t="s">
        <v>77</v>
      </c>
      <c r="AA41" s="74">
        <f t="array" aca="1" ref="AA41:AK51" ca="1">AA9:AK19/AA27:AK37</f>
        <v>1.0000000000000013</v>
      </c>
      <c r="AB41" s="73">
        <f ca="1"/>
        <v>-2.2355641918602266E-2</v>
      </c>
      <c r="AC41" s="73">
        <f ca="1"/>
        <v>-5.0768905110079983E-2</v>
      </c>
      <c r="AD41" s="73">
        <f ca="1"/>
        <v>3.0233244322625599E-3</v>
      </c>
      <c r="AE41" s="73">
        <f ca="1"/>
        <v>3.0817752528272513E-2</v>
      </c>
      <c r="AF41" s="73">
        <f ca="1"/>
        <v>-3.0498417950085956E-3</v>
      </c>
      <c r="AG41" s="73">
        <f ca="1"/>
        <v>-4.6396132661065421E-3</v>
      </c>
      <c r="AH41" s="73">
        <f ca="1"/>
        <v>-1.07519744464106E-2</v>
      </c>
      <c r="AI41" s="73">
        <f ca="1"/>
        <v>-2.2731388165002364E-3</v>
      </c>
      <c r="AJ41" s="73">
        <f ca="1"/>
        <v>-2.2890955008671578E-2</v>
      </c>
      <c r="AK41" s="73">
        <f ca="1"/>
        <v>-2.3939875443608989E-2</v>
      </c>
    </row>
    <row r="42" spans="2:37" x14ac:dyDescent="0.2">
      <c r="B42" s="69">
        <f t="shared" ca="1" si="1"/>
        <v>0.5483311777670471</v>
      </c>
      <c r="C42" s="69">
        <f t="shared" ca="1" si="1"/>
        <v>-0.98241198078325154</v>
      </c>
      <c r="D42" s="69">
        <f t="shared" ca="1" si="1"/>
        <v>4.8783053631466587E-2</v>
      </c>
      <c r="E42" s="69">
        <f t="shared" ca="1" si="1"/>
        <v>-1.6865498077475436</v>
      </c>
      <c r="F42" s="69">
        <f t="shared" ca="1" si="1"/>
        <v>1.3009700592419946</v>
      </c>
      <c r="G42" s="69">
        <f t="shared" ca="1" si="1"/>
        <v>-0.40040965772530701</v>
      </c>
      <c r="H42" s="69">
        <f t="shared" ca="1" si="1"/>
        <v>1.1062920088241557</v>
      </c>
      <c r="I42" s="69">
        <f t="shared" ca="1" si="1"/>
        <v>0.87306372758553152</v>
      </c>
      <c r="J42" s="69">
        <f t="shared" ca="1" si="1"/>
        <v>0.34740929405620141</v>
      </c>
      <c r="K42" s="69">
        <f t="shared" ca="1" si="1"/>
        <v>1.3729103616922171</v>
      </c>
      <c r="L42" s="69">
        <f t="shared" ca="1" si="1"/>
        <v>1.340444795762824</v>
      </c>
      <c r="N42" s="69">
        <f t="shared" ca="1" si="2"/>
        <v>0.58609922160515593</v>
      </c>
      <c r="O42" s="69">
        <f t="shared" ca="1" si="3"/>
        <v>-1.0089055438661383</v>
      </c>
      <c r="P42" s="69">
        <f t="shared" ca="1" si="4"/>
        <v>-8.9590112056234447E-3</v>
      </c>
      <c r="Q42" s="69">
        <f t="shared" ca="1" si="5"/>
        <v>-1.6374411288857846</v>
      </c>
      <c r="R42" s="69">
        <f t="shared" ca="1" si="6"/>
        <v>1.2946753738343457</v>
      </c>
      <c r="S42" s="69">
        <f t="shared" ca="1" si="7"/>
        <v>-0.36758268546849854</v>
      </c>
      <c r="T42" s="69">
        <f t="shared" ca="1" si="8"/>
        <v>1.1014609711089658</v>
      </c>
      <c r="U42" s="69">
        <f t="shared" ca="1" si="9"/>
        <v>0.89610385446324115</v>
      </c>
      <c r="V42" s="69">
        <f t="shared" ca="1" si="10"/>
        <v>0.34129970048260411</v>
      </c>
      <c r="W42" s="69">
        <f t="shared" ca="1" si="11"/>
        <v>1.3738917185163162</v>
      </c>
      <c r="X42" s="69">
        <f t="shared" ca="1" si="12"/>
        <v>1.3676132861372596</v>
      </c>
      <c r="Z42" s="29" t="s">
        <v>78</v>
      </c>
      <c r="AA42" s="73">
        <f ca="1"/>
        <v>-2.2355641918602266E-2</v>
      </c>
      <c r="AB42" s="74">
        <f ca="1"/>
        <v>1.0000000000000009</v>
      </c>
      <c r="AC42" s="73">
        <f ca="1"/>
        <v>2.6639518029892138E-2</v>
      </c>
      <c r="AD42" s="73">
        <f ca="1"/>
        <v>-1.7197422782010738E-2</v>
      </c>
      <c r="AE42" s="73">
        <f ca="1"/>
        <v>1.4780263726260763E-2</v>
      </c>
      <c r="AF42" s="73">
        <f ca="1"/>
        <v>-5.0292279877685742E-3</v>
      </c>
      <c r="AG42" s="73">
        <f ca="1"/>
        <v>-3.4170427072702618E-2</v>
      </c>
      <c r="AH42" s="73">
        <f ca="1"/>
        <v>-1.9904992193513934E-2</v>
      </c>
      <c r="AI42" s="73">
        <f ca="1"/>
        <v>-2.9815509562175881E-3</v>
      </c>
      <c r="AJ42" s="73">
        <f ca="1"/>
        <v>1.3497171245523043E-3</v>
      </c>
      <c r="AK42" s="73">
        <f ca="1"/>
        <v>2.149220990872722E-2</v>
      </c>
    </row>
    <row r="43" spans="2:37" x14ac:dyDescent="0.2">
      <c r="B43" s="69">
        <f t="shared" ca="1" si="1"/>
        <v>0.57367922938118998</v>
      </c>
      <c r="C43" s="69">
        <f t="shared" ca="1" si="1"/>
        <v>0.52822331990111959</v>
      </c>
      <c r="D43" s="69">
        <f t="shared" ca="1" si="1"/>
        <v>-0.32619342712266469</v>
      </c>
      <c r="E43" s="69">
        <f t="shared" ca="1" si="1"/>
        <v>-0.8703598319660204</v>
      </c>
      <c r="F43" s="69">
        <f t="shared" ca="1" si="1"/>
        <v>-0.37146088402639149</v>
      </c>
      <c r="G43" s="69">
        <f t="shared" ca="1" si="1"/>
        <v>-0.48377861248951376</v>
      </c>
      <c r="H43" s="69">
        <f t="shared" ca="1" si="1"/>
        <v>0.51734827758659574</v>
      </c>
      <c r="I43" s="69">
        <f t="shared" ca="1" si="1"/>
        <v>0.20890434615922737</v>
      </c>
      <c r="J43" s="69">
        <f t="shared" ca="1" si="1"/>
        <v>-1.8029402618218826</v>
      </c>
      <c r="K43" s="69">
        <f t="shared" ca="1" si="1"/>
        <v>0.54441709500828139</v>
      </c>
      <c r="L43" s="69">
        <f t="shared" ca="1" si="1"/>
        <v>-1.271144290661109</v>
      </c>
      <c r="N43" s="69">
        <f t="shared" ca="1" si="2"/>
        <v>0.61144727321929881</v>
      </c>
      <c r="O43" s="69">
        <f t="shared" ca="1" si="3"/>
        <v>0.50172975681823295</v>
      </c>
      <c r="P43" s="69">
        <f t="shared" ca="1" si="4"/>
        <v>-0.38393549195975474</v>
      </c>
      <c r="Q43" s="69">
        <f t="shared" ca="1" si="5"/>
        <v>-0.82125115310426144</v>
      </c>
      <c r="R43" s="69">
        <f t="shared" ca="1" si="6"/>
        <v>-0.37775556943404037</v>
      </c>
      <c r="S43" s="69">
        <f t="shared" ca="1" si="7"/>
        <v>-0.45095164023270529</v>
      </c>
      <c r="T43" s="69">
        <f t="shared" ca="1" si="8"/>
        <v>0.51251723987140585</v>
      </c>
      <c r="U43" s="69">
        <f t="shared" ca="1" si="9"/>
        <v>0.23194447303693702</v>
      </c>
      <c r="V43" s="69">
        <f t="shared" ca="1" si="10"/>
        <v>-1.8090498553954799</v>
      </c>
      <c r="W43" s="69">
        <f t="shared" ca="1" si="11"/>
        <v>0.54539845183238034</v>
      </c>
      <c r="X43" s="69">
        <f t="shared" ca="1" si="12"/>
        <v>-1.2439758002866734</v>
      </c>
      <c r="Z43" s="29" t="s">
        <v>79</v>
      </c>
      <c r="AA43" s="73">
        <f ca="1"/>
        <v>-5.0768905110079983E-2</v>
      </c>
      <c r="AB43" s="73">
        <f ca="1"/>
        <v>2.6639518029892138E-2</v>
      </c>
      <c r="AC43" s="74">
        <f ca="1"/>
        <v>1.0000000000000007</v>
      </c>
      <c r="AD43" s="73">
        <f ca="1"/>
        <v>6.0256673004487511E-2</v>
      </c>
      <c r="AE43" s="73">
        <f ca="1"/>
        <v>2.5145349712609493E-2</v>
      </c>
      <c r="AF43" s="73">
        <f ca="1"/>
        <v>1.619209672385374E-2</v>
      </c>
      <c r="AG43" s="73">
        <f ca="1"/>
        <v>-3.4625649986475764E-2</v>
      </c>
      <c r="AH43" s="73">
        <f ca="1"/>
        <v>1.5872753418906525E-3</v>
      </c>
      <c r="AI43" s="73">
        <f ca="1"/>
        <v>-3.251389843671066E-2</v>
      </c>
      <c r="AJ43" s="73">
        <f ca="1"/>
        <v>-1.8510432863740049E-2</v>
      </c>
      <c r="AK43" s="73">
        <f ca="1"/>
        <v>4.5500147326272555E-2</v>
      </c>
    </row>
    <row r="44" spans="2:37" x14ac:dyDescent="0.2">
      <c r="B44" s="69">
        <f t="shared" ca="1" si="1"/>
        <v>-0.50791500768285103</v>
      </c>
      <c r="C44" s="69">
        <f t="shared" ca="1" si="1"/>
        <v>0.22657344242816471</v>
      </c>
      <c r="D44" s="69">
        <f t="shared" ref="C44:L107" ca="1" si="13">NORMINV(RAND(),$C$7,$F$7)</f>
        <v>2.5540091745613642</v>
      </c>
      <c r="E44" s="69">
        <f t="shared" ca="1" si="13"/>
        <v>0.57812934451940101</v>
      </c>
      <c r="F44" s="69">
        <f t="shared" ca="1" si="13"/>
        <v>-0.65728168174552681</v>
      </c>
      <c r="G44" s="69">
        <f t="shared" ca="1" si="13"/>
        <v>0.13238352386613622</v>
      </c>
      <c r="H44" s="69">
        <f t="shared" ca="1" si="13"/>
        <v>1.7679649162355016</v>
      </c>
      <c r="I44" s="69">
        <f t="shared" ca="1" si="13"/>
        <v>0.86739718598904891</v>
      </c>
      <c r="J44" s="69">
        <f t="shared" ca="1" si="13"/>
        <v>-2.1009091979099193</v>
      </c>
      <c r="K44" s="69">
        <f t="shared" ca="1" si="13"/>
        <v>8.5424233515048589E-2</v>
      </c>
      <c r="L44" s="69">
        <f t="shared" ca="1" si="13"/>
        <v>-0.19690556307356602</v>
      </c>
      <c r="N44" s="69">
        <f t="shared" ca="1" si="2"/>
        <v>-0.47014696384474219</v>
      </c>
      <c r="O44" s="69">
        <f t="shared" ca="1" si="3"/>
        <v>0.20007987934527802</v>
      </c>
      <c r="P44" s="69">
        <f t="shared" ca="1" si="4"/>
        <v>2.4962671097242741</v>
      </c>
      <c r="Q44" s="69">
        <f t="shared" ca="1" si="5"/>
        <v>0.62723802338115997</v>
      </c>
      <c r="R44" s="69">
        <f t="shared" ca="1" si="6"/>
        <v>-0.66357636715317569</v>
      </c>
      <c r="S44" s="69">
        <f t="shared" ca="1" si="7"/>
        <v>0.16521049612294469</v>
      </c>
      <c r="T44" s="69">
        <f t="shared" ca="1" si="8"/>
        <v>1.7631338785203117</v>
      </c>
      <c r="U44" s="69">
        <f t="shared" ca="1" si="9"/>
        <v>0.89043731286675853</v>
      </c>
      <c r="V44" s="69">
        <f t="shared" ca="1" si="10"/>
        <v>-2.1070187914835166</v>
      </c>
      <c r="W44" s="69">
        <f t="shared" ca="1" si="11"/>
        <v>8.6405590339147548E-2</v>
      </c>
      <c r="X44" s="69">
        <f t="shared" ca="1" si="12"/>
        <v>-0.16973707269913055</v>
      </c>
      <c r="Z44" s="29" t="s">
        <v>80</v>
      </c>
      <c r="AA44" s="73">
        <f ca="1"/>
        <v>3.0233244322625599E-3</v>
      </c>
      <c r="AB44" s="73">
        <f ca="1"/>
        <v>-1.7197422782010738E-2</v>
      </c>
      <c r="AC44" s="73">
        <f ca="1"/>
        <v>6.0256673004487511E-2</v>
      </c>
      <c r="AD44" s="74">
        <f ca="1"/>
        <v>1.0000000000000007</v>
      </c>
      <c r="AE44" s="73">
        <f ca="1"/>
        <v>8.3267092925245305E-3</v>
      </c>
      <c r="AF44" s="73">
        <f ca="1"/>
        <v>6.4890546763510276E-2</v>
      </c>
      <c r="AG44" s="73">
        <f ca="1"/>
        <v>-8.8444695326994519E-2</v>
      </c>
      <c r="AH44" s="73">
        <f ca="1"/>
        <v>8.8909166314867453E-3</v>
      </c>
      <c r="AI44" s="73">
        <f ca="1"/>
        <v>-2.7700681611908508E-2</v>
      </c>
      <c r="AJ44" s="73">
        <f ca="1"/>
        <v>9.5587846532501144E-2</v>
      </c>
      <c r="AK44" s="73">
        <f ca="1"/>
        <v>-4.549073577124213E-2</v>
      </c>
    </row>
    <row r="45" spans="2:37" x14ac:dyDescent="0.2">
      <c r="B45" s="69">
        <f t="shared" ca="1" si="1"/>
        <v>0.55536993001962998</v>
      </c>
      <c r="C45" s="69">
        <f t="shared" ca="1" si="13"/>
        <v>-0.55733866581425495</v>
      </c>
      <c r="D45" s="69">
        <f t="shared" ca="1" si="13"/>
        <v>0.50446570817842706</v>
      </c>
      <c r="E45" s="69">
        <f t="shared" ca="1" si="13"/>
        <v>2.2875062884794533</v>
      </c>
      <c r="F45" s="69">
        <f t="shared" ca="1" si="13"/>
        <v>-0.43480072279874205</v>
      </c>
      <c r="G45" s="69">
        <f t="shared" ca="1" si="13"/>
        <v>-0.67581096418315201</v>
      </c>
      <c r="H45" s="69">
        <f t="shared" ca="1" si="13"/>
        <v>-0.17302777695114899</v>
      </c>
      <c r="I45" s="69">
        <f t="shared" ca="1" si="13"/>
        <v>-0.22956049128613534</v>
      </c>
      <c r="J45" s="69">
        <f t="shared" ca="1" si="13"/>
        <v>-1.8911768322445095</v>
      </c>
      <c r="K45" s="69">
        <f t="shared" ca="1" si="13"/>
        <v>-9.6267836022676703E-2</v>
      </c>
      <c r="L45" s="69">
        <f t="shared" ca="1" si="13"/>
        <v>6.3261117876210735E-2</v>
      </c>
      <c r="N45" s="69">
        <f t="shared" ca="1" si="2"/>
        <v>0.59313797385773881</v>
      </c>
      <c r="O45" s="69">
        <f t="shared" ca="1" si="3"/>
        <v>-0.58383222889714159</v>
      </c>
      <c r="P45" s="69">
        <f t="shared" ca="1" si="4"/>
        <v>0.44672364334133702</v>
      </c>
      <c r="Q45" s="69">
        <f t="shared" ca="1" si="5"/>
        <v>2.336614967341212</v>
      </c>
      <c r="R45" s="69">
        <f t="shared" ca="1" si="6"/>
        <v>-0.44109540820639093</v>
      </c>
      <c r="S45" s="69">
        <f t="shared" ca="1" si="7"/>
        <v>-0.64298399192634348</v>
      </c>
      <c r="T45" s="69">
        <f t="shared" ca="1" si="8"/>
        <v>-0.17785881466633882</v>
      </c>
      <c r="U45" s="69">
        <f t="shared" ca="1" si="9"/>
        <v>-0.20652036440842569</v>
      </c>
      <c r="V45" s="69">
        <f t="shared" ca="1" si="10"/>
        <v>-1.8972864258181068</v>
      </c>
      <c r="W45" s="69">
        <f t="shared" ca="1" si="11"/>
        <v>-9.5286479198577745E-2</v>
      </c>
      <c r="X45" s="69">
        <f t="shared" ca="1" si="12"/>
        <v>9.0429608250646221E-2</v>
      </c>
      <c r="Z45" s="29" t="s">
        <v>81</v>
      </c>
      <c r="AA45" s="73">
        <f ca="1"/>
        <v>3.0817752528272513E-2</v>
      </c>
      <c r="AB45" s="73">
        <f ca="1"/>
        <v>1.4780263726260763E-2</v>
      </c>
      <c r="AC45" s="73">
        <f ca="1"/>
        <v>2.5145349712609493E-2</v>
      </c>
      <c r="AD45" s="73">
        <f ca="1"/>
        <v>8.3267092925245305E-3</v>
      </c>
      <c r="AE45" s="74">
        <f ca="1"/>
        <v>1</v>
      </c>
      <c r="AF45" s="73">
        <f ca="1"/>
        <v>-2.7131896257693924E-2</v>
      </c>
      <c r="AG45" s="73">
        <f ca="1"/>
        <v>7.5632998854674657E-2</v>
      </c>
      <c r="AH45" s="73">
        <f ca="1"/>
        <v>3.5917647288639096E-2</v>
      </c>
      <c r="AI45" s="73">
        <f ca="1"/>
        <v>1.1718454348481139E-2</v>
      </c>
      <c r="AJ45" s="73">
        <f ca="1"/>
        <v>3.8139916380227463E-2</v>
      </c>
      <c r="AK45" s="73">
        <f ca="1"/>
        <v>1.2246359989933363E-2</v>
      </c>
    </row>
    <row r="46" spans="2:37" x14ac:dyDescent="0.2">
      <c r="B46" s="69">
        <f t="shared" ca="1" si="1"/>
        <v>0.32761572392776495</v>
      </c>
      <c r="C46" s="69">
        <f t="shared" ca="1" si="13"/>
        <v>2.5663941479227437</v>
      </c>
      <c r="D46" s="69">
        <f t="shared" ca="1" si="13"/>
        <v>1.0957410423052256</v>
      </c>
      <c r="E46" s="69">
        <f t="shared" ca="1" si="13"/>
        <v>5.9140226080726201E-2</v>
      </c>
      <c r="F46" s="69">
        <f t="shared" ca="1" si="13"/>
        <v>0.27255585059477161</v>
      </c>
      <c r="G46" s="69">
        <f t="shared" ca="1" si="13"/>
        <v>-1.249057474542548</v>
      </c>
      <c r="H46" s="69">
        <f t="shared" ca="1" si="13"/>
        <v>1.9115041993801614</v>
      </c>
      <c r="I46" s="69">
        <f t="shared" ca="1" si="13"/>
        <v>-2.1487127027035262</v>
      </c>
      <c r="J46" s="69">
        <f t="shared" ca="1" si="13"/>
        <v>0.31172139791831638</v>
      </c>
      <c r="K46" s="69">
        <f t="shared" ca="1" si="13"/>
        <v>-1.2832899070170025</v>
      </c>
      <c r="L46" s="69">
        <f t="shared" ca="1" si="13"/>
        <v>-0.5039432510497508</v>
      </c>
      <c r="N46" s="69">
        <f t="shared" ca="1" si="2"/>
        <v>0.36538376776587378</v>
      </c>
      <c r="O46" s="69">
        <f t="shared" ca="1" si="3"/>
        <v>2.5399005848398568</v>
      </c>
      <c r="P46" s="69">
        <f t="shared" ca="1" si="4"/>
        <v>1.0379989774681355</v>
      </c>
      <c r="Q46" s="69">
        <f t="shared" ca="1" si="5"/>
        <v>0.10824890494248515</v>
      </c>
      <c r="R46" s="69">
        <f t="shared" ca="1" si="6"/>
        <v>0.26626116518712273</v>
      </c>
      <c r="S46" s="69">
        <f t="shared" ca="1" si="7"/>
        <v>-1.2162305022857396</v>
      </c>
      <c r="T46" s="69">
        <f t="shared" ca="1" si="8"/>
        <v>1.9066731616649715</v>
      </c>
      <c r="U46" s="69">
        <f t="shared" ca="1" si="9"/>
        <v>-2.1256725758258166</v>
      </c>
      <c r="V46" s="69">
        <f t="shared" ca="1" si="10"/>
        <v>0.30561180434471907</v>
      </c>
      <c r="W46" s="69">
        <f t="shared" ca="1" si="11"/>
        <v>-1.2823085501929035</v>
      </c>
      <c r="X46" s="69">
        <f t="shared" ca="1" si="12"/>
        <v>-0.47677476067531532</v>
      </c>
      <c r="Z46" s="29" t="s">
        <v>82</v>
      </c>
      <c r="AA46" s="73">
        <f ca="1"/>
        <v>-3.0498417950085956E-3</v>
      </c>
      <c r="AB46" s="73">
        <f ca="1"/>
        <v>-5.0292279877685742E-3</v>
      </c>
      <c r="AC46" s="73">
        <f ca="1"/>
        <v>1.619209672385374E-2</v>
      </c>
      <c r="AD46" s="73">
        <f ca="1"/>
        <v>6.4890546763510276E-2</v>
      </c>
      <c r="AE46" s="73">
        <f ca="1"/>
        <v>-2.7131896257693924E-2</v>
      </c>
      <c r="AF46" s="74">
        <f ca="1"/>
        <v>1.0000000000000013</v>
      </c>
      <c r="AG46" s="73">
        <f ca="1"/>
        <v>5.7188902479274786E-2</v>
      </c>
      <c r="AH46" s="73">
        <f ca="1"/>
        <v>-3.1676065465956089E-2</v>
      </c>
      <c r="AI46" s="73">
        <f ca="1"/>
        <v>-3.2499816486383552E-2</v>
      </c>
      <c r="AJ46" s="73">
        <f ca="1"/>
        <v>5.1928046251864236E-2</v>
      </c>
      <c r="AK46" s="73">
        <f ca="1"/>
        <v>-4.2650944782494874E-3</v>
      </c>
    </row>
    <row r="47" spans="2:37" x14ac:dyDescent="0.2">
      <c r="B47" s="69">
        <f t="shared" ca="1" si="1"/>
        <v>0.97580946475936259</v>
      </c>
      <c r="C47" s="69">
        <f t="shared" ca="1" si="13"/>
        <v>-1.9953427376748776</v>
      </c>
      <c r="D47" s="69">
        <f t="shared" ca="1" si="13"/>
        <v>-1.5856162267962524</v>
      </c>
      <c r="E47" s="69">
        <f t="shared" ca="1" si="13"/>
        <v>-0.64724869341966995</v>
      </c>
      <c r="F47" s="69">
        <f t="shared" ca="1" si="13"/>
        <v>-0.9064699850644411</v>
      </c>
      <c r="G47" s="69">
        <f t="shared" ca="1" si="13"/>
        <v>-0.47017581105251827</v>
      </c>
      <c r="H47" s="69">
        <f t="shared" ca="1" si="13"/>
        <v>-0.15943851345092622</v>
      </c>
      <c r="I47" s="69">
        <f t="shared" ca="1" si="13"/>
        <v>1.0937425351523324</v>
      </c>
      <c r="J47" s="69">
        <f t="shared" ca="1" si="13"/>
        <v>-1.1226669598680969</v>
      </c>
      <c r="K47" s="69">
        <f t="shared" ca="1" si="13"/>
        <v>0.21944087022699701</v>
      </c>
      <c r="L47" s="69">
        <f t="shared" ca="1" si="13"/>
        <v>0.94716997652864454</v>
      </c>
      <c r="N47" s="69">
        <f t="shared" ca="1" si="2"/>
        <v>1.0135775085974714</v>
      </c>
      <c r="O47" s="69">
        <f t="shared" ca="1" si="3"/>
        <v>-2.0218363007577644</v>
      </c>
      <c r="P47" s="69">
        <f t="shared" ca="1" si="4"/>
        <v>-1.6433582916333425</v>
      </c>
      <c r="Q47" s="69">
        <f t="shared" ca="1" si="5"/>
        <v>-0.59814001455791099</v>
      </c>
      <c r="R47" s="69">
        <f t="shared" ca="1" si="6"/>
        <v>-0.91276467047208998</v>
      </c>
      <c r="S47" s="69">
        <f t="shared" ca="1" si="7"/>
        <v>-0.43734883879570979</v>
      </c>
      <c r="T47" s="69">
        <f t="shared" ca="1" si="8"/>
        <v>-0.16426955116611605</v>
      </c>
      <c r="U47" s="69">
        <f t="shared" ca="1" si="9"/>
        <v>1.1167826620300421</v>
      </c>
      <c r="V47" s="69">
        <f t="shared" ca="1" si="10"/>
        <v>-1.1287765534416943</v>
      </c>
      <c r="W47" s="69">
        <f t="shared" ca="1" si="11"/>
        <v>0.22042222705109596</v>
      </c>
      <c r="X47" s="69">
        <f t="shared" ca="1" si="12"/>
        <v>0.97433846690308001</v>
      </c>
      <c r="Z47" s="29" t="s">
        <v>83</v>
      </c>
      <c r="AA47" s="73">
        <f ca="1"/>
        <v>-4.6396132661065421E-3</v>
      </c>
      <c r="AB47" s="73">
        <f ca="1"/>
        <v>-3.4170427072702618E-2</v>
      </c>
      <c r="AC47" s="73">
        <f ca="1"/>
        <v>-3.4625649986475764E-2</v>
      </c>
      <c r="AD47" s="73">
        <f ca="1"/>
        <v>-8.8444695326994519E-2</v>
      </c>
      <c r="AE47" s="73">
        <f ca="1"/>
        <v>7.5632998854674657E-2</v>
      </c>
      <c r="AF47" s="73">
        <f ca="1"/>
        <v>5.7188902479274786E-2</v>
      </c>
      <c r="AG47" s="74">
        <f ca="1"/>
        <v>0.99999999999999978</v>
      </c>
      <c r="AH47" s="73">
        <f ca="1"/>
        <v>-3.1945887045228674E-2</v>
      </c>
      <c r="AI47" s="73">
        <f ca="1"/>
        <v>1.6618746246921019E-2</v>
      </c>
      <c r="AJ47" s="73">
        <f ca="1"/>
        <v>1.5967526350983759E-2</v>
      </c>
      <c r="AK47" s="73">
        <f ca="1"/>
        <v>2.5575172300614832E-2</v>
      </c>
    </row>
    <row r="48" spans="2:37" x14ac:dyDescent="0.2">
      <c r="B48" s="69">
        <f t="shared" ca="1" si="1"/>
        <v>1.8143885127417174</v>
      </c>
      <c r="C48" s="69">
        <f t="shared" ca="1" si="13"/>
        <v>-0.98323003557158595</v>
      </c>
      <c r="D48" s="69">
        <f t="shared" ca="1" si="13"/>
        <v>-0.52839660658298504</v>
      </c>
      <c r="E48" s="69">
        <f t="shared" ca="1" si="13"/>
        <v>-2.9313778024202406E-2</v>
      </c>
      <c r="F48" s="69">
        <f t="shared" ca="1" si="13"/>
        <v>1.6829941239275443</v>
      </c>
      <c r="G48" s="69">
        <f t="shared" ca="1" si="13"/>
        <v>1.0258614231640415</v>
      </c>
      <c r="H48" s="69">
        <f t="shared" ca="1" si="13"/>
        <v>-0.68146936509424239</v>
      </c>
      <c r="I48" s="69">
        <f t="shared" ca="1" si="13"/>
        <v>1.6063768297145085</v>
      </c>
      <c r="J48" s="69">
        <f t="shared" ca="1" si="13"/>
        <v>0.19865717578755882</v>
      </c>
      <c r="K48" s="69">
        <f t="shared" ca="1" si="13"/>
        <v>-1.1363153130180088</v>
      </c>
      <c r="L48" s="69">
        <f t="shared" ca="1" si="13"/>
        <v>-1.5627914673094534</v>
      </c>
      <c r="N48" s="69">
        <f t="shared" ca="1" si="2"/>
        <v>1.8521565565798261</v>
      </c>
      <c r="O48" s="69">
        <f t="shared" ca="1" si="3"/>
        <v>-1.0097235986544726</v>
      </c>
      <c r="P48" s="69">
        <f t="shared" ca="1" si="4"/>
        <v>-0.58613867142007503</v>
      </c>
      <c r="Q48" s="69">
        <f t="shared" ca="1" si="5"/>
        <v>1.9794900837556539E-2</v>
      </c>
      <c r="R48" s="69">
        <f t="shared" ca="1" si="6"/>
        <v>1.6766994385198954</v>
      </c>
      <c r="S48" s="69">
        <f t="shared" ca="1" si="7"/>
        <v>1.0586883954208499</v>
      </c>
      <c r="T48" s="69">
        <f t="shared" ca="1" si="8"/>
        <v>-0.68630040280943228</v>
      </c>
      <c r="U48" s="69">
        <f t="shared" ca="1" si="9"/>
        <v>1.6294169565922181</v>
      </c>
      <c r="V48" s="69">
        <f t="shared" ca="1" si="10"/>
        <v>0.19254758221396148</v>
      </c>
      <c r="W48" s="69">
        <f t="shared" ca="1" si="11"/>
        <v>-1.1353339561939098</v>
      </c>
      <c r="X48" s="69">
        <f t="shared" ca="1" si="12"/>
        <v>-1.5356229769350178</v>
      </c>
      <c r="Z48" s="29" t="s">
        <v>84</v>
      </c>
      <c r="AA48" s="73">
        <f ca="1"/>
        <v>-1.07519744464106E-2</v>
      </c>
      <c r="AB48" s="73">
        <f ca="1"/>
        <v>-1.9904992193513934E-2</v>
      </c>
      <c r="AC48" s="73">
        <f ca="1"/>
        <v>1.5872753418906525E-3</v>
      </c>
      <c r="AD48" s="73">
        <f ca="1"/>
        <v>8.8909166314867453E-3</v>
      </c>
      <c r="AE48" s="73">
        <f ca="1"/>
        <v>3.5917647288639096E-2</v>
      </c>
      <c r="AF48" s="73">
        <f ca="1"/>
        <v>-3.1676065465956089E-2</v>
      </c>
      <c r="AG48" s="73">
        <f ca="1"/>
        <v>-3.1945887045228674E-2</v>
      </c>
      <c r="AH48" s="74">
        <f ca="1"/>
        <v>0.99999999999999956</v>
      </c>
      <c r="AI48" s="73">
        <f ca="1"/>
        <v>3.4133482581007075E-2</v>
      </c>
      <c r="AJ48" s="73">
        <f ca="1"/>
        <v>1.1819967076662708E-2</v>
      </c>
      <c r="AK48" s="73">
        <f ca="1"/>
        <v>1.7988543425508499E-2</v>
      </c>
    </row>
    <row r="49" spans="2:37" x14ac:dyDescent="0.2">
      <c r="B49" s="69">
        <f t="shared" ca="1" si="1"/>
        <v>0.38078336742117141</v>
      </c>
      <c r="C49" s="69">
        <f t="shared" ca="1" si="13"/>
        <v>0.78905039120469023</v>
      </c>
      <c r="D49" s="69">
        <f t="shared" ca="1" si="13"/>
        <v>0.21932288088992108</v>
      </c>
      <c r="E49" s="69">
        <f t="shared" ca="1" si="13"/>
        <v>-0.18579120286443312</v>
      </c>
      <c r="F49" s="69">
        <f t="shared" ca="1" si="13"/>
        <v>0.37542894679224137</v>
      </c>
      <c r="G49" s="69">
        <f t="shared" ca="1" si="13"/>
        <v>-1.0219676312804735</v>
      </c>
      <c r="H49" s="69">
        <f t="shared" ca="1" si="13"/>
        <v>-0.27873235299598681</v>
      </c>
      <c r="I49" s="69">
        <f t="shared" ca="1" si="13"/>
        <v>0.80113739735475631</v>
      </c>
      <c r="J49" s="69">
        <f t="shared" ca="1" si="13"/>
        <v>0.6786239629429025</v>
      </c>
      <c r="K49" s="69">
        <f t="shared" ca="1" si="13"/>
        <v>-0.57345726841744904</v>
      </c>
      <c r="L49" s="69">
        <f t="shared" ca="1" si="13"/>
        <v>0.60502494165562148</v>
      </c>
      <c r="N49" s="69">
        <f t="shared" ca="1" si="2"/>
        <v>0.41855141125928025</v>
      </c>
      <c r="O49" s="69">
        <f t="shared" ca="1" si="3"/>
        <v>0.76255682812180359</v>
      </c>
      <c r="P49" s="69">
        <f t="shared" ca="1" si="4"/>
        <v>0.16158081605283103</v>
      </c>
      <c r="Q49" s="69">
        <f t="shared" ca="1" si="5"/>
        <v>-0.13668252400267417</v>
      </c>
      <c r="R49" s="69">
        <f t="shared" ca="1" si="6"/>
        <v>0.36913426138459249</v>
      </c>
      <c r="S49" s="69">
        <f t="shared" ca="1" si="7"/>
        <v>-0.98914065902366499</v>
      </c>
      <c r="T49" s="69">
        <f t="shared" ca="1" si="8"/>
        <v>-0.28356339071117664</v>
      </c>
      <c r="U49" s="69">
        <f t="shared" ca="1" si="9"/>
        <v>0.82417752423246593</v>
      </c>
      <c r="V49" s="69">
        <f t="shared" ca="1" si="10"/>
        <v>0.6725143693693052</v>
      </c>
      <c r="W49" s="69">
        <f t="shared" ca="1" si="11"/>
        <v>-0.5724759115933501</v>
      </c>
      <c r="X49" s="69">
        <f t="shared" ca="1" si="12"/>
        <v>0.63219343203005696</v>
      </c>
      <c r="Z49" s="29" t="s">
        <v>85</v>
      </c>
      <c r="AA49" s="73">
        <f ca="1"/>
        <v>-2.2731388165002364E-3</v>
      </c>
      <c r="AB49" s="73">
        <f ca="1"/>
        <v>-2.9815509562175881E-3</v>
      </c>
      <c r="AC49" s="73">
        <f ca="1"/>
        <v>-3.251389843671066E-2</v>
      </c>
      <c r="AD49" s="73">
        <f ca="1"/>
        <v>-2.7700681611908508E-2</v>
      </c>
      <c r="AE49" s="73">
        <f ca="1"/>
        <v>1.1718454348481139E-2</v>
      </c>
      <c r="AF49" s="73">
        <f ca="1"/>
        <v>-3.2499816486383552E-2</v>
      </c>
      <c r="AG49" s="73">
        <f ca="1"/>
        <v>1.6618746246921019E-2</v>
      </c>
      <c r="AH49" s="73">
        <f ca="1"/>
        <v>3.4133482581007075E-2</v>
      </c>
      <c r="AI49" s="74">
        <f ca="1"/>
        <v>1.0000000000000007</v>
      </c>
      <c r="AJ49" s="73">
        <f ca="1"/>
        <v>-3.1151213265341735E-2</v>
      </c>
      <c r="AK49" s="73">
        <f ca="1"/>
        <v>-2.5027744109348531E-2</v>
      </c>
    </row>
    <row r="50" spans="2:37" x14ac:dyDescent="0.2">
      <c r="B50" s="69">
        <f t="shared" ca="1" si="1"/>
        <v>0.48815105052078384</v>
      </c>
      <c r="C50" s="69">
        <f t="shared" ca="1" si="13"/>
        <v>-1.4092148395156687</v>
      </c>
      <c r="D50" s="69">
        <f t="shared" ca="1" si="13"/>
        <v>-0.82297774750551955</v>
      </c>
      <c r="E50" s="69">
        <f t="shared" ca="1" si="13"/>
        <v>-1.9387859723985414</v>
      </c>
      <c r="F50" s="69">
        <f t="shared" ca="1" si="13"/>
        <v>-1.4760884196525224</v>
      </c>
      <c r="G50" s="69">
        <f t="shared" ca="1" si="13"/>
        <v>-0.62759623597840097</v>
      </c>
      <c r="H50" s="69">
        <f t="shared" ca="1" si="13"/>
        <v>0.61278383124434066</v>
      </c>
      <c r="I50" s="69">
        <f t="shared" ca="1" si="13"/>
        <v>0.29065798122154252</v>
      </c>
      <c r="J50" s="69">
        <f t="shared" ca="1" si="13"/>
        <v>-0.99279065796360777</v>
      </c>
      <c r="K50" s="69">
        <f t="shared" ca="1" si="13"/>
        <v>0.53104087099178154</v>
      </c>
      <c r="L50" s="69">
        <f t="shared" ca="1" si="13"/>
        <v>0.50391728613174902</v>
      </c>
      <c r="N50" s="69">
        <f t="shared" ca="1" si="2"/>
        <v>0.52591909435889261</v>
      </c>
      <c r="O50" s="69">
        <f t="shared" ca="1" si="3"/>
        <v>-1.4357084025985554</v>
      </c>
      <c r="P50" s="69">
        <f t="shared" ca="1" si="4"/>
        <v>-0.88071981234260954</v>
      </c>
      <c r="Q50" s="69">
        <f t="shared" ca="1" si="5"/>
        <v>-1.8896772935367825</v>
      </c>
      <c r="R50" s="69">
        <f t="shared" ca="1" si="6"/>
        <v>-1.4823831050601712</v>
      </c>
      <c r="S50" s="69">
        <f t="shared" ca="1" si="7"/>
        <v>-0.59476926372159244</v>
      </c>
      <c r="T50" s="69">
        <f t="shared" ca="1" si="8"/>
        <v>0.60795279352915077</v>
      </c>
      <c r="U50" s="69">
        <f t="shared" ca="1" si="9"/>
        <v>0.31369810809925219</v>
      </c>
      <c r="V50" s="69">
        <f t="shared" ca="1" si="10"/>
        <v>-0.99890025153720508</v>
      </c>
      <c r="W50" s="69">
        <f t="shared" ca="1" si="11"/>
        <v>0.53202222781588049</v>
      </c>
      <c r="X50" s="69">
        <f t="shared" ca="1" si="12"/>
        <v>0.53108577650618449</v>
      </c>
      <c r="Z50" s="29" t="s">
        <v>86</v>
      </c>
      <c r="AA50" s="73">
        <f ca="1"/>
        <v>-2.2890955008671578E-2</v>
      </c>
      <c r="AB50" s="73">
        <f ca="1"/>
        <v>1.3497171245523043E-3</v>
      </c>
      <c r="AC50" s="73">
        <f ca="1"/>
        <v>-1.8510432863740049E-2</v>
      </c>
      <c r="AD50" s="73">
        <f ca="1"/>
        <v>9.5587846532501144E-2</v>
      </c>
      <c r="AE50" s="73">
        <f ca="1"/>
        <v>3.8139916380227463E-2</v>
      </c>
      <c r="AF50" s="73">
        <f ca="1"/>
        <v>5.1928046251864236E-2</v>
      </c>
      <c r="AG50" s="73">
        <f ca="1"/>
        <v>1.5967526350983759E-2</v>
      </c>
      <c r="AH50" s="73">
        <f ca="1"/>
        <v>1.1819967076662708E-2</v>
      </c>
      <c r="AI50" s="73">
        <f ca="1"/>
        <v>-3.1151213265341735E-2</v>
      </c>
      <c r="AJ50" s="74">
        <f ca="1"/>
        <v>1.0000000000000002</v>
      </c>
      <c r="AK50" s="73">
        <f ca="1"/>
        <v>-1.481417991409841E-2</v>
      </c>
    </row>
    <row r="51" spans="2:37" x14ac:dyDescent="0.2">
      <c r="B51" s="69">
        <f t="shared" ca="1" si="1"/>
        <v>0.66866091878805423</v>
      </c>
      <c r="C51" s="69">
        <f t="shared" ca="1" si="13"/>
        <v>0.84614285866511374</v>
      </c>
      <c r="D51" s="69">
        <f t="shared" ca="1" si="13"/>
        <v>0.21974575872159161</v>
      </c>
      <c r="E51" s="69">
        <f t="shared" ca="1" si="13"/>
        <v>0.33189481185656933</v>
      </c>
      <c r="F51" s="69">
        <f t="shared" ca="1" si="13"/>
        <v>0.34800609711153713</v>
      </c>
      <c r="G51" s="69">
        <f t="shared" ca="1" si="13"/>
        <v>1.1316844311700041</v>
      </c>
      <c r="H51" s="69">
        <f t="shared" ca="1" si="13"/>
        <v>0.24090239290832394</v>
      </c>
      <c r="I51" s="69">
        <f t="shared" ca="1" si="13"/>
        <v>-0.20105140605927199</v>
      </c>
      <c r="J51" s="69">
        <f t="shared" ca="1" si="13"/>
        <v>-0.62833821131179668</v>
      </c>
      <c r="K51" s="69">
        <f t="shared" ca="1" si="13"/>
        <v>0.97779441808795153</v>
      </c>
      <c r="L51" s="69">
        <f t="shared" ca="1" si="13"/>
        <v>-0.16121240996970221</v>
      </c>
      <c r="N51" s="69">
        <f t="shared" ca="1" si="2"/>
        <v>0.70642896262616306</v>
      </c>
      <c r="O51" s="69">
        <f t="shared" ca="1" si="3"/>
        <v>0.8196492955822271</v>
      </c>
      <c r="P51" s="69">
        <f t="shared" ca="1" si="4"/>
        <v>0.16200369388450159</v>
      </c>
      <c r="Q51" s="69">
        <f t="shared" ca="1" si="5"/>
        <v>0.38100349071832829</v>
      </c>
      <c r="R51" s="69">
        <f t="shared" ca="1" si="6"/>
        <v>0.34171141170388825</v>
      </c>
      <c r="S51" s="69">
        <f t="shared" ca="1" si="7"/>
        <v>1.1645114034268125</v>
      </c>
      <c r="T51" s="69">
        <f t="shared" ca="1" si="8"/>
        <v>0.2360713551931341</v>
      </c>
      <c r="U51" s="69">
        <f t="shared" ca="1" si="9"/>
        <v>-0.17801127918156234</v>
      </c>
      <c r="V51" s="69">
        <f t="shared" ca="1" si="10"/>
        <v>-0.63444780488539398</v>
      </c>
      <c r="W51" s="69">
        <f t="shared" ca="1" si="11"/>
        <v>0.97877577491205048</v>
      </c>
      <c r="X51" s="69">
        <f t="shared" ca="1" si="12"/>
        <v>-0.13404391959526674</v>
      </c>
      <c r="Z51" s="29" t="s">
        <v>87</v>
      </c>
      <c r="AA51" s="73">
        <f ca="1"/>
        <v>-2.3939875443608989E-2</v>
      </c>
      <c r="AB51" s="73">
        <f ca="1"/>
        <v>2.149220990872722E-2</v>
      </c>
      <c r="AC51" s="73">
        <f ca="1"/>
        <v>4.5500147326272555E-2</v>
      </c>
      <c r="AD51" s="73">
        <f ca="1"/>
        <v>-4.549073577124213E-2</v>
      </c>
      <c r="AE51" s="73">
        <f ca="1"/>
        <v>1.2246359989933363E-2</v>
      </c>
      <c r="AF51" s="73">
        <f ca="1"/>
        <v>-4.2650944782494874E-3</v>
      </c>
      <c r="AG51" s="73">
        <f ca="1"/>
        <v>2.5575172300614832E-2</v>
      </c>
      <c r="AH51" s="73">
        <f ca="1"/>
        <v>1.7988543425508499E-2</v>
      </c>
      <c r="AI51" s="73">
        <f ca="1"/>
        <v>-2.5027744109348531E-2</v>
      </c>
      <c r="AJ51" s="73">
        <f ca="1"/>
        <v>-1.481417991409841E-2</v>
      </c>
      <c r="AK51" s="74">
        <f ca="1"/>
        <v>1.0000000000000004</v>
      </c>
    </row>
    <row r="52" spans="2:37" x14ac:dyDescent="0.2">
      <c r="B52" s="69">
        <f t="shared" ca="1" si="1"/>
        <v>-0.23063176631903828</v>
      </c>
      <c r="C52" s="69">
        <f t="shared" ca="1" si="13"/>
        <v>1.7282861119641839</v>
      </c>
      <c r="D52" s="69">
        <f t="shared" ca="1" si="13"/>
        <v>-0.62474029703734213</v>
      </c>
      <c r="E52" s="69">
        <f t="shared" ca="1" si="13"/>
        <v>1.0797497349878933</v>
      </c>
      <c r="F52" s="69">
        <f t="shared" ca="1" si="13"/>
        <v>-0.84347327985678477</v>
      </c>
      <c r="G52" s="69">
        <f t="shared" ca="1" si="13"/>
        <v>-0.66006414026195215</v>
      </c>
      <c r="H52" s="69">
        <f t="shared" ca="1" si="13"/>
        <v>2.8132956661290085</v>
      </c>
      <c r="I52" s="69">
        <f t="shared" ca="1" si="13"/>
        <v>-1.3356442535475936</v>
      </c>
      <c r="J52" s="69">
        <f t="shared" ca="1" si="13"/>
        <v>6.1711570876228264E-2</v>
      </c>
      <c r="K52" s="69">
        <f t="shared" ca="1" si="13"/>
        <v>-0.11911684984633196</v>
      </c>
      <c r="L52" s="69">
        <f t="shared" ca="1" si="13"/>
        <v>0.69477657725220088</v>
      </c>
      <c r="N52" s="69">
        <f t="shared" ca="1" si="2"/>
        <v>-0.19286372248092948</v>
      </c>
      <c r="O52" s="69">
        <f t="shared" ca="1" si="3"/>
        <v>1.7017925488812973</v>
      </c>
      <c r="P52" s="69">
        <f t="shared" ca="1" si="4"/>
        <v>-0.68248236187443212</v>
      </c>
      <c r="Q52" s="69">
        <f t="shared" ca="1" si="5"/>
        <v>1.1288584138496522</v>
      </c>
      <c r="R52" s="69">
        <f t="shared" ca="1" si="6"/>
        <v>-0.84976796526443366</v>
      </c>
      <c r="S52" s="69">
        <f t="shared" ca="1" si="7"/>
        <v>-0.62723716800514362</v>
      </c>
      <c r="T52" s="69">
        <f t="shared" ca="1" si="8"/>
        <v>2.8084646284138186</v>
      </c>
      <c r="U52" s="69">
        <f t="shared" ca="1" si="9"/>
        <v>-1.312604126669884</v>
      </c>
      <c r="V52" s="69">
        <f t="shared" ca="1" si="10"/>
        <v>5.5601977302630931E-2</v>
      </c>
      <c r="W52" s="69">
        <f t="shared" ca="1" si="11"/>
        <v>-0.118135493022233</v>
      </c>
      <c r="X52" s="69">
        <f t="shared" ca="1" si="12"/>
        <v>0.72194506762663635</v>
      </c>
    </row>
    <row r="53" spans="2:37" x14ac:dyDescent="0.2">
      <c r="B53" s="69">
        <f t="shared" ca="1" si="1"/>
        <v>-3.658301655945765E-2</v>
      </c>
      <c r="C53" s="69">
        <f t="shared" ca="1" si="13"/>
        <v>2.1725546547336649</v>
      </c>
      <c r="D53" s="69">
        <f t="shared" ca="1" si="13"/>
        <v>-1.2539678070611593</v>
      </c>
      <c r="E53" s="69">
        <f t="shared" ca="1" si="13"/>
        <v>-0.10654680728223538</v>
      </c>
      <c r="F53" s="69">
        <f t="shared" ca="1" si="13"/>
        <v>-0.83874074547758803</v>
      </c>
      <c r="G53" s="69">
        <f t="shared" ca="1" si="13"/>
        <v>1.252938718791617</v>
      </c>
      <c r="H53" s="69">
        <f t="shared" ca="1" si="13"/>
        <v>-0.13194695068301604</v>
      </c>
      <c r="I53" s="69">
        <f t="shared" ca="1" si="13"/>
        <v>-0.14395621521233481</v>
      </c>
      <c r="J53" s="69">
        <f t="shared" ca="1" si="13"/>
        <v>0.94141085958518811</v>
      </c>
      <c r="K53" s="69">
        <f t="shared" ca="1" si="13"/>
        <v>0.18503387245775688</v>
      </c>
      <c r="L53" s="69">
        <f t="shared" ca="1" si="13"/>
        <v>-2.3367884567761017</v>
      </c>
      <c r="N53" s="69">
        <f t="shared" ca="1" si="2"/>
        <v>1.1850272786511698E-3</v>
      </c>
      <c r="O53" s="69">
        <f t="shared" ca="1" si="3"/>
        <v>2.1460610916507781</v>
      </c>
      <c r="P53" s="69">
        <f t="shared" ca="1" si="4"/>
        <v>-1.3117098718982494</v>
      </c>
      <c r="Q53" s="69">
        <f t="shared" ca="1" si="5"/>
        <v>-5.7438128420476436E-2</v>
      </c>
      <c r="R53" s="69">
        <f t="shared" ca="1" si="6"/>
        <v>-0.84503543088523692</v>
      </c>
      <c r="S53" s="69">
        <f t="shared" ca="1" si="7"/>
        <v>1.2857656910484254</v>
      </c>
      <c r="T53" s="69">
        <f t="shared" ca="1" si="8"/>
        <v>-0.13677798839820587</v>
      </c>
      <c r="U53" s="69">
        <f t="shared" ca="1" si="9"/>
        <v>-0.12091608833462517</v>
      </c>
      <c r="V53" s="69">
        <f t="shared" ca="1" si="10"/>
        <v>0.9353012660115908</v>
      </c>
      <c r="W53" s="69">
        <f t="shared" ca="1" si="11"/>
        <v>0.18601522928185582</v>
      </c>
      <c r="X53" s="69">
        <f t="shared" ca="1" si="12"/>
        <v>-2.3096199664016663</v>
      </c>
    </row>
    <row r="54" spans="2:37" x14ac:dyDescent="0.2">
      <c r="B54" s="69">
        <f t="shared" ca="1" si="1"/>
        <v>-0.33031835659282316</v>
      </c>
      <c r="C54" s="69">
        <f t="shared" ca="1" si="13"/>
        <v>-0.37847220134771081</v>
      </c>
      <c r="D54" s="69">
        <f t="shared" ca="1" si="13"/>
        <v>0.33173023493778681</v>
      </c>
      <c r="E54" s="69">
        <f t="shared" ca="1" si="13"/>
        <v>1.1607999971461651</v>
      </c>
      <c r="F54" s="69">
        <f t="shared" ca="1" si="13"/>
        <v>-0.22498645616397017</v>
      </c>
      <c r="G54" s="69">
        <f t="shared" ca="1" si="13"/>
        <v>0.10966845817849356</v>
      </c>
      <c r="H54" s="69">
        <f t="shared" ca="1" si="13"/>
        <v>0.95184258585704029</v>
      </c>
      <c r="I54" s="69">
        <f t="shared" ca="1" si="13"/>
        <v>0.43845307698332125</v>
      </c>
      <c r="J54" s="69">
        <f t="shared" ca="1" si="13"/>
        <v>0.10694077206563803</v>
      </c>
      <c r="K54" s="69">
        <f t="shared" ca="1" si="13"/>
        <v>-0.1154413511516923</v>
      </c>
      <c r="L54" s="69">
        <f t="shared" ca="1" si="13"/>
        <v>1.1919092853239166</v>
      </c>
      <c r="N54" s="69">
        <f t="shared" ca="1" si="2"/>
        <v>-0.29255031275471433</v>
      </c>
      <c r="O54" s="69">
        <f t="shared" ca="1" si="3"/>
        <v>-0.40496576443059751</v>
      </c>
      <c r="P54" s="69">
        <f t="shared" ca="1" si="4"/>
        <v>0.27398817010069676</v>
      </c>
      <c r="Q54" s="69">
        <f t="shared" ca="1" si="5"/>
        <v>1.2099086760079241</v>
      </c>
      <c r="R54" s="69">
        <f t="shared" ca="1" si="6"/>
        <v>-0.23128114157161908</v>
      </c>
      <c r="S54" s="69">
        <f t="shared" ca="1" si="7"/>
        <v>0.14249543043530205</v>
      </c>
      <c r="T54" s="69">
        <f t="shared" ca="1" si="8"/>
        <v>0.9470115481418504</v>
      </c>
      <c r="U54" s="69">
        <f t="shared" ca="1" si="9"/>
        <v>0.46149320386103093</v>
      </c>
      <c r="V54" s="69">
        <f t="shared" ca="1" si="10"/>
        <v>0.10083117849204069</v>
      </c>
      <c r="W54" s="69">
        <f t="shared" ca="1" si="11"/>
        <v>-0.11445999432759335</v>
      </c>
      <c r="X54" s="69">
        <f t="shared" ca="1" si="12"/>
        <v>1.2190777756983522</v>
      </c>
    </row>
    <row r="55" spans="2:37" x14ac:dyDescent="0.2">
      <c r="B55" s="69">
        <f t="shared" ca="1" si="1"/>
        <v>0.37744257293129757</v>
      </c>
      <c r="C55" s="69">
        <f t="shared" ca="1" si="13"/>
        <v>0.99910161341751069</v>
      </c>
      <c r="D55" s="69">
        <f t="shared" ca="1" si="13"/>
        <v>2.2551084428826491</v>
      </c>
      <c r="E55" s="69">
        <f t="shared" ca="1" si="13"/>
        <v>-0.68131738539751985</v>
      </c>
      <c r="F55" s="69">
        <f t="shared" ca="1" si="13"/>
        <v>6.4319660127486475E-3</v>
      </c>
      <c r="G55" s="69">
        <f t="shared" ca="1" si="13"/>
        <v>0.63658422286744443</v>
      </c>
      <c r="H55" s="69">
        <f t="shared" ca="1" si="13"/>
        <v>8.808421896183502E-2</v>
      </c>
      <c r="I55" s="69">
        <f t="shared" ca="1" si="13"/>
        <v>-0.54076549161724996</v>
      </c>
      <c r="J55" s="69">
        <f t="shared" ca="1" si="13"/>
        <v>-2.2466280410563688</v>
      </c>
      <c r="K55" s="69">
        <f t="shared" ca="1" si="13"/>
        <v>1.0154756504434383</v>
      </c>
      <c r="L55" s="69">
        <f t="shared" ca="1" si="13"/>
        <v>1.3954806680117116</v>
      </c>
      <c r="N55" s="69">
        <f t="shared" ca="1" si="2"/>
        <v>0.4152106167694064</v>
      </c>
      <c r="O55" s="69">
        <f t="shared" ca="1" si="3"/>
        <v>0.97260805033462405</v>
      </c>
      <c r="P55" s="69">
        <f t="shared" ca="1" si="4"/>
        <v>2.197366378045559</v>
      </c>
      <c r="Q55" s="69">
        <f t="shared" ca="1" si="5"/>
        <v>-0.63220870653576089</v>
      </c>
      <c r="R55" s="69">
        <f t="shared" ca="1" si="6"/>
        <v>1.372806050997516E-4</v>
      </c>
      <c r="S55" s="69">
        <f t="shared" ca="1" si="7"/>
        <v>0.66941119512425296</v>
      </c>
      <c r="T55" s="69">
        <f t="shared" ca="1" si="8"/>
        <v>8.3253181246645172E-2</v>
      </c>
      <c r="U55" s="69">
        <f t="shared" ca="1" si="9"/>
        <v>-0.51772536473954034</v>
      </c>
      <c r="V55" s="69">
        <f t="shared" ca="1" si="10"/>
        <v>-2.2527376346299661</v>
      </c>
      <c r="W55" s="69">
        <f t="shared" ca="1" si="11"/>
        <v>1.0164570072675374</v>
      </c>
      <c r="X55" s="69">
        <f t="shared" ca="1" si="12"/>
        <v>1.4226491583861471</v>
      </c>
    </row>
    <row r="56" spans="2:37" x14ac:dyDescent="0.2">
      <c r="B56" s="69">
        <f t="shared" ca="1" si="1"/>
        <v>-0.47387109119429682</v>
      </c>
      <c r="C56" s="69">
        <f t="shared" ca="1" si="13"/>
        <v>2.2360588708416924</v>
      </c>
      <c r="D56" s="69">
        <f t="shared" ca="1" si="13"/>
        <v>-1.5987792858079848</v>
      </c>
      <c r="E56" s="69">
        <f t="shared" ca="1" si="13"/>
        <v>-0.14707408858035792</v>
      </c>
      <c r="F56" s="69">
        <f t="shared" ca="1" si="13"/>
        <v>0.30048004078334067</v>
      </c>
      <c r="G56" s="69">
        <f t="shared" ca="1" si="13"/>
        <v>0.52269029586670557</v>
      </c>
      <c r="H56" s="69">
        <f t="shared" ca="1" si="13"/>
        <v>0.34097367454258598</v>
      </c>
      <c r="I56" s="69">
        <f t="shared" ca="1" si="13"/>
        <v>-1.1152741329232081</v>
      </c>
      <c r="J56" s="69">
        <f t="shared" ca="1" si="13"/>
        <v>0.3970988351832776</v>
      </c>
      <c r="K56" s="69">
        <f t="shared" ca="1" si="13"/>
        <v>-0.1076404801443778</v>
      </c>
      <c r="L56" s="69">
        <f t="shared" ca="1" si="13"/>
        <v>9.6447448559807223E-3</v>
      </c>
      <c r="N56" s="69">
        <f t="shared" ca="1" si="2"/>
        <v>-0.43610304735618799</v>
      </c>
      <c r="O56" s="69">
        <f t="shared" ca="1" si="3"/>
        <v>2.2095653077588056</v>
      </c>
      <c r="P56" s="69">
        <f t="shared" ca="1" si="4"/>
        <v>-1.6565213506450749</v>
      </c>
      <c r="Q56" s="69">
        <f t="shared" ca="1" si="5"/>
        <v>-9.7965409718598975E-2</v>
      </c>
      <c r="R56" s="69">
        <f t="shared" ca="1" si="6"/>
        <v>0.29418535537569179</v>
      </c>
      <c r="S56" s="69">
        <f t="shared" ca="1" si="7"/>
        <v>0.5555172681235141</v>
      </c>
      <c r="T56" s="69">
        <f t="shared" ca="1" si="8"/>
        <v>0.33614263682739615</v>
      </c>
      <c r="U56" s="69">
        <f t="shared" ca="1" si="9"/>
        <v>-1.0922340060454985</v>
      </c>
      <c r="V56" s="69">
        <f t="shared" ca="1" si="10"/>
        <v>0.39098924160968029</v>
      </c>
      <c r="W56" s="69">
        <f t="shared" ca="1" si="11"/>
        <v>-0.10665912332027885</v>
      </c>
      <c r="X56" s="69">
        <f t="shared" ca="1" si="12"/>
        <v>3.68132352304162E-2</v>
      </c>
    </row>
    <row r="57" spans="2:37" x14ac:dyDescent="0.2">
      <c r="B57" s="69">
        <f t="shared" ca="1" si="1"/>
        <v>0.8232370777325545</v>
      </c>
      <c r="C57" s="69">
        <f t="shared" ca="1" si="13"/>
        <v>0.54860671802503347</v>
      </c>
      <c r="D57" s="69">
        <f t="shared" ca="1" si="13"/>
        <v>-0.67250909080600851</v>
      </c>
      <c r="E57" s="69">
        <f t="shared" ca="1" si="13"/>
        <v>-0.57584478378568682</v>
      </c>
      <c r="F57" s="69">
        <f t="shared" ca="1" si="13"/>
        <v>0.66684045185385921</v>
      </c>
      <c r="G57" s="69">
        <f t="shared" ca="1" si="13"/>
        <v>3.0268545371145497E-2</v>
      </c>
      <c r="H57" s="69">
        <f t="shared" ca="1" si="13"/>
        <v>-0.98999834147608667</v>
      </c>
      <c r="I57" s="69">
        <f t="shared" ca="1" si="13"/>
        <v>-0.73131701166690077</v>
      </c>
      <c r="J57" s="69">
        <f t="shared" ca="1" si="13"/>
        <v>0.72073404035716482</v>
      </c>
      <c r="K57" s="69">
        <f t="shared" ca="1" si="13"/>
        <v>-0.95520443841318114</v>
      </c>
      <c r="L57" s="69">
        <f t="shared" ca="1" si="13"/>
        <v>0.29548458320510518</v>
      </c>
      <c r="N57" s="69">
        <f t="shared" ca="1" si="2"/>
        <v>0.86100512157066333</v>
      </c>
      <c r="O57" s="69">
        <f t="shared" ca="1" si="3"/>
        <v>0.52211315494214683</v>
      </c>
      <c r="P57" s="69">
        <f t="shared" ca="1" si="4"/>
        <v>-0.7302511556430985</v>
      </c>
      <c r="Q57" s="69">
        <f t="shared" ca="1" si="5"/>
        <v>-0.52673610492392786</v>
      </c>
      <c r="R57" s="69">
        <f t="shared" ca="1" si="6"/>
        <v>0.66054576644621033</v>
      </c>
      <c r="S57" s="69">
        <f t="shared" ca="1" si="7"/>
        <v>6.3095517627953984E-2</v>
      </c>
      <c r="T57" s="69">
        <f t="shared" ca="1" si="8"/>
        <v>-0.99482937919127656</v>
      </c>
      <c r="U57" s="69">
        <f t="shared" ca="1" si="9"/>
        <v>-0.70827688478919115</v>
      </c>
      <c r="V57" s="69">
        <f t="shared" ca="1" si="10"/>
        <v>0.71462444678356751</v>
      </c>
      <c r="W57" s="69">
        <f t="shared" ca="1" si="11"/>
        <v>-0.9542230815890822</v>
      </c>
      <c r="X57" s="69">
        <f t="shared" ca="1" si="12"/>
        <v>0.32265307357954065</v>
      </c>
    </row>
    <row r="58" spans="2:37" x14ac:dyDescent="0.2">
      <c r="B58" s="69">
        <f t="shared" ca="1" si="1"/>
        <v>-0.14115457869041392</v>
      </c>
      <c r="C58" s="69">
        <f t="shared" ca="1" si="13"/>
        <v>1.2950733666480767</v>
      </c>
      <c r="D58" s="69">
        <f t="shared" ca="1" si="13"/>
        <v>0.15525591467940625</v>
      </c>
      <c r="E58" s="69">
        <f t="shared" ca="1" si="13"/>
        <v>-1.2333113732141228</v>
      </c>
      <c r="F58" s="69">
        <f t="shared" ca="1" si="13"/>
        <v>-0.45309287587808095</v>
      </c>
      <c r="G58" s="69">
        <f t="shared" ca="1" si="13"/>
        <v>-2.3479415198677804</v>
      </c>
      <c r="H58" s="69">
        <f t="shared" ca="1" si="13"/>
        <v>-0.67030999757892817</v>
      </c>
      <c r="I58" s="69">
        <f t="shared" ca="1" si="13"/>
        <v>-1.5532043847154575</v>
      </c>
      <c r="J58" s="69">
        <f t="shared" ca="1" si="13"/>
        <v>-9.3946028796381392E-2</v>
      </c>
      <c r="K58" s="69">
        <f t="shared" ca="1" si="13"/>
        <v>1.3718956631199046</v>
      </c>
      <c r="L58" s="69">
        <f t="shared" ca="1" si="13"/>
        <v>0.12714742341963881</v>
      </c>
      <c r="N58" s="69">
        <f t="shared" ca="1" si="2"/>
        <v>-0.1033865348523051</v>
      </c>
      <c r="O58" s="69">
        <f t="shared" ca="1" si="3"/>
        <v>1.2685798035651901</v>
      </c>
      <c r="P58" s="69">
        <f t="shared" ca="1" si="4"/>
        <v>9.7513849842316216E-2</v>
      </c>
      <c r="Q58" s="69">
        <f t="shared" ca="1" si="5"/>
        <v>-1.1842026943523638</v>
      </c>
      <c r="R58" s="69">
        <f t="shared" ca="1" si="6"/>
        <v>-0.45938756128572983</v>
      </c>
      <c r="S58" s="69">
        <f t="shared" ca="1" si="7"/>
        <v>-2.315114547610972</v>
      </c>
      <c r="T58" s="69">
        <f t="shared" ca="1" si="8"/>
        <v>-0.67514103529411806</v>
      </c>
      <c r="U58" s="69">
        <f t="shared" ca="1" si="9"/>
        <v>-1.5301642578377479</v>
      </c>
      <c r="V58" s="69">
        <f t="shared" ca="1" si="10"/>
        <v>-0.10005562236997873</v>
      </c>
      <c r="W58" s="69">
        <f t="shared" ca="1" si="11"/>
        <v>1.3728770199440037</v>
      </c>
      <c r="X58" s="69">
        <f t="shared" ca="1" si="12"/>
        <v>0.15431591379407428</v>
      </c>
    </row>
    <row r="59" spans="2:37" x14ac:dyDescent="0.2">
      <c r="B59" s="69">
        <f t="shared" ca="1" si="1"/>
        <v>-1.2838859843623092</v>
      </c>
      <c r="C59" s="69">
        <f t="shared" ca="1" si="13"/>
        <v>7.2244142176986451E-2</v>
      </c>
      <c r="D59" s="69">
        <f t="shared" ca="1" si="13"/>
        <v>-0.66877379940564119</v>
      </c>
      <c r="E59" s="69">
        <f t="shared" ca="1" si="13"/>
        <v>-1.1554561313530074</v>
      </c>
      <c r="F59" s="69">
        <f t="shared" ca="1" si="13"/>
        <v>1.0276671688158707</v>
      </c>
      <c r="G59" s="69">
        <f t="shared" ca="1" si="13"/>
        <v>0.45725459437104848</v>
      </c>
      <c r="H59" s="69">
        <f t="shared" ca="1" si="13"/>
        <v>0.59750774663344297</v>
      </c>
      <c r="I59" s="69">
        <f t="shared" ca="1" si="13"/>
        <v>-0.34448360738421169</v>
      </c>
      <c r="J59" s="69">
        <f t="shared" ca="1" si="13"/>
        <v>0.70516213288921359</v>
      </c>
      <c r="K59" s="69">
        <f t="shared" ca="1" si="13"/>
        <v>-0.58033534134870179</v>
      </c>
      <c r="L59" s="69">
        <f t="shared" ca="1" si="13"/>
        <v>0.99261125257051053</v>
      </c>
      <c r="N59" s="69">
        <f t="shared" ca="1" si="2"/>
        <v>-1.2461179405242004</v>
      </c>
      <c r="O59" s="69">
        <f t="shared" ca="1" si="3"/>
        <v>4.5750579094099769E-2</v>
      </c>
      <c r="P59" s="69">
        <f t="shared" ca="1" si="4"/>
        <v>-0.72651586424273118</v>
      </c>
      <c r="Q59" s="69">
        <f t="shared" ca="1" si="5"/>
        <v>-1.1063474524912484</v>
      </c>
      <c r="R59" s="69">
        <f t="shared" ca="1" si="6"/>
        <v>1.0213724834082218</v>
      </c>
      <c r="S59" s="69">
        <f t="shared" ca="1" si="7"/>
        <v>0.49008156662785696</v>
      </c>
      <c r="T59" s="69">
        <f t="shared" ca="1" si="8"/>
        <v>0.59267670891825308</v>
      </c>
      <c r="U59" s="69">
        <f t="shared" ca="1" si="9"/>
        <v>-0.32144348050650201</v>
      </c>
      <c r="V59" s="69">
        <f t="shared" ca="1" si="10"/>
        <v>0.69905253931561628</v>
      </c>
      <c r="W59" s="69">
        <f t="shared" ca="1" si="11"/>
        <v>-0.57935398452460285</v>
      </c>
      <c r="X59" s="69">
        <f t="shared" ca="1" si="12"/>
        <v>1.019779742944946</v>
      </c>
    </row>
    <row r="60" spans="2:37" x14ac:dyDescent="0.2">
      <c r="B60" s="69">
        <f t="shared" ca="1" si="1"/>
        <v>0.58707600931635617</v>
      </c>
      <c r="C60" s="69">
        <f t="shared" ca="1" si="13"/>
        <v>1.6979854695790191</v>
      </c>
      <c r="D60" s="69">
        <f t="shared" ca="1" si="13"/>
        <v>-0.79177383400337442</v>
      </c>
      <c r="E60" s="69">
        <f t="shared" ca="1" si="13"/>
        <v>-0.41377942049447408</v>
      </c>
      <c r="F60" s="69">
        <f t="shared" ca="1" si="13"/>
        <v>2.5253192883902016</v>
      </c>
      <c r="G60" s="69">
        <f t="shared" ca="1" si="13"/>
        <v>1.4147150572389664</v>
      </c>
      <c r="H60" s="69">
        <f t="shared" ca="1" si="13"/>
        <v>-1.2855730775458643</v>
      </c>
      <c r="I60" s="69">
        <f t="shared" ca="1" si="13"/>
        <v>-0.41363211524601612</v>
      </c>
      <c r="J60" s="69">
        <f t="shared" ca="1" si="13"/>
        <v>5.5277851418104407E-4</v>
      </c>
      <c r="K60" s="69">
        <f t="shared" ca="1" si="13"/>
        <v>0.49515400949129501</v>
      </c>
      <c r="L60" s="69">
        <f t="shared" ca="1" si="13"/>
        <v>-8.7240760344582863E-2</v>
      </c>
      <c r="N60" s="69">
        <f t="shared" ca="1" si="2"/>
        <v>0.62484405315446501</v>
      </c>
      <c r="O60" s="69">
        <f t="shared" ca="1" si="3"/>
        <v>1.6714919064961324</v>
      </c>
      <c r="P60" s="69">
        <f t="shared" ca="1" si="4"/>
        <v>-0.84951589884046441</v>
      </c>
      <c r="Q60" s="69">
        <f t="shared" ca="1" si="5"/>
        <v>-0.36467074163271512</v>
      </c>
      <c r="R60" s="69">
        <f t="shared" ca="1" si="6"/>
        <v>2.5190246029825527</v>
      </c>
      <c r="S60" s="69">
        <f t="shared" ca="1" si="7"/>
        <v>1.4475420294957748</v>
      </c>
      <c r="T60" s="69">
        <f t="shared" ca="1" si="8"/>
        <v>-1.2904041152610541</v>
      </c>
      <c r="U60" s="69">
        <f t="shared" ca="1" si="9"/>
        <v>-0.39059198836830644</v>
      </c>
      <c r="V60" s="69">
        <f t="shared" ca="1" si="10"/>
        <v>-5.5568150594162858E-3</v>
      </c>
      <c r="W60" s="69">
        <f t="shared" ca="1" si="11"/>
        <v>0.49613536631539396</v>
      </c>
      <c r="X60" s="69">
        <f t="shared" ca="1" si="12"/>
        <v>-6.0072269970147384E-2</v>
      </c>
    </row>
    <row r="61" spans="2:37" x14ac:dyDescent="0.2">
      <c r="B61" s="69">
        <f t="shared" ca="1" si="1"/>
        <v>-1.9279885337629437</v>
      </c>
      <c r="C61" s="69">
        <f t="shared" ca="1" si="13"/>
        <v>0.54982739421424498</v>
      </c>
      <c r="D61" s="69">
        <f t="shared" ca="1" si="13"/>
        <v>-0.18810313884492022</v>
      </c>
      <c r="E61" s="69">
        <f t="shared" ca="1" si="13"/>
        <v>0.99662073104301463</v>
      </c>
      <c r="F61" s="69">
        <f t="shared" ca="1" si="13"/>
        <v>-3.4314789802638843E-2</v>
      </c>
      <c r="G61" s="69">
        <f t="shared" ca="1" si="13"/>
        <v>-1.1471369867998744</v>
      </c>
      <c r="H61" s="69">
        <f t="shared" ca="1" si="13"/>
        <v>-1.1693655083537111</v>
      </c>
      <c r="I61" s="69">
        <f t="shared" ca="1" si="13"/>
        <v>0.69748816036208472</v>
      </c>
      <c r="J61" s="69">
        <f t="shared" ca="1" si="13"/>
        <v>0.33212937067662551</v>
      </c>
      <c r="K61" s="69">
        <f t="shared" ca="1" si="13"/>
        <v>0.68806607097824302</v>
      </c>
      <c r="L61" s="69">
        <f t="shared" ca="1" si="13"/>
        <v>0.11212806267498422</v>
      </c>
      <c r="N61" s="69">
        <f t="shared" ca="1" si="2"/>
        <v>-1.8902204899248349</v>
      </c>
      <c r="O61" s="69">
        <f t="shared" ca="1" si="3"/>
        <v>0.52333383113135834</v>
      </c>
      <c r="P61" s="69">
        <f t="shared" ca="1" si="4"/>
        <v>-0.24584520368201024</v>
      </c>
      <c r="Q61" s="69">
        <f t="shared" ca="1" si="5"/>
        <v>1.0457294099047736</v>
      </c>
      <c r="R61" s="69">
        <f t="shared" ca="1" si="6"/>
        <v>-4.0609475210287738E-2</v>
      </c>
      <c r="S61" s="69">
        <f t="shared" ca="1" si="7"/>
        <v>-1.114310014543066</v>
      </c>
      <c r="T61" s="69">
        <f t="shared" ca="1" si="8"/>
        <v>-1.174196546068901</v>
      </c>
      <c r="U61" s="69">
        <f t="shared" ca="1" si="9"/>
        <v>0.72052828723979434</v>
      </c>
      <c r="V61" s="69">
        <f t="shared" ca="1" si="10"/>
        <v>0.32601977710302821</v>
      </c>
      <c r="W61" s="69">
        <f t="shared" ca="1" si="11"/>
        <v>0.68904742780234196</v>
      </c>
      <c r="X61" s="69">
        <f t="shared" ca="1" si="12"/>
        <v>0.13929655304941971</v>
      </c>
    </row>
    <row r="62" spans="2:37" x14ac:dyDescent="0.2">
      <c r="B62" s="69">
        <f t="shared" ca="1" si="1"/>
        <v>0.10949773123567325</v>
      </c>
      <c r="C62" s="69">
        <f t="shared" ca="1" si="13"/>
        <v>0.49943547026018259</v>
      </c>
      <c r="D62" s="69">
        <f t="shared" ca="1" si="13"/>
        <v>1.637675799220859</v>
      </c>
      <c r="E62" s="69">
        <f t="shared" ca="1" si="13"/>
        <v>0.12401276476917555</v>
      </c>
      <c r="F62" s="69">
        <f t="shared" ca="1" si="13"/>
        <v>-0.12921499911721487</v>
      </c>
      <c r="G62" s="69">
        <f t="shared" ca="1" si="13"/>
        <v>-0.63843722922574586</v>
      </c>
      <c r="H62" s="69">
        <f t="shared" ca="1" si="13"/>
        <v>-0.94704551112243573</v>
      </c>
      <c r="I62" s="69">
        <f t="shared" ca="1" si="13"/>
        <v>-0.11037603954517208</v>
      </c>
      <c r="J62" s="69">
        <f t="shared" ca="1" si="13"/>
        <v>0.28185445618280092</v>
      </c>
      <c r="K62" s="69">
        <f t="shared" ca="1" si="13"/>
        <v>-2.5179778184446127</v>
      </c>
      <c r="L62" s="69">
        <f t="shared" ca="1" si="13"/>
        <v>-0.11732984432485694</v>
      </c>
      <c r="N62" s="69">
        <f t="shared" ca="1" si="2"/>
        <v>0.14726577507378208</v>
      </c>
      <c r="O62" s="69">
        <f t="shared" ca="1" si="3"/>
        <v>0.47294190717729589</v>
      </c>
      <c r="P62" s="69">
        <f t="shared" ca="1" si="4"/>
        <v>1.5799337343837689</v>
      </c>
      <c r="Q62" s="69">
        <f t="shared" ca="1" si="5"/>
        <v>0.17312144363093451</v>
      </c>
      <c r="R62" s="69">
        <f t="shared" ca="1" si="6"/>
        <v>-0.13550968452486378</v>
      </c>
      <c r="S62" s="69">
        <f t="shared" ca="1" si="7"/>
        <v>-0.60561025696893733</v>
      </c>
      <c r="T62" s="69">
        <f t="shared" ca="1" si="8"/>
        <v>-0.95187654883762562</v>
      </c>
      <c r="U62" s="69">
        <f t="shared" ca="1" si="9"/>
        <v>-8.7335912667462434E-2</v>
      </c>
      <c r="V62" s="69">
        <f t="shared" ca="1" si="10"/>
        <v>0.27574486260920361</v>
      </c>
      <c r="W62" s="69">
        <f t="shared" ca="1" si="11"/>
        <v>-2.5169964616205136</v>
      </c>
      <c r="X62" s="69">
        <f t="shared" ca="1" si="12"/>
        <v>-9.0161353950421463E-2</v>
      </c>
    </row>
    <row r="63" spans="2:37" x14ac:dyDescent="0.2">
      <c r="B63" s="69">
        <f t="shared" ca="1" si="1"/>
        <v>-1.7060110570032974</v>
      </c>
      <c r="C63" s="69">
        <f t="shared" ca="1" si="13"/>
        <v>1.3000184158054511</v>
      </c>
      <c r="D63" s="69">
        <f t="shared" ca="1" si="13"/>
        <v>-0.52315420281187164</v>
      </c>
      <c r="E63" s="69">
        <f t="shared" ca="1" si="13"/>
        <v>-2.4783108006780366E-2</v>
      </c>
      <c r="F63" s="69">
        <f t="shared" ca="1" si="13"/>
        <v>0.82867181607474383</v>
      </c>
      <c r="G63" s="69">
        <f t="shared" ca="1" si="13"/>
        <v>4.8216386965348225E-2</v>
      </c>
      <c r="H63" s="69">
        <f t="shared" ca="1" si="13"/>
        <v>-0.93979537469991759</v>
      </c>
      <c r="I63" s="69">
        <f t="shared" ca="1" si="13"/>
        <v>-0.25626873163744862</v>
      </c>
      <c r="J63" s="69">
        <f t="shared" ca="1" si="13"/>
        <v>0.20860616290877193</v>
      </c>
      <c r="K63" s="69">
        <f t="shared" ca="1" si="13"/>
        <v>0.82633682012743481</v>
      </c>
      <c r="L63" s="69">
        <f t="shared" ca="1" si="13"/>
        <v>-1.7522461384575998</v>
      </c>
      <c r="N63" s="69">
        <f t="shared" ca="1" si="2"/>
        <v>-1.6682430131651886</v>
      </c>
      <c r="O63" s="69">
        <f t="shared" ca="1" si="3"/>
        <v>1.2735248527225644</v>
      </c>
      <c r="P63" s="69">
        <f t="shared" ca="1" si="4"/>
        <v>-0.58089626764896163</v>
      </c>
      <c r="Q63" s="69">
        <f t="shared" ca="1" si="5"/>
        <v>2.4325570854978579E-2</v>
      </c>
      <c r="R63" s="69">
        <f t="shared" ca="1" si="6"/>
        <v>0.82237713066709495</v>
      </c>
      <c r="S63" s="69">
        <f t="shared" ca="1" si="7"/>
        <v>8.1043359222156705E-2</v>
      </c>
      <c r="T63" s="69">
        <f t="shared" ca="1" si="8"/>
        <v>-0.94462641241510747</v>
      </c>
      <c r="U63" s="69">
        <f t="shared" ca="1" si="9"/>
        <v>-0.23322860475973897</v>
      </c>
      <c r="V63" s="69">
        <f t="shared" ca="1" si="10"/>
        <v>0.2024965693351746</v>
      </c>
      <c r="W63" s="69">
        <f t="shared" ca="1" si="11"/>
        <v>0.82731817695153376</v>
      </c>
      <c r="X63" s="69">
        <f t="shared" ca="1" si="12"/>
        <v>-1.7250776480831642</v>
      </c>
    </row>
    <row r="64" spans="2:37" x14ac:dyDescent="0.2">
      <c r="B64" s="69">
        <f t="shared" ca="1" si="1"/>
        <v>-0.34398822398751033</v>
      </c>
      <c r="C64" s="69">
        <f t="shared" ca="1" si="13"/>
        <v>0.74208452425931226</v>
      </c>
      <c r="D64" s="69">
        <f t="shared" ca="1" si="13"/>
        <v>0.15926281736167933</v>
      </c>
      <c r="E64" s="69">
        <f t="shared" ca="1" si="13"/>
        <v>-0.76252386377682069</v>
      </c>
      <c r="F64" s="69">
        <f t="shared" ca="1" si="13"/>
        <v>0.80072921626790172</v>
      </c>
      <c r="G64" s="69">
        <f t="shared" ca="1" si="13"/>
        <v>-0.80724436635123442</v>
      </c>
      <c r="H64" s="69">
        <f t="shared" ca="1" si="13"/>
        <v>-0.35292053042746552</v>
      </c>
      <c r="I64" s="69">
        <f t="shared" ca="1" si="13"/>
        <v>0.19896057272868775</v>
      </c>
      <c r="J64" s="69">
        <f t="shared" ca="1" si="13"/>
        <v>-2.0723198510187895</v>
      </c>
      <c r="K64" s="69">
        <f t="shared" ca="1" si="13"/>
        <v>0.11290999562230418</v>
      </c>
      <c r="L64" s="69">
        <f t="shared" ca="1" si="13"/>
        <v>-2.0467262467978906</v>
      </c>
      <c r="N64" s="69">
        <f t="shared" ca="1" si="2"/>
        <v>-0.3062201801494015</v>
      </c>
      <c r="O64" s="69">
        <f t="shared" ca="1" si="3"/>
        <v>0.71559096117642562</v>
      </c>
      <c r="P64" s="69">
        <f t="shared" ca="1" si="4"/>
        <v>0.10152075252458929</v>
      </c>
      <c r="Q64" s="69">
        <f t="shared" ca="1" si="5"/>
        <v>-0.71341518491506173</v>
      </c>
      <c r="R64" s="69">
        <f t="shared" ca="1" si="6"/>
        <v>0.79443453086025284</v>
      </c>
      <c r="S64" s="69">
        <f t="shared" ca="1" si="7"/>
        <v>-0.77441739409442589</v>
      </c>
      <c r="T64" s="69">
        <f t="shared" ca="1" si="8"/>
        <v>-0.35775156814265535</v>
      </c>
      <c r="U64" s="69">
        <f t="shared" ca="1" si="9"/>
        <v>0.2220006996063974</v>
      </c>
      <c r="V64" s="69">
        <f t="shared" ca="1" si="10"/>
        <v>-2.0784294445923868</v>
      </c>
      <c r="W64" s="69">
        <f t="shared" ca="1" si="11"/>
        <v>0.11389135244640314</v>
      </c>
      <c r="X64" s="69">
        <f t="shared" ca="1" si="12"/>
        <v>-2.0195577564234553</v>
      </c>
    </row>
    <row r="65" spans="2:24" x14ac:dyDescent="0.2">
      <c r="B65" s="69">
        <f t="shared" ca="1" si="1"/>
        <v>-0.5635039151341612</v>
      </c>
      <c r="C65" s="69">
        <f t="shared" ca="1" si="13"/>
        <v>-0.92634039822524616</v>
      </c>
      <c r="D65" s="69">
        <f t="shared" ca="1" si="13"/>
        <v>-0.33099703294176536</v>
      </c>
      <c r="E65" s="69">
        <f t="shared" ca="1" si="13"/>
        <v>1.2707889781344535</v>
      </c>
      <c r="F65" s="69">
        <f t="shared" ca="1" si="13"/>
        <v>-0.15964765402177869</v>
      </c>
      <c r="G65" s="69">
        <f t="shared" ca="1" si="13"/>
        <v>-0.79595007222678393</v>
      </c>
      <c r="H65" s="69">
        <f t="shared" ca="1" si="13"/>
        <v>-1.0479612895167778</v>
      </c>
      <c r="I65" s="69">
        <f t="shared" ca="1" si="13"/>
        <v>-1.5502361922974659</v>
      </c>
      <c r="J65" s="69">
        <f t="shared" ca="1" si="13"/>
        <v>1.4329476464201361</v>
      </c>
      <c r="K65" s="69">
        <f t="shared" ca="1" si="13"/>
        <v>0.63626388454477134</v>
      </c>
      <c r="L65" s="69">
        <f t="shared" ca="1" si="13"/>
        <v>0.67712608623709358</v>
      </c>
      <c r="N65" s="69">
        <f t="shared" ca="1" si="2"/>
        <v>-0.52573587129605237</v>
      </c>
      <c r="O65" s="69">
        <f t="shared" ca="1" si="3"/>
        <v>-0.9528339613081328</v>
      </c>
      <c r="P65" s="69">
        <f t="shared" ca="1" si="4"/>
        <v>-0.3887390977788554</v>
      </c>
      <c r="Q65" s="69">
        <f t="shared" ca="1" si="5"/>
        <v>1.3198976569962124</v>
      </c>
      <c r="R65" s="69">
        <f t="shared" ca="1" si="6"/>
        <v>-0.1659423394294276</v>
      </c>
      <c r="S65" s="69">
        <f t="shared" ca="1" si="7"/>
        <v>-0.7631230999699754</v>
      </c>
      <c r="T65" s="69">
        <f t="shared" ca="1" si="8"/>
        <v>-1.0527923272319677</v>
      </c>
      <c r="U65" s="69">
        <f t="shared" ca="1" si="9"/>
        <v>-1.5271960654197563</v>
      </c>
      <c r="V65" s="69">
        <f t="shared" ca="1" si="10"/>
        <v>1.4268380528465388</v>
      </c>
      <c r="W65" s="69">
        <f t="shared" ca="1" si="11"/>
        <v>0.63724524136887029</v>
      </c>
      <c r="X65" s="69">
        <f t="shared" ca="1" si="12"/>
        <v>0.70429457661152906</v>
      </c>
    </row>
    <row r="66" spans="2:24" x14ac:dyDescent="0.2">
      <c r="B66" s="69">
        <f t="shared" ca="1" si="1"/>
        <v>0.31212139392418597</v>
      </c>
      <c r="C66" s="69">
        <f t="shared" ca="1" si="13"/>
        <v>-1.3066794883513198</v>
      </c>
      <c r="D66" s="69">
        <f t="shared" ca="1" si="13"/>
        <v>0.72311998385169962</v>
      </c>
      <c r="E66" s="69">
        <f t="shared" ca="1" si="13"/>
        <v>0.44245651835654554</v>
      </c>
      <c r="F66" s="69">
        <f t="shared" ca="1" si="13"/>
        <v>-1.1550611372678923</v>
      </c>
      <c r="G66" s="69">
        <f t="shared" ca="1" si="13"/>
        <v>0.69542614037869055</v>
      </c>
      <c r="H66" s="69">
        <f t="shared" ca="1" si="13"/>
        <v>-1.0166683349805845</v>
      </c>
      <c r="I66" s="69">
        <f t="shared" ca="1" si="13"/>
        <v>1.9569274442769613</v>
      </c>
      <c r="J66" s="69">
        <f t="shared" ca="1" si="13"/>
        <v>0.30338437037881294</v>
      </c>
      <c r="K66" s="69">
        <f t="shared" ca="1" si="13"/>
        <v>-5.9647988630647436E-2</v>
      </c>
      <c r="L66" s="69">
        <f t="shared" ca="1" si="13"/>
        <v>0.63604061151937885</v>
      </c>
      <c r="N66" s="69">
        <f t="shared" ca="1" si="2"/>
        <v>0.34988943776229481</v>
      </c>
      <c r="O66" s="69">
        <f t="shared" ca="1" si="3"/>
        <v>-1.3331730514342064</v>
      </c>
      <c r="P66" s="69">
        <f t="shared" ca="1" si="4"/>
        <v>0.66537791901460963</v>
      </c>
      <c r="Q66" s="69">
        <f t="shared" ca="1" si="5"/>
        <v>0.49156519721830449</v>
      </c>
      <c r="R66" s="69">
        <f t="shared" ca="1" si="6"/>
        <v>-1.1613558226755412</v>
      </c>
      <c r="S66" s="69">
        <f t="shared" ca="1" si="7"/>
        <v>0.72825311263549908</v>
      </c>
      <c r="T66" s="69">
        <f t="shared" ca="1" si="8"/>
        <v>-1.0214993726957744</v>
      </c>
      <c r="U66" s="69">
        <f t="shared" ca="1" si="9"/>
        <v>1.9799675711546709</v>
      </c>
      <c r="V66" s="69">
        <f t="shared" ca="1" si="10"/>
        <v>0.29727477680521563</v>
      </c>
      <c r="W66" s="69">
        <f t="shared" ca="1" si="11"/>
        <v>-5.8666631806548485E-2</v>
      </c>
      <c r="X66" s="69">
        <f t="shared" ca="1" si="12"/>
        <v>0.66320910189381432</v>
      </c>
    </row>
    <row r="67" spans="2:24" x14ac:dyDescent="0.2">
      <c r="B67" s="69">
        <f t="shared" ca="1" si="1"/>
        <v>7.0873910152255328E-3</v>
      </c>
      <c r="C67" s="69">
        <f t="shared" ca="1" si="13"/>
        <v>1.1418240112129987</v>
      </c>
      <c r="D67" s="69">
        <f t="shared" ca="1" si="13"/>
        <v>-0.1138148713894537</v>
      </c>
      <c r="E67" s="69">
        <f t="shared" ca="1" si="13"/>
        <v>-1.4143407075648107</v>
      </c>
      <c r="F67" s="69">
        <f t="shared" ca="1" si="13"/>
        <v>0.12391316065958054</v>
      </c>
      <c r="G67" s="69">
        <f t="shared" ca="1" si="13"/>
        <v>-0.6664434261867046</v>
      </c>
      <c r="H67" s="69">
        <f t="shared" ca="1" si="13"/>
        <v>-0.16442234011038531</v>
      </c>
      <c r="I67" s="69">
        <f t="shared" ca="1" si="13"/>
        <v>-1.1129649228640024</v>
      </c>
      <c r="J67" s="69">
        <f t="shared" ca="1" si="13"/>
        <v>1.6827348965721245E-2</v>
      </c>
      <c r="K67" s="69">
        <f t="shared" ca="1" si="13"/>
        <v>-1.3630182687574315</v>
      </c>
      <c r="L67" s="69">
        <f t="shared" ca="1" si="13"/>
        <v>1.2692203602610976</v>
      </c>
      <c r="N67" s="69">
        <f t="shared" ca="1" si="2"/>
        <v>4.4855434853334354E-2</v>
      </c>
      <c r="O67" s="69">
        <f t="shared" ca="1" si="3"/>
        <v>1.1153304481301121</v>
      </c>
      <c r="P67" s="69">
        <f t="shared" ca="1" si="4"/>
        <v>-0.17155693622654372</v>
      </c>
      <c r="Q67" s="69">
        <f t="shared" ca="1" si="5"/>
        <v>-1.3652320287030517</v>
      </c>
      <c r="R67" s="69">
        <f t="shared" ca="1" si="6"/>
        <v>0.11761847525193164</v>
      </c>
      <c r="S67" s="69">
        <f t="shared" ca="1" si="7"/>
        <v>-0.63361645392989607</v>
      </c>
      <c r="T67" s="69">
        <f t="shared" ca="1" si="8"/>
        <v>-0.16925337782557515</v>
      </c>
      <c r="U67" s="69">
        <f t="shared" ca="1" si="9"/>
        <v>-1.0899247959862928</v>
      </c>
      <c r="V67" s="69">
        <f t="shared" ca="1" si="10"/>
        <v>1.0717755392123916E-2</v>
      </c>
      <c r="W67" s="69">
        <f t="shared" ca="1" si="11"/>
        <v>-1.3620369119333324</v>
      </c>
      <c r="X67" s="69">
        <f t="shared" ca="1" si="12"/>
        <v>1.2963888506355332</v>
      </c>
    </row>
    <row r="68" spans="2:24" x14ac:dyDescent="0.2">
      <c r="B68" s="69">
        <f t="shared" ca="1" si="1"/>
        <v>0.65540588039466141</v>
      </c>
      <c r="C68" s="69">
        <f t="shared" ca="1" si="13"/>
        <v>-1.0855750701478022</v>
      </c>
      <c r="D68" s="69">
        <f t="shared" ca="1" si="13"/>
        <v>0.99991190732553725</v>
      </c>
      <c r="E68" s="69">
        <f t="shared" ca="1" si="13"/>
        <v>0.99685964368984659</v>
      </c>
      <c r="F68" s="69">
        <f t="shared" ca="1" si="13"/>
        <v>-0.46047783834124928</v>
      </c>
      <c r="G68" s="69">
        <f t="shared" ca="1" si="13"/>
        <v>0.53680125692585623</v>
      </c>
      <c r="H68" s="69">
        <f t="shared" ca="1" si="13"/>
        <v>0.69761017267548331</v>
      </c>
      <c r="I68" s="69">
        <f t="shared" ca="1" si="13"/>
        <v>-7.5300302631787039E-2</v>
      </c>
      <c r="J68" s="69">
        <f t="shared" ca="1" si="13"/>
        <v>2.1314519162746155</v>
      </c>
      <c r="K68" s="69">
        <f t="shared" ca="1" si="13"/>
        <v>-2.1440638776178557E-2</v>
      </c>
      <c r="L68" s="69">
        <f t="shared" ca="1" si="13"/>
        <v>-0.14026346520621324</v>
      </c>
      <c r="N68" s="69">
        <f t="shared" ca="1" si="2"/>
        <v>0.69317392423277024</v>
      </c>
      <c r="O68" s="69">
        <f t="shared" ca="1" si="3"/>
        <v>-1.1120686332306888</v>
      </c>
      <c r="P68" s="69">
        <f t="shared" ca="1" si="4"/>
        <v>0.94216984248844726</v>
      </c>
      <c r="Q68" s="69">
        <f t="shared" ca="1" si="5"/>
        <v>1.0459683225516054</v>
      </c>
      <c r="R68" s="69">
        <f t="shared" ca="1" si="6"/>
        <v>-0.46677252374889816</v>
      </c>
      <c r="S68" s="69">
        <f t="shared" ca="1" si="7"/>
        <v>0.56962822918266476</v>
      </c>
      <c r="T68" s="69">
        <f t="shared" ca="1" si="8"/>
        <v>0.69277913496029342</v>
      </c>
      <c r="U68" s="69">
        <f t="shared" ca="1" si="9"/>
        <v>-5.2260175754077383E-2</v>
      </c>
      <c r="V68" s="69">
        <f t="shared" ca="1" si="10"/>
        <v>2.1253423227010182</v>
      </c>
      <c r="W68" s="69">
        <f t="shared" ca="1" si="11"/>
        <v>-2.0459281952079605E-2</v>
      </c>
      <c r="X68" s="69">
        <f t="shared" ca="1" si="12"/>
        <v>-0.11309497483177777</v>
      </c>
    </row>
    <row r="69" spans="2:24" x14ac:dyDescent="0.2">
      <c r="B69" s="69">
        <f t="shared" ca="1" si="1"/>
        <v>2.3711423867156407</v>
      </c>
      <c r="C69" s="69">
        <f t="shared" ca="1" si="13"/>
        <v>0.47251573004780528</v>
      </c>
      <c r="D69" s="69">
        <f t="shared" ca="1" si="13"/>
        <v>0.84804953131101046</v>
      </c>
      <c r="E69" s="69">
        <f t="shared" ca="1" si="13"/>
        <v>0.6350118932329456</v>
      </c>
      <c r="F69" s="69">
        <f t="shared" ca="1" si="13"/>
        <v>0.83005784824101259</v>
      </c>
      <c r="G69" s="69">
        <f t="shared" ca="1" si="13"/>
        <v>-1.5474451037669719</v>
      </c>
      <c r="H69" s="69">
        <f t="shared" ca="1" si="13"/>
        <v>0.1435378628821489</v>
      </c>
      <c r="I69" s="69">
        <f t="shared" ref="C69:L132" ca="1" si="14">NORMINV(RAND(),$C$7,$F$7)</f>
        <v>-0.53466863735739523</v>
      </c>
      <c r="J69" s="69">
        <f t="shared" ca="1" si="14"/>
        <v>-9.2953998993091383E-2</v>
      </c>
      <c r="K69" s="69">
        <f t="shared" ca="1" si="14"/>
        <v>0.7228303300568597</v>
      </c>
      <c r="L69" s="69">
        <f t="shared" ca="1" si="14"/>
        <v>-1.3667944738537958</v>
      </c>
      <c r="N69" s="69">
        <f t="shared" ca="1" si="2"/>
        <v>2.4089104305537496</v>
      </c>
      <c r="O69" s="69">
        <f t="shared" ca="1" si="3"/>
        <v>0.44602216696491859</v>
      </c>
      <c r="P69" s="69">
        <f t="shared" ca="1" si="4"/>
        <v>0.79030746647392047</v>
      </c>
      <c r="Q69" s="69">
        <f t="shared" ca="1" si="5"/>
        <v>0.68412057209470456</v>
      </c>
      <c r="R69" s="69">
        <f t="shared" ca="1" si="6"/>
        <v>0.8237631628333637</v>
      </c>
      <c r="S69" s="69">
        <f t="shared" ca="1" si="7"/>
        <v>-1.5146181315101634</v>
      </c>
      <c r="T69" s="69">
        <f t="shared" ca="1" si="8"/>
        <v>0.13870682516695906</v>
      </c>
      <c r="U69" s="69">
        <f t="shared" ca="1" si="9"/>
        <v>-0.51162851047968561</v>
      </c>
      <c r="V69" s="69">
        <f t="shared" ca="1" si="10"/>
        <v>-9.9063592566688716E-2</v>
      </c>
      <c r="W69" s="69">
        <f t="shared" ca="1" si="11"/>
        <v>0.72381168688095865</v>
      </c>
      <c r="X69" s="69">
        <f t="shared" ca="1" si="12"/>
        <v>-1.3396259834793602</v>
      </c>
    </row>
    <row r="70" spans="2:24" x14ac:dyDescent="0.2">
      <c r="B70" s="69">
        <f t="shared" ca="1" si="1"/>
        <v>-0.3159837175034752</v>
      </c>
      <c r="C70" s="69">
        <f t="shared" ca="1" si="14"/>
        <v>0.64984491498311348</v>
      </c>
      <c r="D70" s="69">
        <f t="shared" ca="1" si="14"/>
        <v>1.8283843446870138</v>
      </c>
      <c r="E70" s="69">
        <f t="shared" ca="1" si="14"/>
        <v>0.68037073511731017</v>
      </c>
      <c r="F70" s="69">
        <f t="shared" ca="1" si="14"/>
        <v>0.26978856287387137</v>
      </c>
      <c r="G70" s="69">
        <f t="shared" ca="1" si="14"/>
        <v>-2.4104625766204366</v>
      </c>
      <c r="H70" s="69">
        <f t="shared" ca="1" si="14"/>
        <v>-1.6723535244039105</v>
      </c>
      <c r="I70" s="69">
        <f t="shared" ca="1" si="14"/>
        <v>0.49247077028986447</v>
      </c>
      <c r="J70" s="69">
        <f t="shared" ca="1" si="14"/>
        <v>1.7025211878511139</v>
      </c>
      <c r="K70" s="69">
        <f t="shared" ca="1" si="14"/>
        <v>0.98021236786992827</v>
      </c>
      <c r="L70" s="69">
        <f t="shared" ca="1" si="14"/>
        <v>-0.13219659801621669</v>
      </c>
      <c r="N70" s="69">
        <f t="shared" ca="1" si="2"/>
        <v>-0.27821567366536637</v>
      </c>
      <c r="O70" s="69">
        <f t="shared" ca="1" si="3"/>
        <v>0.62335135190022684</v>
      </c>
      <c r="P70" s="69">
        <f t="shared" ca="1" si="4"/>
        <v>1.7706422798499237</v>
      </c>
      <c r="Q70" s="69">
        <f t="shared" ca="1" si="5"/>
        <v>0.72947941397906912</v>
      </c>
      <c r="R70" s="69">
        <f t="shared" ca="1" si="6"/>
        <v>0.26349387746622249</v>
      </c>
      <c r="S70" s="69">
        <f t="shared" ca="1" si="7"/>
        <v>-2.3776356043636282</v>
      </c>
      <c r="T70" s="69">
        <f t="shared" ca="1" si="8"/>
        <v>-1.6771845621191004</v>
      </c>
      <c r="U70" s="69">
        <f t="shared" ca="1" si="9"/>
        <v>0.51551089716757414</v>
      </c>
      <c r="V70" s="69">
        <f t="shared" ca="1" si="10"/>
        <v>1.6964115942775166</v>
      </c>
      <c r="W70" s="69">
        <f t="shared" ca="1" si="11"/>
        <v>0.98119372469402721</v>
      </c>
      <c r="X70" s="69">
        <f t="shared" ca="1" si="12"/>
        <v>-0.10502810764178122</v>
      </c>
    </row>
    <row r="71" spans="2:24" x14ac:dyDescent="0.2">
      <c r="B71" s="69">
        <f t="shared" ca="1" si="1"/>
        <v>0.84316655846326194</v>
      </c>
      <c r="C71" s="69">
        <f t="shared" ca="1" si="14"/>
        <v>0.83519225626800242</v>
      </c>
      <c r="D71" s="69">
        <f t="shared" ca="1" si="14"/>
        <v>-1.0726607341228731</v>
      </c>
      <c r="E71" s="69">
        <f t="shared" ca="1" si="14"/>
        <v>-1.500648062248084</v>
      </c>
      <c r="F71" s="69">
        <f t="shared" ca="1" si="14"/>
        <v>0.27306761368416355</v>
      </c>
      <c r="G71" s="69">
        <f t="shared" ca="1" si="14"/>
        <v>-0.35970299147277213</v>
      </c>
      <c r="H71" s="69">
        <f t="shared" ca="1" si="14"/>
        <v>-1.7470606552552121</v>
      </c>
      <c r="I71" s="69">
        <f t="shared" ca="1" si="14"/>
        <v>-1.0116466321817579</v>
      </c>
      <c r="J71" s="69">
        <f t="shared" ca="1" si="14"/>
        <v>-0.83666906506508321</v>
      </c>
      <c r="K71" s="69">
        <f t="shared" ca="1" si="14"/>
        <v>0.23634580655706308</v>
      </c>
      <c r="L71" s="69">
        <f t="shared" ca="1" si="14"/>
        <v>-0.58472608735915477</v>
      </c>
      <c r="N71" s="69">
        <f t="shared" ca="1" si="2"/>
        <v>0.88093460230137077</v>
      </c>
      <c r="O71" s="69">
        <f t="shared" ca="1" si="3"/>
        <v>0.80869869318511578</v>
      </c>
      <c r="P71" s="69">
        <f t="shared" ca="1" si="4"/>
        <v>-1.1304027989599632</v>
      </c>
      <c r="Q71" s="69">
        <f t="shared" ca="1" si="5"/>
        <v>-1.451539383386325</v>
      </c>
      <c r="R71" s="69">
        <f t="shared" ca="1" si="6"/>
        <v>0.26677292827651466</v>
      </c>
      <c r="S71" s="69">
        <f t="shared" ca="1" si="7"/>
        <v>-0.32687601921596365</v>
      </c>
      <c r="T71" s="69">
        <f t="shared" ca="1" si="8"/>
        <v>-1.751891692970402</v>
      </c>
      <c r="U71" s="69">
        <f t="shared" ca="1" si="9"/>
        <v>-0.98860650530404826</v>
      </c>
      <c r="V71" s="69">
        <f t="shared" ca="1" si="10"/>
        <v>-0.84277865863868051</v>
      </c>
      <c r="W71" s="69">
        <f t="shared" ca="1" si="11"/>
        <v>0.23732716338116203</v>
      </c>
      <c r="X71" s="69">
        <f t="shared" ca="1" si="12"/>
        <v>-0.55755759698471929</v>
      </c>
    </row>
    <row r="72" spans="2:24" x14ac:dyDescent="0.2">
      <c r="B72" s="69">
        <f t="shared" ca="1" si="1"/>
        <v>0.69186745440605113</v>
      </c>
      <c r="C72" s="69">
        <f t="shared" ca="1" si="14"/>
        <v>0.20969963138166561</v>
      </c>
      <c r="D72" s="69">
        <f t="shared" ca="1" si="14"/>
        <v>0.29168122256833362</v>
      </c>
      <c r="E72" s="69">
        <f t="shared" ca="1" si="14"/>
        <v>0.23677462311977357</v>
      </c>
      <c r="F72" s="69">
        <f t="shared" ca="1" si="14"/>
        <v>0.76270563327702312</v>
      </c>
      <c r="G72" s="69">
        <f t="shared" ca="1" si="14"/>
        <v>-1.7950813052125199</v>
      </c>
      <c r="H72" s="69">
        <f t="shared" ca="1" si="14"/>
        <v>-0.89211641834609012</v>
      </c>
      <c r="I72" s="69">
        <f t="shared" ca="1" si="14"/>
        <v>-2.0119084683010366</v>
      </c>
      <c r="J72" s="69">
        <f t="shared" ca="1" si="14"/>
        <v>0.86110954553757568</v>
      </c>
      <c r="K72" s="69">
        <f t="shared" ca="1" si="14"/>
        <v>0.29500978803574329</v>
      </c>
      <c r="L72" s="69">
        <f t="shared" ca="1" si="14"/>
        <v>-1.3050625160553877</v>
      </c>
      <c r="N72" s="69">
        <f t="shared" ca="1" si="2"/>
        <v>0.72963549824415996</v>
      </c>
      <c r="O72" s="69">
        <f t="shared" ca="1" si="3"/>
        <v>0.18320606829877892</v>
      </c>
      <c r="P72" s="69">
        <f t="shared" ca="1" si="4"/>
        <v>0.23393915773124357</v>
      </c>
      <c r="Q72" s="69">
        <f t="shared" ca="1" si="5"/>
        <v>0.2858833019815325</v>
      </c>
      <c r="R72" s="69">
        <f t="shared" ca="1" si="6"/>
        <v>0.75641094786937424</v>
      </c>
      <c r="S72" s="69">
        <f t="shared" ca="1" si="7"/>
        <v>-1.7622543329557114</v>
      </c>
      <c r="T72" s="69">
        <f t="shared" ca="1" si="8"/>
        <v>-0.89694745606128001</v>
      </c>
      <c r="U72" s="69">
        <f t="shared" ca="1" si="9"/>
        <v>-1.988868341423327</v>
      </c>
      <c r="V72" s="69">
        <f t="shared" ca="1" si="10"/>
        <v>0.85499995196397838</v>
      </c>
      <c r="W72" s="69">
        <f t="shared" ca="1" si="11"/>
        <v>0.29599114485984224</v>
      </c>
      <c r="X72" s="69">
        <f t="shared" ca="1" si="12"/>
        <v>-1.2778940256809521</v>
      </c>
    </row>
    <row r="73" spans="2:24" x14ac:dyDescent="0.2">
      <c r="B73" s="69">
        <f t="shared" ca="1" si="1"/>
        <v>7.4951853249014988E-2</v>
      </c>
      <c r="C73" s="69">
        <f t="shared" ca="1" si="14"/>
        <v>0.97453376817055748</v>
      </c>
      <c r="D73" s="69">
        <f t="shared" ca="1" si="14"/>
        <v>0.86323655901852636</v>
      </c>
      <c r="E73" s="69">
        <f t="shared" ca="1" si="14"/>
        <v>-1.1053324683632926E-2</v>
      </c>
      <c r="F73" s="69">
        <f t="shared" ca="1" si="14"/>
        <v>1.0546631058803486</v>
      </c>
      <c r="G73" s="69">
        <f t="shared" ca="1" si="14"/>
        <v>-0.39031232526696397</v>
      </c>
      <c r="H73" s="69">
        <f t="shared" ca="1" si="14"/>
        <v>-1.8350251989119162</v>
      </c>
      <c r="I73" s="69">
        <f t="shared" ca="1" si="14"/>
        <v>-0.45502820859639714</v>
      </c>
      <c r="J73" s="69">
        <f t="shared" ca="1" si="14"/>
        <v>-0.99252712301743296</v>
      </c>
      <c r="K73" s="69">
        <f t="shared" ca="1" si="14"/>
        <v>0.75276267956848308</v>
      </c>
      <c r="L73" s="69">
        <f t="shared" ca="1" si="14"/>
        <v>1.9043631254114806</v>
      </c>
      <c r="N73" s="69">
        <f t="shared" ca="1" si="2"/>
        <v>0.11271989708712381</v>
      </c>
      <c r="O73" s="69">
        <f t="shared" ca="1" si="3"/>
        <v>0.94804020508767084</v>
      </c>
      <c r="P73" s="69">
        <f t="shared" ca="1" si="4"/>
        <v>0.80549449418143637</v>
      </c>
      <c r="Q73" s="69">
        <f t="shared" ca="1" si="5"/>
        <v>3.805535417812602E-2</v>
      </c>
      <c r="R73" s="69">
        <f t="shared" ca="1" si="6"/>
        <v>1.0483684204726997</v>
      </c>
      <c r="S73" s="69">
        <f t="shared" ca="1" si="7"/>
        <v>-0.35748535301015549</v>
      </c>
      <c r="T73" s="69">
        <f t="shared" ca="1" si="8"/>
        <v>-1.8398562366271061</v>
      </c>
      <c r="U73" s="69">
        <f t="shared" ca="1" si="9"/>
        <v>-0.43198808171868747</v>
      </c>
      <c r="V73" s="69">
        <f t="shared" ca="1" si="10"/>
        <v>-0.99863671659103026</v>
      </c>
      <c r="W73" s="69">
        <f t="shared" ca="1" si="11"/>
        <v>0.75374403639258203</v>
      </c>
      <c r="X73" s="69">
        <f t="shared" ca="1" si="12"/>
        <v>1.9315316157859161</v>
      </c>
    </row>
    <row r="74" spans="2:24" x14ac:dyDescent="0.2">
      <c r="B74" s="69">
        <f t="shared" ref="B74:B137" ca="1" si="15">NORMINV(RAND(),$C$7,$F$7)</f>
        <v>-0.3593277616686511</v>
      </c>
      <c r="C74" s="69">
        <f t="shared" ca="1" si="14"/>
        <v>-1.1840225839874674</v>
      </c>
      <c r="D74" s="69">
        <f t="shared" ca="1" si="14"/>
        <v>-0.66354844301136562</v>
      </c>
      <c r="E74" s="69">
        <f t="shared" ca="1" si="14"/>
        <v>-4.9116835353404685E-2</v>
      </c>
      <c r="F74" s="69">
        <f t="shared" ca="1" si="14"/>
        <v>0.55883641232561032</v>
      </c>
      <c r="G74" s="69">
        <f t="shared" ca="1" si="14"/>
        <v>1.4142122678565607</v>
      </c>
      <c r="H74" s="69">
        <f t="shared" ca="1" si="14"/>
        <v>2.0022965843070342</v>
      </c>
      <c r="I74" s="69">
        <f t="shared" ca="1" si="14"/>
        <v>-0.58830203153332039</v>
      </c>
      <c r="J74" s="69">
        <f t="shared" ca="1" si="14"/>
        <v>-1.0292314051517011</v>
      </c>
      <c r="K74" s="69">
        <f t="shared" ca="1" si="14"/>
        <v>-0.80633418652915867</v>
      </c>
      <c r="L74" s="69">
        <f t="shared" ca="1" si="14"/>
        <v>5.2935088884900512E-2</v>
      </c>
      <c r="N74" s="69">
        <f t="shared" ref="N74:N137" ca="1" si="16">B74-$B$1010</f>
        <v>-0.32155971783054227</v>
      </c>
      <c r="O74" s="69">
        <f t="shared" ref="O74:O137" ca="1" si="17">C74-$C$1010</f>
        <v>-1.210516147070354</v>
      </c>
      <c r="P74" s="69">
        <f t="shared" ref="P74:P137" ca="1" si="18">D74-$D$1010</f>
        <v>-0.72129050784845561</v>
      </c>
      <c r="Q74" s="69">
        <f t="shared" ref="Q74:Q137" ca="1" si="19">E74-$E$1010</f>
        <v>-8.156491645740227E-6</v>
      </c>
      <c r="R74" s="69">
        <f t="shared" ref="R74:R137" ca="1" si="20">F74-$F$1010</f>
        <v>0.55254172691796144</v>
      </c>
      <c r="S74" s="69">
        <f t="shared" ref="S74:S137" ca="1" si="21">G74-$G$1010</f>
        <v>1.4470392401133692</v>
      </c>
      <c r="T74" s="69">
        <f t="shared" ref="T74:T137" ca="1" si="22">H74-$H$1010</f>
        <v>1.9974655465918443</v>
      </c>
      <c r="U74" s="69">
        <f t="shared" ref="U74:U137" ca="1" si="23">I74-$I$1010</f>
        <v>-0.56526190465561077</v>
      </c>
      <c r="V74" s="69">
        <f t="shared" ref="V74:V137" ca="1" si="24">J74-$J$1010</f>
        <v>-1.0353409987252984</v>
      </c>
      <c r="W74" s="69">
        <f t="shared" ref="W74:W137" ca="1" si="25">K74-$K$1010</f>
        <v>-0.80535282970505973</v>
      </c>
      <c r="X74" s="69">
        <f t="shared" ref="X74:X137" ca="1" si="26">L74-$L$1010</f>
        <v>8.0103579259335991E-2</v>
      </c>
    </row>
    <row r="75" spans="2:24" x14ac:dyDescent="0.2">
      <c r="B75" s="69">
        <f t="shared" ca="1" si="15"/>
        <v>-1.146859233267993</v>
      </c>
      <c r="C75" s="69">
        <f t="shared" ca="1" si="14"/>
        <v>-0.58775714868866014</v>
      </c>
      <c r="D75" s="69">
        <f t="shared" ca="1" si="14"/>
        <v>-1.0086329641339526</v>
      </c>
      <c r="E75" s="69">
        <f t="shared" ca="1" si="14"/>
        <v>-0.31868187322041458</v>
      </c>
      <c r="F75" s="69">
        <f t="shared" ca="1" si="14"/>
        <v>-0.4754250313774645</v>
      </c>
      <c r="G75" s="69">
        <f t="shared" ca="1" si="14"/>
        <v>-0.99739542237098455</v>
      </c>
      <c r="H75" s="69">
        <f t="shared" ca="1" si="14"/>
        <v>-1.562095547542516</v>
      </c>
      <c r="I75" s="69">
        <f t="shared" ca="1" si="14"/>
        <v>-0.19692936060547489</v>
      </c>
      <c r="J75" s="69">
        <f t="shared" ca="1" si="14"/>
        <v>-0.42559242623610666</v>
      </c>
      <c r="K75" s="69">
        <f t="shared" ca="1" si="14"/>
        <v>2.6337581090028164</v>
      </c>
      <c r="L75" s="69">
        <f t="shared" ca="1" si="14"/>
        <v>-0.59914567686814202</v>
      </c>
      <c r="N75" s="69">
        <f t="shared" ca="1" si="16"/>
        <v>-1.1090911894298843</v>
      </c>
      <c r="O75" s="69">
        <f t="shared" ca="1" si="17"/>
        <v>-0.61425071177154678</v>
      </c>
      <c r="P75" s="69">
        <f t="shared" ca="1" si="18"/>
        <v>-1.0663750289710427</v>
      </c>
      <c r="Q75" s="69">
        <f t="shared" ca="1" si="19"/>
        <v>-0.26957319435865562</v>
      </c>
      <c r="R75" s="69">
        <f t="shared" ca="1" si="20"/>
        <v>-0.48171971678511338</v>
      </c>
      <c r="S75" s="69">
        <f t="shared" ca="1" si="21"/>
        <v>-0.96456845011417602</v>
      </c>
      <c r="T75" s="69">
        <f t="shared" ca="1" si="22"/>
        <v>-1.5669265852577059</v>
      </c>
      <c r="U75" s="69">
        <f t="shared" ca="1" si="23"/>
        <v>-0.17388923372776524</v>
      </c>
      <c r="V75" s="69">
        <f t="shared" ca="1" si="24"/>
        <v>-0.43170201980970396</v>
      </c>
      <c r="W75" s="69">
        <f t="shared" ca="1" si="25"/>
        <v>2.6347394658269154</v>
      </c>
      <c r="X75" s="69">
        <f t="shared" ca="1" si="26"/>
        <v>-0.57197718649370655</v>
      </c>
    </row>
    <row r="76" spans="2:24" x14ac:dyDescent="0.2">
      <c r="B76" s="69">
        <f t="shared" ca="1" si="15"/>
        <v>0.73486548770894211</v>
      </c>
      <c r="C76" s="69">
        <f t="shared" ca="1" si="14"/>
        <v>-1.0797737392457734</v>
      </c>
      <c r="D76" s="69">
        <f t="shared" ca="1" si="14"/>
        <v>0.31048769459187392</v>
      </c>
      <c r="E76" s="69">
        <f t="shared" ca="1" si="14"/>
        <v>0.8032872339027487</v>
      </c>
      <c r="F76" s="69">
        <f t="shared" ca="1" si="14"/>
        <v>1.2446847356834201</v>
      </c>
      <c r="G76" s="69">
        <f t="shared" ca="1" si="14"/>
        <v>0.39703587809469498</v>
      </c>
      <c r="H76" s="69">
        <f t="shared" ca="1" si="14"/>
        <v>0.2469559668335303</v>
      </c>
      <c r="I76" s="69">
        <f t="shared" ca="1" si="14"/>
        <v>0.93178268291906563</v>
      </c>
      <c r="J76" s="69">
        <f t="shared" ca="1" si="14"/>
        <v>0.18918533907701054</v>
      </c>
      <c r="K76" s="69">
        <f t="shared" ca="1" si="14"/>
        <v>-2.5535962013575775E-2</v>
      </c>
      <c r="L76" s="69">
        <f t="shared" ca="1" si="14"/>
        <v>-0.47761780470546777</v>
      </c>
      <c r="N76" s="69">
        <f t="shared" ca="1" si="16"/>
        <v>0.77263353154705094</v>
      </c>
      <c r="O76" s="69">
        <f t="shared" ca="1" si="17"/>
        <v>-1.10626730232866</v>
      </c>
      <c r="P76" s="69">
        <f t="shared" ca="1" si="18"/>
        <v>0.25274562975478387</v>
      </c>
      <c r="Q76" s="69">
        <f t="shared" ca="1" si="19"/>
        <v>0.85239591276450766</v>
      </c>
      <c r="R76" s="69">
        <f t="shared" ca="1" si="20"/>
        <v>1.2383900502757712</v>
      </c>
      <c r="S76" s="69">
        <f t="shared" ca="1" si="21"/>
        <v>0.42986285035150346</v>
      </c>
      <c r="T76" s="69">
        <f t="shared" ca="1" si="22"/>
        <v>0.24212492911834047</v>
      </c>
      <c r="U76" s="69">
        <f t="shared" ca="1" si="23"/>
        <v>0.95482280979677525</v>
      </c>
      <c r="V76" s="69">
        <f t="shared" ca="1" si="24"/>
        <v>0.18307574550341321</v>
      </c>
      <c r="W76" s="69">
        <f t="shared" ca="1" si="25"/>
        <v>-2.4554605189476823E-2</v>
      </c>
      <c r="X76" s="69">
        <f t="shared" ca="1" si="26"/>
        <v>-0.4504493143310323</v>
      </c>
    </row>
    <row r="77" spans="2:24" x14ac:dyDescent="0.2">
      <c r="B77" s="69">
        <f t="shared" ca="1" si="15"/>
        <v>-0.5154905576492399</v>
      </c>
      <c r="C77" s="69">
        <f t="shared" ca="1" si="14"/>
        <v>-0.59983530939535257</v>
      </c>
      <c r="D77" s="69">
        <f t="shared" ca="1" si="14"/>
        <v>-3.8354371662994734E-2</v>
      </c>
      <c r="E77" s="69">
        <f t="shared" ca="1" si="14"/>
        <v>1.3706291299074727</v>
      </c>
      <c r="F77" s="69">
        <f t="shared" ca="1" si="14"/>
        <v>0.54327138596338898</v>
      </c>
      <c r="G77" s="69">
        <f t="shared" ca="1" si="14"/>
        <v>-1.3252996458863016</v>
      </c>
      <c r="H77" s="69">
        <f t="shared" ca="1" si="14"/>
        <v>0.92537046364451747</v>
      </c>
      <c r="I77" s="69">
        <f t="shared" ca="1" si="14"/>
        <v>-0.96229696024999434</v>
      </c>
      <c r="J77" s="69">
        <f t="shared" ca="1" si="14"/>
        <v>0.41961546885436946</v>
      </c>
      <c r="K77" s="69">
        <f t="shared" ca="1" si="14"/>
        <v>0.17226610299821823</v>
      </c>
      <c r="L77" s="69">
        <f t="shared" ca="1" si="14"/>
        <v>0.73272607420913916</v>
      </c>
      <c r="N77" s="69">
        <f t="shared" ca="1" si="16"/>
        <v>-0.47772251381113107</v>
      </c>
      <c r="O77" s="69">
        <f t="shared" ca="1" si="17"/>
        <v>-0.62632887247823921</v>
      </c>
      <c r="P77" s="69">
        <f t="shared" ca="1" si="18"/>
        <v>-9.6096436500084759E-2</v>
      </c>
      <c r="Q77" s="69">
        <f t="shared" ca="1" si="19"/>
        <v>1.4197378087692316</v>
      </c>
      <c r="R77" s="69">
        <f t="shared" ca="1" si="20"/>
        <v>0.53697670055574009</v>
      </c>
      <c r="S77" s="69">
        <f t="shared" ca="1" si="21"/>
        <v>-1.2924726736294931</v>
      </c>
      <c r="T77" s="69">
        <f t="shared" ca="1" si="22"/>
        <v>0.92053942592932758</v>
      </c>
      <c r="U77" s="69">
        <f t="shared" ca="1" si="23"/>
        <v>-0.93925683337228472</v>
      </c>
      <c r="V77" s="69">
        <f t="shared" ca="1" si="24"/>
        <v>0.41350587528077215</v>
      </c>
      <c r="W77" s="69">
        <f t="shared" ca="1" si="25"/>
        <v>0.17324745982231718</v>
      </c>
      <c r="X77" s="69">
        <f t="shared" ca="1" si="26"/>
        <v>0.75989456458357463</v>
      </c>
    </row>
    <row r="78" spans="2:24" x14ac:dyDescent="0.2">
      <c r="B78" s="69">
        <f t="shared" ca="1" si="15"/>
        <v>-0.44049137124435289</v>
      </c>
      <c r="C78" s="69">
        <f t="shared" ca="1" si="14"/>
        <v>-1.6290572948009436</v>
      </c>
      <c r="D78" s="69">
        <f t="shared" ca="1" si="14"/>
        <v>0.74544681129886325</v>
      </c>
      <c r="E78" s="69">
        <f t="shared" ca="1" si="14"/>
        <v>0.79498542533305605</v>
      </c>
      <c r="F78" s="69">
        <f t="shared" ca="1" si="14"/>
        <v>-0.31686057967617209</v>
      </c>
      <c r="G78" s="69">
        <f t="shared" ca="1" si="14"/>
        <v>-0.76730035532976171</v>
      </c>
      <c r="H78" s="69">
        <f t="shared" ca="1" si="14"/>
        <v>-1.3214926764152646</v>
      </c>
      <c r="I78" s="69">
        <f t="shared" ca="1" si="14"/>
        <v>-3.3145870376923375E-2</v>
      </c>
      <c r="J78" s="69">
        <f t="shared" ca="1" si="14"/>
        <v>0.62229558815454822</v>
      </c>
      <c r="K78" s="69">
        <f t="shared" ca="1" si="14"/>
        <v>-1.0965682453838501</v>
      </c>
      <c r="L78" s="69">
        <f t="shared" ca="1" si="14"/>
        <v>-0.15576416352643874</v>
      </c>
      <c r="N78" s="69">
        <f t="shared" ca="1" si="16"/>
        <v>-0.40272332740624406</v>
      </c>
      <c r="O78" s="69">
        <f t="shared" ca="1" si="17"/>
        <v>-1.6555508578838303</v>
      </c>
      <c r="P78" s="69">
        <f t="shared" ca="1" si="18"/>
        <v>0.68770474646177326</v>
      </c>
      <c r="Q78" s="69">
        <f t="shared" ca="1" si="19"/>
        <v>0.84409410419481501</v>
      </c>
      <c r="R78" s="69">
        <f t="shared" ca="1" si="20"/>
        <v>-0.32315526508382098</v>
      </c>
      <c r="S78" s="69">
        <f t="shared" ca="1" si="21"/>
        <v>-0.73447338307295318</v>
      </c>
      <c r="T78" s="69">
        <f t="shared" ca="1" si="22"/>
        <v>-1.3263237141304545</v>
      </c>
      <c r="U78" s="69">
        <f t="shared" ca="1" si="23"/>
        <v>-1.0105743499213719E-2</v>
      </c>
      <c r="V78" s="69">
        <f t="shared" ca="1" si="24"/>
        <v>0.61618599458095091</v>
      </c>
      <c r="W78" s="69">
        <f t="shared" ca="1" si="25"/>
        <v>-1.0955868885597511</v>
      </c>
      <c r="X78" s="69">
        <f t="shared" ca="1" si="26"/>
        <v>-0.12859567315200326</v>
      </c>
    </row>
    <row r="79" spans="2:24" x14ac:dyDescent="0.2">
      <c r="B79" s="69">
        <f t="shared" ca="1" si="15"/>
        <v>-1.3315969848519102</v>
      </c>
      <c r="C79" s="69">
        <f t="shared" ca="1" si="14"/>
        <v>-1.6367775990136357</v>
      </c>
      <c r="D79" s="69">
        <f t="shared" ca="1" si="14"/>
        <v>0.84442791879823387</v>
      </c>
      <c r="E79" s="69">
        <f t="shared" ca="1" si="14"/>
        <v>0.21668022109517415</v>
      </c>
      <c r="F79" s="69">
        <f t="shared" ca="1" si="14"/>
        <v>9.4003645215716053E-2</v>
      </c>
      <c r="G79" s="69">
        <f t="shared" ca="1" si="14"/>
        <v>1.3606229703033139</v>
      </c>
      <c r="H79" s="69">
        <f t="shared" ca="1" si="14"/>
        <v>2.7327758596131626</v>
      </c>
      <c r="I79" s="69">
        <f t="shared" ca="1" si="14"/>
        <v>-0.54247325514979994</v>
      </c>
      <c r="J79" s="69">
        <f t="shared" ca="1" si="14"/>
        <v>-0.59479898467616188</v>
      </c>
      <c r="K79" s="69">
        <f t="shared" ca="1" si="14"/>
        <v>-1.1730518787527882</v>
      </c>
      <c r="L79" s="69">
        <f t="shared" ca="1" si="14"/>
        <v>0.8104985784740989</v>
      </c>
      <c r="N79" s="69">
        <f t="shared" ca="1" si="16"/>
        <v>-1.2938289410138015</v>
      </c>
      <c r="O79" s="69">
        <f t="shared" ca="1" si="17"/>
        <v>-1.6632711620965224</v>
      </c>
      <c r="P79" s="69">
        <f t="shared" ca="1" si="18"/>
        <v>0.78668585396114388</v>
      </c>
      <c r="Q79" s="69">
        <f t="shared" ca="1" si="19"/>
        <v>0.26578889995693311</v>
      </c>
      <c r="R79" s="69">
        <f t="shared" ca="1" si="20"/>
        <v>8.7708959808067158E-2</v>
      </c>
      <c r="S79" s="69">
        <f t="shared" ca="1" si="21"/>
        <v>1.3934499425601223</v>
      </c>
      <c r="T79" s="69">
        <f t="shared" ca="1" si="22"/>
        <v>2.7279448218979727</v>
      </c>
      <c r="U79" s="69">
        <f t="shared" ca="1" si="23"/>
        <v>-0.51943312827209032</v>
      </c>
      <c r="V79" s="69">
        <f t="shared" ca="1" si="24"/>
        <v>-0.60090857824975918</v>
      </c>
      <c r="W79" s="69">
        <f t="shared" ca="1" si="25"/>
        <v>-1.1720705219286891</v>
      </c>
      <c r="X79" s="69">
        <f t="shared" ca="1" si="26"/>
        <v>0.83766706884853437</v>
      </c>
    </row>
    <row r="80" spans="2:24" x14ac:dyDescent="0.2">
      <c r="B80" s="69">
        <f t="shared" ca="1" si="15"/>
        <v>-0.54276869788023385</v>
      </c>
      <c r="C80" s="69">
        <f t="shared" ca="1" si="14"/>
        <v>0.21362649432099687</v>
      </c>
      <c r="D80" s="69">
        <f t="shared" ca="1" si="14"/>
        <v>-0.22025973557832559</v>
      </c>
      <c r="E80" s="69">
        <f t="shared" ca="1" si="14"/>
        <v>1.068243671821189</v>
      </c>
      <c r="F80" s="69">
        <f t="shared" ca="1" si="14"/>
        <v>0.77616041681815739</v>
      </c>
      <c r="G80" s="69">
        <f t="shared" ca="1" si="14"/>
        <v>-0.79032663403132652</v>
      </c>
      <c r="H80" s="69">
        <f t="shared" ca="1" si="14"/>
        <v>-1.2586207200034321</v>
      </c>
      <c r="I80" s="69">
        <f t="shared" ca="1" si="14"/>
        <v>9.5197155323918661E-2</v>
      </c>
      <c r="J80" s="69">
        <f t="shared" ca="1" si="14"/>
        <v>-1.1113833940998039</v>
      </c>
      <c r="K80" s="69">
        <f t="shared" ca="1" si="14"/>
        <v>0.34768170668944975</v>
      </c>
      <c r="L80" s="69">
        <f t="shared" ca="1" si="14"/>
        <v>0.83945907435045419</v>
      </c>
      <c r="N80" s="69">
        <f t="shared" ca="1" si="16"/>
        <v>-0.50500065404212502</v>
      </c>
      <c r="O80" s="69">
        <f t="shared" ca="1" si="17"/>
        <v>0.18713293123811017</v>
      </c>
      <c r="P80" s="69">
        <f t="shared" ca="1" si="18"/>
        <v>-0.27800180041541561</v>
      </c>
      <c r="Q80" s="69">
        <f t="shared" ca="1" si="19"/>
        <v>1.1173523506829479</v>
      </c>
      <c r="R80" s="69">
        <f t="shared" ca="1" si="20"/>
        <v>0.76986573141050851</v>
      </c>
      <c r="S80" s="69">
        <f t="shared" ca="1" si="21"/>
        <v>-0.757499661774518</v>
      </c>
      <c r="T80" s="69">
        <f t="shared" ca="1" si="22"/>
        <v>-1.2634517577186219</v>
      </c>
      <c r="U80" s="69">
        <f t="shared" ca="1" si="23"/>
        <v>0.11823728220162832</v>
      </c>
      <c r="V80" s="69">
        <f t="shared" ca="1" si="24"/>
        <v>-1.1174929876734012</v>
      </c>
      <c r="W80" s="69">
        <f t="shared" ca="1" si="25"/>
        <v>0.3486630635135487</v>
      </c>
      <c r="X80" s="69">
        <f t="shared" ca="1" si="26"/>
        <v>0.86662756472488967</v>
      </c>
    </row>
    <row r="81" spans="2:24" x14ac:dyDescent="0.2">
      <c r="B81" s="69">
        <f t="shared" ca="1" si="15"/>
        <v>-1.6435298678356576</v>
      </c>
      <c r="C81" s="69">
        <f t="shared" ca="1" si="14"/>
        <v>-2.7994849206644441E-3</v>
      </c>
      <c r="D81" s="69">
        <f t="shared" ca="1" si="14"/>
        <v>-0.36514027469753985</v>
      </c>
      <c r="E81" s="69">
        <f t="shared" ca="1" si="14"/>
        <v>-1.5281469995264674</v>
      </c>
      <c r="F81" s="69">
        <f t="shared" ca="1" si="14"/>
        <v>-0.22192214833804261</v>
      </c>
      <c r="G81" s="69">
        <f t="shared" ca="1" si="14"/>
        <v>1.4375169520093647</v>
      </c>
      <c r="H81" s="69">
        <f t="shared" ca="1" si="14"/>
        <v>0.89153925969513403</v>
      </c>
      <c r="I81" s="69">
        <f t="shared" ca="1" si="14"/>
        <v>2.7933508348088796</v>
      </c>
      <c r="J81" s="69">
        <f t="shared" ca="1" si="14"/>
        <v>0.25704642911647707</v>
      </c>
      <c r="K81" s="69">
        <f t="shared" ca="1" si="14"/>
        <v>0.74655129619749394</v>
      </c>
      <c r="L81" s="69">
        <f t="shared" ca="1" si="14"/>
        <v>-0.74546173674618899</v>
      </c>
      <c r="N81" s="69">
        <f t="shared" ca="1" si="16"/>
        <v>-1.6057618239975489</v>
      </c>
      <c r="O81" s="69">
        <f t="shared" ca="1" si="17"/>
        <v>-2.929304800355113E-2</v>
      </c>
      <c r="P81" s="69">
        <f t="shared" ca="1" si="18"/>
        <v>-0.42288233953462989</v>
      </c>
      <c r="Q81" s="69">
        <f t="shared" ca="1" si="19"/>
        <v>-1.4790383206647084</v>
      </c>
      <c r="R81" s="69">
        <f t="shared" ca="1" si="20"/>
        <v>-0.22821683374569152</v>
      </c>
      <c r="S81" s="69">
        <f t="shared" ca="1" si="21"/>
        <v>1.4703439242661731</v>
      </c>
      <c r="T81" s="69">
        <f t="shared" ca="1" si="22"/>
        <v>0.88670822197994414</v>
      </c>
      <c r="U81" s="69">
        <f t="shared" ca="1" si="23"/>
        <v>2.8163909616865892</v>
      </c>
      <c r="V81" s="69">
        <f t="shared" ca="1" si="24"/>
        <v>0.25093683554287977</v>
      </c>
      <c r="W81" s="69">
        <f t="shared" ca="1" si="25"/>
        <v>0.74753265302159289</v>
      </c>
      <c r="X81" s="69">
        <f t="shared" ca="1" si="26"/>
        <v>-0.71829324637175351</v>
      </c>
    </row>
    <row r="82" spans="2:24" x14ac:dyDescent="0.2">
      <c r="B82" s="69">
        <f t="shared" ca="1" si="15"/>
        <v>0.27034345760851936</v>
      </c>
      <c r="C82" s="69">
        <f t="shared" ca="1" si="14"/>
        <v>0.12920985588990111</v>
      </c>
      <c r="D82" s="69">
        <f t="shared" ca="1" si="14"/>
        <v>-0.84060614537903156</v>
      </c>
      <c r="E82" s="69">
        <f t="shared" ca="1" si="14"/>
        <v>-1.2164675248948029</v>
      </c>
      <c r="F82" s="69">
        <f t="shared" ca="1" si="14"/>
        <v>1.7711776450136119</v>
      </c>
      <c r="G82" s="69">
        <f t="shared" ca="1" si="14"/>
        <v>0.72183574612692181</v>
      </c>
      <c r="H82" s="69">
        <f t="shared" ca="1" si="14"/>
        <v>1.7470992750119327</v>
      </c>
      <c r="I82" s="69">
        <f t="shared" ca="1" si="14"/>
        <v>-0.41624965046228196</v>
      </c>
      <c r="J82" s="69">
        <f t="shared" ca="1" si="14"/>
        <v>0.67079228447921091</v>
      </c>
      <c r="K82" s="69">
        <f t="shared" ca="1" si="14"/>
        <v>-1.157436703365152</v>
      </c>
      <c r="L82" s="69">
        <f t="shared" ca="1" si="14"/>
        <v>0.47994191653475471</v>
      </c>
      <c r="N82" s="69">
        <f t="shared" ca="1" si="16"/>
        <v>0.30811150144662819</v>
      </c>
      <c r="O82" s="69">
        <f t="shared" ca="1" si="17"/>
        <v>0.10271629280701443</v>
      </c>
      <c r="P82" s="69">
        <f t="shared" ca="1" si="18"/>
        <v>-0.89834821021612155</v>
      </c>
      <c r="Q82" s="69">
        <f t="shared" ca="1" si="19"/>
        <v>-1.167358846033044</v>
      </c>
      <c r="R82" s="69">
        <f t="shared" ca="1" si="20"/>
        <v>1.764882959605963</v>
      </c>
      <c r="S82" s="69">
        <f t="shared" ca="1" si="21"/>
        <v>0.75466271838373034</v>
      </c>
      <c r="T82" s="69">
        <f t="shared" ca="1" si="22"/>
        <v>1.7422682372967428</v>
      </c>
      <c r="U82" s="69">
        <f t="shared" ca="1" si="23"/>
        <v>-0.39320952358457228</v>
      </c>
      <c r="V82" s="69">
        <f t="shared" ca="1" si="24"/>
        <v>0.6646826909056136</v>
      </c>
      <c r="W82" s="69">
        <f t="shared" ca="1" si="25"/>
        <v>-1.156455346541053</v>
      </c>
      <c r="X82" s="69">
        <f t="shared" ca="1" si="26"/>
        <v>0.50711040690919018</v>
      </c>
    </row>
    <row r="83" spans="2:24" x14ac:dyDescent="0.2">
      <c r="B83" s="69">
        <f t="shared" ca="1" si="15"/>
        <v>9.4300717968667833E-2</v>
      </c>
      <c r="C83" s="69">
        <f t="shared" ca="1" si="14"/>
        <v>0.79648127583657058</v>
      </c>
      <c r="D83" s="69">
        <f t="shared" ca="1" si="14"/>
        <v>-0.94365322732178303</v>
      </c>
      <c r="E83" s="69">
        <f t="shared" ca="1" si="14"/>
        <v>-1.5251236045355505</v>
      </c>
      <c r="F83" s="69">
        <f t="shared" ca="1" si="14"/>
        <v>0.45422071359381661</v>
      </c>
      <c r="G83" s="69">
        <f t="shared" ca="1" si="14"/>
        <v>0.23034108042426235</v>
      </c>
      <c r="H83" s="69">
        <f t="shared" ca="1" si="14"/>
        <v>-1.5864241445678331</v>
      </c>
      <c r="I83" s="69">
        <f t="shared" ca="1" si="14"/>
        <v>-0.50941928721089769</v>
      </c>
      <c r="J83" s="69">
        <f t="shared" ca="1" si="14"/>
        <v>-1.1466424320535495</v>
      </c>
      <c r="K83" s="69">
        <f t="shared" ca="1" si="14"/>
        <v>-0.67502714817258591</v>
      </c>
      <c r="L83" s="69">
        <f t="shared" ca="1" si="14"/>
        <v>-1.6621063769169602</v>
      </c>
      <c r="N83" s="69">
        <f t="shared" ca="1" si="16"/>
        <v>0.13206876180677665</v>
      </c>
      <c r="O83" s="69">
        <f t="shared" ca="1" si="17"/>
        <v>0.76998771275368394</v>
      </c>
      <c r="P83" s="69">
        <f t="shared" ca="1" si="18"/>
        <v>-1.0013952921588731</v>
      </c>
      <c r="Q83" s="69">
        <f t="shared" ca="1" si="19"/>
        <v>-1.4760149256737916</v>
      </c>
      <c r="R83" s="69">
        <f t="shared" ca="1" si="20"/>
        <v>0.44792602818616772</v>
      </c>
      <c r="S83" s="69">
        <f t="shared" ca="1" si="21"/>
        <v>0.26316805268107085</v>
      </c>
      <c r="T83" s="69">
        <f t="shared" ca="1" si="22"/>
        <v>-1.591255182283023</v>
      </c>
      <c r="U83" s="69">
        <f t="shared" ca="1" si="23"/>
        <v>-0.48637916033318801</v>
      </c>
      <c r="V83" s="69">
        <f t="shared" ca="1" si="24"/>
        <v>-1.1527520256271468</v>
      </c>
      <c r="W83" s="69">
        <f t="shared" ca="1" si="25"/>
        <v>-0.67404579134848697</v>
      </c>
      <c r="X83" s="69">
        <f t="shared" ca="1" si="26"/>
        <v>-1.6349378865425246</v>
      </c>
    </row>
    <row r="84" spans="2:24" x14ac:dyDescent="0.2">
      <c r="B84" s="69">
        <f t="shared" ca="1" si="15"/>
        <v>1.1410886898960844</v>
      </c>
      <c r="C84" s="69">
        <f t="shared" ca="1" si="14"/>
        <v>-1.750865817514315</v>
      </c>
      <c r="D84" s="69">
        <f t="shared" ca="1" si="14"/>
        <v>-2.1378703628541835</v>
      </c>
      <c r="E84" s="69">
        <f t="shared" ca="1" si="14"/>
        <v>0.48634920031337997</v>
      </c>
      <c r="F84" s="69">
        <f t="shared" ca="1" si="14"/>
        <v>-0.84776999128184105</v>
      </c>
      <c r="G84" s="69">
        <f t="shared" ca="1" si="14"/>
        <v>6.3548256894779012E-2</v>
      </c>
      <c r="H84" s="69">
        <f t="shared" ca="1" si="14"/>
        <v>-1.9525028254545296</v>
      </c>
      <c r="I84" s="69">
        <f t="shared" ca="1" si="14"/>
        <v>1.1680820015924265</v>
      </c>
      <c r="J84" s="69">
        <f t="shared" ca="1" si="14"/>
        <v>-0.77876252365076248</v>
      </c>
      <c r="K84" s="69">
        <f t="shared" ca="1" si="14"/>
        <v>0.74325043991333251</v>
      </c>
      <c r="L84" s="69">
        <f t="shared" ca="1" si="14"/>
        <v>-2.5030922548222705</v>
      </c>
      <c r="N84" s="69">
        <f t="shared" ca="1" si="16"/>
        <v>1.1788567337341931</v>
      </c>
      <c r="O84" s="69">
        <f t="shared" ca="1" si="17"/>
        <v>-1.7773593805972017</v>
      </c>
      <c r="P84" s="69">
        <f t="shared" ca="1" si="18"/>
        <v>-2.1956124276912736</v>
      </c>
      <c r="Q84" s="69">
        <f t="shared" ca="1" si="19"/>
        <v>0.53545787917513887</v>
      </c>
      <c r="R84" s="69">
        <f t="shared" ca="1" si="20"/>
        <v>-0.85406467668948993</v>
      </c>
      <c r="S84" s="69">
        <f t="shared" ca="1" si="21"/>
        <v>9.6375229151587499E-2</v>
      </c>
      <c r="T84" s="69">
        <f t="shared" ca="1" si="22"/>
        <v>-1.9573338631697195</v>
      </c>
      <c r="U84" s="69">
        <f t="shared" ca="1" si="23"/>
        <v>1.1911221284701361</v>
      </c>
      <c r="V84" s="69">
        <f t="shared" ca="1" si="24"/>
        <v>-0.78487211722435979</v>
      </c>
      <c r="W84" s="69">
        <f t="shared" ca="1" si="25"/>
        <v>0.74423179673743145</v>
      </c>
      <c r="X84" s="69">
        <f t="shared" ca="1" si="26"/>
        <v>-2.4759237644478351</v>
      </c>
    </row>
    <row r="85" spans="2:24" x14ac:dyDescent="0.2">
      <c r="B85" s="69">
        <f t="shared" ca="1" si="15"/>
        <v>-2.2508484747159194</v>
      </c>
      <c r="C85" s="69">
        <f t="shared" ca="1" si="14"/>
        <v>1.2432719062366646</v>
      </c>
      <c r="D85" s="69">
        <f t="shared" ca="1" si="14"/>
        <v>0.19899339251461073</v>
      </c>
      <c r="E85" s="69">
        <f t="shared" ca="1" si="14"/>
        <v>-0.17795650866185561</v>
      </c>
      <c r="F85" s="69">
        <f t="shared" ca="1" si="14"/>
        <v>-1.9687135175277866</v>
      </c>
      <c r="G85" s="69">
        <f t="shared" ca="1" si="14"/>
        <v>0.48743756240601827</v>
      </c>
      <c r="H85" s="69">
        <f t="shared" ca="1" si="14"/>
        <v>-0.67705505769016627</v>
      </c>
      <c r="I85" s="69">
        <f t="shared" ca="1" si="14"/>
        <v>-2.0989426907440785</v>
      </c>
      <c r="J85" s="69">
        <f t="shared" ca="1" si="14"/>
        <v>-1.6984855845024058</v>
      </c>
      <c r="K85" s="69">
        <f t="shared" ca="1" si="14"/>
        <v>0.34311825068009699</v>
      </c>
      <c r="L85" s="69">
        <f t="shared" ca="1" si="14"/>
        <v>0.75617125623927772</v>
      </c>
      <c r="N85" s="69">
        <f t="shared" ca="1" si="16"/>
        <v>-2.2130804308778105</v>
      </c>
      <c r="O85" s="69">
        <f t="shared" ca="1" si="17"/>
        <v>1.216778343153778</v>
      </c>
      <c r="P85" s="69">
        <f t="shared" ca="1" si="18"/>
        <v>0.14125132767752069</v>
      </c>
      <c r="Q85" s="69">
        <f t="shared" ca="1" si="19"/>
        <v>-0.12884782980009668</v>
      </c>
      <c r="R85" s="69">
        <f t="shared" ca="1" si="20"/>
        <v>-1.9750082029354354</v>
      </c>
      <c r="S85" s="69">
        <f t="shared" ca="1" si="21"/>
        <v>0.52026453466282674</v>
      </c>
      <c r="T85" s="69">
        <f t="shared" ca="1" si="22"/>
        <v>-0.68188609540535616</v>
      </c>
      <c r="U85" s="69">
        <f t="shared" ca="1" si="23"/>
        <v>-2.0759025638663688</v>
      </c>
      <c r="V85" s="69">
        <f t="shared" ca="1" si="24"/>
        <v>-1.7045951780760031</v>
      </c>
      <c r="W85" s="69">
        <f t="shared" ca="1" si="25"/>
        <v>0.34409960750419594</v>
      </c>
      <c r="X85" s="69">
        <f t="shared" ca="1" si="26"/>
        <v>0.78333974661371319</v>
      </c>
    </row>
    <row r="86" spans="2:24" x14ac:dyDescent="0.2">
      <c r="B86" s="69">
        <f t="shared" ca="1" si="15"/>
        <v>-0.90843074733537843</v>
      </c>
      <c r="C86" s="69">
        <f t="shared" ca="1" si="14"/>
        <v>-0.24105754016213918</v>
      </c>
      <c r="D86" s="69">
        <f t="shared" ca="1" si="14"/>
        <v>0.76143872225982623</v>
      </c>
      <c r="E86" s="69">
        <f t="shared" ca="1" si="14"/>
        <v>5.1035727745762219E-2</v>
      </c>
      <c r="F86" s="69">
        <f t="shared" ca="1" si="14"/>
        <v>-0.26797425086555882</v>
      </c>
      <c r="G86" s="69">
        <f t="shared" ca="1" si="14"/>
        <v>1.1933829645592384</v>
      </c>
      <c r="H86" s="69">
        <f t="shared" ca="1" si="14"/>
        <v>0.60695460537224033</v>
      </c>
      <c r="I86" s="69">
        <f t="shared" ca="1" si="14"/>
        <v>1.3609076096231854</v>
      </c>
      <c r="J86" s="69">
        <f t="shared" ca="1" si="14"/>
        <v>-5.6515725357760407E-2</v>
      </c>
      <c r="K86" s="69">
        <f t="shared" ca="1" si="14"/>
        <v>0.47246008456805816</v>
      </c>
      <c r="L86" s="69">
        <f t="shared" ca="1" si="14"/>
        <v>0.39075846741342574</v>
      </c>
      <c r="N86" s="69">
        <f t="shared" ca="1" si="16"/>
        <v>-0.8706627034972696</v>
      </c>
      <c r="O86" s="69">
        <f t="shared" ca="1" si="17"/>
        <v>-0.26755110324502585</v>
      </c>
      <c r="P86" s="69">
        <f t="shared" ca="1" si="18"/>
        <v>0.70369665742273624</v>
      </c>
      <c r="Q86" s="69">
        <f t="shared" ca="1" si="19"/>
        <v>0.10014440660752116</v>
      </c>
      <c r="R86" s="69">
        <f t="shared" ca="1" si="20"/>
        <v>-0.2742689362732077</v>
      </c>
      <c r="S86" s="69">
        <f t="shared" ca="1" si="21"/>
        <v>1.2262099368160468</v>
      </c>
      <c r="T86" s="69">
        <f t="shared" ca="1" si="22"/>
        <v>0.60212356765705044</v>
      </c>
      <c r="U86" s="69">
        <f t="shared" ca="1" si="23"/>
        <v>1.383947736500895</v>
      </c>
      <c r="V86" s="69">
        <f t="shared" ca="1" si="24"/>
        <v>-6.262531893135774E-2</v>
      </c>
      <c r="W86" s="69">
        <f t="shared" ca="1" si="25"/>
        <v>0.4734414413921571</v>
      </c>
      <c r="X86" s="69">
        <f t="shared" ca="1" si="26"/>
        <v>0.41792695778786121</v>
      </c>
    </row>
    <row r="87" spans="2:24" x14ac:dyDescent="0.2">
      <c r="B87" s="69">
        <f t="shared" ca="1" si="15"/>
        <v>0.57296230451832542</v>
      </c>
      <c r="C87" s="69">
        <f t="shared" ca="1" si="14"/>
        <v>1.0401856503938485</v>
      </c>
      <c r="D87" s="69">
        <f t="shared" ca="1" si="14"/>
        <v>0.16964925110191734</v>
      </c>
      <c r="E87" s="69">
        <f t="shared" ca="1" si="14"/>
        <v>0.84242805205311966</v>
      </c>
      <c r="F87" s="69">
        <f t="shared" ca="1" si="14"/>
        <v>-1.5169313113822529</v>
      </c>
      <c r="G87" s="69">
        <f t="shared" ca="1" si="14"/>
        <v>0.27822324040928659</v>
      </c>
      <c r="H87" s="69">
        <f t="shared" ca="1" si="14"/>
        <v>-6.2642417501775405E-2</v>
      </c>
      <c r="I87" s="69">
        <f t="shared" ca="1" si="14"/>
        <v>-0.57430023164926136</v>
      </c>
      <c r="J87" s="69">
        <f t="shared" ca="1" si="14"/>
        <v>0.42760452403724547</v>
      </c>
      <c r="K87" s="69">
        <f t="shared" ca="1" si="14"/>
        <v>-1.015562581362103</v>
      </c>
      <c r="L87" s="69">
        <f t="shared" ca="1" si="14"/>
        <v>-0.98155634577794049</v>
      </c>
      <c r="N87" s="69">
        <f t="shared" ca="1" si="16"/>
        <v>0.61073034835643425</v>
      </c>
      <c r="O87" s="69">
        <f t="shared" ca="1" si="17"/>
        <v>1.0136920873109618</v>
      </c>
      <c r="P87" s="69">
        <f t="shared" ca="1" si="18"/>
        <v>0.1119071862648273</v>
      </c>
      <c r="Q87" s="69">
        <f t="shared" ca="1" si="19"/>
        <v>0.89153673091487862</v>
      </c>
      <c r="R87" s="69">
        <f t="shared" ca="1" si="20"/>
        <v>-1.5232259967899018</v>
      </c>
      <c r="S87" s="69">
        <f t="shared" ca="1" si="21"/>
        <v>0.31105021266609506</v>
      </c>
      <c r="T87" s="69">
        <f t="shared" ca="1" si="22"/>
        <v>-6.7473455216965253E-2</v>
      </c>
      <c r="U87" s="69">
        <f t="shared" ca="1" si="23"/>
        <v>-0.55126010477155174</v>
      </c>
      <c r="V87" s="69">
        <f t="shared" ca="1" si="24"/>
        <v>0.42149493046364817</v>
      </c>
      <c r="W87" s="69">
        <f t="shared" ca="1" si="25"/>
        <v>-1.0145812245380039</v>
      </c>
      <c r="X87" s="69">
        <f t="shared" ca="1" si="26"/>
        <v>-0.95438785540350501</v>
      </c>
    </row>
    <row r="88" spans="2:24" x14ac:dyDescent="0.2">
      <c r="B88" s="69">
        <f t="shared" ca="1" si="15"/>
        <v>-1.7483484111867866</v>
      </c>
      <c r="C88" s="69">
        <f t="shared" ca="1" si="14"/>
        <v>-0.43990507533180406</v>
      </c>
      <c r="D88" s="69">
        <f t="shared" ca="1" si="14"/>
        <v>-2.4163087950358575</v>
      </c>
      <c r="E88" s="69">
        <f t="shared" ca="1" si="14"/>
        <v>2.8202924909962054E-2</v>
      </c>
      <c r="F88" s="69">
        <f t="shared" ca="1" si="14"/>
        <v>0.36058648327569631</v>
      </c>
      <c r="G88" s="69">
        <f t="shared" ca="1" si="14"/>
        <v>0.46631114323687939</v>
      </c>
      <c r="H88" s="69">
        <f t="shared" ca="1" si="14"/>
        <v>-1.7985375189245475E-2</v>
      </c>
      <c r="I88" s="69">
        <f t="shared" ca="1" si="14"/>
        <v>-2.0471593556305292</v>
      </c>
      <c r="J88" s="69">
        <f t="shared" ca="1" si="14"/>
        <v>-0.63459298787183238</v>
      </c>
      <c r="K88" s="69">
        <f t="shared" ca="1" si="14"/>
        <v>1.3572219742599163</v>
      </c>
      <c r="L88" s="69">
        <f t="shared" ca="1" si="14"/>
        <v>0.55054553788414773</v>
      </c>
      <c r="N88" s="69">
        <f t="shared" ca="1" si="16"/>
        <v>-1.7105803673486779</v>
      </c>
      <c r="O88" s="69">
        <f t="shared" ca="1" si="17"/>
        <v>-0.46639863841469076</v>
      </c>
      <c r="P88" s="69">
        <f t="shared" ca="1" si="18"/>
        <v>-2.4740508598729476</v>
      </c>
      <c r="Q88" s="69">
        <f t="shared" ca="1" si="19"/>
        <v>7.7311603771720999E-2</v>
      </c>
      <c r="R88" s="69">
        <f t="shared" ca="1" si="20"/>
        <v>0.35429179786804743</v>
      </c>
      <c r="S88" s="69">
        <f t="shared" ca="1" si="21"/>
        <v>0.49913811549368786</v>
      </c>
      <c r="T88" s="69">
        <f t="shared" ca="1" si="22"/>
        <v>-2.2816412904435319E-2</v>
      </c>
      <c r="U88" s="69">
        <f t="shared" ca="1" si="23"/>
        <v>-2.0241192287528196</v>
      </c>
      <c r="V88" s="69">
        <f t="shared" ca="1" si="24"/>
        <v>-0.64070258144542969</v>
      </c>
      <c r="W88" s="69">
        <f t="shared" ca="1" si="25"/>
        <v>1.3582033310840154</v>
      </c>
      <c r="X88" s="69">
        <f t="shared" ca="1" si="26"/>
        <v>0.5777140282585832</v>
      </c>
    </row>
    <row r="89" spans="2:24" x14ac:dyDescent="0.2">
      <c r="B89" s="69">
        <f t="shared" ca="1" si="15"/>
        <v>-1.783395451197751</v>
      </c>
      <c r="C89" s="69">
        <f t="shared" ca="1" si="14"/>
        <v>-1.5754370679521315</v>
      </c>
      <c r="D89" s="69">
        <f t="shared" ca="1" si="14"/>
        <v>-0.782690179218552</v>
      </c>
      <c r="E89" s="69">
        <f t="shared" ca="1" si="14"/>
        <v>-1.9750387008711612</v>
      </c>
      <c r="F89" s="69">
        <f t="shared" ca="1" si="14"/>
        <v>-1.4651946515544709</v>
      </c>
      <c r="G89" s="69">
        <f t="shared" ca="1" si="14"/>
        <v>1.6018244950927809</v>
      </c>
      <c r="H89" s="69">
        <f t="shared" ca="1" si="14"/>
        <v>-1.0511921141148317</v>
      </c>
      <c r="I89" s="69">
        <f t="shared" ca="1" si="14"/>
        <v>2.1116337532746803</v>
      </c>
      <c r="J89" s="69">
        <f t="shared" ca="1" si="14"/>
        <v>1.5136631696573191</v>
      </c>
      <c r="K89" s="69">
        <f t="shared" ca="1" si="14"/>
        <v>-2.5977023565121802E-2</v>
      </c>
      <c r="L89" s="69">
        <f t="shared" ca="1" si="14"/>
        <v>-1.0458806029487036</v>
      </c>
      <c r="N89" s="69">
        <f t="shared" ca="1" si="16"/>
        <v>-1.7456274073596423</v>
      </c>
      <c r="O89" s="69">
        <f t="shared" ca="1" si="17"/>
        <v>-1.6019306310350181</v>
      </c>
      <c r="P89" s="69">
        <f t="shared" ca="1" si="18"/>
        <v>-0.84043224405564199</v>
      </c>
      <c r="Q89" s="69">
        <f t="shared" ca="1" si="19"/>
        <v>-1.9259300220094022</v>
      </c>
      <c r="R89" s="69">
        <f t="shared" ca="1" si="20"/>
        <v>-1.4714893369621198</v>
      </c>
      <c r="S89" s="69">
        <f t="shared" ca="1" si="21"/>
        <v>1.6346514673495893</v>
      </c>
      <c r="T89" s="69">
        <f t="shared" ca="1" si="22"/>
        <v>-1.0560231518300216</v>
      </c>
      <c r="U89" s="69">
        <f t="shared" ca="1" si="23"/>
        <v>2.1346738801523899</v>
      </c>
      <c r="V89" s="69">
        <f t="shared" ca="1" si="24"/>
        <v>1.5075535760837218</v>
      </c>
      <c r="W89" s="69">
        <f t="shared" ca="1" si="25"/>
        <v>-2.499566674102285E-2</v>
      </c>
      <c r="X89" s="69">
        <f t="shared" ca="1" si="26"/>
        <v>-1.018712112574268</v>
      </c>
    </row>
    <row r="90" spans="2:24" x14ac:dyDescent="0.2">
      <c r="B90" s="69">
        <f t="shared" ca="1" si="15"/>
        <v>0.17845928670659936</v>
      </c>
      <c r="C90" s="69">
        <f t="shared" ca="1" si="14"/>
        <v>0.40315375267180681</v>
      </c>
      <c r="D90" s="69">
        <f t="shared" ca="1" si="14"/>
        <v>8.8237974590502075E-2</v>
      </c>
      <c r="E90" s="69">
        <f t="shared" ca="1" si="14"/>
        <v>-0.28843302075477001</v>
      </c>
      <c r="F90" s="69">
        <f t="shared" ca="1" si="14"/>
        <v>-5.5435047118591423E-2</v>
      </c>
      <c r="G90" s="69">
        <f t="shared" ca="1" si="14"/>
        <v>0.15694992081396583</v>
      </c>
      <c r="H90" s="69">
        <f t="shared" ca="1" si="14"/>
        <v>-1.3640434232168155</v>
      </c>
      <c r="I90" s="69">
        <f t="shared" ca="1" si="14"/>
        <v>1.019455052610756</v>
      </c>
      <c r="J90" s="69">
        <f t="shared" ca="1" si="14"/>
        <v>-0.75156546270881719</v>
      </c>
      <c r="K90" s="69">
        <f t="shared" ca="1" si="14"/>
        <v>-0.3749243178764593</v>
      </c>
      <c r="L90" s="69">
        <f t="shared" ca="1" si="14"/>
        <v>0.28318523989567834</v>
      </c>
      <c r="N90" s="69">
        <f t="shared" ca="1" si="16"/>
        <v>0.21622733054470816</v>
      </c>
      <c r="O90" s="69">
        <f t="shared" ca="1" si="17"/>
        <v>0.37666018958892011</v>
      </c>
      <c r="P90" s="69">
        <f t="shared" ca="1" si="18"/>
        <v>3.0495909753412043E-2</v>
      </c>
      <c r="Q90" s="69">
        <f t="shared" ca="1" si="19"/>
        <v>-0.23932434189301105</v>
      </c>
      <c r="R90" s="69">
        <f t="shared" ca="1" si="20"/>
        <v>-6.1729732526240318E-2</v>
      </c>
      <c r="S90" s="69">
        <f t="shared" ca="1" si="21"/>
        <v>0.18977689307077431</v>
      </c>
      <c r="T90" s="69">
        <f t="shared" ca="1" si="22"/>
        <v>-1.3688744609320054</v>
      </c>
      <c r="U90" s="69">
        <f t="shared" ca="1" si="23"/>
        <v>1.0424951794884656</v>
      </c>
      <c r="V90" s="69">
        <f t="shared" ca="1" si="24"/>
        <v>-0.75767505628241449</v>
      </c>
      <c r="W90" s="69">
        <f t="shared" ca="1" si="25"/>
        <v>-0.37394296105236036</v>
      </c>
      <c r="X90" s="69">
        <f t="shared" ca="1" si="26"/>
        <v>0.31035373027011381</v>
      </c>
    </row>
    <row r="91" spans="2:24" x14ac:dyDescent="0.2">
      <c r="B91" s="69">
        <f t="shared" ca="1" si="15"/>
        <v>-0.15814822081845833</v>
      </c>
      <c r="C91" s="69">
        <f t="shared" ca="1" si="14"/>
        <v>-2.1362994283051764</v>
      </c>
      <c r="D91" s="69">
        <f t="shared" ca="1" si="14"/>
        <v>-0.25216871543757247</v>
      </c>
      <c r="E91" s="69">
        <f t="shared" ca="1" si="14"/>
        <v>5.2011679252510545E-2</v>
      </c>
      <c r="F91" s="69">
        <f t="shared" ca="1" si="14"/>
        <v>-1.4440432242974675</v>
      </c>
      <c r="G91" s="69">
        <f t="shared" ca="1" si="14"/>
        <v>-0.34945580258913489</v>
      </c>
      <c r="H91" s="69">
        <f t="shared" ca="1" si="14"/>
        <v>0.35967690058188301</v>
      </c>
      <c r="I91" s="69">
        <f t="shared" ca="1" si="14"/>
        <v>0.2383717495664644</v>
      </c>
      <c r="J91" s="69">
        <f t="shared" ca="1" si="14"/>
        <v>0.51615232413630474</v>
      </c>
      <c r="K91" s="69">
        <f t="shared" ca="1" si="14"/>
        <v>0.20824494866365781</v>
      </c>
      <c r="L91" s="69">
        <f t="shared" ca="1" si="14"/>
        <v>0.15031934231428135</v>
      </c>
      <c r="N91" s="69">
        <f t="shared" ca="1" si="16"/>
        <v>-0.12038017698034952</v>
      </c>
      <c r="O91" s="69">
        <f t="shared" ca="1" si="17"/>
        <v>-2.1627929913880632</v>
      </c>
      <c r="P91" s="69">
        <f t="shared" ca="1" si="18"/>
        <v>-0.30991078027466251</v>
      </c>
      <c r="Q91" s="69">
        <f t="shared" ca="1" si="19"/>
        <v>0.10112035811426949</v>
      </c>
      <c r="R91" s="69">
        <f t="shared" ca="1" si="20"/>
        <v>-1.4503379097051163</v>
      </c>
      <c r="S91" s="69">
        <f t="shared" ca="1" si="21"/>
        <v>-0.31662883033232642</v>
      </c>
      <c r="T91" s="69">
        <f t="shared" ca="1" si="22"/>
        <v>0.35484586286669317</v>
      </c>
      <c r="U91" s="69">
        <f t="shared" ca="1" si="23"/>
        <v>0.26141187644417407</v>
      </c>
      <c r="V91" s="69">
        <f t="shared" ca="1" si="24"/>
        <v>0.51004273056270744</v>
      </c>
      <c r="W91" s="69">
        <f t="shared" ca="1" si="25"/>
        <v>0.20922630548775675</v>
      </c>
      <c r="X91" s="69">
        <f t="shared" ca="1" si="26"/>
        <v>0.17748783268871682</v>
      </c>
    </row>
    <row r="92" spans="2:24" x14ac:dyDescent="0.2">
      <c r="B92" s="69">
        <f t="shared" ca="1" si="15"/>
        <v>1.2535406619140572</v>
      </c>
      <c r="C92" s="69">
        <f t="shared" ca="1" si="14"/>
        <v>0.3760487400078798</v>
      </c>
      <c r="D92" s="69">
        <f t="shared" ca="1" si="14"/>
        <v>0.43959835531163344</v>
      </c>
      <c r="E92" s="69">
        <f t="shared" ca="1" si="14"/>
        <v>-0.40575275066713268</v>
      </c>
      <c r="F92" s="69">
        <f t="shared" ca="1" si="14"/>
        <v>0.50835932264544292</v>
      </c>
      <c r="G92" s="69">
        <f t="shared" ca="1" si="14"/>
        <v>-0.36715008727285181</v>
      </c>
      <c r="H92" s="69">
        <f t="shared" ca="1" si="14"/>
        <v>0.87768579389020829</v>
      </c>
      <c r="I92" s="69">
        <f t="shared" ca="1" si="14"/>
        <v>-1.3241942424006992</v>
      </c>
      <c r="J92" s="69">
        <f t="shared" ca="1" si="14"/>
        <v>0.27936540695718942</v>
      </c>
      <c r="K92" s="69">
        <f t="shared" ca="1" si="14"/>
        <v>2.2686901549058685</v>
      </c>
      <c r="L92" s="69">
        <f t="shared" ca="1" si="14"/>
        <v>0.11047978918306836</v>
      </c>
      <c r="N92" s="69">
        <f t="shared" ca="1" si="16"/>
        <v>1.2913087057521659</v>
      </c>
      <c r="O92" s="69">
        <f t="shared" ca="1" si="17"/>
        <v>0.34955517692499311</v>
      </c>
      <c r="P92" s="69">
        <f t="shared" ca="1" si="18"/>
        <v>0.38185629047454339</v>
      </c>
      <c r="Q92" s="69">
        <f t="shared" ca="1" si="19"/>
        <v>-0.35664407180537372</v>
      </c>
      <c r="R92" s="69">
        <f t="shared" ca="1" si="20"/>
        <v>0.50206463723779404</v>
      </c>
      <c r="S92" s="69">
        <f t="shared" ca="1" si="21"/>
        <v>-0.33432311501604334</v>
      </c>
      <c r="T92" s="69">
        <f t="shared" ca="1" si="22"/>
        <v>0.8728547561750184</v>
      </c>
      <c r="U92" s="69">
        <f t="shared" ca="1" si="23"/>
        <v>-1.3011541155229895</v>
      </c>
      <c r="V92" s="69">
        <f t="shared" ca="1" si="24"/>
        <v>0.27325581338359212</v>
      </c>
      <c r="W92" s="69">
        <f t="shared" ca="1" si="25"/>
        <v>2.2696715117299675</v>
      </c>
      <c r="X92" s="69">
        <f t="shared" ca="1" si="26"/>
        <v>0.13764827955750383</v>
      </c>
    </row>
    <row r="93" spans="2:24" x14ac:dyDescent="0.2">
      <c r="B93" s="69">
        <f t="shared" ca="1" si="15"/>
        <v>6.7381853813797313E-2</v>
      </c>
      <c r="C93" s="69">
        <f t="shared" ca="1" si="14"/>
        <v>1.3725229901240972</v>
      </c>
      <c r="D93" s="69">
        <f t="shared" ca="1" si="14"/>
        <v>-0.35086080851247953</v>
      </c>
      <c r="E93" s="69">
        <f t="shared" ca="1" si="14"/>
        <v>0.13453246889684492</v>
      </c>
      <c r="F93" s="69">
        <f t="shared" ca="1" si="14"/>
        <v>0.46071545978161715</v>
      </c>
      <c r="G93" s="69">
        <f t="shared" ca="1" si="14"/>
        <v>-1.6405102988925084</v>
      </c>
      <c r="H93" s="69">
        <f t="shared" ca="1" si="14"/>
        <v>-0.61381126414116371</v>
      </c>
      <c r="I93" s="69">
        <f t="shared" ca="1" si="14"/>
        <v>-0.15682610692613108</v>
      </c>
      <c r="J93" s="69">
        <f t="shared" ca="1" si="14"/>
        <v>0.31366645048813724</v>
      </c>
      <c r="K93" s="69">
        <f t="shared" ca="1" si="14"/>
        <v>-1.7752826313944741</v>
      </c>
      <c r="L93" s="69">
        <f t="shared" ca="1" si="14"/>
        <v>-0.53518037955681752</v>
      </c>
      <c r="N93" s="69">
        <f t="shared" ca="1" si="16"/>
        <v>0.10514989765190613</v>
      </c>
      <c r="O93" s="69">
        <f t="shared" ca="1" si="17"/>
        <v>1.3460294270412105</v>
      </c>
      <c r="P93" s="69">
        <f t="shared" ca="1" si="18"/>
        <v>-0.40860287334956957</v>
      </c>
      <c r="Q93" s="69">
        <f t="shared" ca="1" si="19"/>
        <v>0.18364114775860385</v>
      </c>
      <c r="R93" s="69">
        <f t="shared" ca="1" si="20"/>
        <v>0.45442077437396827</v>
      </c>
      <c r="S93" s="69">
        <f t="shared" ca="1" si="21"/>
        <v>-1.6076833266357</v>
      </c>
      <c r="T93" s="69">
        <f t="shared" ca="1" si="22"/>
        <v>-0.6186423018563536</v>
      </c>
      <c r="U93" s="69">
        <f t="shared" ca="1" si="23"/>
        <v>-0.13378598004842143</v>
      </c>
      <c r="V93" s="69">
        <f t="shared" ca="1" si="24"/>
        <v>0.30755685691453993</v>
      </c>
      <c r="W93" s="69">
        <f t="shared" ca="1" si="25"/>
        <v>-1.774301274570375</v>
      </c>
      <c r="X93" s="69">
        <f t="shared" ca="1" si="26"/>
        <v>-0.50801188918238205</v>
      </c>
    </row>
    <row r="94" spans="2:24" x14ac:dyDescent="0.2">
      <c r="B94" s="69">
        <f t="shared" ca="1" si="15"/>
        <v>7.9669053738367968E-2</v>
      </c>
      <c r="C94" s="69">
        <f t="shared" ca="1" si="14"/>
        <v>-0.54407667903446921</v>
      </c>
      <c r="D94" s="69">
        <f t="shared" ca="1" si="14"/>
        <v>2.0091932053983443</v>
      </c>
      <c r="E94" s="69">
        <f t="shared" ca="1" si="14"/>
        <v>-1.5555203906013411</v>
      </c>
      <c r="F94" s="69">
        <f t="shared" ca="1" si="14"/>
        <v>-0.47703325667662666</v>
      </c>
      <c r="G94" s="69">
        <f t="shared" ca="1" si="14"/>
        <v>-1.2226151410222799</v>
      </c>
      <c r="H94" s="69">
        <f t="shared" ca="1" si="14"/>
        <v>0.850138362967928</v>
      </c>
      <c r="I94" s="69">
        <f t="shared" ca="1" si="14"/>
        <v>-9.389124106142141E-2</v>
      </c>
      <c r="J94" s="69">
        <f t="shared" ca="1" si="14"/>
        <v>0.81907170748800218</v>
      </c>
      <c r="K94" s="69">
        <f t="shared" ca="1" si="14"/>
        <v>-1.2696288140063385</v>
      </c>
      <c r="L94" s="69">
        <f t="shared" ca="1" si="14"/>
        <v>-1.1584844519803863</v>
      </c>
      <c r="N94" s="69">
        <f t="shared" ca="1" si="16"/>
        <v>0.11743709757647679</v>
      </c>
      <c r="O94" s="69">
        <f t="shared" ca="1" si="17"/>
        <v>-0.57057024211735585</v>
      </c>
      <c r="P94" s="69">
        <f t="shared" ca="1" si="18"/>
        <v>1.9514511405612542</v>
      </c>
      <c r="Q94" s="69">
        <f t="shared" ca="1" si="19"/>
        <v>-1.5064117117395821</v>
      </c>
      <c r="R94" s="69">
        <f t="shared" ca="1" si="20"/>
        <v>-0.48332794208427554</v>
      </c>
      <c r="S94" s="69">
        <f t="shared" ca="1" si="21"/>
        <v>-1.1897881687654714</v>
      </c>
      <c r="T94" s="69">
        <f t="shared" ca="1" si="22"/>
        <v>0.84530732525273811</v>
      </c>
      <c r="U94" s="69">
        <f t="shared" ca="1" si="23"/>
        <v>-7.0851114183711761E-2</v>
      </c>
      <c r="V94" s="69">
        <f t="shared" ca="1" si="24"/>
        <v>0.81296211391440487</v>
      </c>
      <c r="W94" s="69">
        <f t="shared" ca="1" si="25"/>
        <v>-1.2686474571822395</v>
      </c>
      <c r="X94" s="69">
        <f t="shared" ca="1" si="26"/>
        <v>-1.1313159616059507</v>
      </c>
    </row>
    <row r="95" spans="2:24" x14ac:dyDescent="0.2">
      <c r="B95" s="69">
        <f t="shared" ca="1" si="15"/>
        <v>-0.39330659541969409</v>
      </c>
      <c r="C95" s="69">
        <f t="shared" ca="1" si="14"/>
        <v>-0.46515154362165628</v>
      </c>
      <c r="D95" s="69">
        <f t="shared" ref="C95:L158" ca="1" si="27">NORMINV(RAND(),$C$7,$F$7)</f>
        <v>0.58938406643901742</v>
      </c>
      <c r="E95" s="69">
        <f t="shared" ca="1" si="27"/>
        <v>-0.19230251118612457</v>
      </c>
      <c r="F95" s="69">
        <f t="shared" ca="1" si="27"/>
        <v>0.70916498797475269</v>
      </c>
      <c r="G95" s="69">
        <f t="shared" ca="1" si="27"/>
        <v>-9.3996657604092829E-2</v>
      </c>
      <c r="H95" s="69">
        <f t="shared" ca="1" si="27"/>
        <v>-0.14697612519877934</v>
      </c>
      <c r="I95" s="69">
        <f t="shared" ca="1" si="27"/>
        <v>0.5491134774645241</v>
      </c>
      <c r="J95" s="69">
        <f t="shared" ca="1" si="27"/>
        <v>-0.11701942795389397</v>
      </c>
      <c r="K95" s="69">
        <f t="shared" ca="1" si="27"/>
        <v>-0.14624028254891272</v>
      </c>
      <c r="L95" s="69">
        <f t="shared" ca="1" si="27"/>
        <v>1.4266549603598353</v>
      </c>
      <c r="N95" s="69">
        <f t="shared" ca="1" si="16"/>
        <v>-0.35553855158158526</v>
      </c>
      <c r="O95" s="69">
        <f t="shared" ca="1" si="17"/>
        <v>-0.49164510670454298</v>
      </c>
      <c r="P95" s="69">
        <f t="shared" ca="1" si="18"/>
        <v>0.53164200160192743</v>
      </c>
      <c r="Q95" s="69">
        <f t="shared" ca="1" si="19"/>
        <v>-0.14319383232436561</v>
      </c>
      <c r="R95" s="69">
        <f t="shared" ca="1" si="20"/>
        <v>0.70287030256710381</v>
      </c>
      <c r="S95" s="69">
        <f t="shared" ca="1" si="21"/>
        <v>-6.1169685347284349E-2</v>
      </c>
      <c r="T95" s="69">
        <f t="shared" ca="1" si="22"/>
        <v>-0.15180716291396917</v>
      </c>
      <c r="U95" s="69">
        <f t="shared" ca="1" si="23"/>
        <v>0.57215360434223372</v>
      </c>
      <c r="V95" s="69">
        <f t="shared" ca="1" si="24"/>
        <v>-0.12312902152749131</v>
      </c>
      <c r="W95" s="69">
        <f t="shared" ca="1" si="25"/>
        <v>-0.14525892572481378</v>
      </c>
      <c r="X95" s="69">
        <f t="shared" ca="1" si="26"/>
        <v>1.4538234507342709</v>
      </c>
    </row>
    <row r="96" spans="2:24" x14ac:dyDescent="0.2">
      <c r="B96" s="69">
        <f t="shared" ca="1" si="15"/>
        <v>-0.57473611246134149</v>
      </c>
      <c r="C96" s="69">
        <f t="shared" ca="1" si="27"/>
        <v>1.9754567869318029</v>
      </c>
      <c r="D96" s="69">
        <f t="shared" ca="1" si="27"/>
        <v>0.53340778939916655</v>
      </c>
      <c r="E96" s="69">
        <f t="shared" ca="1" si="27"/>
        <v>-0.55096897845573833</v>
      </c>
      <c r="F96" s="69">
        <f t="shared" ca="1" si="27"/>
        <v>-0.3227948937404807</v>
      </c>
      <c r="G96" s="69">
        <f t="shared" ca="1" si="27"/>
        <v>-0.9302209348530025</v>
      </c>
      <c r="H96" s="69">
        <f t="shared" ca="1" si="27"/>
        <v>1.370024512576095</v>
      </c>
      <c r="I96" s="69">
        <f t="shared" ca="1" si="27"/>
        <v>0.78392928241048487</v>
      </c>
      <c r="J96" s="69">
        <f t="shared" ca="1" si="27"/>
        <v>0.46969598755877173</v>
      </c>
      <c r="K96" s="69">
        <f t="shared" ca="1" si="27"/>
        <v>1.3646553692865169</v>
      </c>
      <c r="L96" s="69">
        <f t="shared" ca="1" si="27"/>
        <v>0.28823885496722795</v>
      </c>
      <c r="N96" s="69">
        <f t="shared" ca="1" si="16"/>
        <v>-0.53696806862323265</v>
      </c>
      <c r="O96" s="69">
        <f t="shared" ca="1" si="17"/>
        <v>1.9489632238489163</v>
      </c>
      <c r="P96" s="69">
        <f t="shared" ca="1" si="18"/>
        <v>0.47566572456207651</v>
      </c>
      <c r="Q96" s="69">
        <f t="shared" ca="1" si="19"/>
        <v>-0.50186029959397938</v>
      </c>
      <c r="R96" s="69">
        <f t="shared" ca="1" si="20"/>
        <v>-0.32908957914812959</v>
      </c>
      <c r="S96" s="69">
        <f t="shared" ca="1" si="21"/>
        <v>-0.89739396259619397</v>
      </c>
      <c r="T96" s="69">
        <f t="shared" ca="1" si="22"/>
        <v>1.3651934748609051</v>
      </c>
      <c r="U96" s="69">
        <f t="shared" ca="1" si="23"/>
        <v>0.80696940928819449</v>
      </c>
      <c r="V96" s="69">
        <f t="shared" ca="1" si="24"/>
        <v>0.46358639398517443</v>
      </c>
      <c r="W96" s="69">
        <f t="shared" ca="1" si="25"/>
        <v>1.3656367261106159</v>
      </c>
      <c r="X96" s="69">
        <f t="shared" ca="1" si="26"/>
        <v>0.31540734534166343</v>
      </c>
    </row>
    <row r="97" spans="2:24" x14ac:dyDescent="0.2">
      <c r="B97" s="69">
        <f t="shared" ca="1" si="15"/>
        <v>1.6468051508862478</v>
      </c>
      <c r="C97" s="69">
        <f t="shared" ca="1" si="27"/>
        <v>-7.7952571049160091E-2</v>
      </c>
      <c r="D97" s="69">
        <f t="shared" ca="1" si="27"/>
        <v>-0.32032807578533107</v>
      </c>
      <c r="E97" s="69">
        <f t="shared" ca="1" si="27"/>
        <v>0.67368401671197486</v>
      </c>
      <c r="F97" s="69">
        <f t="shared" ca="1" si="27"/>
        <v>0.21095034184939401</v>
      </c>
      <c r="G97" s="69">
        <f t="shared" ca="1" si="27"/>
        <v>-1.369466957975074</v>
      </c>
      <c r="H97" s="69">
        <f t="shared" ca="1" si="27"/>
        <v>0.56206992068403083</v>
      </c>
      <c r="I97" s="69">
        <f t="shared" ca="1" si="27"/>
        <v>1.455271740740492</v>
      </c>
      <c r="J97" s="69">
        <f t="shared" ca="1" si="27"/>
        <v>0.69987780508923292</v>
      </c>
      <c r="K97" s="69">
        <f t="shared" ca="1" si="27"/>
        <v>-2.2392572649012461</v>
      </c>
      <c r="L97" s="69">
        <f t="shared" ca="1" si="27"/>
        <v>-0.61555532027177928</v>
      </c>
      <c r="N97" s="69">
        <f t="shared" ca="1" si="16"/>
        <v>1.6845731947243565</v>
      </c>
      <c r="O97" s="69">
        <f t="shared" ca="1" si="17"/>
        <v>-0.10444613413204677</v>
      </c>
      <c r="P97" s="69">
        <f t="shared" ca="1" si="18"/>
        <v>-0.37807014062242111</v>
      </c>
      <c r="Q97" s="69">
        <f t="shared" ca="1" si="19"/>
        <v>0.72279269557373382</v>
      </c>
      <c r="R97" s="69">
        <f t="shared" ca="1" si="20"/>
        <v>0.2046556564417451</v>
      </c>
      <c r="S97" s="69">
        <f t="shared" ca="1" si="21"/>
        <v>-1.3366399857182656</v>
      </c>
      <c r="T97" s="69">
        <f t="shared" ca="1" si="22"/>
        <v>0.55723888296884094</v>
      </c>
      <c r="U97" s="69">
        <f t="shared" ca="1" si="23"/>
        <v>1.4783118676182017</v>
      </c>
      <c r="V97" s="69">
        <f t="shared" ca="1" si="24"/>
        <v>0.69376821151563561</v>
      </c>
      <c r="W97" s="69">
        <f t="shared" ca="1" si="25"/>
        <v>-2.238275908077147</v>
      </c>
      <c r="X97" s="69">
        <f t="shared" ca="1" si="26"/>
        <v>-0.58838682989734381</v>
      </c>
    </row>
    <row r="98" spans="2:24" x14ac:dyDescent="0.2">
      <c r="B98" s="69">
        <f t="shared" ca="1" si="15"/>
        <v>-0.21355066350017585</v>
      </c>
      <c r="C98" s="69">
        <f t="shared" ca="1" si="27"/>
        <v>0.21065483351820452</v>
      </c>
      <c r="D98" s="69">
        <f t="shared" ca="1" si="27"/>
        <v>-2.3712938089174225</v>
      </c>
      <c r="E98" s="69">
        <f t="shared" ca="1" si="27"/>
        <v>8.7303141811968216E-2</v>
      </c>
      <c r="F98" s="69">
        <f t="shared" ca="1" si="27"/>
        <v>0.58960059942377241</v>
      </c>
      <c r="G98" s="69">
        <f t="shared" ca="1" si="27"/>
        <v>1.1427163306945669</v>
      </c>
      <c r="H98" s="69">
        <f t="shared" ca="1" si="27"/>
        <v>0.40813273059860772</v>
      </c>
      <c r="I98" s="69">
        <f t="shared" ca="1" si="27"/>
        <v>-1.1106899326572395</v>
      </c>
      <c r="J98" s="69">
        <f t="shared" ca="1" si="27"/>
        <v>1.0471786345804122</v>
      </c>
      <c r="K98" s="69">
        <f t="shared" ca="1" si="27"/>
        <v>-1.0250551613726495</v>
      </c>
      <c r="L98" s="69">
        <f t="shared" ca="1" si="27"/>
        <v>0.37389131061168163</v>
      </c>
      <c r="N98" s="69">
        <f t="shared" ca="1" si="16"/>
        <v>-0.17578261966206704</v>
      </c>
      <c r="O98" s="69">
        <f t="shared" ca="1" si="17"/>
        <v>0.18416127043531783</v>
      </c>
      <c r="P98" s="69">
        <f t="shared" ca="1" si="18"/>
        <v>-2.4290358737545126</v>
      </c>
      <c r="Q98" s="69">
        <f t="shared" ca="1" si="19"/>
        <v>0.13641182067372715</v>
      </c>
      <c r="R98" s="69">
        <f t="shared" ca="1" si="20"/>
        <v>0.58330591401612353</v>
      </c>
      <c r="S98" s="69">
        <f t="shared" ca="1" si="21"/>
        <v>1.1755433029513753</v>
      </c>
      <c r="T98" s="69">
        <f t="shared" ca="1" si="22"/>
        <v>0.40330169288341788</v>
      </c>
      <c r="U98" s="69">
        <f t="shared" ca="1" si="23"/>
        <v>-1.0876498057795299</v>
      </c>
      <c r="V98" s="69">
        <f t="shared" ca="1" si="24"/>
        <v>1.0410690410068149</v>
      </c>
      <c r="W98" s="69">
        <f t="shared" ca="1" si="25"/>
        <v>-1.0240738045485505</v>
      </c>
      <c r="X98" s="69">
        <f t="shared" ca="1" si="26"/>
        <v>0.4010598009861171</v>
      </c>
    </row>
    <row r="99" spans="2:24" x14ac:dyDescent="0.2">
      <c r="B99" s="69">
        <f t="shared" ca="1" si="15"/>
        <v>-2.5965830408390667</v>
      </c>
      <c r="C99" s="69">
        <f t="shared" ca="1" si="27"/>
        <v>0.23236321596559628</v>
      </c>
      <c r="D99" s="69">
        <f t="shared" ca="1" si="27"/>
        <v>0.6096541396336238</v>
      </c>
      <c r="E99" s="69">
        <f t="shared" ca="1" si="27"/>
        <v>0.23855155512022297</v>
      </c>
      <c r="F99" s="69">
        <f t="shared" ca="1" si="27"/>
        <v>-0.39533893993800773</v>
      </c>
      <c r="G99" s="69">
        <f t="shared" ca="1" si="27"/>
        <v>-0.17634331691046468</v>
      </c>
      <c r="H99" s="69">
        <f t="shared" ca="1" si="27"/>
        <v>1.925005509054958</v>
      </c>
      <c r="I99" s="69">
        <f t="shared" ca="1" si="27"/>
        <v>-1.2198293051533999</v>
      </c>
      <c r="J99" s="69">
        <f t="shared" ca="1" si="27"/>
        <v>-0.68208069821707773</v>
      </c>
      <c r="K99" s="69">
        <f t="shared" ca="1" si="27"/>
        <v>0.80859864365800149</v>
      </c>
      <c r="L99" s="69">
        <f t="shared" ca="1" si="27"/>
        <v>0.35753360892396002</v>
      </c>
      <c r="N99" s="69">
        <f t="shared" ca="1" si="16"/>
        <v>-2.5588149970009577</v>
      </c>
      <c r="O99" s="69">
        <f t="shared" ca="1" si="17"/>
        <v>0.20586965288270959</v>
      </c>
      <c r="P99" s="69">
        <f t="shared" ca="1" si="18"/>
        <v>0.55191207479653381</v>
      </c>
      <c r="Q99" s="69">
        <f t="shared" ca="1" si="19"/>
        <v>0.28766023398198193</v>
      </c>
      <c r="R99" s="69">
        <f t="shared" ca="1" si="20"/>
        <v>-0.40163362534565661</v>
      </c>
      <c r="S99" s="69">
        <f t="shared" ca="1" si="21"/>
        <v>-0.1435163446536562</v>
      </c>
      <c r="T99" s="69">
        <f t="shared" ca="1" si="22"/>
        <v>1.9201744713397682</v>
      </c>
      <c r="U99" s="69">
        <f t="shared" ca="1" si="23"/>
        <v>-1.1967891782756903</v>
      </c>
      <c r="V99" s="69">
        <f t="shared" ca="1" si="24"/>
        <v>-0.68819029179067503</v>
      </c>
      <c r="W99" s="69">
        <f t="shared" ca="1" si="25"/>
        <v>0.80958000048210044</v>
      </c>
      <c r="X99" s="69">
        <f t="shared" ca="1" si="26"/>
        <v>0.38470209929839549</v>
      </c>
    </row>
    <row r="100" spans="2:24" x14ac:dyDescent="0.2">
      <c r="B100" s="69">
        <f t="shared" ca="1" si="15"/>
        <v>-0.28450891336662248</v>
      </c>
      <c r="C100" s="69">
        <f t="shared" ca="1" si="27"/>
        <v>-0.52679584885371411</v>
      </c>
      <c r="D100" s="69">
        <f t="shared" ca="1" si="27"/>
        <v>8.7270990636575882E-2</v>
      </c>
      <c r="E100" s="69">
        <f t="shared" ca="1" si="27"/>
        <v>-1.0448093562443523</v>
      </c>
      <c r="F100" s="69">
        <f t="shared" ca="1" si="27"/>
        <v>-8.2497471725101426E-2</v>
      </c>
      <c r="G100" s="69">
        <f t="shared" ca="1" si="27"/>
        <v>0.46176276301200497</v>
      </c>
      <c r="H100" s="69">
        <f t="shared" ca="1" si="27"/>
        <v>1.6261359630679089</v>
      </c>
      <c r="I100" s="69">
        <f t="shared" ca="1" si="27"/>
        <v>-0.15208605073833792</v>
      </c>
      <c r="J100" s="69">
        <f t="shared" ca="1" si="27"/>
        <v>0.7258960000601391</v>
      </c>
      <c r="K100" s="69">
        <f t="shared" ca="1" si="27"/>
        <v>2.9173697854642685E-2</v>
      </c>
      <c r="L100" s="69">
        <f t="shared" ca="1" si="27"/>
        <v>2.4729925453983586</v>
      </c>
      <c r="N100" s="69">
        <f t="shared" ca="1" si="16"/>
        <v>-0.24674086952851365</v>
      </c>
      <c r="O100" s="69">
        <f t="shared" ca="1" si="17"/>
        <v>-0.55328941193660075</v>
      </c>
      <c r="P100" s="69">
        <f t="shared" ca="1" si="18"/>
        <v>2.952892579948585E-2</v>
      </c>
      <c r="Q100" s="69">
        <f t="shared" ca="1" si="19"/>
        <v>-0.99570067738259338</v>
      </c>
      <c r="R100" s="69">
        <f t="shared" ca="1" si="20"/>
        <v>-8.8792157132750321E-2</v>
      </c>
      <c r="S100" s="69">
        <f t="shared" ca="1" si="21"/>
        <v>0.49458973526881345</v>
      </c>
      <c r="T100" s="69">
        <f t="shared" ca="1" si="22"/>
        <v>1.621304925352719</v>
      </c>
      <c r="U100" s="69">
        <f t="shared" ca="1" si="23"/>
        <v>-0.12904592386062827</v>
      </c>
      <c r="V100" s="69">
        <f t="shared" ca="1" si="24"/>
        <v>0.7197864064865418</v>
      </c>
      <c r="W100" s="69">
        <f t="shared" ca="1" si="25"/>
        <v>3.0155054678741636E-2</v>
      </c>
      <c r="X100" s="69">
        <f t="shared" ca="1" si="26"/>
        <v>2.5001610357727939</v>
      </c>
    </row>
    <row r="101" spans="2:24" x14ac:dyDescent="0.2">
      <c r="B101" s="69">
        <f t="shared" ca="1" si="15"/>
        <v>-1.2416686540952651</v>
      </c>
      <c r="C101" s="69">
        <f t="shared" ca="1" si="27"/>
        <v>0.67047523669912834</v>
      </c>
      <c r="D101" s="69">
        <f t="shared" ca="1" si="27"/>
        <v>0.26403283772515462</v>
      </c>
      <c r="E101" s="69">
        <f t="shared" ca="1" si="27"/>
        <v>1.1852199252324009</v>
      </c>
      <c r="F101" s="69">
        <f t="shared" ca="1" si="27"/>
        <v>0.87778457481374583</v>
      </c>
      <c r="G101" s="69">
        <f t="shared" ca="1" si="27"/>
        <v>0.70449177873097912</v>
      </c>
      <c r="H101" s="69">
        <f t="shared" ca="1" si="27"/>
        <v>-0.26001141518451631</v>
      </c>
      <c r="I101" s="69">
        <f t="shared" ca="1" si="27"/>
        <v>1.9466692823305698</v>
      </c>
      <c r="J101" s="69">
        <f t="shared" ca="1" si="27"/>
        <v>-0.80967869886439248</v>
      </c>
      <c r="K101" s="69">
        <f t="shared" ca="1" si="27"/>
        <v>0.80587632606173143</v>
      </c>
      <c r="L101" s="69">
        <f t="shared" ca="1" si="27"/>
        <v>0.14994369244256051</v>
      </c>
      <c r="N101" s="69">
        <f t="shared" ca="1" si="16"/>
        <v>-1.2039006102571563</v>
      </c>
      <c r="O101" s="69">
        <f t="shared" ca="1" si="17"/>
        <v>0.6439816736162417</v>
      </c>
      <c r="P101" s="69">
        <f t="shared" ca="1" si="18"/>
        <v>0.20629077288806458</v>
      </c>
      <c r="Q101" s="69">
        <f t="shared" ca="1" si="19"/>
        <v>1.2343286040941599</v>
      </c>
      <c r="R101" s="69">
        <f t="shared" ca="1" si="20"/>
        <v>0.87148988940609695</v>
      </c>
      <c r="S101" s="69">
        <f t="shared" ca="1" si="21"/>
        <v>0.73731875098778765</v>
      </c>
      <c r="T101" s="69">
        <f t="shared" ca="1" si="22"/>
        <v>-0.26484245289970615</v>
      </c>
      <c r="U101" s="69">
        <f t="shared" ca="1" si="23"/>
        <v>1.9697094092082794</v>
      </c>
      <c r="V101" s="69">
        <f t="shared" ca="1" si="24"/>
        <v>-0.81578829243798978</v>
      </c>
      <c r="W101" s="69">
        <f t="shared" ca="1" si="25"/>
        <v>0.80685768288583037</v>
      </c>
      <c r="X101" s="69">
        <f t="shared" ca="1" si="26"/>
        <v>0.17711218281699598</v>
      </c>
    </row>
    <row r="102" spans="2:24" x14ac:dyDescent="0.2">
      <c r="B102" s="69">
        <f t="shared" ca="1" si="15"/>
        <v>-5.1855996410760864E-2</v>
      </c>
      <c r="C102" s="69">
        <f t="shared" ca="1" si="27"/>
        <v>1.2520865593881567</v>
      </c>
      <c r="D102" s="69">
        <f t="shared" ca="1" si="27"/>
        <v>-1.1600931849366536</v>
      </c>
      <c r="E102" s="69">
        <f t="shared" ca="1" si="27"/>
        <v>1.3969107452718014E-2</v>
      </c>
      <c r="F102" s="69">
        <f t="shared" ca="1" si="27"/>
        <v>0.98388172471012203</v>
      </c>
      <c r="G102" s="69">
        <f t="shared" ca="1" si="27"/>
        <v>-0.35710588860326375</v>
      </c>
      <c r="H102" s="69">
        <f t="shared" ca="1" si="27"/>
        <v>4.1704995625909118E-2</v>
      </c>
      <c r="I102" s="69">
        <f t="shared" ca="1" si="27"/>
        <v>-1.0333427770880244</v>
      </c>
      <c r="J102" s="69">
        <f t="shared" ca="1" si="27"/>
        <v>0.221720344625743</v>
      </c>
      <c r="K102" s="69">
        <f t="shared" ca="1" si="27"/>
        <v>1.6191185451499022</v>
      </c>
      <c r="L102" s="69">
        <f t="shared" ca="1" si="27"/>
        <v>2.4901141449213169</v>
      </c>
      <c r="N102" s="69">
        <f t="shared" ca="1" si="16"/>
        <v>-1.4087952572652045E-2</v>
      </c>
      <c r="O102" s="69">
        <f t="shared" ca="1" si="17"/>
        <v>1.2255929963052701</v>
      </c>
      <c r="P102" s="69">
        <f t="shared" ca="1" si="18"/>
        <v>-1.2178352497737437</v>
      </c>
      <c r="Q102" s="69">
        <f t="shared" ca="1" si="19"/>
        <v>6.3077786314476955E-2</v>
      </c>
      <c r="R102" s="69">
        <f t="shared" ca="1" si="20"/>
        <v>0.97758703930247315</v>
      </c>
      <c r="S102" s="69">
        <f t="shared" ca="1" si="21"/>
        <v>-0.32427891634645528</v>
      </c>
      <c r="T102" s="69">
        <f t="shared" ca="1" si="22"/>
        <v>3.687395791071927E-2</v>
      </c>
      <c r="U102" s="69">
        <f t="shared" ca="1" si="23"/>
        <v>-1.0103026502103147</v>
      </c>
      <c r="V102" s="69">
        <f t="shared" ca="1" si="24"/>
        <v>0.21561075105214567</v>
      </c>
      <c r="W102" s="69">
        <f t="shared" ca="1" si="25"/>
        <v>1.6200999019740012</v>
      </c>
      <c r="X102" s="69">
        <f t="shared" ca="1" si="26"/>
        <v>2.5172826352957522</v>
      </c>
    </row>
    <row r="103" spans="2:24" x14ac:dyDescent="0.2">
      <c r="B103" s="69">
        <f t="shared" ca="1" si="15"/>
        <v>-0.7220016106814986</v>
      </c>
      <c r="C103" s="69">
        <f t="shared" ca="1" si="27"/>
        <v>1.2328313121189063</v>
      </c>
      <c r="D103" s="69">
        <f t="shared" ca="1" si="27"/>
        <v>-0.83711270118039083</v>
      </c>
      <c r="E103" s="69">
        <f t="shared" ca="1" si="27"/>
        <v>-1.4398504604267626</v>
      </c>
      <c r="F103" s="69">
        <f t="shared" ca="1" si="27"/>
        <v>2.5493018907733815</v>
      </c>
      <c r="G103" s="69">
        <f t="shared" ca="1" si="27"/>
        <v>-0.30271408749773654</v>
      </c>
      <c r="H103" s="69">
        <f t="shared" ca="1" si="27"/>
        <v>0.78519730535350263</v>
      </c>
      <c r="I103" s="69">
        <f t="shared" ca="1" si="27"/>
        <v>-0.18078718704519781</v>
      </c>
      <c r="J103" s="69">
        <f t="shared" ca="1" si="27"/>
        <v>-1.193011988553581</v>
      </c>
      <c r="K103" s="69">
        <f t="shared" ca="1" si="27"/>
        <v>0.21473583890285242</v>
      </c>
      <c r="L103" s="69">
        <f t="shared" ca="1" si="27"/>
        <v>0.66916724418298401</v>
      </c>
      <c r="N103" s="69">
        <f t="shared" ca="1" si="16"/>
        <v>-0.68423356684338976</v>
      </c>
      <c r="O103" s="69">
        <f t="shared" ca="1" si="17"/>
        <v>1.2063377490360196</v>
      </c>
      <c r="P103" s="69">
        <f t="shared" ca="1" si="18"/>
        <v>-0.89485476601748082</v>
      </c>
      <c r="Q103" s="69">
        <f t="shared" ca="1" si="19"/>
        <v>-1.3907417815650036</v>
      </c>
      <c r="R103" s="69">
        <f t="shared" ca="1" si="20"/>
        <v>2.5430072053657327</v>
      </c>
      <c r="S103" s="69">
        <f t="shared" ca="1" si="21"/>
        <v>-0.26988711524092807</v>
      </c>
      <c r="T103" s="69">
        <f t="shared" ca="1" si="22"/>
        <v>0.78036626763831274</v>
      </c>
      <c r="U103" s="69">
        <f t="shared" ca="1" si="23"/>
        <v>-0.15774706016748816</v>
      </c>
      <c r="V103" s="69">
        <f t="shared" ca="1" si="24"/>
        <v>-1.1991215821271783</v>
      </c>
      <c r="W103" s="69">
        <f t="shared" ca="1" si="25"/>
        <v>0.21571719572695136</v>
      </c>
      <c r="X103" s="69">
        <f t="shared" ca="1" si="26"/>
        <v>0.69633573455741948</v>
      </c>
    </row>
    <row r="104" spans="2:24" x14ac:dyDescent="0.2">
      <c r="B104" s="69">
        <f t="shared" ca="1" si="15"/>
        <v>-0.30805909819104688</v>
      </c>
      <c r="C104" s="69">
        <f t="shared" ca="1" si="27"/>
        <v>-0.619883643885488</v>
      </c>
      <c r="D104" s="69">
        <f t="shared" ca="1" si="27"/>
        <v>1.6840967340085844</v>
      </c>
      <c r="E104" s="69">
        <f t="shared" ca="1" si="27"/>
        <v>-0.27342934013537296</v>
      </c>
      <c r="F104" s="69">
        <f t="shared" ca="1" si="27"/>
        <v>0.417590235848115</v>
      </c>
      <c r="G104" s="69">
        <f t="shared" ca="1" si="27"/>
        <v>-0.50249570975364344</v>
      </c>
      <c r="H104" s="69">
        <f t="shared" ca="1" si="27"/>
        <v>0.96561133136325727</v>
      </c>
      <c r="I104" s="69">
        <f t="shared" ca="1" si="27"/>
        <v>-0.32530067944635688</v>
      </c>
      <c r="J104" s="69">
        <f t="shared" ca="1" si="27"/>
        <v>-1.600217279102927</v>
      </c>
      <c r="K104" s="69">
        <f t="shared" ca="1" si="27"/>
        <v>0.60788212442816325</v>
      </c>
      <c r="L104" s="69">
        <f t="shared" ca="1" si="27"/>
        <v>0.20680347346584893</v>
      </c>
      <c r="N104" s="69">
        <f t="shared" ca="1" si="16"/>
        <v>-0.27029105435293804</v>
      </c>
      <c r="O104" s="69">
        <f t="shared" ca="1" si="17"/>
        <v>-0.64637720696837464</v>
      </c>
      <c r="P104" s="69">
        <f t="shared" ca="1" si="18"/>
        <v>1.6263546691714943</v>
      </c>
      <c r="Q104" s="69">
        <f t="shared" ca="1" si="19"/>
        <v>-0.224320661273614</v>
      </c>
      <c r="R104" s="69">
        <f t="shared" ca="1" si="20"/>
        <v>0.41129555044046612</v>
      </c>
      <c r="S104" s="69">
        <f t="shared" ca="1" si="21"/>
        <v>-0.46966873749683496</v>
      </c>
      <c r="T104" s="69">
        <f t="shared" ca="1" si="22"/>
        <v>0.96078029364806738</v>
      </c>
      <c r="U104" s="69">
        <f t="shared" ca="1" si="23"/>
        <v>-0.3022605525686472</v>
      </c>
      <c r="V104" s="69">
        <f t="shared" ca="1" si="24"/>
        <v>-1.6063268726765243</v>
      </c>
      <c r="W104" s="69">
        <f t="shared" ca="1" si="25"/>
        <v>0.6088634812522622</v>
      </c>
      <c r="X104" s="69">
        <f t="shared" ca="1" si="26"/>
        <v>0.2339719638402844</v>
      </c>
    </row>
    <row r="105" spans="2:24" x14ac:dyDescent="0.2">
      <c r="B105" s="69">
        <f t="shared" ca="1" si="15"/>
        <v>1.5625413957609322</v>
      </c>
      <c r="C105" s="69">
        <f t="shared" ca="1" si="27"/>
        <v>0.16833036132644286</v>
      </c>
      <c r="D105" s="69">
        <f t="shared" ca="1" si="27"/>
        <v>-0.75504681588049072</v>
      </c>
      <c r="E105" s="69">
        <f t="shared" ca="1" si="27"/>
        <v>-5.1148704351716721E-2</v>
      </c>
      <c r="F105" s="69">
        <f t="shared" ca="1" si="27"/>
        <v>-1.4124362083862996</v>
      </c>
      <c r="G105" s="69">
        <f t="shared" ca="1" si="27"/>
        <v>-1.5188459376859884</v>
      </c>
      <c r="H105" s="69">
        <f t="shared" ca="1" si="27"/>
        <v>1.2407924349443187</v>
      </c>
      <c r="I105" s="69">
        <f t="shared" ca="1" si="27"/>
        <v>1.3056605079803485</v>
      </c>
      <c r="J105" s="69">
        <f t="shared" ca="1" si="27"/>
        <v>-0.43977885775511605</v>
      </c>
      <c r="K105" s="69">
        <f t="shared" ca="1" si="27"/>
        <v>0.32033563747897797</v>
      </c>
      <c r="L105" s="69">
        <f t="shared" ca="1" si="27"/>
        <v>-1.3452844420128951</v>
      </c>
      <c r="N105" s="69">
        <f t="shared" ca="1" si="16"/>
        <v>1.6003094395990409</v>
      </c>
      <c r="O105" s="69">
        <f t="shared" ca="1" si="17"/>
        <v>0.14183679824355616</v>
      </c>
      <c r="P105" s="69">
        <f t="shared" ca="1" si="18"/>
        <v>-0.81278888071758071</v>
      </c>
      <c r="Q105" s="69">
        <f t="shared" ca="1" si="19"/>
        <v>-2.0400254899577766E-3</v>
      </c>
      <c r="R105" s="69">
        <f t="shared" ca="1" si="20"/>
        <v>-1.4187308937939485</v>
      </c>
      <c r="S105" s="69">
        <f t="shared" ca="1" si="21"/>
        <v>-1.48601896542918</v>
      </c>
      <c r="T105" s="69">
        <f t="shared" ca="1" si="22"/>
        <v>1.2359613972291288</v>
      </c>
      <c r="U105" s="69">
        <f t="shared" ca="1" si="23"/>
        <v>1.3287006348580581</v>
      </c>
      <c r="V105" s="69">
        <f t="shared" ca="1" si="24"/>
        <v>-0.44588845132871335</v>
      </c>
      <c r="W105" s="69">
        <f t="shared" ca="1" si="25"/>
        <v>0.32131699430307692</v>
      </c>
      <c r="X105" s="69">
        <f t="shared" ca="1" si="26"/>
        <v>-1.3181159516384595</v>
      </c>
    </row>
    <row r="106" spans="2:24" x14ac:dyDescent="0.2">
      <c r="B106" s="69">
        <f t="shared" ca="1" si="15"/>
        <v>0.33480083210290545</v>
      </c>
      <c r="C106" s="69">
        <f t="shared" ca="1" si="27"/>
        <v>1.7120333120437126</v>
      </c>
      <c r="D106" s="69">
        <f t="shared" ca="1" si="27"/>
        <v>1.3102098288967976</v>
      </c>
      <c r="E106" s="69">
        <f t="shared" ca="1" si="27"/>
        <v>0.42077874299840901</v>
      </c>
      <c r="F106" s="69">
        <f t="shared" ca="1" si="27"/>
        <v>-1.0205336604874025</v>
      </c>
      <c r="G106" s="69">
        <f t="shared" ca="1" si="27"/>
        <v>0.8359651055153694</v>
      </c>
      <c r="H106" s="69">
        <f t="shared" ca="1" si="27"/>
        <v>-1.8543262977928037</v>
      </c>
      <c r="I106" s="69">
        <f t="shared" ca="1" si="27"/>
        <v>-0.56442130656815781</v>
      </c>
      <c r="J106" s="69">
        <f t="shared" ca="1" si="27"/>
        <v>1.9045331207288032</v>
      </c>
      <c r="K106" s="69">
        <f t="shared" ca="1" si="27"/>
        <v>-1.679038215739409</v>
      </c>
      <c r="L106" s="69">
        <f t="shared" ca="1" si="27"/>
        <v>-0.77164683962636293</v>
      </c>
      <c r="N106" s="69">
        <f t="shared" ca="1" si="16"/>
        <v>0.37256887594101429</v>
      </c>
      <c r="O106" s="69">
        <f t="shared" ca="1" si="17"/>
        <v>1.6855397489608259</v>
      </c>
      <c r="P106" s="69">
        <f t="shared" ca="1" si="18"/>
        <v>1.2524677640597075</v>
      </c>
      <c r="Q106" s="69">
        <f t="shared" ca="1" si="19"/>
        <v>0.46988742186016796</v>
      </c>
      <c r="R106" s="69">
        <f t="shared" ca="1" si="20"/>
        <v>-1.0268283458950513</v>
      </c>
      <c r="S106" s="69">
        <f t="shared" ca="1" si="21"/>
        <v>0.86879207777217793</v>
      </c>
      <c r="T106" s="69">
        <f t="shared" ca="1" si="22"/>
        <v>-1.8591573355079936</v>
      </c>
      <c r="U106" s="69">
        <f t="shared" ca="1" si="23"/>
        <v>-0.54138117969044819</v>
      </c>
      <c r="V106" s="69">
        <f t="shared" ca="1" si="24"/>
        <v>1.8984235271552059</v>
      </c>
      <c r="W106" s="69">
        <f t="shared" ca="1" si="25"/>
        <v>-1.67805685891531</v>
      </c>
      <c r="X106" s="69">
        <f t="shared" ca="1" si="26"/>
        <v>-0.74447834925192746</v>
      </c>
    </row>
    <row r="107" spans="2:24" x14ac:dyDescent="0.2">
      <c r="B107" s="69">
        <f t="shared" ca="1" si="15"/>
        <v>-1.2066809660662059</v>
      </c>
      <c r="C107" s="69">
        <f t="shared" ca="1" si="27"/>
        <v>-0.18295177609775343</v>
      </c>
      <c r="D107" s="69">
        <f t="shared" ca="1" si="27"/>
        <v>-0.17873569464280878</v>
      </c>
      <c r="E107" s="69">
        <f t="shared" ca="1" si="27"/>
        <v>0.38304376142081936</v>
      </c>
      <c r="F107" s="69">
        <f t="shared" ca="1" si="27"/>
        <v>2.4069955415056099</v>
      </c>
      <c r="G107" s="69">
        <f t="shared" ca="1" si="27"/>
        <v>1.4495252082058387</v>
      </c>
      <c r="H107" s="69">
        <f t="shared" ca="1" si="27"/>
        <v>-1.4353344663529748</v>
      </c>
      <c r="I107" s="69">
        <f t="shared" ca="1" si="27"/>
        <v>-0.94729800615925353</v>
      </c>
      <c r="J107" s="69">
        <f t="shared" ca="1" si="27"/>
        <v>0.68302342650169245</v>
      </c>
      <c r="K107" s="69">
        <f t="shared" ca="1" si="27"/>
        <v>0.12557390400433199</v>
      </c>
      <c r="L107" s="69">
        <f t="shared" ca="1" si="27"/>
        <v>-1.1334807415957073</v>
      </c>
      <c r="N107" s="69">
        <f t="shared" ca="1" si="16"/>
        <v>-1.1689129222280972</v>
      </c>
      <c r="O107" s="69">
        <f t="shared" ca="1" si="17"/>
        <v>-0.20944533918064012</v>
      </c>
      <c r="P107" s="69">
        <f t="shared" ca="1" si="18"/>
        <v>-0.2364777594798988</v>
      </c>
      <c r="Q107" s="69">
        <f t="shared" ca="1" si="19"/>
        <v>0.43215244028257832</v>
      </c>
      <c r="R107" s="69">
        <f t="shared" ca="1" si="20"/>
        <v>2.400700856097961</v>
      </c>
      <c r="S107" s="69">
        <f t="shared" ca="1" si="21"/>
        <v>1.4823521804626472</v>
      </c>
      <c r="T107" s="69">
        <f t="shared" ca="1" si="22"/>
        <v>-1.4401655040681647</v>
      </c>
      <c r="U107" s="69">
        <f t="shared" ca="1" si="23"/>
        <v>-0.9242578792815439</v>
      </c>
      <c r="V107" s="69">
        <f t="shared" ca="1" si="24"/>
        <v>0.67691383292809515</v>
      </c>
      <c r="W107" s="69">
        <f t="shared" ca="1" si="25"/>
        <v>0.12655526082843094</v>
      </c>
      <c r="X107" s="69">
        <f t="shared" ca="1" si="26"/>
        <v>-1.1063122512212717</v>
      </c>
    </row>
    <row r="108" spans="2:24" x14ac:dyDescent="0.2">
      <c r="B108" s="69">
        <f t="shared" ca="1" si="15"/>
        <v>-0.948413025617306</v>
      </c>
      <c r="C108" s="69">
        <f t="shared" ca="1" si="27"/>
        <v>0.88243516562354196</v>
      </c>
      <c r="D108" s="69">
        <f t="shared" ca="1" si="27"/>
        <v>0.57773268972699654</v>
      </c>
      <c r="E108" s="69">
        <f t="shared" ca="1" si="27"/>
        <v>0.64763134377478015</v>
      </c>
      <c r="F108" s="69">
        <f t="shared" ca="1" si="27"/>
        <v>0.20691783336493624</v>
      </c>
      <c r="G108" s="69">
        <f t="shared" ca="1" si="27"/>
        <v>-0.74219751477250417</v>
      </c>
      <c r="H108" s="69">
        <f t="shared" ca="1" si="27"/>
        <v>0.39676077972798579</v>
      </c>
      <c r="I108" s="69">
        <f t="shared" ca="1" si="27"/>
        <v>1.8795594523988697</v>
      </c>
      <c r="J108" s="69">
        <f t="shared" ca="1" si="27"/>
        <v>0.25740514821883725</v>
      </c>
      <c r="K108" s="69">
        <f t="shared" ca="1" si="27"/>
        <v>0.25452541716045285</v>
      </c>
      <c r="L108" s="69">
        <f t="shared" ca="1" si="27"/>
        <v>-1.0071950734280462</v>
      </c>
      <c r="N108" s="69">
        <f t="shared" ca="1" si="16"/>
        <v>-0.91064498177919717</v>
      </c>
      <c r="O108" s="69">
        <f t="shared" ca="1" si="17"/>
        <v>0.85594160254065532</v>
      </c>
      <c r="P108" s="69">
        <f t="shared" ca="1" si="18"/>
        <v>0.51999062488990655</v>
      </c>
      <c r="Q108" s="69">
        <f t="shared" ca="1" si="19"/>
        <v>0.69674002263653911</v>
      </c>
      <c r="R108" s="69">
        <f t="shared" ca="1" si="20"/>
        <v>0.20062314795728733</v>
      </c>
      <c r="S108" s="69">
        <f t="shared" ca="1" si="21"/>
        <v>-0.70937054251569565</v>
      </c>
      <c r="T108" s="69">
        <f t="shared" ca="1" si="22"/>
        <v>0.39192974201279596</v>
      </c>
      <c r="U108" s="69">
        <f t="shared" ca="1" si="23"/>
        <v>1.9025995792765793</v>
      </c>
      <c r="V108" s="69">
        <f t="shared" ca="1" si="24"/>
        <v>0.25129555464523995</v>
      </c>
      <c r="W108" s="69">
        <f t="shared" ca="1" si="25"/>
        <v>0.25550677398455179</v>
      </c>
      <c r="X108" s="69">
        <f t="shared" ca="1" si="26"/>
        <v>-0.98002658305361068</v>
      </c>
    </row>
    <row r="109" spans="2:24" x14ac:dyDescent="0.2">
      <c r="B109" s="69">
        <f t="shared" ca="1" si="15"/>
        <v>-0.26842137609401079</v>
      </c>
      <c r="C109" s="69">
        <f t="shared" ca="1" si="27"/>
        <v>0.90917279832948328</v>
      </c>
      <c r="D109" s="69">
        <f t="shared" ca="1" si="27"/>
        <v>1.513501864984365</v>
      </c>
      <c r="E109" s="69">
        <f t="shared" ca="1" si="27"/>
        <v>-0.68652529547019636</v>
      </c>
      <c r="F109" s="69">
        <f t="shared" ca="1" si="27"/>
        <v>1.4373825370623523</v>
      </c>
      <c r="G109" s="69">
        <f t="shared" ca="1" si="27"/>
        <v>-0.32792917685716988</v>
      </c>
      <c r="H109" s="69">
        <f t="shared" ca="1" si="27"/>
        <v>0.95170410058401211</v>
      </c>
      <c r="I109" s="69">
        <f t="shared" ca="1" si="27"/>
        <v>6.5996933090289284E-2</v>
      </c>
      <c r="J109" s="69">
        <f t="shared" ca="1" si="27"/>
        <v>-0.93323077905785801</v>
      </c>
      <c r="K109" s="69">
        <f t="shared" ca="1" si="27"/>
        <v>0.63412383673268002</v>
      </c>
      <c r="L109" s="69">
        <f t="shared" ca="1" si="27"/>
        <v>0.16681965003579244</v>
      </c>
      <c r="N109" s="69">
        <f t="shared" ca="1" si="16"/>
        <v>-0.23065333225590195</v>
      </c>
      <c r="O109" s="69">
        <f t="shared" ca="1" si="17"/>
        <v>0.88267923524659664</v>
      </c>
      <c r="P109" s="69">
        <f t="shared" ca="1" si="18"/>
        <v>1.4557598001472749</v>
      </c>
      <c r="Q109" s="69">
        <f t="shared" ca="1" si="19"/>
        <v>-0.6374166166084374</v>
      </c>
      <c r="R109" s="69">
        <f t="shared" ca="1" si="20"/>
        <v>1.4310878516547034</v>
      </c>
      <c r="S109" s="69">
        <f t="shared" ca="1" si="21"/>
        <v>-0.29510220460036141</v>
      </c>
      <c r="T109" s="69">
        <f t="shared" ca="1" si="22"/>
        <v>0.94687306286882222</v>
      </c>
      <c r="U109" s="69">
        <f t="shared" ca="1" si="23"/>
        <v>8.9037059967998933E-2</v>
      </c>
      <c r="V109" s="69">
        <f t="shared" ca="1" si="24"/>
        <v>-0.93934037263145531</v>
      </c>
      <c r="W109" s="69">
        <f t="shared" ca="1" si="25"/>
        <v>0.63510519355677897</v>
      </c>
      <c r="X109" s="69">
        <f t="shared" ca="1" si="26"/>
        <v>0.19398814041022791</v>
      </c>
    </row>
    <row r="110" spans="2:24" x14ac:dyDescent="0.2">
      <c r="B110" s="69">
        <f t="shared" ca="1" si="15"/>
        <v>-1.097892059219082</v>
      </c>
      <c r="C110" s="69">
        <f t="shared" ca="1" si="27"/>
        <v>-1.5056437316919722</v>
      </c>
      <c r="D110" s="69">
        <f t="shared" ca="1" si="27"/>
        <v>0.1028683656293342</v>
      </c>
      <c r="E110" s="69">
        <f t="shared" ca="1" si="27"/>
        <v>0.39803679405011938</v>
      </c>
      <c r="F110" s="69">
        <f t="shared" ca="1" si="27"/>
        <v>-0.61891726938771829</v>
      </c>
      <c r="G110" s="69">
        <f t="shared" ca="1" si="27"/>
        <v>0.70918547813087451</v>
      </c>
      <c r="H110" s="69">
        <f t="shared" ca="1" si="27"/>
        <v>0.30374934456985214</v>
      </c>
      <c r="I110" s="69">
        <f t="shared" ca="1" si="27"/>
        <v>-2.0633122072857986</v>
      </c>
      <c r="J110" s="69">
        <f t="shared" ca="1" si="27"/>
        <v>4.5579952327710303E-2</v>
      </c>
      <c r="K110" s="69">
        <f t="shared" ca="1" si="27"/>
        <v>-0.39092006653274836</v>
      </c>
      <c r="L110" s="69">
        <f t="shared" ca="1" si="27"/>
        <v>-2.5009497406922621</v>
      </c>
      <c r="N110" s="69">
        <f t="shared" ca="1" si="16"/>
        <v>-1.0601240153809732</v>
      </c>
      <c r="O110" s="69">
        <f t="shared" ca="1" si="17"/>
        <v>-1.5321372947748588</v>
      </c>
      <c r="P110" s="69">
        <f t="shared" ca="1" si="18"/>
        <v>4.5126300792244167E-2</v>
      </c>
      <c r="Q110" s="69">
        <f t="shared" ca="1" si="19"/>
        <v>0.44714547291187834</v>
      </c>
      <c r="R110" s="69">
        <f t="shared" ca="1" si="20"/>
        <v>-0.62521195479536718</v>
      </c>
      <c r="S110" s="69">
        <f t="shared" ca="1" si="21"/>
        <v>0.74201245038768304</v>
      </c>
      <c r="T110" s="69">
        <f t="shared" ca="1" si="22"/>
        <v>0.29891830685466231</v>
      </c>
      <c r="U110" s="69">
        <f t="shared" ca="1" si="23"/>
        <v>-2.0402720804080889</v>
      </c>
      <c r="V110" s="69">
        <f t="shared" ca="1" si="24"/>
        <v>3.9470358754112971E-2</v>
      </c>
      <c r="W110" s="69">
        <f t="shared" ca="1" si="25"/>
        <v>-0.38993870970864941</v>
      </c>
      <c r="X110" s="69">
        <f t="shared" ca="1" si="26"/>
        <v>-2.4737812503178267</v>
      </c>
    </row>
    <row r="111" spans="2:24" x14ac:dyDescent="0.2">
      <c r="B111" s="69">
        <f t="shared" ca="1" si="15"/>
        <v>0.77881271066300617</v>
      </c>
      <c r="C111" s="69">
        <f t="shared" ca="1" si="27"/>
        <v>0.32264688260035479</v>
      </c>
      <c r="D111" s="69">
        <f t="shared" ca="1" si="27"/>
        <v>5.4884161865620479E-2</v>
      </c>
      <c r="E111" s="69">
        <f t="shared" ca="1" si="27"/>
        <v>-0.56887320407757103</v>
      </c>
      <c r="F111" s="69">
        <f t="shared" ca="1" si="27"/>
        <v>-0.98723668722662683</v>
      </c>
      <c r="G111" s="69">
        <f t="shared" ca="1" si="27"/>
        <v>1.2689461464994616</v>
      </c>
      <c r="H111" s="69">
        <f t="shared" ca="1" si="27"/>
        <v>1.1146490897553143</v>
      </c>
      <c r="I111" s="69">
        <f t="shared" ca="1" si="27"/>
        <v>-0.51563842035810703</v>
      </c>
      <c r="J111" s="69">
        <f t="shared" ca="1" si="27"/>
        <v>-1.393998738037413</v>
      </c>
      <c r="K111" s="69">
        <f t="shared" ca="1" si="27"/>
        <v>-0.57756727080088421</v>
      </c>
      <c r="L111" s="69">
        <f t="shared" ca="1" si="27"/>
        <v>1.1811284336983841</v>
      </c>
      <c r="N111" s="69">
        <f t="shared" ca="1" si="16"/>
        <v>0.816580754501115</v>
      </c>
      <c r="O111" s="69">
        <f t="shared" ca="1" si="17"/>
        <v>0.29615331951746809</v>
      </c>
      <c r="P111" s="69">
        <f t="shared" ca="1" si="18"/>
        <v>-2.8579029714695531E-3</v>
      </c>
      <c r="Q111" s="69">
        <f t="shared" ca="1" si="19"/>
        <v>-0.51976452521581207</v>
      </c>
      <c r="R111" s="69">
        <f t="shared" ca="1" si="20"/>
        <v>-0.99353137263427571</v>
      </c>
      <c r="S111" s="69">
        <f t="shared" ca="1" si="21"/>
        <v>1.30177311875627</v>
      </c>
      <c r="T111" s="69">
        <f t="shared" ca="1" si="22"/>
        <v>1.1098180520401244</v>
      </c>
      <c r="U111" s="69">
        <f t="shared" ca="1" si="23"/>
        <v>-0.49259829348039735</v>
      </c>
      <c r="V111" s="69">
        <f t="shared" ca="1" si="24"/>
        <v>-1.4001083316110103</v>
      </c>
      <c r="W111" s="69">
        <f t="shared" ca="1" si="25"/>
        <v>-0.57658591397678527</v>
      </c>
      <c r="X111" s="69">
        <f t="shared" ca="1" si="26"/>
        <v>1.2082969240728196</v>
      </c>
    </row>
    <row r="112" spans="2:24" x14ac:dyDescent="0.2">
      <c r="B112" s="69">
        <f t="shared" ca="1" si="15"/>
        <v>0.19415890270356601</v>
      </c>
      <c r="C112" s="69">
        <f t="shared" ca="1" si="27"/>
        <v>2.164061835977602</v>
      </c>
      <c r="D112" s="69">
        <f t="shared" ca="1" si="27"/>
        <v>-0.48208129483579337</v>
      </c>
      <c r="E112" s="69">
        <f t="shared" ca="1" si="27"/>
        <v>0.9827635779564089</v>
      </c>
      <c r="F112" s="69">
        <f t="shared" ca="1" si="27"/>
        <v>-0.7605509294919931</v>
      </c>
      <c r="G112" s="69">
        <f t="shared" ca="1" si="27"/>
        <v>-0.50059514896004542</v>
      </c>
      <c r="H112" s="69">
        <f t="shared" ca="1" si="27"/>
        <v>-1.3022772566682042</v>
      </c>
      <c r="I112" s="69">
        <f t="shared" ca="1" si="27"/>
        <v>0.6280954492136237</v>
      </c>
      <c r="J112" s="69">
        <f t="shared" ca="1" si="27"/>
        <v>-1.3889031846811057</v>
      </c>
      <c r="K112" s="69">
        <f t="shared" ca="1" si="27"/>
        <v>0.82394212099497588</v>
      </c>
      <c r="L112" s="69">
        <f t="shared" ca="1" si="27"/>
        <v>0.4016487075815191</v>
      </c>
      <c r="N112" s="69">
        <f t="shared" ca="1" si="16"/>
        <v>0.23192694654167484</v>
      </c>
      <c r="O112" s="69">
        <f t="shared" ca="1" si="17"/>
        <v>2.1375682728947152</v>
      </c>
      <c r="P112" s="69">
        <f t="shared" ca="1" si="18"/>
        <v>-0.53982335967288342</v>
      </c>
      <c r="Q112" s="69">
        <f t="shared" ca="1" si="19"/>
        <v>1.0318722568181677</v>
      </c>
      <c r="R112" s="69">
        <f t="shared" ca="1" si="20"/>
        <v>-0.76684561489964198</v>
      </c>
      <c r="S112" s="69">
        <f t="shared" ca="1" si="21"/>
        <v>-0.46776817670323695</v>
      </c>
      <c r="T112" s="69">
        <f t="shared" ca="1" si="22"/>
        <v>-1.307108294383394</v>
      </c>
      <c r="U112" s="69">
        <f t="shared" ca="1" si="23"/>
        <v>0.65113557609133332</v>
      </c>
      <c r="V112" s="69">
        <f t="shared" ca="1" si="24"/>
        <v>-1.395012778254703</v>
      </c>
      <c r="W112" s="69">
        <f t="shared" ca="1" si="25"/>
        <v>0.82492347781907482</v>
      </c>
      <c r="X112" s="69">
        <f t="shared" ca="1" si="26"/>
        <v>0.42881719795595458</v>
      </c>
    </row>
    <row r="113" spans="2:24" x14ac:dyDescent="0.2">
      <c r="B113" s="69">
        <f t="shared" ca="1" si="15"/>
        <v>0.36052881419938543</v>
      </c>
      <c r="C113" s="69">
        <f t="shared" ca="1" si="27"/>
        <v>-0.28959864216918002</v>
      </c>
      <c r="D113" s="69">
        <f t="shared" ca="1" si="27"/>
        <v>3.0462236775797551E-2</v>
      </c>
      <c r="E113" s="69">
        <f t="shared" ca="1" si="27"/>
        <v>-0.34039469663927674</v>
      </c>
      <c r="F113" s="69">
        <f t="shared" ca="1" si="27"/>
        <v>-0.66501800263421851</v>
      </c>
      <c r="G113" s="69">
        <f t="shared" ca="1" si="27"/>
        <v>1.0491583705160099</v>
      </c>
      <c r="H113" s="69">
        <f t="shared" ca="1" si="27"/>
        <v>0.41931422303766902</v>
      </c>
      <c r="I113" s="69">
        <f t="shared" ca="1" si="27"/>
        <v>0.56453230987589642</v>
      </c>
      <c r="J113" s="69">
        <f t="shared" ca="1" si="27"/>
        <v>1.0061544870816002</v>
      </c>
      <c r="K113" s="69">
        <f t="shared" ca="1" si="27"/>
        <v>0.70109057493702931</v>
      </c>
      <c r="L113" s="69">
        <f t="shared" ca="1" si="27"/>
        <v>-1.2471620618122532</v>
      </c>
      <c r="N113" s="69">
        <f t="shared" ca="1" si="16"/>
        <v>0.39829685803749426</v>
      </c>
      <c r="O113" s="69">
        <f t="shared" ca="1" si="17"/>
        <v>-0.31609220525206672</v>
      </c>
      <c r="P113" s="69">
        <f t="shared" ca="1" si="18"/>
        <v>-2.7279828061292481E-2</v>
      </c>
      <c r="Q113" s="69">
        <f t="shared" ca="1" si="19"/>
        <v>-0.29128601777751778</v>
      </c>
      <c r="R113" s="69">
        <f t="shared" ca="1" si="20"/>
        <v>-0.67131268804186739</v>
      </c>
      <c r="S113" s="69">
        <f t="shared" ca="1" si="21"/>
        <v>1.0819853427728183</v>
      </c>
      <c r="T113" s="69">
        <f t="shared" ca="1" si="22"/>
        <v>0.41448318532247919</v>
      </c>
      <c r="U113" s="69">
        <f t="shared" ca="1" si="23"/>
        <v>0.58757243675360604</v>
      </c>
      <c r="V113" s="69">
        <f t="shared" ca="1" si="24"/>
        <v>1.0000448935080029</v>
      </c>
      <c r="W113" s="69">
        <f t="shared" ca="1" si="25"/>
        <v>0.70207193176112825</v>
      </c>
      <c r="X113" s="69">
        <f t="shared" ca="1" si="26"/>
        <v>-1.2199935714378176</v>
      </c>
    </row>
    <row r="114" spans="2:24" x14ac:dyDescent="0.2">
      <c r="B114" s="69">
        <f t="shared" ca="1" si="15"/>
        <v>-1.0318359193538991</v>
      </c>
      <c r="C114" s="69">
        <f t="shared" ca="1" si="27"/>
        <v>-0.64619991865880233</v>
      </c>
      <c r="D114" s="69">
        <f t="shared" ca="1" si="27"/>
        <v>-1.2044424320980807</v>
      </c>
      <c r="E114" s="69">
        <f t="shared" ca="1" si="27"/>
        <v>-2.4859868459587675</v>
      </c>
      <c r="F114" s="69">
        <f t="shared" ca="1" si="27"/>
        <v>-1.6801288167201072</v>
      </c>
      <c r="G114" s="69">
        <f t="shared" ca="1" si="27"/>
        <v>-0.43494937523560129</v>
      </c>
      <c r="H114" s="69">
        <f t="shared" ca="1" si="27"/>
        <v>0.42872205619666481</v>
      </c>
      <c r="I114" s="69">
        <f t="shared" ca="1" si="27"/>
        <v>0.37964597727690175</v>
      </c>
      <c r="J114" s="69">
        <f t="shared" ca="1" si="27"/>
        <v>0.55637376949091455</v>
      </c>
      <c r="K114" s="69">
        <f t="shared" ca="1" si="27"/>
        <v>-1.422496823520494</v>
      </c>
      <c r="L114" s="69">
        <f t="shared" ca="1" si="27"/>
        <v>-6.7632328157799862E-2</v>
      </c>
      <c r="N114" s="69">
        <f t="shared" ca="1" si="16"/>
        <v>-0.99406787551579023</v>
      </c>
      <c r="O114" s="69">
        <f t="shared" ca="1" si="17"/>
        <v>-0.67269348174168897</v>
      </c>
      <c r="P114" s="69">
        <f t="shared" ca="1" si="18"/>
        <v>-1.2621844969351708</v>
      </c>
      <c r="Q114" s="69">
        <f t="shared" ca="1" si="19"/>
        <v>-2.4368781670970088</v>
      </c>
      <c r="R114" s="69">
        <f t="shared" ca="1" si="20"/>
        <v>-1.686423502127756</v>
      </c>
      <c r="S114" s="69">
        <f t="shared" ca="1" si="21"/>
        <v>-0.40212240297879281</v>
      </c>
      <c r="T114" s="69">
        <f t="shared" ca="1" si="22"/>
        <v>0.42389101848147498</v>
      </c>
      <c r="U114" s="69">
        <f t="shared" ca="1" si="23"/>
        <v>0.40268610415461142</v>
      </c>
      <c r="V114" s="69">
        <f t="shared" ca="1" si="24"/>
        <v>0.55026417591731724</v>
      </c>
      <c r="W114" s="69">
        <f t="shared" ca="1" si="25"/>
        <v>-1.4215154666963949</v>
      </c>
      <c r="X114" s="69">
        <f t="shared" ca="1" si="26"/>
        <v>-4.0463837783364383E-2</v>
      </c>
    </row>
    <row r="115" spans="2:24" x14ac:dyDescent="0.2">
      <c r="B115" s="69">
        <f t="shared" ca="1" si="15"/>
        <v>-0.97427335644671709</v>
      </c>
      <c r="C115" s="69">
        <f t="shared" ca="1" si="27"/>
        <v>0.21746546036084011</v>
      </c>
      <c r="D115" s="69">
        <f t="shared" ca="1" si="27"/>
        <v>1.0347523918816963</v>
      </c>
      <c r="E115" s="69">
        <f t="shared" ca="1" si="27"/>
        <v>-5.5876818060299323E-2</v>
      </c>
      <c r="F115" s="69">
        <f t="shared" ca="1" si="27"/>
        <v>-1.8924327097319786</v>
      </c>
      <c r="G115" s="69">
        <f t="shared" ca="1" si="27"/>
        <v>0.25617746769462524</v>
      </c>
      <c r="H115" s="69">
        <f t="shared" ca="1" si="27"/>
        <v>-1.0284589872657399</v>
      </c>
      <c r="I115" s="69">
        <f t="shared" ca="1" si="27"/>
        <v>0.76402226848994048</v>
      </c>
      <c r="J115" s="69">
        <f t="shared" ca="1" si="27"/>
        <v>0.18419655830852033</v>
      </c>
      <c r="K115" s="69">
        <f t="shared" ca="1" si="27"/>
        <v>-3.8219402150686284</v>
      </c>
      <c r="L115" s="69">
        <f t="shared" ca="1" si="27"/>
        <v>0.37937857156431215</v>
      </c>
      <c r="N115" s="69">
        <f t="shared" ca="1" si="16"/>
        <v>-0.93650531260860825</v>
      </c>
      <c r="O115" s="69">
        <f t="shared" ca="1" si="17"/>
        <v>0.19097189727795341</v>
      </c>
      <c r="P115" s="69">
        <f t="shared" ca="1" si="18"/>
        <v>0.97701032704460633</v>
      </c>
      <c r="Q115" s="69">
        <f t="shared" ca="1" si="19"/>
        <v>-6.768139198540378E-3</v>
      </c>
      <c r="R115" s="69">
        <f t="shared" ca="1" si="20"/>
        <v>-1.8987273951396275</v>
      </c>
      <c r="S115" s="69">
        <f t="shared" ca="1" si="21"/>
        <v>0.28900443995143371</v>
      </c>
      <c r="T115" s="69">
        <f t="shared" ca="1" si="22"/>
        <v>-1.0332900249809298</v>
      </c>
      <c r="U115" s="69">
        <f t="shared" ca="1" si="23"/>
        <v>0.7870623953676501</v>
      </c>
      <c r="V115" s="69">
        <f t="shared" ca="1" si="24"/>
        <v>0.178086964734923</v>
      </c>
      <c r="W115" s="69">
        <f t="shared" ca="1" si="25"/>
        <v>-3.8209588582445293</v>
      </c>
      <c r="X115" s="69">
        <f t="shared" ca="1" si="26"/>
        <v>0.40654706193874762</v>
      </c>
    </row>
    <row r="116" spans="2:24" x14ac:dyDescent="0.2">
      <c r="B116" s="69">
        <f t="shared" ca="1" si="15"/>
        <v>-0.29386242400500084</v>
      </c>
      <c r="C116" s="69">
        <f t="shared" ca="1" si="27"/>
        <v>-0.5815545295521295</v>
      </c>
      <c r="D116" s="69">
        <f t="shared" ca="1" si="27"/>
        <v>2.0453499577317928</v>
      </c>
      <c r="E116" s="69">
        <f t="shared" ca="1" si="27"/>
        <v>-0.1470163785552191</v>
      </c>
      <c r="F116" s="69">
        <f t="shared" ca="1" si="27"/>
        <v>-0.38499488019388006</v>
      </c>
      <c r="G116" s="69">
        <f t="shared" ca="1" si="27"/>
        <v>0.15785046588721816</v>
      </c>
      <c r="H116" s="69">
        <f t="shared" ca="1" si="27"/>
        <v>0.28432106507112481</v>
      </c>
      <c r="I116" s="69">
        <f t="shared" ca="1" si="27"/>
        <v>1.2349659904261125</v>
      </c>
      <c r="J116" s="69">
        <f t="shared" ca="1" si="27"/>
        <v>0.96833419988134084</v>
      </c>
      <c r="K116" s="69">
        <f t="shared" ca="1" si="27"/>
        <v>1.0919643576059246</v>
      </c>
      <c r="L116" s="69">
        <f t="shared" ca="1" si="27"/>
        <v>0.94518397531739051</v>
      </c>
      <c r="N116" s="69">
        <f t="shared" ca="1" si="16"/>
        <v>-0.25609438016689201</v>
      </c>
      <c r="O116" s="69">
        <f t="shared" ca="1" si="17"/>
        <v>-0.60804809263501614</v>
      </c>
      <c r="P116" s="69">
        <f t="shared" ca="1" si="18"/>
        <v>1.9876078928947027</v>
      </c>
      <c r="Q116" s="69">
        <f t="shared" ca="1" si="19"/>
        <v>-9.7907699693460151E-2</v>
      </c>
      <c r="R116" s="69">
        <f t="shared" ca="1" si="20"/>
        <v>-0.39128956560152894</v>
      </c>
      <c r="S116" s="69">
        <f t="shared" ca="1" si="21"/>
        <v>0.19067743814402663</v>
      </c>
      <c r="T116" s="69">
        <f t="shared" ca="1" si="22"/>
        <v>0.27949002735593498</v>
      </c>
      <c r="U116" s="69">
        <f t="shared" ca="1" si="23"/>
        <v>1.2580061173038222</v>
      </c>
      <c r="V116" s="69">
        <f t="shared" ca="1" si="24"/>
        <v>0.96222460630774354</v>
      </c>
      <c r="W116" s="69">
        <f t="shared" ca="1" si="25"/>
        <v>1.0929457144300236</v>
      </c>
      <c r="X116" s="69">
        <f t="shared" ca="1" si="26"/>
        <v>0.97235246569182598</v>
      </c>
    </row>
    <row r="117" spans="2:24" x14ac:dyDescent="0.2">
      <c r="B117" s="69">
        <f t="shared" ca="1" si="15"/>
        <v>0.24612792042704623</v>
      </c>
      <c r="C117" s="69">
        <f t="shared" ca="1" si="27"/>
        <v>0.47096101493298981</v>
      </c>
      <c r="D117" s="69">
        <f t="shared" ca="1" si="27"/>
        <v>0.84602256902491413</v>
      </c>
      <c r="E117" s="69">
        <f t="shared" ca="1" si="27"/>
        <v>-0.25836405076786984</v>
      </c>
      <c r="F117" s="69">
        <f t="shared" ca="1" si="27"/>
        <v>-0.51615809125130496</v>
      </c>
      <c r="G117" s="69">
        <f t="shared" ca="1" si="27"/>
        <v>0.65289763163007242</v>
      </c>
      <c r="H117" s="69">
        <f t="shared" ca="1" si="27"/>
        <v>1.5836933002719642</v>
      </c>
      <c r="I117" s="69">
        <f t="shared" ca="1" si="27"/>
        <v>0.26705390581833788</v>
      </c>
      <c r="J117" s="69">
        <f t="shared" ca="1" si="27"/>
        <v>0.49326673629047973</v>
      </c>
      <c r="K117" s="69">
        <f t="shared" ca="1" si="27"/>
        <v>-0.48645594158729294</v>
      </c>
      <c r="L117" s="69">
        <f t="shared" ca="1" si="27"/>
        <v>-4.5354703081768803E-2</v>
      </c>
      <c r="N117" s="69">
        <f t="shared" ca="1" si="16"/>
        <v>0.28389596426515507</v>
      </c>
      <c r="O117" s="69">
        <f t="shared" ca="1" si="17"/>
        <v>0.44446745185010311</v>
      </c>
      <c r="P117" s="69">
        <f t="shared" ca="1" si="18"/>
        <v>0.78828050418782414</v>
      </c>
      <c r="Q117" s="69">
        <f t="shared" ca="1" si="19"/>
        <v>-0.20925537190611088</v>
      </c>
      <c r="R117" s="69">
        <f t="shared" ca="1" si="20"/>
        <v>-0.52245277665895384</v>
      </c>
      <c r="S117" s="69">
        <f t="shared" ca="1" si="21"/>
        <v>0.68572460388688095</v>
      </c>
      <c r="T117" s="69">
        <f t="shared" ca="1" si="22"/>
        <v>1.5788622625567743</v>
      </c>
      <c r="U117" s="69">
        <f t="shared" ca="1" si="23"/>
        <v>0.29009403269604755</v>
      </c>
      <c r="V117" s="69">
        <f t="shared" ca="1" si="24"/>
        <v>0.48715714271688243</v>
      </c>
      <c r="W117" s="69">
        <f t="shared" ca="1" si="25"/>
        <v>-0.48547458476319399</v>
      </c>
      <c r="X117" s="69">
        <f t="shared" ca="1" si="26"/>
        <v>-1.8186212707333324E-2</v>
      </c>
    </row>
    <row r="118" spans="2:24" x14ac:dyDescent="0.2">
      <c r="B118" s="69">
        <f t="shared" ca="1" si="15"/>
        <v>-0.77628235900873055</v>
      </c>
      <c r="C118" s="69">
        <f t="shared" ca="1" si="27"/>
        <v>-0.96689643949388948</v>
      </c>
      <c r="D118" s="69">
        <f t="shared" ca="1" si="27"/>
        <v>1.84581198014825</v>
      </c>
      <c r="E118" s="69">
        <f t="shared" ca="1" si="27"/>
        <v>1.1238260693567215</v>
      </c>
      <c r="F118" s="69">
        <f t="shared" ca="1" si="27"/>
        <v>0.44036159497260791</v>
      </c>
      <c r="G118" s="69">
        <f t="shared" ca="1" si="27"/>
        <v>-0.11646002728669981</v>
      </c>
      <c r="H118" s="69">
        <f t="shared" ca="1" si="27"/>
        <v>1.6517159862246273</v>
      </c>
      <c r="I118" s="69">
        <f t="shared" ca="1" si="27"/>
        <v>-0.98979628718706303</v>
      </c>
      <c r="J118" s="69">
        <f t="shared" ca="1" si="27"/>
        <v>2.3518354784221178</v>
      </c>
      <c r="K118" s="69">
        <f t="shared" ca="1" si="27"/>
        <v>1.281584839525713</v>
      </c>
      <c r="L118" s="69">
        <f t="shared" ca="1" si="27"/>
        <v>-0.38467312361779565</v>
      </c>
      <c r="N118" s="69">
        <f t="shared" ca="1" si="16"/>
        <v>-0.73851431517062172</v>
      </c>
      <c r="O118" s="69">
        <f t="shared" ca="1" si="17"/>
        <v>-0.99339000257677612</v>
      </c>
      <c r="P118" s="69">
        <f t="shared" ca="1" si="18"/>
        <v>1.7880699153111599</v>
      </c>
      <c r="Q118" s="69">
        <f t="shared" ca="1" si="19"/>
        <v>1.1729347482184804</v>
      </c>
      <c r="R118" s="69">
        <f t="shared" ca="1" si="20"/>
        <v>0.43406690956495902</v>
      </c>
      <c r="S118" s="69">
        <f t="shared" ca="1" si="21"/>
        <v>-8.3633055029891323E-2</v>
      </c>
      <c r="T118" s="69">
        <f t="shared" ca="1" si="22"/>
        <v>1.6468849485094375</v>
      </c>
      <c r="U118" s="69">
        <f t="shared" ca="1" si="23"/>
        <v>-0.96675616030935341</v>
      </c>
      <c r="V118" s="69">
        <f t="shared" ca="1" si="24"/>
        <v>2.3457258848485205</v>
      </c>
      <c r="W118" s="69">
        <f t="shared" ca="1" si="25"/>
        <v>1.2825661963498121</v>
      </c>
      <c r="X118" s="69">
        <f t="shared" ca="1" si="26"/>
        <v>-0.35750463324336018</v>
      </c>
    </row>
    <row r="119" spans="2:24" x14ac:dyDescent="0.2">
      <c r="B119" s="69">
        <f t="shared" ca="1" si="15"/>
        <v>-0.70597279847639394</v>
      </c>
      <c r="C119" s="69">
        <f t="shared" ca="1" si="27"/>
        <v>-1.6740018603290987</v>
      </c>
      <c r="D119" s="69">
        <f t="shared" ca="1" si="27"/>
        <v>1.3681214646969206</v>
      </c>
      <c r="E119" s="69">
        <f t="shared" ca="1" si="27"/>
        <v>1.5506471840843772</v>
      </c>
      <c r="F119" s="69">
        <f t="shared" ca="1" si="27"/>
        <v>-0.41635790130343192</v>
      </c>
      <c r="G119" s="69">
        <f t="shared" ca="1" si="27"/>
        <v>-0.97717310884093622</v>
      </c>
      <c r="H119" s="69">
        <f t="shared" ca="1" si="27"/>
        <v>0.62011696746304124</v>
      </c>
      <c r="I119" s="69">
        <f t="shared" ca="1" si="27"/>
        <v>-1.1765172367292447</v>
      </c>
      <c r="J119" s="69">
        <f t="shared" ca="1" si="27"/>
        <v>1.7318074069867993E-2</v>
      </c>
      <c r="K119" s="69">
        <f t="shared" ca="1" si="27"/>
        <v>-1.8629425582550503</v>
      </c>
      <c r="L119" s="69">
        <f t="shared" ca="1" si="27"/>
        <v>-0.6141652086158369</v>
      </c>
      <c r="N119" s="69">
        <f t="shared" ca="1" si="16"/>
        <v>-0.6682047546382851</v>
      </c>
      <c r="O119" s="69">
        <f t="shared" ca="1" si="17"/>
        <v>-1.7004954234119853</v>
      </c>
      <c r="P119" s="69">
        <f t="shared" ca="1" si="18"/>
        <v>1.3103793998598305</v>
      </c>
      <c r="Q119" s="69">
        <f t="shared" ca="1" si="19"/>
        <v>1.5997558629461361</v>
      </c>
      <c r="R119" s="69">
        <f t="shared" ca="1" si="20"/>
        <v>-0.4226525867110808</v>
      </c>
      <c r="S119" s="69">
        <f t="shared" ca="1" si="21"/>
        <v>-0.94434613658412769</v>
      </c>
      <c r="T119" s="69">
        <f t="shared" ca="1" si="22"/>
        <v>0.61528592974785135</v>
      </c>
      <c r="U119" s="69">
        <f t="shared" ca="1" si="23"/>
        <v>-1.1534771098515351</v>
      </c>
      <c r="V119" s="69">
        <f t="shared" ca="1" si="24"/>
        <v>1.1208480496270663E-2</v>
      </c>
      <c r="W119" s="69">
        <f t="shared" ca="1" si="25"/>
        <v>-1.8619612014309512</v>
      </c>
      <c r="X119" s="69">
        <f t="shared" ca="1" si="26"/>
        <v>-0.58699671824140143</v>
      </c>
    </row>
    <row r="120" spans="2:24" x14ac:dyDescent="0.2">
      <c r="B120" s="69">
        <f t="shared" ca="1" si="15"/>
        <v>8.2766889943101718E-2</v>
      </c>
      <c r="C120" s="69">
        <f t="shared" ca="1" si="27"/>
        <v>0.3795275261987322</v>
      </c>
      <c r="D120" s="69">
        <f t="shared" ca="1" si="27"/>
        <v>0.28992108021833496</v>
      </c>
      <c r="E120" s="69">
        <f t="shared" ca="1" si="27"/>
        <v>0.39614125581820298</v>
      </c>
      <c r="F120" s="69">
        <f t="shared" ca="1" si="27"/>
        <v>-0.61368480899342748</v>
      </c>
      <c r="G120" s="69">
        <f t="shared" ca="1" si="27"/>
        <v>0.93054542897267112</v>
      </c>
      <c r="H120" s="69">
        <f t="shared" ca="1" si="27"/>
        <v>-1.0106335545128056</v>
      </c>
      <c r="I120" s="69">
        <f t="shared" ref="C120:L183" ca="1" si="28">NORMINV(RAND(),$C$7,$F$7)</f>
        <v>-0.77508269350147285</v>
      </c>
      <c r="J120" s="69">
        <f t="shared" ca="1" si="28"/>
        <v>-1.2909819889149248</v>
      </c>
      <c r="K120" s="69">
        <f t="shared" ca="1" si="28"/>
        <v>0.36043368116289998</v>
      </c>
      <c r="L120" s="69">
        <f t="shared" ca="1" si="28"/>
        <v>1.5349086896382385</v>
      </c>
      <c r="N120" s="69">
        <f t="shared" ca="1" si="16"/>
        <v>0.12053493378121054</v>
      </c>
      <c r="O120" s="69">
        <f t="shared" ca="1" si="17"/>
        <v>0.35303396311584551</v>
      </c>
      <c r="P120" s="69">
        <f t="shared" ca="1" si="18"/>
        <v>0.23217901538124491</v>
      </c>
      <c r="Q120" s="69">
        <f t="shared" ca="1" si="19"/>
        <v>0.44524993467996193</v>
      </c>
      <c r="R120" s="69">
        <f t="shared" ca="1" si="20"/>
        <v>-0.61997949440107636</v>
      </c>
      <c r="S120" s="69">
        <f t="shared" ca="1" si="21"/>
        <v>0.96337240122947965</v>
      </c>
      <c r="T120" s="69">
        <f t="shared" ca="1" si="22"/>
        <v>-1.0154645922279955</v>
      </c>
      <c r="U120" s="69">
        <f t="shared" ca="1" si="23"/>
        <v>-0.75204256662376323</v>
      </c>
      <c r="V120" s="69">
        <f t="shared" ca="1" si="24"/>
        <v>-1.2970915824885221</v>
      </c>
      <c r="W120" s="69">
        <f t="shared" ca="1" si="25"/>
        <v>0.36141503798699892</v>
      </c>
      <c r="X120" s="69">
        <f t="shared" ca="1" si="26"/>
        <v>1.562077180012674</v>
      </c>
    </row>
    <row r="121" spans="2:24" x14ac:dyDescent="0.2">
      <c r="B121" s="69">
        <f t="shared" ca="1" si="15"/>
        <v>-0.5984519531361141</v>
      </c>
      <c r="C121" s="69">
        <f t="shared" ca="1" si="28"/>
        <v>0.94529983267743689</v>
      </c>
      <c r="D121" s="69">
        <f t="shared" ca="1" si="28"/>
        <v>-0.27229356771138291</v>
      </c>
      <c r="E121" s="69">
        <f t="shared" ca="1" si="28"/>
        <v>-0.36168946886295011</v>
      </c>
      <c r="F121" s="69">
        <f t="shared" ca="1" si="28"/>
        <v>-0.32700336824459408</v>
      </c>
      <c r="G121" s="69">
        <f t="shared" ca="1" si="28"/>
        <v>-0.99708879050960741</v>
      </c>
      <c r="H121" s="69">
        <f t="shared" ca="1" si="28"/>
        <v>0.73029887665200988</v>
      </c>
      <c r="I121" s="69">
        <f t="shared" ca="1" si="28"/>
        <v>-1.0837000638302172</v>
      </c>
      <c r="J121" s="69">
        <f t="shared" ca="1" si="28"/>
        <v>-0.51178623585308602</v>
      </c>
      <c r="K121" s="69">
        <f t="shared" ca="1" si="28"/>
        <v>1.2059543340411265</v>
      </c>
      <c r="L121" s="69">
        <f t="shared" ca="1" si="28"/>
        <v>0.11159741281285183</v>
      </c>
      <c r="N121" s="69">
        <f t="shared" ca="1" si="16"/>
        <v>-0.56068390929800527</v>
      </c>
      <c r="O121" s="69">
        <f t="shared" ca="1" si="17"/>
        <v>0.91880626959455025</v>
      </c>
      <c r="P121" s="69">
        <f t="shared" ca="1" si="18"/>
        <v>-0.33003563254847296</v>
      </c>
      <c r="Q121" s="69">
        <f t="shared" ca="1" si="19"/>
        <v>-0.31258079000119116</v>
      </c>
      <c r="R121" s="69">
        <f t="shared" ca="1" si="20"/>
        <v>-0.33329805365224296</v>
      </c>
      <c r="S121" s="69">
        <f t="shared" ca="1" si="21"/>
        <v>-0.96426181825279889</v>
      </c>
      <c r="T121" s="69">
        <f t="shared" ca="1" si="22"/>
        <v>0.72546783893681999</v>
      </c>
      <c r="U121" s="69">
        <f t="shared" ca="1" si="23"/>
        <v>-1.0606599369525076</v>
      </c>
      <c r="V121" s="69">
        <f t="shared" ca="1" si="24"/>
        <v>-0.51789582942668333</v>
      </c>
      <c r="W121" s="69">
        <f t="shared" ca="1" si="25"/>
        <v>1.2069356908652256</v>
      </c>
      <c r="X121" s="69">
        <f t="shared" ca="1" si="26"/>
        <v>0.13876590318728732</v>
      </c>
    </row>
    <row r="122" spans="2:24" x14ac:dyDescent="0.2">
      <c r="B122" s="69">
        <f t="shared" ca="1" si="15"/>
        <v>4.2524277870022588E-2</v>
      </c>
      <c r="C122" s="69">
        <f t="shared" ca="1" si="28"/>
        <v>-1.0133593463436741</v>
      </c>
      <c r="D122" s="69">
        <f t="shared" ca="1" si="28"/>
        <v>0.4543461292053616</v>
      </c>
      <c r="E122" s="69">
        <f t="shared" ca="1" si="28"/>
        <v>-0.35997718226166864</v>
      </c>
      <c r="F122" s="69">
        <f t="shared" ca="1" si="28"/>
        <v>0.14484248815445291</v>
      </c>
      <c r="G122" s="69">
        <f t="shared" ca="1" si="28"/>
        <v>0.7583664246095948</v>
      </c>
      <c r="H122" s="69">
        <f t="shared" ca="1" si="28"/>
        <v>0.95284029823401706</v>
      </c>
      <c r="I122" s="69">
        <f t="shared" ca="1" si="28"/>
        <v>-0.52430939212341332</v>
      </c>
      <c r="J122" s="69">
        <f t="shared" ca="1" si="28"/>
        <v>1.0605240289426889</v>
      </c>
      <c r="K122" s="69">
        <f t="shared" ca="1" si="28"/>
        <v>-0.76959688240228752</v>
      </c>
      <c r="L122" s="69">
        <f t="shared" ca="1" si="28"/>
        <v>-0.32766683206085606</v>
      </c>
      <c r="N122" s="69">
        <f t="shared" ca="1" si="16"/>
        <v>8.0292321708131414E-2</v>
      </c>
      <c r="O122" s="69">
        <f t="shared" ca="1" si="17"/>
        <v>-1.0398529094265607</v>
      </c>
      <c r="P122" s="69">
        <f t="shared" ca="1" si="18"/>
        <v>0.39660406436827156</v>
      </c>
      <c r="Q122" s="69">
        <f t="shared" ca="1" si="19"/>
        <v>-0.31086850339990968</v>
      </c>
      <c r="R122" s="69">
        <f t="shared" ca="1" si="20"/>
        <v>0.13854780274680401</v>
      </c>
      <c r="S122" s="69">
        <f t="shared" ca="1" si="21"/>
        <v>0.79119339686640333</v>
      </c>
      <c r="T122" s="69">
        <f t="shared" ca="1" si="22"/>
        <v>0.94800926051882717</v>
      </c>
      <c r="U122" s="69">
        <f t="shared" ca="1" si="23"/>
        <v>-0.5012692652457037</v>
      </c>
      <c r="V122" s="69">
        <f t="shared" ca="1" si="24"/>
        <v>1.0544144353690916</v>
      </c>
      <c r="W122" s="69">
        <f t="shared" ca="1" si="25"/>
        <v>-0.76861552557818857</v>
      </c>
      <c r="X122" s="69">
        <f t="shared" ca="1" si="26"/>
        <v>-0.30049834168642059</v>
      </c>
    </row>
    <row r="123" spans="2:24" x14ac:dyDescent="0.2">
      <c r="B123" s="69">
        <f t="shared" ca="1" si="15"/>
        <v>-0.54273077314307794</v>
      </c>
      <c r="C123" s="69">
        <f t="shared" ca="1" si="28"/>
        <v>0.60541572108640918</v>
      </c>
      <c r="D123" s="69">
        <f t="shared" ca="1" si="28"/>
        <v>-0.78772255326274032</v>
      </c>
      <c r="E123" s="69">
        <f t="shared" ca="1" si="28"/>
        <v>-0.27983019822314126</v>
      </c>
      <c r="F123" s="69">
        <f t="shared" ca="1" si="28"/>
        <v>1.9134817826579038</v>
      </c>
      <c r="G123" s="69">
        <f t="shared" ca="1" si="28"/>
        <v>-0.22996213280310993</v>
      </c>
      <c r="H123" s="69">
        <f t="shared" ca="1" si="28"/>
        <v>1.6704639221334896</v>
      </c>
      <c r="I123" s="69">
        <f t="shared" ca="1" si="28"/>
        <v>0.65099258254131209</v>
      </c>
      <c r="J123" s="69">
        <f t="shared" ca="1" si="28"/>
        <v>-0.54294559108985152</v>
      </c>
      <c r="K123" s="69">
        <f t="shared" ca="1" si="28"/>
        <v>2.4196379589947581</v>
      </c>
      <c r="L123" s="69">
        <f t="shared" ca="1" si="28"/>
        <v>-0.88349978025424736</v>
      </c>
      <c r="N123" s="69">
        <f t="shared" ca="1" si="16"/>
        <v>-0.5049627293049691</v>
      </c>
      <c r="O123" s="69">
        <f t="shared" ca="1" si="17"/>
        <v>0.57892215800352254</v>
      </c>
      <c r="P123" s="69">
        <f t="shared" ca="1" si="18"/>
        <v>-0.84546461809983031</v>
      </c>
      <c r="Q123" s="69">
        <f t="shared" ca="1" si="19"/>
        <v>-0.2307215193613823</v>
      </c>
      <c r="R123" s="69">
        <f t="shared" ca="1" si="20"/>
        <v>1.9071870972502549</v>
      </c>
      <c r="S123" s="69">
        <f t="shared" ca="1" si="21"/>
        <v>-0.19713516054630145</v>
      </c>
      <c r="T123" s="69">
        <f t="shared" ca="1" si="22"/>
        <v>1.6656328844182997</v>
      </c>
      <c r="U123" s="69">
        <f t="shared" ca="1" si="23"/>
        <v>0.67403270941902171</v>
      </c>
      <c r="V123" s="69">
        <f t="shared" ca="1" si="24"/>
        <v>-0.54905518466344883</v>
      </c>
      <c r="W123" s="69">
        <f t="shared" ca="1" si="25"/>
        <v>2.4206193158188571</v>
      </c>
      <c r="X123" s="69">
        <f t="shared" ca="1" si="26"/>
        <v>-0.85633128987981189</v>
      </c>
    </row>
    <row r="124" spans="2:24" x14ac:dyDescent="0.2">
      <c r="B124" s="69">
        <f t="shared" ca="1" si="15"/>
        <v>-0.1446029169474895</v>
      </c>
      <c r="C124" s="69">
        <f t="shared" ca="1" si="28"/>
        <v>-0.11348986119267832</v>
      </c>
      <c r="D124" s="69">
        <f t="shared" ca="1" si="28"/>
        <v>-0.21036376581178154</v>
      </c>
      <c r="E124" s="69">
        <f t="shared" ca="1" si="28"/>
        <v>0.34860889027439806</v>
      </c>
      <c r="F124" s="69">
        <f t="shared" ca="1" si="28"/>
        <v>0.71428996962767333</v>
      </c>
      <c r="G124" s="69">
        <f t="shared" ca="1" si="28"/>
        <v>0.13958820368047681</v>
      </c>
      <c r="H124" s="69">
        <f t="shared" ca="1" si="28"/>
        <v>-0.22816438172808473</v>
      </c>
      <c r="I124" s="69">
        <f t="shared" ca="1" si="28"/>
        <v>-1.0900169667525992</v>
      </c>
      <c r="J124" s="69">
        <f t="shared" ca="1" si="28"/>
        <v>-1.8774716765695687</v>
      </c>
      <c r="K124" s="69">
        <f t="shared" ca="1" si="28"/>
        <v>1.031435463882322</v>
      </c>
      <c r="L124" s="69">
        <f t="shared" ca="1" si="28"/>
        <v>-0.97779373823655957</v>
      </c>
      <c r="N124" s="69">
        <f t="shared" ca="1" si="16"/>
        <v>-0.10683487310938068</v>
      </c>
      <c r="O124" s="69">
        <f t="shared" ca="1" si="17"/>
        <v>-0.13998342427556501</v>
      </c>
      <c r="P124" s="69">
        <f t="shared" ca="1" si="18"/>
        <v>-0.26810583064887156</v>
      </c>
      <c r="Q124" s="69">
        <f t="shared" ca="1" si="19"/>
        <v>0.39771756913615702</v>
      </c>
      <c r="R124" s="69">
        <f t="shared" ca="1" si="20"/>
        <v>0.70799528422002445</v>
      </c>
      <c r="S124" s="69">
        <f t="shared" ca="1" si="21"/>
        <v>0.17241517593728528</v>
      </c>
      <c r="T124" s="69">
        <f t="shared" ca="1" si="22"/>
        <v>-0.23299541944327457</v>
      </c>
      <c r="U124" s="69">
        <f t="shared" ca="1" si="23"/>
        <v>-1.0669768398748896</v>
      </c>
      <c r="V124" s="69">
        <f t="shared" ca="1" si="24"/>
        <v>-1.883581270143166</v>
      </c>
      <c r="W124" s="69">
        <f t="shared" ca="1" si="25"/>
        <v>1.032416820706421</v>
      </c>
      <c r="X124" s="69">
        <f t="shared" ca="1" si="26"/>
        <v>-0.9506252478621241</v>
      </c>
    </row>
    <row r="125" spans="2:24" x14ac:dyDescent="0.2">
      <c r="B125" s="69">
        <f t="shared" ca="1" si="15"/>
        <v>0.50808739913092749</v>
      </c>
      <c r="C125" s="69">
        <f t="shared" ca="1" si="28"/>
        <v>-5.1740916827684065E-3</v>
      </c>
      <c r="D125" s="69">
        <f t="shared" ca="1" si="28"/>
        <v>-0.23574441635593743</v>
      </c>
      <c r="E125" s="69">
        <f t="shared" ca="1" si="28"/>
        <v>-0.4929840404666016</v>
      </c>
      <c r="F125" s="69">
        <f t="shared" ca="1" si="28"/>
        <v>-1.1141145164579966</v>
      </c>
      <c r="G125" s="69">
        <f t="shared" ca="1" si="28"/>
        <v>-0.13014689634911827</v>
      </c>
      <c r="H125" s="69">
        <f t="shared" ca="1" si="28"/>
        <v>-0.20944946261215269</v>
      </c>
      <c r="I125" s="69">
        <f t="shared" ca="1" si="28"/>
        <v>0.97535521699998518</v>
      </c>
      <c r="J125" s="69">
        <f t="shared" ca="1" si="28"/>
        <v>1.4402131966798604</v>
      </c>
      <c r="K125" s="69">
        <f t="shared" ca="1" si="28"/>
        <v>1.1656212819569083</v>
      </c>
      <c r="L125" s="69">
        <f t="shared" ca="1" si="28"/>
        <v>0.47866363713045662</v>
      </c>
      <c r="N125" s="69">
        <f t="shared" ca="1" si="16"/>
        <v>0.54585544296903632</v>
      </c>
      <c r="O125" s="69">
        <f t="shared" ca="1" si="17"/>
        <v>-3.1667654765655091E-2</v>
      </c>
      <c r="P125" s="69">
        <f t="shared" ca="1" si="18"/>
        <v>-0.29348648119302745</v>
      </c>
      <c r="Q125" s="69">
        <f t="shared" ca="1" si="19"/>
        <v>-0.44387536160484264</v>
      </c>
      <c r="R125" s="69">
        <f t="shared" ca="1" si="20"/>
        <v>-1.1204092018656455</v>
      </c>
      <c r="S125" s="69">
        <f t="shared" ca="1" si="21"/>
        <v>-9.7319924092309801E-2</v>
      </c>
      <c r="T125" s="69">
        <f t="shared" ca="1" si="22"/>
        <v>-0.21428050032734253</v>
      </c>
      <c r="U125" s="69">
        <f t="shared" ca="1" si="23"/>
        <v>0.9983953438776948</v>
      </c>
      <c r="V125" s="69">
        <f t="shared" ca="1" si="24"/>
        <v>1.4341036031062631</v>
      </c>
      <c r="W125" s="69">
        <f t="shared" ca="1" si="25"/>
        <v>1.1666026387810073</v>
      </c>
      <c r="X125" s="69">
        <f t="shared" ca="1" si="26"/>
        <v>0.50583212750489215</v>
      </c>
    </row>
    <row r="126" spans="2:24" x14ac:dyDescent="0.2">
      <c r="B126" s="69">
        <f t="shared" ca="1" si="15"/>
        <v>-1.2342715313569697</v>
      </c>
      <c r="C126" s="69">
        <f t="shared" ca="1" si="28"/>
        <v>-0.4710303933947193</v>
      </c>
      <c r="D126" s="69">
        <f t="shared" ca="1" si="28"/>
        <v>1.444316890903919</v>
      </c>
      <c r="E126" s="69">
        <f t="shared" ca="1" si="28"/>
        <v>0.61498997206783246</v>
      </c>
      <c r="F126" s="69">
        <f t="shared" ca="1" si="28"/>
        <v>0.68419545241491864</v>
      </c>
      <c r="G126" s="69">
        <f t="shared" ca="1" si="28"/>
        <v>1.1156444141179795</v>
      </c>
      <c r="H126" s="69">
        <f t="shared" ca="1" si="28"/>
        <v>-0.4098603340889056</v>
      </c>
      <c r="I126" s="69">
        <f t="shared" ca="1" si="28"/>
        <v>-0.54481142679975225</v>
      </c>
      <c r="J126" s="69">
        <f t="shared" ca="1" si="28"/>
        <v>-0.7109909876641658</v>
      </c>
      <c r="K126" s="69">
        <f t="shared" ca="1" si="28"/>
        <v>1.2333521351891774</v>
      </c>
      <c r="L126" s="69">
        <f t="shared" ca="1" si="28"/>
        <v>-0.29155871536258454</v>
      </c>
      <c r="N126" s="69">
        <f t="shared" ca="1" si="16"/>
        <v>-1.1965034875188609</v>
      </c>
      <c r="O126" s="69">
        <f t="shared" ca="1" si="17"/>
        <v>-0.497523956477606</v>
      </c>
      <c r="P126" s="69">
        <f t="shared" ca="1" si="18"/>
        <v>1.3865748260668289</v>
      </c>
      <c r="Q126" s="69">
        <f t="shared" ca="1" si="19"/>
        <v>0.66409865092959142</v>
      </c>
      <c r="R126" s="69">
        <f t="shared" ca="1" si="20"/>
        <v>0.67790076700726976</v>
      </c>
      <c r="S126" s="69">
        <f t="shared" ca="1" si="21"/>
        <v>1.148471386374788</v>
      </c>
      <c r="T126" s="69">
        <f t="shared" ca="1" si="22"/>
        <v>-0.41469137180409543</v>
      </c>
      <c r="U126" s="69">
        <f t="shared" ca="1" si="23"/>
        <v>-0.52177129992204263</v>
      </c>
      <c r="V126" s="69">
        <f t="shared" ca="1" si="24"/>
        <v>-0.7171005812377631</v>
      </c>
      <c r="W126" s="69">
        <f t="shared" ca="1" si="25"/>
        <v>1.2343334920132765</v>
      </c>
      <c r="X126" s="69">
        <f t="shared" ca="1" si="26"/>
        <v>-0.26439022498814907</v>
      </c>
    </row>
    <row r="127" spans="2:24" x14ac:dyDescent="0.2">
      <c r="B127" s="69">
        <f t="shared" ca="1" si="15"/>
        <v>-0.54122320852728534</v>
      </c>
      <c r="C127" s="69">
        <f t="shared" ca="1" si="28"/>
        <v>2.2878350198187341</v>
      </c>
      <c r="D127" s="69">
        <f t="shared" ca="1" si="28"/>
        <v>-0.61653097207734375</v>
      </c>
      <c r="E127" s="69">
        <f t="shared" ca="1" si="28"/>
        <v>1.183741603374421E-2</v>
      </c>
      <c r="F127" s="69">
        <f t="shared" ca="1" si="28"/>
        <v>-1.6971099542593916E-3</v>
      </c>
      <c r="G127" s="69">
        <f t="shared" ca="1" si="28"/>
        <v>-0.7053167871972541</v>
      </c>
      <c r="H127" s="69">
        <f t="shared" ca="1" si="28"/>
        <v>-0.68308356721311658</v>
      </c>
      <c r="I127" s="69">
        <f t="shared" ca="1" si="28"/>
        <v>-6.0746058965215032E-3</v>
      </c>
      <c r="J127" s="69">
        <f t="shared" ca="1" si="28"/>
        <v>0.26715572718348624</v>
      </c>
      <c r="K127" s="69">
        <f t="shared" ca="1" si="28"/>
        <v>-0.87368681849894558</v>
      </c>
      <c r="L127" s="69">
        <f t="shared" ca="1" si="28"/>
        <v>-0.85884011938578375</v>
      </c>
      <c r="N127" s="69">
        <f t="shared" ca="1" si="16"/>
        <v>-0.5034551646891765</v>
      </c>
      <c r="O127" s="69">
        <f t="shared" ca="1" si="17"/>
        <v>2.2613414567358472</v>
      </c>
      <c r="P127" s="69">
        <f t="shared" ca="1" si="18"/>
        <v>-0.67427303691443374</v>
      </c>
      <c r="Q127" s="69">
        <f t="shared" ca="1" si="19"/>
        <v>6.0946094895503157E-2</v>
      </c>
      <c r="R127" s="69">
        <f t="shared" ca="1" si="20"/>
        <v>-7.9917953619082875E-3</v>
      </c>
      <c r="S127" s="69">
        <f t="shared" ca="1" si="21"/>
        <v>-0.67248981494044557</v>
      </c>
      <c r="T127" s="69">
        <f t="shared" ca="1" si="22"/>
        <v>-0.68791460492830647</v>
      </c>
      <c r="U127" s="69">
        <f t="shared" ca="1" si="23"/>
        <v>1.6965520981188153E-2</v>
      </c>
      <c r="V127" s="69">
        <f t="shared" ca="1" si="24"/>
        <v>0.26104613360988893</v>
      </c>
      <c r="W127" s="69">
        <f t="shared" ca="1" si="25"/>
        <v>-0.87270546167484664</v>
      </c>
      <c r="X127" s="69">
        <f t="shared" ca="1" si="26"/>
        <v>-0.83167162901134828</v>
      </c>
    </row>
    <row r="128" spans="2:24" x14ac:dyDescent="0.2">
      <c r="B128" s="69">
        <f t="shared" ca="1" si="15"/>
        <v>-0.27227882547609755</v>
      </c>
      <c r="C128" s="69">
        <f t="shared" ca="1" si="28"/>
        <v>0.77154198606389024</v>
      </c>
      <c r="D128" s="69">
        <f t="shared" ca="1" si="28"/>
        <v>1.3397564970190796</v>
      </c>
      <c r="E128" s="69">
        <f t="shared" ca="1" si="28"/>
        <v>-0.81663804610426949</v>
      </c>
      <c r="F128" s="69">
        <f t="shared" ca="1" si="28"/>
        <v>0.82514180719789232</v>
      </c>
      <c r="G128" s="69">
        <f t="shared" ca="1" si="28"/>
        <v>-0.87270289032807691</v>
      </c>
      <c r="H128" s="69">
        <f t="shared" ca="1" si="28"/>
        <v>0.74458855829384141</v>
      </c>
      <c r="I128" s="69">
        <f t="shared" ca="1" si="28"/>
        <v>0.52420152510988194</v>
      </c>
      <c r="J128" s="69">
        <f t="shared" ca="1" si="28"/>
        <v>-0.11300285162206655</v>
      </c>
      <c r="K128" s="69">
        <f t="shared" ca="1" si="28"/>
        <v>2.2157408252360349</v>
      </c>
      <c r="L128" s="69">
        <f t="shared" ca="1" si="28"/>
        <v>0.82439576109857693</v>
      </c>
      <c r="N128" s="69">
        <f t="shared" ca="1" si="16"/>
        <v>-0.23451078163798872</v>
      </c>
      <c r="O128" s="69">
        <f t="shared" ca="1" si="17"/>
        <v>0.7450484229810036</v>
      </c>
      <c r="P128" s="69">
        <f t="shared" ca="1" si="18"/>
        <v>1.2820144321819895</v>
      </c>
      <c r="Q128" s="69">
        <f t="shared" ca="1" si="19"/>
        <v>-0.76752936724251053</v>
      </c>
      <c r="R128" s="69">
        <f t="shared" ca="1" si="20"/>
        <v>0.81884712179024344</v>
      </c>
      <c r="S128" s="69">
        <f t="shared" ca="1" si="21"/>
        <v>-0.83987591807126838</v>
      </c>
      <c r="T128" s="69">
        <f t="shared" ca="1" si="22"/>
        <v>0.73975752057865152</v>
      </c>
      <c r="U128" s="69">
        <f t="shared" ca="1" si="23"/>
        <v>0.54724165198759156</v>
      </c>
      <c r="V128" s="69">
        <f t="shared" ca="1" si="24"/>
        <v>-0.11911244519566389</v>
      </c>
      <c r="W128" s="69">
        <f t="shared" ca="1" si="25"/>
        <v>2.2167221820601339</v>
      </c>
      <c r="X128" s="69">
        <f t="shared" ca="1" si="26"/>
        <v>0.8515642514730124</v>
      </c>
    </row>
    <row r="129" spans="2:24" x14ac:dyDescent="0.2">
      <c r="B129" s="69">
        <f t="shared" ca="1" si="15"/>
        <v>-0.29817802001455318</v>
      </c>
      <c r="C129" s="69">
        <f t="shared" ca="1" si="28"/>
        <v>-5.105116566658089E-2</v>
      </c>
      <c r="D129" s="69">
        <f t="shared" ca="1" si="28"/>
        <v>0.38979196187840642</v>
      </c>
      <c r="E129" s="69">
        <f t="shared" ca="1" si="28"/>
        <v>-0.30574792359726016</v>
      </c>
      <c r="F129" s="69">
        <f t="shared" ca="1" si="28"/>
        <v>-1.1528927447318629</v>
      </c>
      <c r="G129" s="69">
        <f t="shared" ca="1" si="28"/>
        <v>-8.4874206471606886E-2</v>
      </c>
      <c r="H129" s="69">
        <f t="shared" ca="1" si="28"/>
        <v>1.4691521431973222</v>
      </c>
      <c r="I129" s="69">
        <f t="shared" ca="1" si="28"/>
        <v>0.30684228161503163</v>
      </c>
      <c r="J129" s="69">
        <f t="shared" ca="1" si="28"/>
        <v>-1.4155389034634391</v>
      </c>
      <c r="K129" s="69">
        <f t="shared" ca="1" si="28"/>
        <v>-0.33184033242123906</v>
      </c>
      <c r="L129" s="69">
        <f t="shared" ca="1" si="28"/>
        <v>-0.62713409743413195</v>
      </c>
      <c r="N129" s="69">
        <f t="shared" ca="1" si="16"/>
        <v>-0.26040997617644435</v>
      </c>
      <c r="O129" s="69">
        <f t="shared" ca="1" si="17"/>
        <v>-7.7544728749467579E-2</v>
      </c>
      <c r="P129" s="69">
        <f t="shared" ca="1" si="18"/>
        <v>0.33204989704131638</v>
      </c>
      <c r="Q129" s="69">
        <f t="shared" ca="1" si="19"/>
        <v>-0.2566392447355012</v>
      </c>
      <c r="R129" s="69">
        <f t="shared" ca="1" si="20"/>
        <v>-1.1591874301395118</v>
      </c>
      <c r="S129" s="69">
        <f t="shared" ca="1" si="21"/>
        <v>-5.2047234214798406E-2</v>
      </c>
      <c r="T129" s="69">
        <f t="shared" ca="1" si="22"/>
        <v>1.4643211054821323</v>
      </c>
      <c r="U129" s="69">
        <f t="shared" ca="1" si="23"/>
        <v>0.32988240849274131</v>
      </c>
      <c r="V129" s="69">
        <f t="shared" ca="1" si="24"/>
        <v>-1.4216484970370364</v>
      </c>
      <c r="W129" s="69">
        <f t="shared" ca="1" si="25"/>
        <v>-0.33085897559714011</v>
      </c>
      <c r="X129" s="69">
        <f t="shared" ca="1" si="26"/>
        <v>-0.59996560705969648</v>
      </c>
    </row>
    <row r="130" spans="2:24" x14ac:dyDescent="0.2">
      <c r="B130" s="69">
        <f t="shared" ca="1" si="15"/>
        <v>-0.25508461907062052</v>
      </c>
      <c r="C130" s="69">
        <f t="shared" ca="1" si="28"/>
        <v>-7.0981691087976348E-2</v>
      </c>
      <c r="D130" s="69">
        <f t="shared" ca="1" si="28"/>
        <v>-0.28746015484918064</v>
      </c>
      <c r="E130" s="69">
        <f t="shared" ca="1" si="28"/>
        <v>-0.4195249763868788</v>
      </c>
      <c r="F130" s="69">
        <f t="shared" ca="1" si="28"/>
        <v>1.111263729478648</v>
      </c>
      <c r="G130" s="69">
        <f t="shared" ca="1" si="28"/>
        <v>0.19938188107514582</v>
      </c>
      <c r="H130" s="69">
        <f t="shared" ca="1" si="28"/>
        <v>0.32656431527136803</v>
      </c>
      <c r="I130" s="69">
        <f t="shared" ca="1" si="28"/>
        <v>-0.1278007625289202</v>
      </c>
      <c r="J130" s="69">
        <f t="shared" ca="1" si="28"/>
        <v>0.94518916508808548</v>
      </c>
      <c r="K130" s="69">
        <f t="shared" ca="1" si="28"/>
        <v>-1.1537150077713565</v>
      </c>
      <c r="L130" s="69">
        <f t="shared" ca="1" si="28"/>
        <v>0.65312492150455426</v>
      </c>
      <c r="N130" s="69">
        <f t="shared" ca="1" si="16"/>
        <v>-0.21731657523251169</v>
      </c>
      <c r="O130" s="69">
        <f t="shared" ca="1" si="17"/>
        <v>-9.7475254170863029E-2</v>
      </c>
      <c r="P130" s="69">
        <f t="shared" ca="1" si="18"/>
        <v>-0.34520221968627068</v>
      </c>
      <c r="Q130" s="69">
        <f t="shared" ca="1" si="19"/>
        <v>-0.37041629752511984</v>
      </c>
      <c r="R130" s="69">
        <f t="shared" ca="1" si="20"/>
        <v>1.1049690440709992</v>
      </c>
      <c r="S130" s="69">
        <f t="shared" ca="1" si="21"/>
        <v>0.23220885333195429</v>
      </c>
      <c r="T130" s="69">
        <f t="shared" ca="1" si="22"/>
        <v>0.3217332775561782</v>
      </c>
      <c r="U130" s="69">
        <f t="shared" ca="1" si="23"/>
        <v>-0.10476063565121055</v>
      </c>
      <c r="V130" s="69">
        <f t="shared" ca="1" si="24"/>
        <v>0.93907957151448818</v>
      </c>
      <c r="W130" s="69">
        <f t="shared" ca="1" si="25"/>
        <v>-1.1527336509472574</v>
      </c>
      <c r="X130" s="69">
        <f t="shared" ca="1" si="26"/>
        <v>0.68029341187898973</v>
      </c>
    </row>
    <row r="131" spans="2:24" x14ac:dyDescent="0.2">
      <c r="B131" s="69">
        <f t="shared" ca="1" si="15"/>
        <v>-1.1489077501847809</v>
      </c>
      <c r="C131" s="69">
        <f t="shared" ca="1" si="28"/>
        <v>1.1810012178890477</v>
      </c>
      <c r="D131" s="69">
        <f t="shared" ca="1" si="28"/>
        <v>0.8270517038394114</v>
      </c>
      <c r="E131" s="69">
        <f t="shared" ca="1" si="28"/>
        <v>-1.0490922366566697</v>
      </c>
      <c r="F131" s="69">
        <f t="shared" ca="1" si="28"/>
        <v>-6.8511930286150075E-2</v>
      </c>
      <c r="G131" s="69">
        <f t="shared" ca="1" si="28"/>
        <v>-0.46512132059096239</v>
      </c>
      <c r="H131" s="69">
        <f t="shared" ca="1" si="28"/>
        <v>0.25990223477980384</v>
      </c>
      <c r="I131" s="69">
        <f t="shared" ca="1" si="28"/>
        <v>-0.60519045557227868</v>
      </c>
      <c r="J131" s="69">
        <f t="shared" ca="1" si="28"/>
        <v>-0.93406955716627227</v>
      </c>
      <c r="K131" s="69">
        <f t="shared" ca="1" si="28"/>
        <v>0.52773204492267101</v>
      </c>
      <c r="L131" s="69">
        <f t="shared" ca="1" si="28"/>
        <v>0.19770300086210874</v>
      </c>
      <c r="N131" s="69">
        <f t="shared" ca="1" si="16"/>
        <v>-1.1111397063466721</v>
      </c>
      <c r="O131" s="69">
        <f t="shared" ca="1" si="17"/>
        <v>1.154507654806161</v>
      </c>
      <c r="P131" s="69">
        <f t="shared" ca="1" si="18"/>
        <v>0.76930963900232141</v>
      </c>
      <c r="Q131" s="69">
        <f t="shared" ca="1" si="19"/>
        <v>-0.99998355779491077</v>
      </c>
      <c r="R131" s="69">
        <f t="shared" ca="1" si="20"/>
        <v>-7.480661569379897E-2</v>
      </c>
      <c r="S131" s="69">
        <f t="shared" ca="1" si="21"/>
        <v>-0.43229434833415392</v>
      </c>
      <c r="T131" s="69">
        <f t="shared" ca="1" si="22"/>
        <v>0.25507119706461401</v>
      </c>
      <c r="U131" s="69">
        <f t="shared" ca="1" si="23"/>
        <v>-0.58215032869456906</v>
      </c>
      <c r="V131" s="69">
        <f t="shared" ca="1" si="24"/>
        <v>-0.94017915073986957</v>
      </c>
      <c r="W131" s="69">
        <f t="shared" ca="1" si="25"/>
        <v>0.52871340174676995</v>
      </c>
      <c r="X131" s="69">
        <f t="shared" ca="1" si="26"/>
        <v>0.22487149123654421</v>
      </c>
    </row>
    <row r="132" spans="2:24" x14ac:dyDescent="0.2">
      <c r="B132" s="69">
        <f t="shared" ca="1" si="15"/>
        <v>0.14434164047059664</v>
      </c>
      <c r="C132" s="69">
        <f t="shared" ca="1" si="28"/>
        <v>0.55266789926024218</v>
      </c>
      <c r="D132" s="69">
        <f t="shared" ca="1" si="28"/>
        <v>-1.5029276715362281</v>
      </c>
      <c r="E132" s="69">
        <f t="shared" ca="1" si="28"/>
        <v>0.99127598241526216</v>
      </c>
      <c r="F132" s="69">
        <f t="shared" ca="1" si="28"/>
        <v>0.43073601229977593</v>
      </c>
      <c r="G132" s="69">
        <f t="shared" ca="1" si="28"/>
        <v>1.2100395594969129</v>
      </c>
      <c r="H132" s="69">
        <f t="shared" ca="1" si="28"/>
        <v>0.68054901825388237</v>
      </c>
      <c r="I132" s="69">
        <f t="shared" ca="1" si="28"/>
        <v>-0.1171056595997195</v>
      </c>
      <c r="J132" s="69">
        <f t="shared" ca="1" si="28"/>
        <v>-1.2370835296547646</v>
      </c>
      <c r="K132" s="69">
        <f t="shared" ca="1" si="28"/>
        <v>2.1341191312854884</v>
      </c>
      <c r="L132" s="69">
        <f t="shared" ca="1" si="28"/>
        <v>-0.85867924585037614</v>
      </c>
      <c r="N132" s="69">
        <f t="shared" ca="1" si="16"/>
        <v>0.18210968430870544</v>
      </c>
      <c r="O132" s="69">
        <f t="shared" ca="1" si="17"/>
        <v>0.52617433617735554</v>
      </c>
      <c r="P132" s="69">
        <f t="shared" ca="1" si="18"/>
        <v>-1.5606697363733182</v>
      </c>
      <c r="Q132" s="69">
        <f t="shared" ca="1" si="19"/>
        <v>1.0403846612770211</v>
      </c>
      <c r="R132" s="69">
        <f t="shared" ca="1" si="20"/>
        <v>0.42444132689212705</v>
      </c>
      <c r="S132" s="69">
        <f t="shared" ca="1" si="21"/>
        <v>1.2428665317537213</v>
      </c>
      <c r="T132" s="69">
        <f t="shared" ca="1" si="22"/>
        <v>0.67571798053869248</v>
      </c>
      <c r="U132" s="69">
        <f t="shared" ca="1" si="23"/>
        <v>-9.4065532722009848E-2</v>
      </c>
      <c r="V132" s="69">
        <f t="shared" ca="1" si="24"/>
        <v>-1.243193123228362</v>
      </c>
      <c r="W132" s="69">
        <f t="shared" ca="1" si="25"/>
        <v>2.1351004881095874</v>
      </c>
      <c r="X132" s="69">
        <f t="shared" ca="1" si="26"/>
        <v>-0.83151075547594067</v>
      </c>
    </row>
    <row r="133" spans="2:24" x14ac:dyDescent="0.2">
      <c r="B133" s="69">
        <f t="shared" ca="1" si="15"/>
        <v>-1.8413025925480659</v>
      </c>
      <c r="C133" s="69">
        <f t="shared" ca="1" si="28"/>
        <v>-0.4765098148927373</v>
      </c>
      <c r="D133" s="69">
        <f t="shared" ca="1" si="28"/>
        <v>1.57336603419333</v>
      </c>
      <c r="E133" s="69">
        <f t="shared" ca="1" si="28"/>
        <v>-0.15845724204558975</v>
      </c>
      <c r="F133" s="69">
        <f t="shared" ca="1" si="28"/>
        <v>1.700745156662778</v>
      </c>
      <c r="G133" s="69">
        <f t="shared" ca="1" si="28"/>
        <v>1.2279311634651938E-2</v>
      </c>
      <c r="H133" s="69">
        <f t="shared" ca="1" si="28"/>
        <v>-0.39191362643842131</v>
      </c>
      <c r="I133" s="69">
        <f t="shared" ca="1" si="28"/>
        <v>0.69790335981192919</v>
      </c>
      <c r="J133" s="69">
        <f t="shared" ca="1" si="28"/>
        <v>1.554868408873247</v>
      </c>
      <c r="K133" s="69">
        <f t="shared" ca="1" si="28"/>
        <v>-0.5331691520404207</v>
      </c>
      <c r="L133" s="69">
        <f t="shared" ca="1" si="28"/>
        <v>0.41281227650805552</v>
      </c>
      <c r="N133" s="69">
        <f t="shared" ca="1" si="16"/>
        <v>-1.8035345487099572</v>
      </c>
      <c r="O133" s="69">
        <f t="shared" ca="1" si="17"/>
        <v>-0.503003377975624</v>
      </c>
      <c r="P133" s="69">
        <f t="shared" ca="1" si="18"/>
        <v>1.5156239693562399</v>
      </c>
      <c r="Q133" s="69">
        <f t="shared" ca="1" si="19"/>
        <v>-0.10934856318383081</v>
      </c>
      <c r="R133" s="69">
        <f t="shared" ca="1" si="20"/>
        <v>1.6944504712551292</v>
      </c>
      <c r="S133" s="69">
        <f t="shared" ca="1" si="21"/>
        <v>4.5106283891460416E-2</v>
      </c>
      <c r="T133" s="69">
        <f t="shared" ca="1" si="22"/>
        <v>-0.39674466415361115</v>
      </c>
      <c r="U133" s="69">
        <f t="shared" ca="1" si="23"/>
        <v>0.72094348668963881</v>
      </c>
      <c r="V133" s="69">
        <f t="shared" ca="1" si="24"/>
        <v>1.5487588152996496</v>
      </c>
      <c r="W133" s="69">
        <f t="shared" ca="1" si="25"/>
        <v>-0.53218779521632176</v>
      </c>
      <c r="X133" s="69">
        <f t="shared" ca="1" si="26"/>
        <v>0.43998076688249099</v>
      </c>
    </row>
    <row r="134" spans="2:24" x14ac:dyDescent="0.2">
      <c r="B134" s="69">
        <f t="shared" ca="1" si="15"/>
        <v>-0.36532321714173571</v>
      </c>
      <c r="C134" s="69">
        <f t="shared" ca="1" si="28"/>
        <v>1.0771496412153108</v>
      </c>
      <c r="D134" s="69">
        <f t="shared" ca="1" si="28"/>
        <v>1.0489299637563443</v>
      </c>
      <c r="E134" s="69">
        <f t="shared" ca="1" si="28"/>
        <v>1.1442623266126244</v>
      </c>
      <c r="F134" s="69">
        <f t="shared" ca="1" si="28"/>
        <v>2.8503703194581623E-2</v>
      </c>
      <c r="G134" s="69">
        <f t="shared" ca="1" si="28"/>
        <v>0.44201359518432276</v>
      </c>
      <c r="H134" s="69">
        <f t="shared" ca="1" si="28"/>
        <v>-1.0815579170261875</v>
      </c>
      <c r="I134" s="69">
        <f t="shared" ca="1" si="28"/>
        <v>-0.50182627387909107</v>
      </c>
      <c r="J134" s="69">
        <f t="shared" ca="1" si="28"/>
        <v>-1.580712497417559</v>
      </c>
      <c r="K134" s="69">
        <f t="shared" ca="1" si="28"/>
        <v>-3.5334423623606344E-2</v>
      </c>
      <c r="L134" s="69">
        <f t="shared" ca="1" si="28"/>
        <v>-0.12876689155133347</v>
      </c>
      <c r="N134" s="69">
        <f t="shared" ca="1" si="16"/>
        <v>-0.32755517330362688</v>
      </c>
      <c r="O134" s="69">
        <f t="shared" ca="1" si="17"/>
        <v>1.0506560781324241</v>
      </c>
      <c r="P134" s="69">
        <f t="shared" ca="1" si="18"/>
        <v>0.9911878989192543</v>
      </c>
      <c r="Q134" s="69">
        <f t="shared" ca="1" si="19"/>
        <v>1.1933710054743834</v>
      </c>
      <c r="R134" s="69">
        <f t="shared" ca="1" si="20"/>
        <v>2.2209017786932728E-2</v>
      </c>
      <c r="S134" s="69">
        <f t="shared" ca="1" si="21"/>
        <v>0.47484056744113123</v>
      </c>
      <c r="T134" s="69">
        <f t="shared" ca="1" si="22"/>
        <v>-1.0863889547413774</v>
      </c>
      <c r="U134" s="69">
        <f t="shared" ca="1" si="23"/>
        <v>-0.47878614700138139</v>
      </c>
      <c r="V134" s="69">
        <f t="shared" ca="1" si="24"/>
        <v>-1.5868220909911563</v>
      </c>
      <c r="W134" s="69">
        <f t="shared" ca="1" si="25"/>
        <v>-3.4353066799507392E-2</v>
      </c>
      <c r="X134" s="69">
        <f t="shared" ca="1" si="26"/>
        <v>-0.101598401176898</v>
      </c>
    </row>
    <row r="135" spans="2:24" x14ac:dyDescent="0.2">
      <c r="B135" s="69">
        <f t="shared" ca="1" si="15"/>
        <v>0.16187059509076845</v>
      </c>
      <c r="C135" s="69">
        <f t="shared" ca="1" si="28"/>
        <v>-9.2269951457825808E-2</v>
      </c>
      <c r="D135" s="69">
        <f t="shared" ca="1" si="28"/>
        <v>0.4318012964401321</v>
      </c>
      <c r="E135" s="69">
        <f t="shared" ca="1" si="28"/>
        <v>-1.0816542441786776</v>
      </c>
      <c r="F135" s="69">
        <f t="shared" ca="1" si="28"/>
        <v>2.7647490275663174</v>
      </c>
      <c r="G135" s="69">
        <f t="shared" ca="1" si="28"/>
        <v>0.11173936402748369</v>
      </c>
      <c r="H135" s="69">
        <f t="shared" ca="1" si="28"/>
        <v>1.1735234547777642</v>
      </c>
      <c r="I135" s="69">
        <f t="shared" ca="1" si="28"/>
        <v>0.73346225372108664</v>
      </c>
      <c r="J135" s="69">
        <f t="shared" ca="1" si="28"/>
        <v>-0.80615506642207491</v>
      </c>
      <c r="K135" s="69">
        <f t="shared" ca="1" si="28"/>
        <v>-1.183131027641378</v>
      </c>
      <c r="L135" s="69">
        <f t="shared" ca="1" si="28"/>
        <v>-0.33987770794100297</v>
      </c>
      <c r="N135" s="69">
        <f t="shared" ca="1" si="16"/>
        <v>0.19963863892887729</v>
      </c>
      <c r="O135" s="69">
        <f t="shared" ca="1" si="17"/>
        <v>-0.11876351454071249</v>
      </c>
      <c r="P135" s="69">
        <f t="shared" ca="1" si="18"/>
        <v>0.37405923160304205</v>
      </c>
      <c r="Q135" s="69">
        <f t="shared" ca="1" si="19"/>
        <v>-1.0325455653169187</v>
      </c>
      <c r="R135" s="69">
        <f t="shared" ca="1" si="20"/>
        <v>2.7584543421586685</v>
      </c>
      <c r="S135" s="69">
        <f t="shared" ca="1" si="21"/>
        <v>0.14456633628429216</v>
      </c>
      <c r="T135" s="69">
        <f t="shared" ca="1" si="22"/>
        <v>1.1686924170625743</v>
      </c>
      <c r="U135" s="69">
        <f t="shared" ca="1" si="23"/>
        <v>0.75650238059879626</v>
      </c>
      <c r="V135" s="69">
        <f t="shared" ca="1" si="24"/>
        <v>-0.81226465999567221</v>
      </c>
      <c r="W135" s="69">
        <f t="shared" ca="1" si="25"/>
        <v>-1.182149670817279</v>
      </c>
      <c r="X135" s="69">
        <f t="shared" ca="1" si="26"/>
        <v>-0.3127092175665675</v>
      </c>
    </row>
    <row r="136" spans="2:24" x14ac:dyDescent="0.2">
      <c r="B136" s="69">
        <f t="shared" ca="1" si="15"/>
        <v>-0.2431279383426182</v>
      </c>
      <c r="C136" s="69">
        <f t="shared" ca="1" si="28"/>
        <v>-1.3246440788572842</v>
      </c>
      <c r="D136" s="69">
        <f t="shared" ca="1" si="28"/>
        <v>0.17092535093265701</v>
      </c>
      <c r="E136" s="69">
        <f t="shared" ca="1" si="28"/>
        <v>-1.1210003625949589</v>
      </c>
      <c r="F136" s="69">
        <f t="shared" ca="1" si="28"/>
        <v>-0.46722111241760078</v>
      </c>
      <c r="G136" s="69">
        <f t="shared" ca="1" si="28"/>
        <v>1.3929314014697733E-2</v>
      </c>
      <c r="H136" s="69">
        <f t="shared" ca="1" si="28"/>
        <v>-0.22224128319887118</v>
      </c>
      <c r="I136" s="69">
        <f t="shared" ca="1" si="28"/>
        <v>-1.4626236242135555</v>
      </c>
      <c r="J136" s="69">
        <f t="shared" ca="1" si="28"/>
        <v>-6.9555634559648208E-2</v>
      </c>
      <c r="K136" s="69">
        <f t="shared" ca="1" si="28"/>
        <v>-0.34393770160473652</v>
      </c>
      <c r="L136" s="69">
        <f t="shared" ca="1" si="28"/>
        <v>-1.9375239707351701</v>
      </c>
      <c r="N136" s="69">
        <f t="shared" ca="1" si="16"/>
        <v>-0.20535989450450937</v>
      </c>
      <c r="O136" s="69">
        <f t="shared" ca="1" si="17"/>
        <v>-1.3511376419401708</v>
      </c>
      <c r="P136" s="69">
        <f t="shared" ca="1" si="18"/>
        <v>0.11318328609556698</v>
      </c>
      <c r="Q136" s="69">
        <f t="shared" ca="1" si="19"/>
        <v>-1.0718916837332</v>
      </c>
      <c r="R136" s="69">
        <f t="shared" ca="1" si="20"/>
        <v>-0.47351579782524966</v>
      </c>
      <c r="S136" s="69">
        <f t="shared" ca="1" si="21"/>
        <v>4.6756286271506214E-2</v>
      </c>
      <c r="T136" s="69">
        <f t="shared" ca="1" si="22"/>
        <v>-0.22707232091406102</v>
      </c>
      <c r="U136" s="69">
        <f t="shared" ca="1" si="23"/>
        <v>-1.4395834973358459</v>
      </c>
      <c r="V136" s="69">
        <f t="shared" ca="1" si="24"/>
        <v>-7.5665228133245541E-2</v>
      </c>
      <c r="W136" s="69">
        <f t="shared" ca="1" si="25"/>
        <v>-0.34295634478063758</v>
      </c>
      <c r="X136" s="69">
        <f t="shared" ca="1" si="26"/>
        <v>-1.9103554803607345</v>
      </c>
    </row>
    <row r="137" spans="2:24" x14ac:dyDescent="0.2">
      <c r="B137" s="69">
        <f t="shared" ca="1" si="15"/>
        <v>1.1774763261711629</v>
      </c>
      <c r="C137" s="69">
        <f t="shared" ca="1" si="28"/>
        <v>1.3123114141732031</v>
      </c>
      <c r="D137" s="69">
        <f t="shared" ca="1" si="28"/>
        <v>0.28768117112157038</v>
      </c>
      <c r="E137" s="69">
        <f t="shared" ca="1" si="28"/>
        <v>0.64830793940150733</v>
      </c>
      <c r="F137" s="69">
        <f t="shared" ca="1" si="28"/>
        <v>1.5986449873358701</v>
      </c>
      <c r="G137" s="69">
        <f t="shared" ca="1" si="28"/>
        <v>1.2499772810006042</v>
      </c>
      <c r="H137" s="69">
        <f t="shared" ca="1" si="28"/>
        <v>1.1135155263865286</v>
      </c>
      <c r="I137" s="69">
        <f t="shared" ca="1" si="28"/>
        <v>-1.1587072735193313</v>
      </c>
      <c r="J137" s="69">
        <f t="shared" ca="1" si="28"/>
        <v>2.2352238216642717</v>
      </c>
      <c r="K137" s="69">
        <f t="shared" ca="1" si="28"/>
        <v>-0.92146466141062944</v>
      </c>
      <c r="L137" s="69">
        <f t="shared" ca="1" si="28"/>
        <v>-0.3178566610478315</v>
      </c>
      <c r="N137" s="69">
        <f t="shared" ca="1" si="16"/>
        <v>1.2152443700092717</v>
      </c>
      <c r="O137" s="69">
        <f t="shared" ca="1" si="17"/>
        <v>1.2858178510903164</v>
      </c>
      <c r="P137" s="69">
        <f t="shared" ca="1" si="18"/>
        <v>0.22993910628448033</v>
      </c>
      <c r="Q137" s="69">
        <f t="shared" ca="1" si="19"/>
        <v>0.69741661826326629</v>
      </c>
      <c r="R137" s="69">
        <f t="shared" ca="1" si="20"/>
        <v>1.5923503019282212</v>
      </c>
      <c r="S137" s="69">
        <f t="shared" ca="1" si="21"/>
        <v>1.2828042532574127</v>
      </c>
      <c r="T137" s="69">
        <f t="shared" ca="1" si="22"/>
        <v>1.1086844886713387</v>
      </c>
      <c r="U137" s="69">
        <f t="shared" ca="1" si="23"/>
        <v>-1.1356671466416217</v>
      </c>
      <c r="V137" s="69">
        <f t="shared" ca="1" si="24"/>
        <v>2.2291142280906744</v>
      </c>
      <c r="W137" s="69">
        <f t="shared" ca="1" si="25"/>
        <v>-0.92048330458653049</v>
      </c>
      <c r="X137" s="69">
        <f t="shared" ca="1" si="26"/>
        <v>-0.29068817067339603</v>
      </c>
    </row>
    <row r="138" spans="2:24" x14ac:dyDescent="0.2">
      <c r="B138" s="69">
        <f t="shared" ref="B138:B201" ca="1" si="29">NORMINV(RAND(),$C$7,$F$7)</f>
        <v>0.53731746417901549</v>
      </c>
      <c r="C138" s="69">
        <f t="shared" ca="1" si="28"/>
        <v>-1.224289416418459</v>
      </c>
      <c r="D138" s="69">
        <f t="shared" ca="1" si="28"/>
        <v>4.1081308443354878E-2</v>
      </c>
      <c r="E138" s="69">
        <f t="shared" ca="1" si="28"/>
        <v>-1.6986881265734475</v>
      </c>
      <c r="F138" s="69">
        <f t="shared" ca="1" si="28"/>
        <v>-4.6383067014106612E-2</v>
      </c>
      <c r="G138" s="69">
        <f t="shared" ca="1" si="28"/>
        <v>0.33108161498392003</v>
      </c>
      <c r="H138" s="69">
        <f t="shared" ca="1" si="28"/>
        <v>1.0939929649960853</v>
      </c>
      <c r="I138" s="69">
        <f t="shared" ca="1" si="28"/>
        <v>1.0212760050289986</v>
      </c>
      <c r="J138" s="69">
        <f t="shared" ca="1" si="28"/>
        <v>2.5287476221860277</v>
      </c>
      <c r="K138" s="69">
        <f t="shared" ca="1" si="28"/>
        <v>-0.46671841929232671</v>
      </c>
      <c r="L138" s="69">
        <f t="shared" ca="1" si="28"/>
        <v>-0.45464686906841117</v>
      </c>
      <c r="N138" s="69">
        <f t="shared" ref="N138:N201" ca="1" si="30">B138-$B$1010</f>
        <v>0.57508550801712432</v>
      </c>
      <c r="O138" s="69">
        <f t="shared" ref="O138:O201" ca="1" si="31">C138-$C$1010</f>
        <v>-1.2507829795013456</v>
      </c>
      <c r="P138" s="69">
        <f t="shared" ref="P138:P201" ca="1" si="32">D138-$D$1010</f>
        <v>-1.6660756393735154E-2</v>
      </c>
      <c r="Q138" s="69">
        <f t="shared" ref="Q138:Q201" ca="1" si="33">E138-$E$1010</f>
        <v>-1.6495794477116885</v>
      </c>
      <c r="R138" s="69">
        <f t="shared" ref="R138:R201" ca="1" si="34">F138-$F$1010</f>
        <v>-5.2677752421755507E-2</v>
      </c>
      <c r="S138" s="69">
        <f t="shared" ref="S138:S201" ca="1" si="35">G138-$G$1010</f>
        <v>0.3639085872407285</v>
      </c>
      <c r="T138" s="69">
        <f t="shared" ref="T138:T201" ca="1" si="36">H138-$H$1010</f>
        <v>1.0891619272808954</v>
      </c>
      <c r="U138" s="69">
        <f t="shared" ref="U138:U201" ca="1" si="37">I138-$I$1010</f>
        <v>1.0443161319067082</v>
      </c>
      <c r="V138" s="69">
        <f t="shared" ref="V138:V201" ca="1" si="38">J138-$J$1010</f>
        <v>2.5226380286124304</v>
      </c>
      <c r="W138" s="69">
        <f t="shared" ref="W138:W201" ca="1" si="39">K138-$K$1010</f>
        <v>-0.46573706246822777</v>
      </c>
      <c r="X138" s="69">
        <f t="shared" ref="X138:X201" ca="1" si="40">L138-$L$1010</f>
        <v>-0.4274783786939757</v>
      </c>
    </row>
    <row r="139" spans="2:24" x14ac:dyDescent="0.2">
      <c r="B139" s="69">
        <f t="shared" ca="1" si="29"/>
        <v>-1.5370277772530703</v>
      </c>
      <c r="C139" s="69">
        <f t="shared" ca="1" si="28"/>
        <v>-0.14997219565197434</v>
      </c>
      <c r="D139" s="69">
        <f t="shared" ca="1" si="28"/>
        <v>0.60551860225434995</v>
      </c>
      <c r="E139" s="69">
        <f t="shared" ca="1" si="28"/>
        <v>-1.3398730501682901</v>
      </c>
      <c r="F139" s="69">
        <f t="shared" ca="1" si="28"/>
        <v>-1.7260822835263321</v>
      </c>
      <c r="G139" s="69">
        <f t="shared" ca="1" si="28"/>
        <v>-1.2047085524660643</v>
      </c>
      <c r="H139" s="69">
        <f t="shared" ca="1" si="28"/>
        <v>-0.6191008612931731</v>
      </c>
      <c r="I139" s="69">
        <f t="shared" ca="1" si="28"/>
        <v>6.6949062809073714E-2</v>
      </c>
      <c r="J139" s="69">
        <f t="shared" ca="1" si="28"/>
        <v>1.1486292690862741</v>
      </c>
      <c r="K139" s="69">
        <f t="shared" ca="1" si="28"/>
        <v>-2.0157166940689084</v>
      </c>
      <c r="L139" s="69">
        <f t="shared" ca="1" si="28"/>
        <v>1.9416651745759743</v>
      </c>
      <c r="N139" s="69">
        <f t="shared" ca="1" si="30"/>
        <v>-1.4992597334149615</v>
      </c>
      <c r="O139" s="69">
        <f t="shared" ca="1" si="31"/>
        <v>-0.17646575873486103</v>
      </c>
      <c r="P139" s="69">
        <f t="shared" ca="1" si="32"/>
        <v>0.54777653741725996</v>
      </c>
      <c r="Q139" s="69">
        <f t="shared" ca="1" si="33"/>
        <v>-1.2907643713065311</v>
      </c>
      <c r="R139" s="69">
        <f t="shared" ca="1" si="34"/>
        <v>-1.732376968933981</v>
      </c>
      <c r="S139" s="69">
        <f t="shared" ca="1" si="35"/>
        <v>-1.1718815802092559</v>
      </c>
      <c r="T139" s="69">
        <f t="shared" ca="1" si="36"/>
        <v>-0.62393189900836299</v>
      </c>
      <c r="U139" s="69">
        <f t="shared" ca="1" si="37"/>
        <v>8.9989189686783377E-2</v>
      </c>
      <c r="V139" s="69">
        <f t="shared" ca="1" si="38"/>
        <v>1.1425196755126767</v>
      </c>
      <c r="W139" s="69">
        <f t="shared" ca="1" si="39"/>
        <v>-2.0147353372448094</v>
      </c>
      <c r="X139" s="69">
        <f t="shared" ca="1" si="40"/>
        <v>1.9688336649504099</v>
      </c>
    </row>
    <row r="140" spans="2:24" x14ac:dyDescent="0.2">
      <c r="B140" s="69">
        <f t="shared" ca="1" si="29"/>
        <v>-1.0458424970982632</v>
      </c>
      <c r="C140" s="69">
        <f t="shared" ca="1" si="28"/>
        <v>9.1208712568205452E-2</v>
      </c>
      <c r="D140" s="69">
        <f t="shared" ca="1" si="28"/>
        <v>-1.9516698249474169</v>
      </c>
      <c r="E140" s="69">
        <f t="shared" ca="1" si="28"/>
        <v>1.6004436706437755</v>
      </c>
      <c r="F140" s="69">
        <f t="shared" ca="1" si="28"/>
        <v>-0.64991253756426104</v>
      </c>
      <c r="G140" s="69">
        <f t="shared" ca="1" si="28"/>
        <v>-0.71051512966626773</v>
      </c>
      <c r="H140" s="69">
        <f t="shared" ca="1" si="28"/>
        <v>0.52225070632712611</v>
      </c>
      <c r="I140" s="69">
        <f t="shared" ca="1" si="28"/>
        <v>0.29707599384695915</v>
      </c>
      <c r="J140" s="69">
        <f t="shared" ca="1" si="28"/>
        <v>-0.95918305962016837</v>
      </c>
      <c r="K140" s="69">
        <f t="shared" ca="1" si="28"/>
        <v>-1.6267549440964253</v>
      </c>
      <c r="L140" s="69">
        <f t="shared" ca="1" si="28"/>
        <v>0.31205851984391347</v>
      </c>
      <c r="N140" s="69">
        <f t="shared" ca="1" si="30"/>
        <v>-1.0080744532601544</v>
      </c>
      <c r="O140" s="69">
        <f t="shared" ca="1" si="31"/>
        <v>6.4715149485318771E-2</v>
      </c>
      <c r="P140" s="69">
        <f t="shared" ca="1" si="32"/>
        <v>-2.009411889784507</v>
      </c>
      <c r="Q140" s="69">
        <f t="shared" ca="1" si="33"/>
        <v>1.6495523495055344</v>
      </c>
      <c r="R140" s="69">
        <f t="shared" ca="1" si="34"/>
        <v>-0.65620722297190992</v>
      </c>
      <c r="S140" s="69">
        <f t="shared" ca="1" si="35"/>
        <v>-0.6776881574094592</v>
      </c>
      <c r="T140" s="69">
        <f t="shared" ca="1" si="36"/>
        <v>0.51741966861193622</v>
      </c>
      <c r="U140" s="69">
        <f t="shared" ca="1" si="37"/>
        <v>0.32011612072466883</v>
      </c>
      <c r="V140" s="69">
        <f t="shared" ca="1" si="38"/>
        <v>-0.96529265319376567</v>
      </c>
      <c r="W140" s="69">
        <f t="shared" ca="1" si="39"/>
        <v>-1.6257735872723262</v>
      </c>
      <c r="X140" s="69">
        <f t="shared" ca="1" si="40"/>
        <v>0.33922701021834895</v>
      </c>
    </row>
    <row r="141" spans="2:24" x14ac:dyDescent="0.2">
      <c r="B141" s="69">
        <f t="shared" ca="1" si="29"/>
        <v>0.4294714923859001</v>
      </c>
      <c r="C141" s="69">
        <f t="shared" ca="1" si="28"/>
        <v>0.75324941284950186</v>
      </c>
      <c r="D141" s="69">
        <f t="shared" ca="1" si="28"/>
        <v>1.9665708414765186</v>
      </c>
      <c r="E141" s="69">
        <f t="shared" ca="1" si="28"/>
        <v>-1.0048586377049129</v>
      </c>
      <c r="F141" s="69">
        <f t="shared" ca="1" si="28"/>
        <v>0.3002211896303027</v>
      </c>
      <c r="G141" s="69">
        <f t="shared" ca="1" si="28"/>
        <v>-0.5980138142602307</v>
      </c>
      <c r="H141" s="69">
        <f t="shared" ca="1" si="28"/>
        <v>-0.56851638923974901</v>
      </c>
      <c r="I141" s="69">
        <f t="shared" ca="1" si="28"/>
        <v>-0.61557059535236125</v>
      </c>
      <c r="J141" s="69">
        <f t="shared" ca="1" si="28"/>
        <v>-0.54665929382149603</v>
      </c>
      <c r="K141" s="69">
        <f t="shared" ca="1" si="28"/>
        <v>-0.16161194530425349</v>
      </c>
      <c r="L141" s="69">
        <f t="shared" ca="1" si="28"/>
        <v>-0.22315692672502616</v>
      </c>
      <c r="N141" s="69">
        <f t="shared" ca="1" si="30"/>
        <v>0.46723953622400893</v>
      </c>
      <c r="O141" s="69">
        <f t="shared" ca="1" si="31"/>
        <v>0.72675584976661523</v>
      </c>
      <c r="P141" s="69">
        <f t="shared" ca="1" si="32"/>
        <v>1.9088287766394285</v>
      </c>
      <c r="Q141" s="69">
        <f t="shared" ca="1" si="33"/>
        <v>-0.95574995884315395</v>
      </c>
      <c r="R141" s="69">
        <f t="shared" ca="1" si="34"/>
        <v>0.29392650422265382</v>
      </c>
      <c r="S141" s="69">
        <f t="shared" ca="1" si="35"/>
        <v>-0.56518684200342217</v>
      </c>
      <c r="T141" s="69">
        <f t="shared" ca="1" si="36"/>
        <v>-0.5733474269549389</v>
      </c>
      <c r="U141" s="69">
        <f t="shared" ca="1" si="37"/>
        <v>-0.59253046847465163</v>
      </c>
      <c r="V141" s="69">
        <f t="shared" ca="1" si="38"/>
        <v>-0.55276888739509333</v>
      </c>
      <c r="W141" s="69">
        <f t="shared" ca="1" si="39"/>
        <v>-0.16063058848015455</v>
      </c>
      <c r="X141" s="69">
        <f t="shared" ca="1" si="40"/>
        <v>-0.19598843635059068</v>
      </c>
    </row>
    <row r="142" spans="2:24" x14ac:dyDescent="0.2">
      <c r="B142" s="69">
        <f t="shared" ca="1" si="29"/>
        <v>3.4767968393639594</v>
      </c>
      <c r="C142" s="69">
        <f t="shared" ca="1" si="28"/>
        <v>-1.0749163320428865</v>
      </c>
      <c r="D142" s="69">
        <f t="shared" ca="1" si="28"/>
        <v>0.48599647414808989</v>
      </c>
      <c r="E142" s="69">
        <f t="shared" ca="1" si="28"/>
        <v>0.53711827435446902</v>
      </c>
      <c r="F142" s="69">
        <f t="shared" ca="1" si="28"/>
        <v>-2.3475016849962511</v>
      </c>
      <c r="G142" s="69">
        <f t="shared" ca="1" si="28"/>
        <v>0.33304754126100833</v>
      </c>
      <c r="H142" s="69">
        <f t="shared" ca="1" si="28"/>
        <v>-0.61605110368982452</v>
      </c>
      <c r="I142" s="69">
        <f t="shared" ca="1" si="28"/>
        <v>0.9801321802411509</v>
      </c>
      <c r="J142" s="69">
        <f t="shared" ca="1" si="28"/>
        <v>0.36444704161539448</v>
      </c>
      <c r="K142" s="69">
        <f t="shared" ca="1" si="28"/>
        <v>-1.5430533049241524</v>
      </c>
      <c r="L142" s="69">
        <f t="shared" ca="1" si="28"/>
        <v>0.88132330058253294</v>
      </c>
      <c r="N142" s="69">
        <f t="shared" ca="1" si="30"/>
        <v>3.5145648832020684</v>
      </c>
      <c r="O142" s="69">
        <f t="shared" ca="1" si="31"/>
        <v>-1.1014098951257731</v>
      </c>
      <c r="P142" s="69">
        <f t="shared" ca="1" si="32"/>
        <v>0.42825440931099984</v>
      </c>
      <c r="Q142" s="69">
        <f t="shared" ca="1" si="33"/>
        <v>0.58622695321622798</v>
      </c>
      <c r="R142" s="69">
        <f t="shared" ca="1" si="34"/>
        <v>-2.3537963704039</v>
      </c>
      <c r="S142" s="69">
        <f t="shared" ca="1" si="35"/>
        <v>0.3658745135178168</v>
      </c>
      <c r="T142" s="69">
        <f t="shared" ca="1" si="36"/>
        <v>-0.62088214140501441</v>
      </c>
      <c r="U142" s="69">
        <f t="shared" ca="1" si="37"/>
        <v>1.0031723071188605</v>
      </c>
      <c r="V142" s="69">
        <f t="shared" ca="1" si="38"/>
        <v>0.35833744804179718</v>
      </c>
      <c r="W142" s="69">
        <f t="shared" ca="1" si="39"/>
        <v>-1.5420719481000533</v>
      </c>
      <c r="X142" s="69">
        <f t="shared" ca="1" si="40"/>
        <v>0.90849179095696841</v>
      </c>
    </row>
    <row r="143" spans="2:24" x14ac:dyDescent="0.2">
      <c r="B143" s="69">
        <f t="shared" ca="1" si="29"/>
        <v>0.62644026475621839</v>
      </c>
      <c r="C143" s="69">
        <f t="shared" ca="1" si="28"/>
        <v>0.30857110773917129</v>
      </c>
      <c r="D143" s="69">
        <f t="shared" ca="1" si="28"/>
        <v>0.12027984623292794</v>
      </c>
      <c r="E143" s="69">
        <f t="shared" ca="1" si="28"/>
        <v>-0.13706826040169948</v>
      </c>
      <c r="F143" s="69">
        <f t="shared" ca="1" si="28"/>
        <v>0.74771778543715006</v>
      </c>
      <c r="G143" s="69">
        <f t="shared" ca="1" si="28"/>
        <v>0.1534435123861701</v>
      </c>
      <c r="H143" s="69">
        <f t="shared" ca="1" si="28"/>
        <v>1.1128335769087832</v>
      </c>
      <c r="I143" s="69">
        <f t="shared" ca="1" si="28"/>
        <v>-0.4519752843379104</v>
      </c>
      <c r="J143" s="69">
        <f t="shared" ca="1" si="28"/>
        <v>-0.1712660641085976</v>
      </c>
      <c r="K143" s="69">
        <f t="shared" ca="1" si="28"/>
        <v>-8.3962129409923036E-2</v>
      </c>
      <c r="L143" s="69">
        <f t="shared" ca="1" si="28"/>
        <v>-1.4379520330981861</v>
      </c>
      <c r="N143" s="69">
        <f t="shared" ca="1" si="30"/>
        <v>0.66420830859432722</v>
      </c>
      <c r="O143" s="69">
        <f t="shared" ca="1" si="31"/>
        <v>0.2820775446562846</v>
      </c>
      <c r="P143" s="69">
        <f t="shared" ca="1" si="32"/>
        <v>6.2537781395837905E-2</v>
      </c>
      <c r="Q143" s="69">
        <f t="shared" ca="1" si="33"/>
        <v>-8.7959581539940532E-2</v>
      </c>
      <c r="R143" s="69">
        <f t="shared" ca="1" si="34"/>
        <v>0.74142310002950118</v>
      </c>
      <c r="S143" s="69">
        <f t="shared" ca="1" si="35"/>
        <v>0.18627048464297857</v>
      </c>
      <c r="T143" s="69">
        <f t="shared" ca="1" si="36"/>
        <v>1.1080025391935933</v>
      </c>
      <c r="U143" s="69">
        <f t="shared" ca="1" si="37"/>
        <v>-0.42893515746020072</v>
      </c>
      <c r="V143" s="69">
        <f t="shared" ca="1" si="38"/>
        <v>-0.17737565768219493</v>
      </c>
      <c r="W143" s="69">
        <f t="shared" ca="1" si="39"/>
        <v>-8.2980772585824092E-2</v>
      </c>
      <c r="X143" s="69">
        <f t="shared" ca="1" si="40"/>
        <v>-1.4107835427237505</v>
      </c>
    </row>
    <row r="144" spans="2:24" x14ac:dyDescent="0.2">
      <c r="B144" s="69">
        <f t="shared" ca="1" si="29"/>
        <v>-0.24618122885814012</v>
      </c>
      <c r="C144" s="69">
        <f t="shared" ca="1" si="28"/>
        <v>0.21671456316800605</v>
      </c>
      <c r="D144" s="69">
        <f t="shared" ca="1" si="28"/>
        <v>-0.70970256724730418</v>
      </c>
      <c r="E144" s="69">
        <f t="shared" ca="1" si="28"/>
        <v>-0.27721517711715699</v>
      </c>
      <c r="F144" s="69">
        <f t="shared" ca="1" si="28"/>
        <v>-0.93114450749323097</v>
      </c>
      <c r="G144" s="69">
        <f t="shared" ca="1" si="28"/>
        <v>-0.69338625153839506</v>
      </c>
      <c r="H144" s="69">
        <f t="shared" ca="1" si="28"/>
        <v>-0.19241760023044652</v>
      </c>
      <c r="I144" s="69">
        <f t="shared" ca="1" si="28"/>
        <v>0.87385555506699331</v>
      </c>
      <c r="J144" s="69">
        <f t="shared" ca="1" si="28"/>
        <v>0.42046130440512897</v>
      </c>
      <c r="K144" s="69">
        <f t="shared" ca="1" si="28"/>
        <v>-0.57619321777553023</v>
      </c>
      <c r="L144" s="69">
        <f t="shared" ca="1" si="28"/>
        <v>-4.9404699336103544E-2</v>
      </c>
      <c r="N144" s="69">
        <f t="shared" ca="1" si="30"/>
        <v>-0.20841318502003131</v>
      </c>
      <c r="O144" s="69">
        <f t="shared" ca="1" si="31"/>
        <v>0.19022100008511936</v>
      </c>
      <c r="P144" s="69">
        <f t="shared" ca="1" si="32"/>
        <v>-0.76744463208439417</v>
      </c>
      <c r="Q144" s="69">
        <f t="shared" ca="1" si="33"/>
        <v>-0.22810649825539803</v>
      </c>
      <c r="R144" s="69">
        <f t="shared" ca="1" si="34"/>
        <v>-0.93743919290087985</v>
      </c>
      <c r="S144" s="69">
        <f t="shared" ca="1" si="35"/>
        <v>-0.66055927928158653</v>
      </c>
      <c r="T144" s="69">
        <f t="shared" ca="1" si="36"/>
        <v>-0.19724863794563635</v>
      </c>
      <c r="U144" s="69">
        <f t="shared" ca="1" si="37"/>
        <v>0.89689568194470293</v>
      </c>
      <c r="V144" s="69">
        <f t="shared" ca="1" si="38"/>
        <v>0.41435171083153166</v>
      </c>
      <c r="W144" s="69">
        <f t="shared" ca="1" si="39"/>
        <v>-0.57521186095143129</v>
      </c>
      <c r="X144" s="69">
        <f t="shared" ca="1" si="40"/>
        <v>-2.2236208961668065E-2</v>
      </c>
    </row>
    <row r="145" spans="2:24" x14ac:dyDescent="0.2">
      <c r="B145" s="69">
        <f t="shared" ca="1" si="29"/>
        <v>0.4151557427778455</v>
      </c>
      <c r="C145" s="69">
        <f t="shared" ca="1" si="28"/>
        <v>-1.6918617429746567</v>
      </c>
      <c r="D145" s="69">
        <f t="shared" ca="1" si="28"/>
        <v>-1.0473847061010619</v>
      </c>
      <c r="E145" s="69">
        <f t="shared" ca="1" si="28"/>
        <v>1.5101561147221392</v>
      </c>
      <c r="F145" s="69">
        <f t="shared" ca="1" si="28"/>
        <v>-0.19311205422803074</v>
      </c>
      <c r="G145" s="69">
        <f t="shared" ca="1" si="28"/>
        <v>-0.11545818610373867</v>
      </c>
      <c r="H145" s="69">
        <f t="shared" ca="1" si="28"/>
        <v>1.3117776776844898</v>
      </c>
      <c r="I145" s="69">
        <f t="shared" ca="1" si="28"/>
        <v>0.4446371999217682</v>
      </c>
      <c r="J145" s="69">
        <f t="shared" ca="1" si="28"/>
        <v>-0.287460222696167</v>
      </c>
      <c r="K145" s="69">
        <f t="shared" ca="1" si="28"/>
        <v>0.22975337705801621</v>
      </c>
      <c r="L145" s="69">
        <f t="shared" ca="1" si="28"/>
        <v>0.99146476823317242</v>
      </c>
      <c r="N145" s="69">
        <f t="shared" ca="1" si="30"/>
        <v>0.45292378661595434</v>
      </c>
      <c r="O145" s="69">
        <f t="shared" ca="1" si="31"/>
        <v>-1.7183553060575434</v>
      </c>
      <c r="P145" s="69">
        <f t="shared" ca="1" si="32"/>
        <v>-1.105126770938152</v>
      </c>
      <c r="Q145" s="69">
        <f t="shared" ca="1" si="33"/>
        <v>1.5592647935838981</v>
      </c>
      <c r="R145" s="69">
        <f t="shared" ca="1" si="34"/>
        <v>-0.19940673963567965</v>
      </c>
      <c r="S145" s="69">
        <f t="shared" ca="1" si="35"/>
        <v>-8.2631213846930202E-2</v>
      </c>
      <c r="T145" s="69">
        <f t="shared" ca="1" si="36"/>
        <v>1.3069466399692999</v>
      </c>
      <c r="U145" s="69">
        <f t="shared" ca="1" si="37"/>
        <v>0.46767732679947788</v>
      </c>
      <c r="V145" s="69">
        <f t="shared" ca="1" si="38"/>
        <v>-0.29356981626976431</v>
      </c>
      <c r="W145" s="69">
        <f t="shared" ca="1" si="39"/>
        <v>0.23073473388211516</v>
      </c>
      <c r="X145" s="69">
        <f t="shared" ca="1" si="40"/>
        <v>1.0186332586076079</v>
      </c>
    </row>
    <row r="146" spans="2:24" x14ac:dyDescent="0.2">
      <c r="B146" s="69">
        <f t="shared" ca="1" si="29"/>
        <v>3.5667666546633357E-2</v>
      </c>
      <c r="C146" s="69">
        <f t="shared" ca="1" si="28"/>
        <v>1.4038963220645631</v>
      </c>
      <c r="D146" s="69">
        <f t="shared" ref="C146:L209" ca="1" si="41">NORMINV(RAND(),$C$7,$F$7)</f>
        <v>-1.3027765961053275</v>
      </c>
      <c r="E146" s="69">
        <f t="shared" ca="1" si="41"/>
        <v>1.479937210227756E-2</v>
      </c>
      <c r="F146" s="69">
        <f t="shared" ca="1" si="41"/>
        <v>0.10149889717674519</v>
      </c>
      <c r="G146" s="69">
        <f t="shared" ca="1" si="41"/>
        <v>-2.2452754746331669</v>
      </c>
      <c r="H146" s="69">
        <f t="shared" ca="1" si="41"/>
        <v>-0.86586444147406372</v>
      </c>
      <c r="I146" s="69">
        <f t="shared" ca="1" si="41"/>
        <v>-0.32940423999804574</v>
      </c>
      <c r="J146" s="69">
        <f t="shared" ca="1" si="41"/>
        <v>0.67516016094054299</v>
      </c>
      <c r="K146" s="69">
        <f t="shared" ca="1" si="41"/>
        <v>-0.65514757314821503</v>
      </c>
      <c r="L146" s="69">
        <f t="shared" ca="1" si="41"/>
        <v>-1.9192918410517668</v>
      </c>
      <c r="N146" s="69">
        <f t="shared" ca="1" si="30"/>
        <v>7.343571038474217E-2</v>
      </c>
      <c r="O146" s="69">
        <f t="shared" ca="1" si="31"/>
        <v>1.3774027589816764</v>
      </c>
      <c r="P146" s="69">
        <f t="shared" ca="1" si="32"/>
        <v>-1.3605186609424176</v>
      </c>
      <c r="Q146" s="69">
        <f t="shared" ca="1" si="33"/>
        <v>6.3908050964036511E-2</v>
      </c>
      <c r="R146" s="69">
        <f t="shared" ca="1" si="34"/>
        <v>9.5204211769096297E-2</v>
      </c>
      <c r="S146" s="69">
        <f t="shared" ca="1" si="35"/>
        <v>-2.2124485023763585</v>
      </c>
      <c r="T146" s="69">
        <f t="shared" ca="1" si="36"/>
        <v>-0.87069547918925361</v>
      </c>
      <c r="U146" s="69">
        <f t="shared" ca="1" si="37"/>
        <v>-0.30636411312033607</v>
      </c>
      <c r="V146" s="69">
        <f t="shared" ca="1" si="38"/>
        <v>0.66905056736694568</v>
      </c>
      <c r="W146" s="69">
        <f t="shared" ca="1" si="39"/>
        <v>-0.65416621632411609</v>
      </c>
      <c r="X146" s="69">
        <f t="shared" ca="1" si="40"/>
        <v>-1.8921233506773312</v>
      </c>
    </row>
    <row r="147" spans="2:24" x14ac:dyDescent="0.2">
      <c r="B147" s="69">
        <f t="shared" ca="1" si="29"/>
        <v>0.34598463748255609</v>
      </c>
      <c r="C147" s="69">
        <f t="shared" ca="1" si="41"/>
        <v>0.84853705437158677</v>
      </c>
      <c r="D147" s="69">
        <f t="shared" ca="1" si="41"/>
        <v>-0.36201619833692916</v>
      </c>
      <c r="E147" s="69">
        <f t="shared" ca="1" si="41"/>
        <v>2.4358619085100472</v>
      </c>
      <c r="F147" s="69">
        <f t="shared" ca="1" si="41"/>
        <v>4.0796451458728934E-2</v>
      </c>
      <c r="G147" s="69">
        <f t="shared" ca="1" si="41"/>
        <v>0.81218228977405915</v>
      </c>
      <c r="H147" s="69">
        <f t="shared" ca="1" si="41"/>
        <v>-0.81618371692124325</v>
      </c>
      <c r="I147" s="69">
        <f t="shared" ca="1" si="41"/>
        <v>-1.2807494584449397</v>
      </c>
      <c r="J147" s="69">
        <f t="shared" ca="1" si="41"/>
        <v>-1.1223249096577768</v>
      </c>
      <c r="K147" s="69">
        <f t="shared" ca="1" si="41"/>
        <v>9.3642022955836068E-2</v>
      </c>
      <c r="L147" s="69">
        <f t="shared" ca="1" si="41"/>
        <v>1.1137126589462811</v>
      </c>
      <c r="N147" s="69">
        <f t="shared" ca="1" si="30"/>
        <v>0.38375268132066492</v>
      </c>
      <c r="O147" s="69">
        <f t="shared" ca="1" si="31"/>
        <v>0.82204349128870013</v>
      </c>
      <c r="P147" s="69">
        <f t="shared" ca="1" si="32"/>
        <v>-0.41975826317401921</v>
      </c>
      <c r="Q147" s="69">
        <f t="shared" ca="1" si="33"/>
        <v>2.484970587371806</v>
      </c>
      <c r="R147" s="69">
        <f t="shared" ca="1" si="34"/>
        <v>3.4501766051080039E-2</v>
      </c>
      <c r="S147" s="69">
        <f t="shared" ca="1" si="35"/>
        <v>0.84500926203086768</v>
      </c>
      <c r="T147" s="69">
        <f t="shared" ca="1" si="36"/>
        <v>-0.82101475463643314</v>
      </c>
      <c r="U147" s="69">
        <f t="shared" ca="1" si="37"/>
        <v>-1.2577093315672301</v>
      </c>
      <c r="V147" s="69">
        <f t="shared" ca="1" si="38"/>
        <v>-1.1284345032313741</v>
      </c>
      <c r="W147" s="69">
        <f t="shared" ca="1" si="39"/>
        <v>9.4623379779935013E-2</v>
      </c>
      <c r="X147" s="69">
        <f t="shared" ca="1" si="40"/>
        <v>1.1408811493207167</v>
      </c>
    </row>
    <row r="148" spans="2:24" x14ac:dyDescent="0.2">
      <c r="B148" s="69">
        <f t="shared" ca="1" si="29"/>
        <v>1.4657768979878516</v>
      </c>
      <c r="C148" s="69">
        <f t="shared" ca="1" si="41"/>
        <v>-0.81266782225895562</v>
      </c>
      <c r="D148" s="69">
        <f t="shared" ca="1" si="41"/>
        <v>-0.35577719883821973</v>
      </c>
      <c r="E148" s="69">
        <f t="shared" ca="1" si="41"/>
        <v>-0.53345821922910441</v>
      </c>
      <c r="F148" s="69">
        <f t="shared" ca="1" si="41"/>
        <v>-0.43293734295025338</v>
      </c>
      <c r="G148" s="69">
        <f t="shared" ca="1" si="41"/>
        <v>-0.54484274143135392</v>
      </c>
      <c r="H148" s="69">
        <f t="shared" ca="1" si="41"/>
        <v>-1.0645396626626844</v>
      </c>
      <c r="I148" s="69">
        <f t="shared" ca="1" si="41"/>
        <v>0.53054043956224217</v>
      </c>
      <c r="J148" s="69">
        <f t="shared" ca="1" si="41"/>
        <v>1.5124552705859176</v>
      </c>
      <c r="K148" s="69">
        <f t="shared" ca="1" si="41"/>
        <v>-0.99274540091606278</v>
      </c>
      <c r="L148" s="69">
        <f t="shared" ca="1" si="41"/>
        <v>-1.5419219908981749</v>
      </c>
      <c r="N148" s="69">
        <f t="shared" ca="1" si="30"/>
        <v>1.5035449418259603</v>
      </c>
      <c r="O148" s="69">
        <f t="shared" ca="1" si="31"/>
        <v>-0.83916138534184226</v>
      </c>
      <c r="P148" s="69">
        <f t="shared" ca="1" si="32"/>
        <v>-0.41351926367530978</v>
      </c>
      <c r="Q148" s="69">
        <f t="shared" ca="1" si="33"/>
        <v>-0.48434954036734545</v>
      </c>
      <c r="R148" s="69">
        <f t="shared" ca="1" si="34"/>
        <v>-0.43923202835790226</v>
      </c>
      <c r="S148" s="69">
        <f t="shared" ca="1" si="35"/>
        <v>-0.51201576917454539</v>
      </c>
      <c r="T148" s="69">
        <f t="shared" ca="1" si="36"/>
        <v>-1.0693707003778743</v>
      </c>
      <c r="U148" s="69">
        <f t="shared" ca="1" si="37"/>
        <v>0.55358056643995179</v>
      </c>
      <c r="V148" s="69">
        <f t="shared" ca="1" si="38"/>
        <v>1.5063456770123202</v>
      </c>
      <c r="W148" s="69">
        <f t="shared" ca="1" si="39"/>
        <v>-0.99176404409196384</v>
      </c>
      <c r="X148" s="69">
        <f t="shared" ca="1" si="40"/>
        <v>-1.5147535005237394</v>
      </c>
    </row>
    <row r="149" spans="2:24" x14ac:dyDescent="0.2">
      <c r="B149" s="69">
        <f t="shared" ca="1" si="29"/>
        <v>0.96820288141250022</v>
      </c>
      <c r="C149" s="69">
        <f t="shared" ca="1" si="41"/>
        <v>-0.76319395274896251</v>
      </c>
      <c r="D149" s="69">
        <f t="shared" ca="1" si="41"/>
        <v>1.3828650541815823</v>
      </c>
      <c r="E149" s="69">
        <f t="shared" ca="1" si="41"/>
        <v>-0.34927977668292864</v>
      </c>
      <c r="F149" s="69">
        <f t="shared" ca="1" si="41"/>
        <v>1.2318126569281678</v>
      </c>
      <c r="G149" s="69">
        <f t="shared" ca="1" si="41"/>
        <v>0.84837109413517275</v>
      </c>
      <c r="H149" s="69">
        <f t="shared" ca="1" si="41"/>
        <v>-0.70908137791045056</v>
      </c>
      <c r="I149" s="69">
        <f t="shared" ca="1" si="41"/>
        <v>4.7992844448862697E-2</v>
      </c>
      <c r="J149" s="69">
        <f t="shared" ca="1" si="41"/>
        <v>-0.42037565896504731</v>
      </c>
      <c r="K149" s="69">
        <f t="shared" ca="1" si="41"/>
        <v>-1.3542121856595033</v>
      </c>
      <c r="L149" s="69">
        <f t="shared" ca="1" si="41"/>
        <v>0.31296426781989817</v>
      </c>
      <c r="N149" s="69">
        <f t="shared" ca="1" si="30"/>
        <v>1.005970925250609</v>
      </c>
      <c r="O149" s="69">
        <f t="shared" ca="1" si="31"/>
        <v>-0.78968751583184915</v>
      </c>
      <c r="P149" s="69">
        <f t="shared" ca="1" si="32"/>
        <v>1.3251229893444922</v>
      </c>
      <c r="Q149" s="69">
        <f t="shared" ca="1" si="33"/>
        <v>-0.30017109782116969</v>
      </c>
      <c r="R149" s="69">
        <f t="shared" ca="1" si="34"/>
        <v>1.2255179715205189</v>
      </c>
      <c r="S149" s="69">
        <f t="shared" ca="1" si="35"/>
        <v>0.88119806639198128</v>
      </c>
      <c r="T149" s="69">
        <f t="shared" ca="1" si="36"/>
        <v>-0.71391241562564045</v>
      </c>
      <c r="U149" s="69">
        <f t="shared" ca="1" si="37"/>
        <v>7.1032971326572353E-2</v>
      </c>
      <c r="V149" s="69">
        <f t="shared" ca="1" si="38"/>
        <v>-0.42648525253864461</v>
      </c>
      <c r="W149" s="69">
        <f t="shared" ca="1" si="39"/>
        <v>-1.3532308288354042</v>
      </c>
      <c r="X149" s="69">
        <f t="shared" ca="1" si="40"/>
        <v>0.34013275819433364</v>
      </c>
    </row>
    <row r="150" spans="2:24" x14ac:dyDescent="0.2">
      <c r="B150" s="69">
        <f t="shared" ca="1" si="29"/>
        <v>-1.3353572880346489</v>
      </c>
      <c r="C150" s="69">
        <f t="shared" ca="1" si="41"/>
        <v>0.38178309590389958</v>
      </c>
      <c r="D150" s="69">
        <f t="shared" ca="1" si="41"/>
        <v>-1.3575647501140169</v>
      </c>
      <c r="E150" s="69">
        <f t="shared" ca="1" si="41"/>
        <v>0.457192470941156</v>
      </c>
      <c r="F150" s="69">
        <f t="shared" ca="1" si="41"/>
        <v>-0.71562051912020253</v>
      </c>
      <c r="G150" s="69">
        <f t="shared" ca="1" si="41"/>
        <v>0.50570465162619882</v>
      </c>
      <c r="H150" s="69">
        <f t="shared" ca="1" si="41"/>
        <v>-1.4693993007474933</v>
      </c>
      <c r="I150" s="69">
        <f t="shared" ca="1" si="41"/>
        <v>1.5218870266465261</v>
      </c>
      <c r="J150" s="69">
        <f t="shared" ca="1" si="41"/>
        <v>-1.2280313014124333</v>
      </c>
      <c r="K150" s="69">
        <f t="shared" ca="1" si="41"/>
        <v>0.21582826067328245</v>
      </c>
      <c r="L150" s="69">
        <f t="shared" ca="1" si="41"/>
        <v>1.3862225591949926</v>
      </c>
      <c r="N150" s="69">
        <f t="shared" ca="1" si="30"/>
        <v>-1.2975892441965402</v>
      </c>
      <c r="O150" s="69">
        <f t="shared" ca="1" si="31"/>
        <v>0.35528953282101289</v>
      </c>
      <c r="P150" s="69">
        <f t="shared" ca="1" si="32"/>
        <v>-1.415306814951107</v>
      </c>
      <c r="Q150" s="69">
        <f t="shared" ca="1" si="33"/>
        <v>0.50630114980291496</v>
      </c>
      <c r="R150" s="69">
        <f t="shared" ca="1" si="34"/>
        <v>-0.72191520452785141</v>
      </c>
      <c r="S150" s="69">
        <f t="shared" ca="1" si="35"/>
        <v>0.53853162388300735</v>
      </c>
      <c r="T150" s="69">
        <f t="shared" ca="1" si="36"/>
        <v>-1.4742303384626831</v>
      </c>
      <c r="U150" s="69">
        <f t="shared" ca="1" si="37"/>
        <v>1.5449271535242357</v>
      </c>
      <c r="V150" s="69">
        <f t="shared" ca="1" si="38"/>
        <v>-1.2341408949860306</v>
      </c>
      <c r="W150" s="69">
        <f t="shared" ca="1" si="39"/>
        <v>0.2168096174973814</v>
      </c>
      <c r="X150" s="69">
        <f t="shared" ca="1" si="40"/>
        <v>1.4133910495694282</v>
      </c>
    </row>
    <row r="151" spans="2:24" x14ac:dyDescent="0.2">
      <c r="B151" s="69">
        <f t="shared" ca="1" si="29"/>
        <v>0.64152780552937494</v>
      </c>
      <c r="C151" s="69">
        <f t="shared" ca="1" si="41"/>
        <v>2.2165940734425855</v>
      </c>
      <c r="D151" s="69">
        <f t="shared" ca="1" si="41"/>
        <v>1.0341523662919159</v>
      </c>
      <c r="E151" s="69">
        <f t="shared" ca="1" si="41"/>
        <v>0.17568446718981429</v>
      </c>
      <c r="F151" s="69">
        <f t="shared" ca="1" si="41"/>
        <v>0.67118679126093239</v>
      </c>
      <c r="G151" s="69">
        <f t="shared" ca="1" si="41"/>
        <v>0.39036041938554716</v>
      </c>
      <c r="H151" s="69">
        <f t="shared" ca="1" si="41"/>
        <v>0.42481412130626445</v>
      </c>
      <c r="I151" s="69">
        <f t="shared" ca="1" si="41"/>
        <v>-0.79370841474499909</v>
      </c>
      <c r="J151" s="69">
        <f t="shared" ca="1" si="41"/>
        <v>1.1598206215715217</v>
      </c>
      <c r="K151" s="69">
        <f t="shared" ca="1" si="41"/>
        <v>0.2636480019178743</v>
      </c>
      <c r="L151" s="69">
        <f t="shared" ca="1" si="41"/>
        <v>-1.0737040043061167E-2</v>
      </c>
      <c r="N151" s="69">
        <f t="shared" ca="1" si="30"/>
        <v>0.67929584936748377</v>
      </c>
      <c r="O151" s="69">
        <f t="shared" ca="1" si="31"/>
        <v>2.1901005103596987</v>
      </c>
      <c r="P151" s="69">
        <f t="shared" ca="1" si="32"/>
        <v>0.97641030145482588</v>
      </c>
      <c r="Q151" s="69">
        <f t="shared" ca="1" si="33"/>
        <v>0.22479314605157324</v>
      </c>
      <c r="R151" s="69">
        <f t="shared" ca="1" si="34"/>
        <v>0.66489210585328351</v>
      </c>
      <c r="S151" s="69">
        <f t="shared" ca="1" si="35"/>
        <v>0.42318739164235564</v>
      </c>
      <c r="T151" s="69">
        <f t="shared" ca="1" si="36"/>
        <v>0.41998308359107461</v>
      </c>
      <c r="U151" s="69">
        <f t="shared" ca="1" si="37"/>
        <v>-0.77066828786728947</v>
      </c>
      <c r="V151" s="69">
        <f t="shared" ca="1" si="38"/>
        <v>1.1537110279979244</v>
      </c>
      <c r="W151" s="69">
        <f t="shared" ca="1" si="39"/>
        <v>0.26462935874197324</v>
      </c>
      <c r="X151" s="69">
        <f t="shared" ca="1" si="40"/>
        <v>1.643145033137431E-2</v>
      </c>
    </row>
    <row r="152" spans="2:24" x14ac:dyDescent="0.2">
      <c r="B152" s="69">
        <f t="shared" ca="1" si="29"/>
        <v>1.0427209157486543</v>
      </c>
      <c r="C152" s="69">
        <f t="shared" ca="1" si="41"/>
        <v>1.1172854990017471</v>
      </c>
      <c r="D152" s="69">
        <f t="shared" ca="1" si="41"/>
        <v>-0.40611855074133557</v>
      </c>
      <c r="E152" s="69">
        <f t="shared" ca="1" si="41"/>
        <v>-0.71222106049510048</v>
      </c>
      <c r="F152" s="69">
        <f t="shared" ca="1" si="41"/>
        <v>0.5371287515631018</v>
      </c>
      <c r="G152" s="69">
        <f t="shared" ca="1" si="41"/>
        <v>-1.9350254354763787</v>
      </c>
      <c r="H152" s="69">
        <f t="shared" ca="1" si="41"/>
        <v>0.25293836490177246</v>
      </c>
      <c r="I152" s="69">
        <f t="shared" ca="1" si="41"/>
        <v>-1.0670247876007797</v>
      </c>
      <c r="J152" s="69">
        <f t="shared" ca="1" si="41"/>
        <v>0.73340695896917774</v>
      </c>
      <c r="K152" s="69">
        <f t="shared" ca="1" si="41"/>
        <v>-2.7608014171050268</v>
      </c>
      <c r="L152" s="69">
        <f t="shared" ca="1" si="41"/>
        <v>0.95345005278585315</v>
      </c>
      <c r="N152" s="69">
        <f t="shared" ca="1" si="30"/>
        <v>1.0804889595867631</v>
      </c>
      <c r="O152" s="69">
        <f t="shared" ca="1" si="31"/>
        <v>1.0907919359188605</v>
      </c>
      <c r="P152" s="69">
        <f t="shared" ca="1" si="32"/>
        <v>-0.46386061557842562</v>
      </c>
      <c r="Q152" s="69">
        <f t="shared" ca="1" si="33"/>
        <v>-0.66311238163334152</v>
      </c>
      <c r="R152" s="69">
        <f t="shared" ca="1" si="34"/>
        <v>0.53083406615545292</v>
      </c>
      <c r="S152" s="69">
        <f t="shared" ca="1" si="35"/>
        <v>-1.9021984632195703</v>
      </c>
      <c r="T152" s="69">
        <f t="shared" ca="1" si="36"/>
        <v>0.24810732718658263</v>
      </c>
      <c r="U152" s="69">
        <f t="shared" ca="1" si="37"/>
        <v>-1.0439846607230701</v>
      </c>
      <c r="V152" s="69">
        <f t="shared" ca="1" si="38"/>
        <v>0.72729736539558043</v>
      </c>
      <c r="W152" s="69">
        <f t="shared" ca="1" si="39"/>
        <v>-2.7598200602809277</v>
      </c>
      <c r="X152" s="69">
        <f t="shared" ca="1" si="40"/>
        <v>0.98061854316028862</v>
      </c>
    </row>
    <row r="153" spans="2:24" x14ac:dyDescent="0.2">
      <c r="B153" s="69">
        <f t="shared" ca="1" si="29"/>
        <v>-1.3021644703344246</v>
      </c>
      <c r="C153" s="69">
        <f t="shared" ca="1" si="41"/>
        <v>-1.0741052698346452</v>
      </c>
      <c r="D153" s="69">
        <f t="shared" ca="1" si="41"/>
        <v>1.1330397796536458</v>
      </c>
      <c r="E153" s="69">
        <f t="shared" ca="1" si="41"/>
        <v>-1.1264805452248059</v>
      </c>
      <c r="F153" s="69">
        <f t="shared" ca="1" si="41"/>
        <v>-0.34639978078371852</v>
      </c>
      <c r="G153" s="69">
        <f t="shared" ca="1" si="41"/>
        <v>0.10851561823192304</v>
      </c>
      <c r="H153" s="69">
        <f t="shared" ca="1" si="41"/>
        <v>-1.0487201845993828</v>
      </c>
      <c r="I153" s="69">
        <f t="shared" ca="1" si="41"/>
        <v>0.49785015743605171</v>
      </c>
      <c r="J153" s="69">
        <f t="shared" ca="1" si="41"/>
        <v>9.7903680294203363E-2</v>
      </c>
      <c r="K153" s="69">
        <f t="shared" ca="1" si="41"/>
        <v>-1.850734312912603</v>
      </c>
      <c r="L153" s="69">
        <f t="shared" ca="1" si="41"/>
        <v>1.8403833388207522</v>
      </c>
      <c r="N153" s="69">
        <f t="shared" ca="1" si="30"/>
        <v>-1.2643964264963159</v>
      </c>
      <c r="O153" s="69">
        <f t="shared" ca="1" si="31"/>
        <v>-1.1005988329175318</v>
      </c>
      <c r="P153" s="69">
        <f t="shared" ca="1" si="32"/>
        <v>1.0752977148165557</v>
      </c>
      <c r="Q153" s="69">
        <f t="shared" ca="1" si="33"/>
        <v>-1.0773718663630469</v>
      </c>
      <c r="R153" s="69">
        <f t="shared" ca="1" si="34"/>
        <v>-0.35269446619136741</v>
      </c>
      <c r="S153" s="69">
        <f t="shared" ca="1" si="35"/>
        <v>0.14134259048873152</v>
      </c>
      <c r="T153" s="69">
        <f t="shared" ca="1" si="36"/>
        <v>-1.0535512223145727</v>
      </c>
      <c r="U153" s="69">
        <f t="shared" ca="1" si="37"/>
        <v>0.52089028431376139</v>
      </c>
      <c r="V153" s="69">
        <f t="shared" ca="1" si="38"/>
        <v>9.179408672060603E-2</v>
      </c>
      <c r="W153" s="69">
        <f t="shared" ca="1" si="39"/>
        <v>-1.849752956088504</v>
      </c>
      <c r="X153" s="69">
        <f t="shared" ca="1" si="40"/>
        <v>1.8675518291951878</v>
      </c>
    </row>
    <row r="154" spans="2:24" x14ac:dyDescent="0.2">
      <c r="B154" s="69">
        <f t="shared" ca="1" si="29"/>
        <v>-0.96100559073094693</v>
      </c>
      <c r="C154" s="69">
        <f t="shared" ca="1" si="41"/>
        <v>0.1840157072044987</v>
      </c>
      <c r="D154" s="69">
        <f t="shared" ca="1" si="41"/>
        <v>0.38636195635119297</v>
      </c>
      <c r="E154" s="69">
        <f t="shared" ca="1" si="41"/>
        <v>-0.37321434677334964</v>
      </c>
      <c r="F154" s="69">
        <f t="shared" ca="1" si="41"/>
        <v>0.72230010066305717</v>
      </c>
      <c r="G154" s="69">
        <f t="shared" ca="1" si="41"/>
        <v>-0.37412452199314167</v>
      </c>
      <c r="H154" s="69">
        <f t="shared" ca="1" si="41"/>
        <v>1.7132092324487445</v>
      </c>
      <c r="I154" s="69">
        <f t="shared" ca="1" si="41"/>
        <v>-1.5480567996954273</v>
      </c>
      <c r="J154" s="69">
        <f t="shared" ca="1" si="41"/>
        <v>-1.0250895938894873</v>
      </c>
      <c r="K154" s="69">
        <f t="shared" ca="1" si="41"/>
        <v>-1.5249348791797908</v>
      </c>
      <c r="L154" s="69">
        <f t="shared" ca="1" si="41"/>
        <v>-1.4690153592499189</v>
      </c>
      <c r="N154" s="69">
        <f t="shared" ca="1" si="30"/>
        <v>-0.9232375468928381</v>
      </c>
      <c r="O154" s="69">
        <f t="shared" ca="1" si="31"/>
        <v>0.157522144121612</v>
      </c>
      <c r="P154" s="69">
        <f t="shared" ca="1" si="32"/>
        <v>0.32861989151410292</v>
      </c>
      <c r="Q154" s="69">
        <f t="shared" ca="1" si="33"/>
        <v>-0.32410566791159068</v>
      </c>
      <c r="R154" s="69">
        <f t="shared" ca="1" si="34"/>
        <v>0.71600541525540828</v>
      </c>
      <c r="S154" s="69">
        <f t="shared" ca="1" si="35"/>
        <v>-0.34129754973633319</v>
      </c>
      <c r="T154" s="69">
        <f t="shared" ca="1" si="36"/>
        <v>1.7083781947335546</v>
      </c>
      <c r="U154" s="69">
        <f t="shared" ca="1" si="37"/>
        <v>-1.5250166728177177</v>
      </c>
      <c r="V154" s="69">
        <f t="shared" ca="1" si="38"/>
        <v>-1.0311991874630846</v>
      </c>
      <c r="W154" s="69">
        <f t="shared" ca="1" si="39"/>
        <v>-1.5239535223556917</v>
      </c>
      <c r="X154" s="69">
        <f t="shared" ca="1" si="40"/>
        <v>-1.4418468688754833</v>
      </c>
    </row>
    <row r="155" spans="2:24" x14ac:dyDescent="0.2">
      <c r="B155" s="69">
        <f t="shared" ca="1" si="29"/>
        <v>1.3945732318531756</v>
      </c>
      <c r="C155" s="69">
        <f t="shared" ca="1" si="41"/>
        <v>-0.51822759327794743</v>
      </c>
      <c r="D155" s="69">
        <f t="shared" ca="1" si="41"/>
        <v>-8.5873482173686136E-2</v>
      </c>
      <c r="E155" s="69">
        <f t="shared" ca="1" si="41"/>
        <v>0.56318479034746094</v>
      </c>
      <c r="F155" s="69">
        <f t="shared" ca="1" si="41"/>
        <v>1.3258373794663294</v>
      </c>
      <c r="G155" s="69">
        <f t="shared" ca="1" si="41"/>
        <v>-0.16733670709602086</v>
      </c>
      <c r="H155" s="69">
        <f t="shared" ca="1" si="41"/>
        <v>-0.32886199135747501</v>
      </c>
      <c r="I155" s="69">
        <f t="shared" ca="1" si="41"/>
        <v>0.67061405260642815</v>
      </c>
      <c r="J155" s="69">
        <f t="shared" ca="1" si="41"/>
        <v>-1.3465052473901122</v>
      </c>
      <c r="K155" s="69">
        <f t="shared" ca="1" si="41"/>
        <v>-1.3717027495869623</v>
      </c>
      <c r="L155" s="69">
        <f t="shared" ca="1" si="41"/>
        <v>-0.38779485692066429</v>
      </c>
      <c r="N155" s="69">
        <f t="shared" ca="1" si="30"/>
        <v>1.4323412756912843</v>
      </c>
      <c r="O155" s="69">
        <f t="shared" ca="1" si="31"/>
        <v>-0.54472115636083407</v>
      </c>
      <c r="P155" s="69">
        <f t="shared" ca="1" si="32"/>
        <v>-0.14361554701077617</v>
      </c>
      <c r="Q155" s="69">
        <f t="shared" ca="1" si="33"/>
        <v>0.6122934692092199</v>
      </c>
      <c r="R155" s="69">
        <f t="shared" ca="1" si="34"/>
        <v>1.3195426940586805</v>
      </c>
      <c r="S155" s="69">
        <f t="shared" ca="1" si="35"/>
        <v>-0.13450973483921239</v>
      </c>
      <c r="T155" s="69">
        <f t="shared" ca="1" si="36"/>
        <v>-0.33369302907266485</v>
      </c>
      <c r="U155" s="69">
        <f t="shared" ca="1" si="37"/>
        <v>0.69365417948413777</v>
      </c>
      <c r="V155" s="69">
        <f t="shared" ca="1" si="38"/>
        <v>-1.3526148409637095</v>
      </c>
      <c r="W155" s="69">
        <f t="shared" ca="1" si="39"/>
        <v>-1.3707213927628632</v>
      </c>
      <c r="X155" s="69">
        <f t="shared" ca="1" si="40"/>
        <v>-0.36062636654622882</v>
      </c>
    </row>
    <row r="156" spans="2:24" x14ac:dyDescent="0.2">
      <c r="B156" s="69">
        <f t="shared" ca="1" si="29"/>
        <v>0.46441469604438912</v>
      </c>
      <c r="C156" s="69">
        <f t="shared" ca="1" si="41"/>
        <v>0.67084564008559733</v>
      </c>
      <c r="D156" s="69">
        <f t="shared" ca="1" si="41"/>
        <v>1.3011076553122214</v>
      </c>
      <c r="E156" s="69">
        <f t="shared" ca="1" si="41"/>
        <v>-1.5048977762835898</v>
      </c>
      <c r="F156" s="69">
        <f t="shared" ca="1" si="41"/>
        <v>-8.213542755976222E-2</v>
      </c>
      <c r="G156" s="69">
        <f t="shared" ca="1" si="41"/>
        <v>0.45044213114270071</v>
      </c>
      <c r="H156" s="69">
        <f t="shared" ca="1" si="41"/>
        <v>0.51728593077076757</v>
      </c>
      <c r="I156" s="69">
        <f t="shared" ca="1" si="41"/>
        <v>-1.4302931754282915</v>
      </c>
      <c r="J156" s="69">
        <f t="shared" ca="1" si="41"/>
        <v>1.0299585283032637</v>
      </c>
      <c r="K156" s="69">
        <f t="shared" ca="1" si="41"/>
        <v>1.2240184156521712</v>
      </c>
      <c r="L156" s="69">
        <f t="shared" ca="1" si="41"/>
        <v>2.9232420738939053</v>
      </c>
      <c r="N156" s="69">
        <f t="shared" ca="1" si="30"/>
        <v>0.50218273988249795</v>
      </c>
      <c r="O156" s="69">
        <f t="shared" ca="1" si="31"/>
        <v>0.64435207700271069</v>
      </c>
      <c r="P156" s="69">
        <f t="shared" ca="1" si="32"/>
        <v>1.2433655904751313</v>
      </c>
      <c r="Q156" s="69">
        <f t="shared" ca="1" si="33"/>
        <v>-1.4557890974218308</v>
      </c>
      <c r="R156" s="69">
        <f t="shared" ca="1" si="34"/>
        <v>-8.8430112967411115E-2</v>
      </c>
      <c r="S156" s="69">
        <f t="shared" ca="1" si="35"/>
        <v>0.48326910339950918</v>
      </c>
      <c r="T156" s="69">
        <f t="shared" ca="1" si="36"/>
        <v>0.51245489305557768</v>
      </c>
      <c r="U156" s="69">
        <f t="shared" ca="1" si="37"/>
        <v>-1.4072530485505819</v>
      </c>
      <c r="V156" s="69">
        <f t="shared" ca="1" si="38"/>
        <v>1.0238489347296664</v>
      </c>
      <c r="W156" s="69">
        <f t="shared" ca="1" si="39"/>
        <v>1.2249997724762702</v>
      </c>
      <c r="X156" s="69">
        <f t="shared" ca="1" si="40"/>
        <v>2.9504105642683407</v>
      </c>
    </row>
    <row r="157" spans="2:24" x14ac:dyDescent="0.2">
      <c r="B157" s="69">
        <f t="shared" ca="1" si="29"/>
        <v>-0.46261568496903638</v>
      </c>
      <c r="C157" s="69">
        <f t="shared" ca="1" si="41"/>
        <v>1.7879564968177026</v>
      </c>
      <c r="D157" s="69">
        <f t="shared" ca="1" si="41"/>
        <v>-0.10952457013257384</v>
      </c>
      <c r="E157" s="69">
        <f t="shared" ca="1" si="41"/>
        <v>-2.0151490619365915</v>
      </c>
      <c r="F157" s="69">
        <f t="shared" ca="1" si="41"/>
        <v>-0.26402452617347982</v>
      </c>
      <c r="G157" s="69">
        <f t="shared" ca="1" si="41"/>
        <v>1.6979285941023892</v>
      </c>
      <c r="H157" s="69">
        <f t="shared" ca="1" si="41"/>
        <v>0.22304469235553387</v>
      </c>
      <c r="I157" s="69">
        <f t="shared" ca="1" si="41"/>
        <v>-3.013543673849629E-2</v>
      </c>
      <c r="J157" s="69">
        <f t="shared" ca="1" si="41"/>
        <v>-0.69279881681116307</v>
      </c>
      <c r="K157" s="69">
        <f t="shared" ca="1" si="41"/>
        <v>-1.0182440530761503</v>
      </c>
      <c r="L157" s="69">
        <f t="shared" ca="1" si="41"/>
        <v>0.88474499026694442</v>
      </c>
      <c r="N157" s="69">
        <f t="shared" ca="1" si="30"/>
        <v>-0.42484764113092754</v>
      </c>
      <c r="O157" s="69">
        <f t="shared" ca="1" si="31"/>
        <v>1.761462933734816</v>
      </c>
      <c r="P157" s="69">
        <f t="shared" ca="1" si="32"/>
        <v>-0.16726663496966387</v>
      </c>
      <c r="Q157" s="69">
        <f t="shared" ca="1" si="33"/>
        <v>-1.9660403830748325</v>
      </c>
      <c r="R157" s="69">
        <f t="shared" ca="1" si="34"/>
        <v>-0.2703192115811287</v>
      </c>
      <c r="S157" s="69">
        <f t="shared" ca="1" si="35"/>
        <v>1.7307555663591976</v>
      </c>
      <c r="T157" s="69">
        <f t="shared" ca="1" si="36"/>
        <v>0.21821365464034403</v>
      </c>
      <c r="U157" s="69">
        <f t="shared" ca="1" si="37"/>
        <v>-7.095309860786634E-3</v>
      </c>
      <c r="V157" s="69">
        <f t="shared" ca="1" si="38"/>
        <v>-0.69890841038476037</v>
      </c>
      <c r="W157" s="69">
        <f t="shared" ca="1" si="39"/>
        <v>-1.0172626962520512</v>
      </c>
      <c r="X157" s="69">
        <f t="shared" ca="1" si="40"/>
        <v>0.91191348064137989</v>
      </c>
    </row>
    <row r="158" spans="2:24" x14ac:dyDescent="0.2">
      <c r="B158" s="69">
        <f t="shared" ca="1" si="29"/>
        <v>0.17089005988970007</v>
      </c>
      <c r="C158" s="69">
        <f t="shared" ca="1" si="41"/>
        <v>-0.38981931067756326</v>
      </c>
      <c r="D158" s="69">
        <f t="shared" ca="1" si="41"/>
        <v>0.34231549907377906</v>
      </c>
      <c r="E158" s="69">
        <f t="shared" ca="1" si="41"/>
        <v>0.49237141468160284</v>
      </c>
      <c r="F158" s="69">
        <f t="shared" ca="1" si="41"/>
        <v>-0.66143750819131597</v>
      </c>
      <c r="G158" s="69">
        <f t="shared" ca="1" si="41"/>
        <v>-0.44808973602687158</v>
      </c>
      <c r="H158" s="69">
        <f t="shared" ca="1" si="41"/>
        <v>-1.2956013612068282</v>
      </c>
      <c r="I158" s="69">
        <f t="shared" ca="1" si="41"/>
        <v>1.3771573854346888</v>
      </c>
      <c r="J158" s="69">
        <f t="shared" ca="1" si="41"/>
        <v>0.649185368249795</v>
      </c>
      <c r="K158" s="69">
        <f t="shared" ca="1" si="41"/>
        <v>-0.8921420097759899</v>
      </c>
      <c r="L158" s="69">
        <f t="shared" ca="1" si="41"/>
        <v>1.4904397786945924</v>
      </c>
      <c r="N158" s="69">
        <f t="shared" ca="1" si="30"/>
        <v>0.20865810372780891</v>
      </c>
      <c r="O158" s="69">
        <f t="shared" ca="1" si="31"/>
        <v>-0.41631287376044995</v>
      </c>
      <c r="P158" s="69">
        <f t="shared" ca="1" si="32"/>
        <v>0.28457343423668902</v>
      </c>
      <c r="Q158" s="69">
        <f t="shared" ca="1" si="33"/>
        <v>0.5414800935433618</v>
      </c>
      <c r="R158" s="69">
        <f t="shared" ca="1" si="34"/>
        <v>-0.66773219359896485</v>
      </c>
      <c r="S158" s="69">
        <f t="shared" ca="1" si="35"/>
        <v>-0.4152627637700631</v>
      </c>
      <c r="T158" s="69">
        <f t="shared" ca="1" si="36"/>
        <v>-1.3004323989220181</v>
      </c>
      <c r="U158" s="69">
        <f t="shared" ca="1" si="37"/>
        <v>1.4001975123123984</v>
      </c>
      <c r="V158" s="69">
        <f t="shared" ca="1" si="38"/>
        <v>0.6430757746761977</v>
      </c>
      <c r="W158" s="69">
        <f t="shared" ca="1" si="39"/>
        <v>-0.89116065295189095</v>
      </c>
      <c r="X158" s="69">
        <f t="shared" ca="1" si="40"/>
        <v>1.517608269069028</v>
      </c>
    </row>
    <row r="159" spans="2:24" x14ac:dyDescent="0.2">
      <c r="B159" s="69">
        <f t="shared" ca="1" si="29"/>
        <v>0.59692488628563045</v>
      </c>
      <c r="C159" s="69">
        <f t="shared" ca="1" si="41"/>
        <v>0.57506739543181773</v>
      </c>
      <c r="D159" s="69">
        <f t="shared" ca="1" si="41"/>
        <v>-0.58853803582859854</v>
      </c>
      <c r="E159" s="69">
        <f t="shared" ca="1" si="41"/>
        <v>-0.25475118584320711</v>
      </c>
      <c r="F159" s="69">
        <f t="shared" ca="1" si="41"/>
        <v>1.0453009320521351</v>
      </c>
      <c r="G159" s="69">
        <f t="shared" ca="1" si="41"/>
        <v>1.0482232676841037</v>
      </c>
      <c r="H159" s="69">
        <f t="shared" ca="1" si="41"/>
        <v>0.92933628533253199</v>
      </c>
      <c r="I159" s="69">
        <f t="shared" ca="1" si="41"/>
        <v>3.9923674085380542E-2</v>
      </c>
      <c r="J159" s="69">
        <f t="shared" ca="1" si="41"/>
        <v>-0.44370427972934945</v>
      </c>
      <c r="K159" s="69">
        <f t="shared" ca="1" si="41"/>
        <v>0.98870027046371733</v>
      </c>
      <c r="L159" s="69">
        <f t="shared" ca="1" si="41"/>
        <v>-1.0656323976730402</v>
      </c>
      <c r="N159" s="69">
        <f t="shared" ca="1" si="30"/>
        <v>0.63469293012373929</v>
      </c>
      <c r="O159" s="69">
        <f t="shared" ca="1" si="31"/>
        <v>0.54857383234893109</v>
      </c>
      <c r="P159" s="69">
        <f t="shared" ca="1" si="32"/>
        <v>-0.64628010066568853</v>
      </c>
      <c r="Q159" s="69">
        <f t="shared" ca="1" si="33"/>
        <v>-0.20564250698144815</v>
      </c>
      <c r="R159" s="69">
        <f t="shared" ca="1" si="34"/>
        <v>1.0390062466444863</v>
      </c>
      <c r="S159" s="69">
        <f t="shared" ca="1" si="35"/>
        <v>1.0810502399409121</v>
      </c>
      <c r="T159" s="69">
        <f t="shared" ca="1" si="36"/>
        <v>0.9245052476173421</v>
      </c>
      <c r="U159" s="69">
        <f t="shared" ca="1" si="37"/>
        <v>6.2963800963090205E-2</v>
      </c>
      <c r="V159" s="69">
        <f t="shared" ca="1" si="38"/>
        <v>-0.44981387330294675</v>
      </c>
      <c r="W159" s="69">
        <f t="shared" ca="1" si="39"/>
        <v>0.98968162728781628</v>
      </c>
      <c r="X159" s="69">
        <f t="shared" ca="1" si="40"/>
        <v>-1.0384639072986046</v>
      </c>
    </row>
    <row r="160" spans="2:24" x14ac:dyDescent="0.2">
      <c r="B160" s="69">
        <f t="shared" ca="1" si="29"/>
        <v>0.20061042100230383</v>
      </c>
      <c r="C160" s="69">
        <f t="shared" ca="1" si="41"/>
        <v>1.9904879249746046</v>
      </c>
      <c r="D160" s="69">
        <f t="shared" ca="1" si="41"/>
        <v>0.23470848667043184</v>
      </c>
      <c r="E160" s="69">
        <f t="shared" ca="1" si="41"/>
        <v>0.30322213626178424</v>
      </c>
      <c r="F160" s="69">
        <f t="shared" ca="1" si="41"/>
        <v>2.4176703907647443</v>
      </c>
      <c r="G160" s="69">
        <f t="shared" ca="1" si="41"/>
        <v>-0.77053764059669616</v>
      </c>
      <c r="H160" s="69">
        <f t="shared" ca="1" si="41"/>
        <v>-5.6593706894511063E-2</v>
      </c>
      <c r="I160" s="69">
        <f t="shared" ca="1" si="41"/>
        <v>-0.61438337299642876</v>
      </c>
      <c r="J160" s="69">
        <f t="shared" ca="1" si="41"/>
        <v>0.25541185243285497</v>
      </c>
      <c r="K160" s="69">
        <f t="shared" ca="1" si="41"/>
        <v>2.1151624322746327</v>
      </c>
      <c r="L160" s="69">
        <f t="shared" ca="1" si="41"/>
        <v>-1.63033367182627</v>
      </c>
      <c r="N160" s="69">
        <f t="shared" ca="1" si="30"/>
        <v>0.23837846484041264</v>
      </c>
      <c r="O160" s="69">
        <f t="shared" ca="1" si="31"/>
        <v>1.9639943618917179</v>
      </c>
      <c r="P160" s="69">
        <f t="shared" ca="1" si="32"/>
        <v>0.17696642183334182</v>
      </c>
      <c r="Q160" s="69">
        <f t="shared" ca="1" si="33"/>
        <v>0.3523308151235432</v>
      </c>
      <c r="R160" s="69">
        <f t="shared" ca="1" si="34"/>
        <v>2.4113757053570954</v>
      </c>
      <c r="S160" s="69">
        <f t="shared" ca="1" si="35"/>
        <v>-0.73771066833988763</v>
      </c>
      <c r="T160" s="69">
        <f t="shared" ca="1" si="36"/>
        <v>-6.1424744609700911E-2</v>
      </c>
      <c r="U160" s="69">
        <f t="shared" ca="1" si="37"/>
        <v>-0.59134324611871913</v>
      </c>
      <c r="V160" s="69">
        <f t="shared" ca="1" si="38"/>
        <v>0.24930225885925764</v>
      </c>
      <c r="W160" s="69">
        <f t="shared" ca="1" si="39"/>
        <v>2.1161437890987318</v>
      </c>
      <c r="X160" s="69">
        <f t="shared" ca="1" si="40"/>
        <v>-1.6031651814518344</v>
      </c>
    </row>
    <row r="161" spans="2:24" x14ac:dyDescent="0.2">
      <c r="B161" s="69">
        <f t="shared" ca="1" si="29"/>
        <v>-0.92128110577444022</v>
      </c>
      <c r="C161" s="69">
        <f t="shared" ca="1" si="41"/>
        <v>-0.24237276337243102</v>
      </c>
      <c r="D161" s="69">
        <f t="shared" ca="1" si="41"/>
        <v>-0.85015411427254839</v>
      </c>
      <c r="E161" s="69">
        <f t="shared" ca="1" si="41"/>
        <v>-1.0449316644747875</v>
      </c>
      <c r="F161" s="69">
        <f t="shared" ca="1" si="41"/>
        <v>0.4735953674121095</v>
      </c>
      <c r="G161" s="69">
        <f t="shared" ca="1" si="41"/>
        <v>-0.28932126713769984</v>
      </c>
      <c r="H161" s="69">
        <f t="shared" ca="1" si="41"/>
        <v>-0.33558670798482459</v>
      </c>
      <c r="I161" s="69">
        <f t="shared" ca="1" si="41"/>
        <v>0.77906384797965933</v>
      </c>
      <c r="J161" s="69">
        <f t="shared" ca="1" si="41"/>
        <v>-0.69030128937914526</v>
      </c>
      <c r="K161" s="69">
        <f t="shared" ca="1" si="41"/>
        <v>1.221076734279223</v>
      </c>
      <c r="L161" s="69">
        <f t="shared" ca="1" si="41"/>
        <v>1.5680059992703077E-3</v>
      </c>
      <c r="N161" s="69">
        <f t="shared" ca="1" si="30"/>
        <v>-0.88351306193633139</v>
      </c>
      <c r="O161" s="69">
        <f t="shared" ca="1" si="31"/>
        <v>-0.26886632645531772</v>
      </c>
      <c r="P161" s="69">
        <f t="shared" ca="1" si="32"/>
        <v>-0.90789617910963838</v>
      </c>
      <c r="Q161" s="69">
        <f t="shared" ca="1" si="33"/>
        <v>-0.99582298561302851</v>
      </c>
      <c r="R161" s="69">
        <f t="shared" ca="1" si="34"/>
        <v>0.46730068200446062</v>
      </c>
      <c r="S161" s="69">
        <f t="shared" ca="1" si="35"/>
        <v>-0.25649429488089137</v>
      </c>
      <c r="T161" s="69">
        <f t="shared" ca="1" si="36"/>
        <v>-0.34041774570001443</v>
      </c>
      <c r="U161" s="69">
        <f t="shared" ca="1" si="37"/>
        <v>0.80210397485736895</v>
      </c>
      <c r="V161" s="69">
        <f t="shared" ca="1" si="38"/>
        <v>-0.69641088295274256</v>
      </c>
      <c r="W161" s="69">
        <f t="shared" ca="1" si="39"/>
        <v>1.2220580911033221</v>
      </c>
      <c r="X161" s="69">
        <f t="shared" ca="1" si="40"/>
        <v>2.8736496373705785E-2</v>
      </c>
    </row>
    <row r="162" spans="2:24" x14ac:dyDescent="0.2">
      <c r="B162" s="69">
        <f t="shared" ca="1" si="29"/>
        <v>0.97516091901995994</v>
      </c>
      <c r="C162" s="69">
        <f t="shared" ca="1" si="41"/>
        <v>1.3967838536112633</v>
      </c>
      <c r="D162" s="69">
        <f t="shared" ca="1" si="41"/>
        <v>0.90757651960547947</v>
      </c>
      <c r="E162" s="69">
        <f t="shared" ca="1" si="41"/>
        <v>-1.2341530571497024</v>
      </c>
      <c r="F162" s="69">
        <f t="shared" ca="1" si="41"/>
        <v>-1.2058130306551675</v>
      </c>
      <c r="G162" s="69">
        <f t="shared" ca="1" si="41"/>
        <v>1.142241203730666</v>
      </c>
      <c r="H162" s="69">
        <f t="shared" ca="1" si="41"/>
        <v>-1.025122691263713</v>
      </c>
      <c r="I162" s="69">
        <f t="shared" ca="1" si="41"/>
        <v>-0.33118923852822513</v>
      </c>
      <c r="J162" s="69">
        <f t="shared" ca="1" si="41"/>
        <v>0.6235763702394298</v>
      </c>
      <c r="K162" s="69">
        <f t="shared" ca="1" si="41"/>
        <v>-0.59508747777270177</v>
      </c>
      <c r="L162" s="69">
        <f t="shared" ca="1" si="41"/>
        <v>-0.6998721468721919</v>
      </c>
      <c r="N162" s="69">
        <f t="shared" ca="1" si="30"/>
        <v>1.0129289628580687</v>
      </c>
      <c r="O162" s="69">
        <f t="shared" ca="1" si="31"/>
        <v>1.3702902905283767</v>
      </c>
      <c r="P162" s="69">
        <f t="shared" ca="1" si="32"/>
        <v>0.84983445476838948</v>
      </c>
      <c r="Q162" s="69">
        <f t="shared" ca="1" si="33"/>
        <v>-1.1850443782879434</v>
      </c>
      <c r="R162" s="69">
        <f t="shared" ca="1" si="34"/>
        <v>-1.2121077160628164</v>
      </c>
      <c r="S162" s="69">
        <f t="shared" ca="1" si="35"/>
        <v>1.1750681759874744</v>
      </c>
      <c r="T162" s="69">
        <f t="shared" ca="1" si="36"/>
        <v>-1.0299537289789029</v>
      </c>
      <c r="U162" s="69">
        <f t="shared" ca="1" si="37"/>
        <v>-0.30814911165051545</v>
      </c>
      <c r="V162" s="69">
        <f t="shared" ca="1" si="38"/>
        <v>0.6174667766658325</v>
      </c>
      <c r="W162" s="69">
        <f t="shared" ca="1" si="39"/>
        <v>-0.59410612094860282</v>
      </c>
      <c r="X162" s="69">
        <f t="shared" ca="1" si="40"/>
        <v>-0.67270365649775643</v>
      </c>
    </row>
    <row r="163" spans="2:24" x14ac:dyDescent="0.2">
      <c r="B163" s="69">
        <f t="shared" ca="1" si="29"/>
        <v>0.26604686818045836</v>
      </c>
      <c r="C163" s="69">
        <f t="shared" ca="1" si="41"/>
        <v>0.50734294741308505</v>
      </c>
      <c r="D163" s="69">
        <f t="shared" ca="1" si="41"/>
        <v>0.66610512685970846</v>
      </c>
      <c r="E163" s="69">
        <f t="shared" ca="1" si="41"/>
        <v>-1.0306556047823623</v>
      </c>
      <c r="F163" s="69">
        <f t="shared" ca="1" si="41"/>
        <v>-2.5562311420533361</v>
      </c>
      <c r="G163" s="69">
        <f t="shared" ca="1" si="41"/>
        <v>1.497834620808763</v>
      </c>
      <c r="H163" s="69">
        <f t="shared" ca="1" si="41"/>
        <v>0.47873032917837188</v>
      </c>
      <c r="I163" s="69">
        <f t="shared" ca="1" si="41"/>
        <v>0.9772515389558194</v>
      </c>
      <c r="J163" s="69">
        <f t="shared" ca="1" si="41"/>
        <v>0.59421193653204674</v>
      </c>
      <c r="K163" s="69">
        <f t="shared" ca="1" si="41"/>
        <v>-0.91750391875537496</v>
      </c>
      <c r="L163" s="69">
        <f t="shared" ca="1" si="41"/>
        <v>1.246403205552951</v>
      </c>
      <c r="N163" s="69">
        <f t="shared" ca="1" si="30"/>
        <v>0.3038149120185672</v>
      </c>
      <c r="O163" s="69">
        <f t="shared" ca="1" si="31"/>
        <v>0.48084938433019836</v>
      </c>
      <c r="P163" s="69">
        <f t="shared" ca="1" si="32"/>
        <v>0.60836306202261847</v>
      </c>
      <c r="Q163" s="69">
        <f t="shared" ca="1" si="33"/>
        <v>-0.98154692592060333</v>
      </c>
      <c r="R163" s="69">
        <f t="shared" ca="1" si="34"/>
        <v>-2.562525827460985</v>
      </c>
      <c r="S163" s="69">
        <f t="shared" ca="1" si="35"/>
        <v>1.5306615930655714</v>
      </c>
      <c r="T163" s="69">
        <f t="shared" ca="1" si="36"/>
        <v>0.47389929146318205</v>
      </c>
      <c r="U163" s="69">
        <f t="shared" ca="1" si="37"/>
        <v>1.000291665833529</v>
      </c>
      <c r="V163" s="69">
        <f t="shared" ca="1" si="38"/>
        <v>0.58810234295844943</v>
      </c>
      <c r="W163" s="69">
        <f t="shared" ca="1" si="39"/>
        <v>-0.91652256193127601</v>
      </c>
      <c r="X163" s="69">
        <f t="shared" ca="1" si="40"/>
        <v>1.2735716959273866</v>
      </c>
    </row>
    <row r="164" spans="2:24" x14ac:dyDescent="0.2">
      <c r="B164" s="69">
        <f t="shared" ca="1" si="29"/>
        <v>0.92606318684672384</v>
      </c>
      <c r="C164" s="69">
        <f t="shared" ca="1" si="41"/>
        <v>0.43932815524371971</v>
      </c>
      <c r="D164" s="69">
        <f t="shared" ca="1" si="41"/>
        <v>2.1090402559556112</v>
      </c>
      <c r="E164" s="69">
        <f t="shared" ca="1" si="41"/>
        <v>-1.3996901917188282</v>
      </c>
      <c r="F164" s="69">
        <f t="shared" ca="1" si="41"/>
        <v>1.0787030035228822</v>
      </c>
      <c r="G164" s="69">
        <f t="shared" ca="1" si="41"/>
        <v>-0.64271638070737147</v>
      </c>
      <c r="H164" s="69">
        <f t="shared" ca="1" si="41"/>
        <v>5.3260702946927869E-2</v>
      </c>
      <c r="I164" s="69">
        <f t="shared" ca="1" si="41"/>
        <v>0.67889838501533195</v>
      </c>
      <c r="J164" s="69">
        <f t="shared" ca="1" si="41"/>
        <v>0.30631956499686758</v>
      </c>
      <c r="K164" s="69">
        <f t="shared" ca="1" si="41"/>
        <v>1.3926594065800859</v>
      </c>
      <c r="L164" s="69">
        <f t="shared" ca="1" si="41"/>
        <v>0.30436677362922177</v>
      </c>
      <c r="N164" s="69">
        <f t="shared" ca="1" si="30"/>
        <v>0.96383123068483267</v>
      </c>
      <c r="O164" s="69">
        <f t="shared" ca="1" si="31"/>
        <v>0.41283459216083301</v>
      </c>
      <c r="P164" s="69">
        <f t="shared" ca="1" si="32"/>
        <v>2.0512981911185211</v>
      </c>
      <c r="Q164" s="69">
        <f t="shared" ca="1" si="33"/>
        <v>-1.3505815128570693</v>
      </c>
      <c r="R164" s="69">
        <f t="shared" ca="1" si="34"/>
        <v>1.0724083181152333</v>
      </c>
      <c r="S164" s="69">
        <f t="shared" ca="1" si="35"/>
        <v>-0.60988940845056294</v>
      </c>
      <c r="T164" s="69">
        <f t="shared" ca="1" si="36"/>
        <v>4.8429665231738021E-2</v>
      </c>
      <c r="U164" s="69">
        <f t="shared" ca="1" si="37"/>
        <v>0.70193851189304157</v>
      </c>
      <c r="V164" s="69">
        <f t="shared" ca="1" si="38"/>
        <v>0.30020997142327027</v>
      </c>
      <c r="W164" s="69">
        <f t="shared" ca="1" si="39"/>
        <v>1.393640763404185</v>
      </c>
      <c r="X164" s="69">
        <f t="shared" ca="1" si="40"/>
        <v>0.33153526400365724</v>
      </c>
    </row>
    <row r="165" spans="2:24" x14ac:dyDescent="0.2">
      <c r="B165" s="69">
        <f t="shared" ca="1" si="29"/>
        <v>4.3768798422110485E-3</v>
      </c>
      <c r="C165" s="69">
        <f t="shared" ca="1" si="41"/>
        <v>-1.4353208233914467</v>
      </c>
      <c r="D165" s="69">
        <f t="shared" ca="1" si="41"/>
        <v>0.15424217246012839</v>
      </c>
      <c r="E165" s="69">
        <f t="shared" ca="1" si="41"/>
        <v>1.0115634615015927</v>
      </c>
      <c r="F165" s="69">
        <f t="shared" ca="1" si="41"/>
        <v>0.18722265020725928</v>
      </c>
      <c r="G165" s="69">
        <f t="shared" ca="1" si="41"/>
        <v>5.8203373431396317E-2</v>
      </c>
      <c r="H165" s="69">
        <f t="shared" ca="1" si="41"/>
        <v>0.22081211339596715</v>
      </c>
      <c r="I165" s="69">
        <f t="shared" ca="1" si="41"/>
        <v>0.70183365057982172</v>
      </c>
      <c r="J165" s="69">
        <f t="shared" ca="1" si="41"/>
        <v>-9.141304664705803E-2</v>
      </c>
      <c r="K165" s="69">
        <f t="shared" ca="1" si="41"/>
        <v>-1.7674550252755612</v>
      </c>
      <c r="L165" s="69">
        <f t="shared" ca="1" si="41"/>
        <v>-0.55561278017014681</v>
      </c>
      <c r="N165" s="69">
        <f t="shared" ca="1" si="30"/>
        <v>4.2144923680319871E-2</v>
      </c>
      <c r="O165" s="69">
        <f t="shared" ca="1" si="31"/>
        <v>-1.4618143864743334</v>
      </c>
      <c r="P165" s="69">
        <f t="shared" ca="1" si="32"/>
        <v>9.6500107623038359E-2</v>
      </c>
      <c r="Q165" s="69">
        <f t="shared" ca="1" si="33"/>
        <v>1.0606721403633517</v>
      </c>
      <c r="R165" s="69">
        <f t="shared" ca="1" si="34"/>
        <v>0.18092796479961037</v>
      </c>
      <c r="S165" s="69">
        <f t="shared" ca="1" si="35"/>
        <v>9.1030345688204797E-2</v>
      </c>
      <c r="T165" s="69">
        <f t="shared" ca="1" si="36"/>
        <v>0.21598107568077732</v>
      </c>
      <c r="U165" s="69">
        <f t="shared" ca="1" si="37"/>
        <v>0.72487377745753134</v>
      </c>
      <c r="V165" s="69">
        <f t="shared" ca="1" si="38"/>
        <v>-9.7522640220655363E-2</v>
      </c>
      <c r="W165" s="69">
        <f t="shared" ca="1" si="39"/>
        <v>-1.7664736684514621</v>
      </c>
      <c r="X165" s="69">
        <f t="shared" ca="1" si="40"/>
        <v>-0.52844428979571134</v>
      </c>
    </row>
    <row r="166" spans="2:24" x14ac:dyDescent="0.2">
      <c r="B166" s="69">
        <f t="shared" ca="1" si="29"/>
        <v>-8.6505780554310303E-3</v>
      </c>
      <c r="C166" s="69">
        <f t="shared" ca="1" si="41"/>
        <v>0.86417736423209501</v>
      </c>
      <c r="D166" s="69">
        <f t="shared" ca="1" si="41"/>
        <v>-1.4110685732605726</v>
      </c>
      <c r="E166" s="69">
        <f t="shared" ca="1" si="41"/>
        <v>1.5245479598771767</v>
      </c>
      <c r="F166" s="69">
        <f t="shared" ca="1" si="41"/>
        <v>0.63352657155838532</v>
      </c>
      <c r="G166" s="69">
        <f t="shared" ca="1" si="41"/>
        <v>6.4154979507865154E-2</v>
      </c>
      <c r="H166" s="69">
        <f t="shared" ca="1" si="41"/>
        <v>0.23378529095663603</v>
      </c>
      <c r="I166" s="69">
        <f t="shared" ca="1" si="41"/>
        <v>1.0133424033945448</v>
      </c>
      <c r="J166" s="69">
        <f t="shared" ca="1" si="41"/>
        <v>-0.49513656193661842</v>
      </c>
      <c r="K166" s="69">
        <f t="shared" ca="1" si="41"/>
        <v>0.58219577392814115</v>
      </c>
      <c r="L166" s="69">
        <f t="shared" ca="1" si="41"/>
        <v>0.47652808716616185</v>
      </c>
      <c r="N166" s="69">
        <f t="shared" ca="1" si="30"/>
        <v>2.9117465782677789E-2</v>
      </c>
      <c r="O166" s="69">
        <f t="shared" ca="1" si="31"/>
        <v>0.83768380114920837</v>
      </c>
      <c r="P166" s="69">
        <f t="shared" ca="1" si="32"/>
        <v>-1.4688106380976627</v>
      </c>
      <c r="Q166" s="69">
        <f t="shared" ca="1" si="33"/>
        <v>1.5736566387389357</v>
      </c>
      <c r="R166" s="69">
        <f t="shared" ca="1" si="34"/>
        <v>0.62723188615073644</v>
      </c>
      <c r="S166" s="69">
        <f t="shared" ca="1" si="35"/>
        <v>9.6981951764673641E-2</v>
      </c>
      <c r="T166" s="69">
        <f t="shared" ca="1" si="36"/>
        <v>0.22895425324144619</v>
      </c>
      <c r="U166" s="69">
        <f t="shared" ca="1" si="37"/>
        <v>1.0363825302722545</v>
      </c>
      <c r="V166" s="69">
        <f t="shared" ca="1" si="38"/>
        <v>-0.50124615551021579</v>
      </c>
      <c r="W166" s="69">
        <f t="shared" ca="1" si="39"/>
        <v>0.58317713075224009</v>
      </c>
      <c r="X166" s="69">
        <f t="shared" ca="1" si="40"/>
        <v>0.50369657754059738</v>
      </c>
    </row>
    <row r="167" spans="2:24" x14ac:dyDescent="0.2">
      <c r="B167" s="69">
        <f t="shared" ca="1" si="29"/>
        <v>-0.21358106222652343</v>
      </c>
      <c r="C167" s="69">
        <f t="shared" ca="1" si="41"/>
        <v>-1.75741658471671</v>
      </c>
      <c r="D167" s="69">
        <f t="shared" ca="1" si="41"/>
        <v>-0.19761759882581778</v>
      </c>
      <c r="E167" s="69">
        <f t="shared" ca="1" si="41"/>
        <v>-0.24413547373814715</v>
      </c>
      <c r="F167" s="69">
        <f t="shared" ca="1" si="41"/>
        <v>0.81121705213318129</v>
      </c>
      <c r="G167" s="69">
        <f t="shared" ca="1" si="41"/>
        <v>1.1678027820606804</v>
      </c>
      <c r="H167" s="69">
        <f t="shared" ca="1" si="41"/>
        <v>-0.90043065800173439</v>
      </c>
      <c r="I167" s="69">
        <f t="shared" ca="1" si="41"/>
        <v>-0.16276665997490442</v>
      </c>
      <c r="J167" s="69">
        <f t="shared" ca="1" si="41"/>
        <v>8.1485991699031687E-2</v>
      </c>
      <c r="K167" s="69">
        <f t="shared" ca="1" si="41"/>
        <v>0.62592207379386444</v>
      </c>
      <c r="L167" s="69">
        <f t="shared" ca="1" si="41"/>
        <v>-2.0647896192747668</v>
      </c>
      <c r="N167" s="69">
        <f t="shared" ca="1" si="30"/>
        <v>-0.17581301838841462</v>
      </c>
      <c r="O167" s="69">
        <f t="shared" ca="1" si="31"/>
        <v>-1.7839101477995967</v>
      </c>
      <c r="P167" s="69">
        <f t="shared" ca="1" si="32"/>
        <v>-0.2553596636629078</v>
      </c>
      <c r="Q167" s="69">
        <f t="shared" ca="1" si="33"/>
        <v>-0.19502679487638819</v>
      </c>
      <c r="R167" s="69">
        <f t="shared" ca="1" si="34"/>
        <v>0.80492236672553241</v>
      </c>
      <c r="S167" s="69">
        <f t="shared" ca="1" si="35"/>
        <v>1.2006297543174889</v>
      </c>
      <c r="T167" s="69">
        <f t="shared" ca="1" si="36"/>
        <v>-0.90526169571692428</v>
      </c>
      <c r="U167" s="69">
        <f t="shared" ca="1" si="37"/>
        <v>-0.13972653309719477</v>
      </c>
      <c r="V167" s="69">
        <f t="shared" ca="1" si="38"/>
        <v>7.5376398125434355E-2</v>
      </c>
      <c r="W167" s="69">
        <f t="shared" ca="1" si="39"/>
        <v>0.62690343061796339</v>
      </c>
      <c r="X167" s="69">
        <f t="shared" ca="1" si="40"/>
        <v>-2.0376211289003314</v>
      </c>
    </row>
    <row r="168" spans="2:24" x14ac:dyDescent="0.2">
      <c r="B168" s="69">
        <f t="shared" ca="1" si="29"/>
        <v>-1.031749002794625</v>
      </c>
      <c r="C168" s="69">
        <f t="shared" ca="1" si="41"/>
        <v>1.5086232300758358</v>
      </c>
      <c r="D168" s="69">
        <f t="shared" ca="1" si="41"/>
        <v>0.24218547157564163</v>
      </c>
      <c r="E168" s="69">
        <f t="shared" ca="1" si="41"/>
        <v>-6.8472708195074894E-2</v>
      </c>
      <c r="F168" s="69">
        <f t="shared" ca="1" si="41"/>
        <v>2.0887782941692992</v>
      </c>
      <c r="G168" s="69">
        <f t="shared" ca="1" si="41"/>
        <v>-1.0317335237800458</v>
      </c>
      <c r="H168" s="69">
        <f t="shared" ca="1" si="41"/>
        <v>-0.325714036418774</v>
      </c>
      <c r="I168" s="69">
        <f t="shared" ca="1" si="41"/>
        <v>0.43078411316659682</v>
      </c>
      <c r="J168" s="69">
        <f t="shared" ca="1" si="41"/>
        <v>-0.53043611533895496</v>
      </c>
      <c r="K168" s="69">
        <f t="shared" ca="1" si="41"/>
        <v>-2.3034396552815655</v>
      </c>
      <c r="L168" s="69">
        <f t="shared" ca="1" si="41"/>
        <v>9.993520259147648E-2</v>
      </c>
      <c r="N168" s="69">
        <f t="shared" ca="1" si="30"/>
        <v>-0.99398095895651617</v>
      </c>
      <c r="O168" s="69">
        <f t="shared" ca="1" si="31"/>
        <v>1.4821296669929491</v>
      </c>
      <c r="P168" s="69">
        <f t="shared" ca="1" si="32"/>
        <v>0.18444340673855159</v>
      </c>
      <c r="Q168" s="69">
        <f t="shared" ca="1" si="33"/>
        <v>-1.9364029333315949E-2</v>
      </c>
      <c r="R168" s="69">
        <f t="shared" ca="1" si="34"/>
        <v>2.0824836087616503</v>
      </c>
      <c r="S168" s="69">
        <f t="shared" ca="1" si="35"/>
        <v>-0.99890655152323726</v>
      </c>
      <c r="T168" s="69">
        <f t="shared" ca="1" si="36"/>
        <v>-0.33054507413396383</v>
      </c>
      <c r="U168" s="69">
        <f t="shared" ca="1" si="37"/>
        <v>0.45382424004430649</v>
      </c>
      <c r="V168" s="69">
        <f t="shared" ca="1" si="38"/>
        <v>-0.53654570891255227</v>
      </c>
      <c r="W168" s="69">
        <f t="shared" ca="1" si="39"/>
        <v>-2.3024582984574664</v>
      </c>
      <c r="X168" s="69">
        <f t="shared" ca="1" si="40"/>
        <v>0.12710369296591195</v>
      </c>
    </row>
    <row r="169" spans="2:24" x14ac:dyDescent="0.2">
      <c r="B169" s="69">
        <f t="shared" ca="1" si="29"/>
        <v>-1.1401638022633085</v>
      </c>
      <c r="C169" s="69">
        <f t="shared" ca="1" si="41"/>
        <v>0.96472019748555371</v>
      </c>
      <c r="D169" s="69">
        <f t="shared" ca="1" si="41"/>
        <v>1.389522701430594</v>
      </c>
      <c r="E169" s="69">
        <f t="shared" ca="1" si="41"/>
        <v>3.0471418476609592E-2</v>
      </c>
      <c r="F169" s="69">
        <f t="shared" ca="1" si="41"/>
        <v>1.4990587680697089</v>
      </c>
      <c r="G169" s="69">
        <f t="shared" ca="1" si="41"/>
        <v>1.2699264590621773</v>
      </c>
      <c r="H169" s="69">
        <f t="shared" ca="1" si="41"/>
        <v>0.67590573063357728</v>
      </c>
      <c r="I169" s="69">
        <f t="shared" ca="1" si="41"/>
        <v>-0.47324499480092347</v>
      </c>
      <c r="J169" s="69">
        <f t="shared" ca="1" si="41"/>
        <v>-0.66243844586553113</v>
      </c>
      <c r="K169" s="69">
        <f t="shared" ca="1" si="41"/>
        <v>-1.0878679408421381</v>
      </c>
      <c r="L169" s="69">
        <f t="shared" ca="1" si="41"/>
        <v>-0.10704378463869919</v>
      </c>
      <c r="N169" s="69">
        <f t="shared" ca="1" si="30"/>
        <v>-1.1023957584251998</v>
      </c>
      <c r="O169" s="69">
        <f t="shared" ca="1" si="31"/>
        <v>0.93822663440266707</v>
      </c>
      <c r="P169" s="69">
        <f t="shared" ca="1" si="32"/>
        <v>1.3317806365935039</v>
      </c>
      <c r="Q169" s="69">
        <f t="shared" ca="1" si="33"/>
        <v>7.9580097338368544E-2</v>
      </c>
      <c r="R169" s="69">
        <f t="shared" ca="1" si="34"/>
        <v>1.4927640826620601</v>
      </c>
      <c r="S169" s="69">
        <f t="shared" ca="1" si="35"/>
        <v>1.3027534313189857</v>
      </c>
      <c r="T169" s="69">
        <f t="shared" ca="1" si="36"/>
        <v>0.67107469291838739</v>
      </c>
      <c r="U169" s="69">
        <f t="shared" ca="1" si="37"/>
        <v>-0.45020486792321379</v>
      </c>
      <c r="V169" s="69">
        <f t="shared" ca="1" si="38"/>
        <v>-0.66854803943912844</v>
      </c>
      <c r="W169" s="69">
        <f t="shared" ca="1" si="39"/>
        <v>-1.0868865840180391</v>
      </c>
      <c r="X169" s="69">
        <f t="shared" ca="1" si="40"/>
        <v>-7.9875294264263708E-2</v>
      </c>
    </row>
    <row r="170" spans="2:24" x14ac:dyDescent="0.2">
      <c r="B170" s="69">
        <f t="shared" ca="1" si="29"/>
        <v>-2.2790682405294085</v>
      </c>
      <c r="C170" s="69">
        <f t="shared" ca="1" si="41"/>
        <v>-0.62914772958608478</v>
      </c>
      <c r="D170" s="69">
        <f t="shared" ca="1" si="41"/>
        <v>-0.89884876354827792</v>
      </c>
      <c r="E170" s="69">
        <f t="shared" ca="1" si="41"/>
        <v>-0.57907310557121561</v>
      </c>
      <c r="F170" s="69">
        <f t="shared" ca="1" si="41"/>
        <v>-1.8495541680254313</v>
      </c>
      <c r="G170" s="69">
        <f t="shared" ca="1" si="41"/>
        <v>-0.63255613736832728</v>
      </c>
      <c r="H170" s="69">
        <f t="shared" ca="1" si="41"/>
        <v>5.688758587200473E-2</v>
      </c>
      <c r="I170" s="69">
        <f t="shared" ca="1" si="41"/>
        <v>-0.31597725319980935</v>
      </c>
      <c r="J170" s="69">
        <f t="shared" ca="1" si="41"/>
        <v>0.34108603202545551</v>
      </c>
      <c r="K170" s="69">
        <f t="shared" ca="1" si="41"/>
        <v>-0.82988821733118046</v>
      </c>
      <c r="L170" s="69">
        <f t="shared" ca="1" si="41"/>
        <v>-1.618533598451227</v>
      </c>
      <c r="N170" s="69">
        <f t="shared" ca="1" si="30"/>
        <v>-2.2413001966912995</v>
      </c>
      <c r="O170" s="69">
        <f t="shared" ca="1" si="31"/>
        <v>-0.65564129266897142</v>
      </c>
      <c r="P170" s="69">
        <f t="shared" ca="1" si="32"/>
        <v>-0.95659082838536791</v>
      </c>
      <c r="Q170" s="69">
        <f t="shared" ca="1" si="33"/>
        <v>-0.52996442670945665</v>
      </c>
      <c r="R170" s="69">
        <f t="shared" ca="1" si="34"/>
        <v>-1.8558488534330801</v>
      </c>
      <c r="S170" s="69">
        <f t="shared" ca="1" si="35"/>
        <v>-0.59972916511151875</v>
      </c>
      <c r="T170" s="69">
        <f t="shared" ca="1" si="36"/>
        <v>5.2056548156814882E-2</v>
      </c>
      <c r="U170" s="69">
        <f t="shared" ca="1" si="37"/>
        <v>-0.29293712632209967</v>
      </c>
      <c r="V170" s="69">
        <f t="shared" ca="1" si="38"/>
        <v>0.3349764384518582</v>
      </c>
      <c r="W170" s="69">
        <f t="shared" ca="1" si="39"/>
        <v>-0.82890686050708151</v>
      </c>
      <c r="X170" s="69">
        <f t="shared" ca="1" si="40"/>
        <v>-1.5913651080767914</v>
      </c>
    </row>
    <row r="171" spans="2:24" x14ac:dyDescent="0.2">
      <c r="B171" s="69">
        <f t="shared" ca="1" si="29"/>
        <v>-0.38661427474175164</v>
      </c>
      <c r="C171" s="69">
        <f t="shared" ca="1" si="41"/>
        <v>0.80106934431684862</v>
      </c>
      <c r="D171" s="69">
        <f t="shared" ca="1" si="41"/>
        <v>-0.30192779740907955</v>
      </c>
      <c r="E171" s="69">
        <f t="shared" ca="1" si="41"/>
        <v>-2.4819579215025495E-2</v>
      </c>
      <c r="F171" s="69">
        <f t="shared" ca="1" si="41"/>
        <v>0.63440419013807259</v>
      </c>
      <c r="G171" s="69">
        <f t="shared" ca="1" si="41"/>
        <v>-0.58788339923507205</v>
      </c>
      <c r="H171" s="69">
        <f t="shared" ca="1" si="41"/>
        <v>-1.3928602094205811</v>
      </c>
      <c r="I171" s="69">
        <f t="shared" ref="C171:L234" ca="1" si="42">NORMINV(RAND(),$C$7,$F$7)</f>
        <v>1.9256209064233196</v>
      </c>
      <c r="J171" s="69">
        <f t="shared" ca="1" si="42"/>
        <v>3.5762596448808441</v>
      </c>
      <c r="K171" s="69">
        <f t="shared" ca="1" si="42"/>
        <v>0.10103782242946957</v>
      </c>
      <c r="L171" s="69">
        <f t="shared" ca="1" si="42"/>
        <v>-0.14290751669294371</v>
      </c>
      <c r="N171" s="69">
        <f t="shared" ca="1" si="30"/>
        <v>-0.34884623090364281</v>
      </c>
      <c r="O171" s="69">
        <f t="shared" ca="1" si="31"/>
        <v>0.77457578123396198</v>
      </c>
      <c r="P171" s="69">
        <f t="shared" ca="1" si="32"/>
        <v>-0.35966986224616959</v>
      </c>
      <c r="Q171" s="69">
        <f t="shared" ca="1" si="33"/>
        <v>2.428909964673345E-2</v>
      </c>
      <c r="R171" s="69">
        <f t="shared" ca="1" si="34"/>
        <v>0.62810950473042371</v>
      </c>
      <c r="S171" s="69">
        <f t="shared" ca="1" si="35"/>
        <v>-0.55505642697826352</v>
      </c>
      <c r="T171" s="69">
        <f t="shared" ca="1" si="36"/>
        <v>-1.397691247135771</v>
      </c>
      <c r="U171" s="69">
        <f t="shared" ca="1" si="37"/>
        <v>1.9486610333010292</v>
      </c>
      <c r="V171" s="69">
        <f t="shared" ca="1" si="38"/>
        <v>3.5701500513072468</v>
      </c>
      <c r="W171" s="69">
        <f t="shared" ca="1" si="39"/>
        <v>0.10201917925356851</v>
      </c>
      <c r="X171" s="69">
        <f t="shared" ca="1" si="40"/>
        <v>-0.11573902631850824</v>
      </c>
    </row>
    <row r="172" spans="2:24" x14ac:dyDescent="0.2">
      <c r="B172" s="69">
        <f t="shared" ca="1" si="29"/>
        <v>1.1417736827133835</v>
      </c>
      <c r="C172" s="69">
        <f t="shared" ca="1" si="42"/>
        <v>-0.90911764289572405</v>
      </c>
      <c r="D172" s="69">
        <f t="shared" ca="1" si="42"/>
        <v>-0.47175078959331501</v>
      </c>
      <c r="E172" s="69">
        <f t="shared" ca="1" si="42"/>
        <v>3.9558166072752012E-2</v>
      </c>
      <c r="F172" s="69">
        <f t="shared" ca="1" si="42"/>
        <v>7.3832653502688111E-2</v>
      </c>
      <c r="G172" s="69">
        <f t="shared" ca="1" si="42"/>
        <v>-0.28001161935120344</v>
      </c>
      <c r="H172" s="69">
        <f t="shared" ca="1" si="42"/>
        <v>-0.22874504223208389</v>
      </c>
      <c r="I172" s="69">
        <f t="shared" ca="1" si="42"/>
        <v>-0.16256390878425148</v>
      </c>
      <c r="J172" s="69">
        <f t="shared" ca="1" si="42"/>
        <v>-0.1076836648667923</v>
      </c>
      <c r="K172" s="69">
        <f t="shared" ca="1" si="42"/>
        <v>4.8533621745691202E-2</v>
      </c>
      <c r="L172" s="69">
        <f t="shared" ca="1" si="42"/>
        <v>-1.2400071760795823</v>
      </c>
      <c r="N172" s="69">
        <f t="shared" ca="1" si="30"/>
        <v>1.1795417265514923</v>
      </c>
      <c r="O172" s="69">
        <f t="shared" ca="1" si="31"/>
        <v>-0.93561120597861069</v>
      </c>
      <c r="P172" s="69">
        <f t="shared" ca="1" si="32"/>
        <v>-0.52949285443040506</v>
      </c>
      <c r="Q172" s="69">
        <f t="shared" ca="1" si="33"/>
        <v>8.8666844934510963E-2</v>
      </c>
      <c r="R172" s="69">
        <f t="shared" ca="1" si="34"/>
        <v>6.7537968095039216E-2</v>
      </c>
      <c r="S172" s="69">
        <f t="shared" ca="1" si="35"/>
        <v>-0.24718464709439497</v>
      </c>
      <c r="T172" s="69">
        <f t="shared" ca="1" si="36"/>
        <v>-0.23357607994727372</v>
      </c>
      <c r="U172" s="69">
        <f t="shared" ca="1" si="37"/>
        <v>-0.13952378190654183</v>
      </c>
      <c r="V172" s="69">
        <f t="shared" ca="1" si="38"/>
        <v>-0.11379325844038964</v>
      </c>
      <c r="W172" s="69">
        <f t="shared" ca="1" si="39"/>
        <v>4.9514978569790154E-2</v>
      </c>
      <c r="X172" s="69">
        <f t="shared" ca="1" si="40"/>
        <v>-1.2128386857051467</v>
      </c>
    </row>
    <row r="173" spans="2:24" x14ac:dyDescent="0.2">
      <c r="B173" s="69">
        <f t="shared" ca="1" si="29"/>
        <v>1.3305822546032249</v>
      </c>
      <c r="C173" s="69">
        <f t="shared" ca="1" si="42"/>
        <v>-1.5721952507156562</v>
      </c>
      <c r="D173" s="69">
        <f t="shared" ca="1" si="42"/>
        <v>-0.41287089128276216</v>
      </c>
      <c r="E173" s="69">
        <f t="shared" ca="1" si="42"/>
        <v>-0.49060705202815114</v>
      </c>
      <c r="F173" s="69">
        <f t="shared" ca="1" si="42"/>
        <v>-0.46190584135812335</v>
      </c>
      <c r="G173" s="69">
        <f t="shared" ca="1" si="42"/>
        <v>1.1447039956581597</v>
      </c>
      <c r="H173" s="69">
        <f t="shared" ca="1" si="42"/>
        <v>3.3369925195551223E-2</v>
      </c>
      <c r="I173" s="69">
        <f t="shared" ca="1" si="42"/>
        <v>-7.2321651494828915E-2</v>
      </c>
      <c r="J173" s="69">
        <f t="shared" ca="1" si="42"/>
        <v>-1.4936153036597983</v>
      </c>
      <c r="K173" s="69">
        <f t="shared" ca="1" si="42"/>
        <v>0.74051515182430006</v>
      </c>
      <c r="L173" s="69">
        <f t="shared" ca="1" si="42"/>
        <v>-1.934541217994356</v>
      </c>
      <c r="N173" s="69">
        <f t="shared" ca="1" si="30"/>
        <v>1.3683502984413336</v>
      </c>
      <c r="O173" s="69">
        <f t="shared" ca="1" si="31"/>
        <v>-1.5986888137985429</v>
      </c>
      <c r="P173" s="69">
        <f t="shared" ca="1" si="32"/>
        <v>-0.47061295611985221</v>
      </c>
      <c r="Q173" s="69">
        <f t="shared" ca="1" si="33"/>
        <v>-0.44149837316639218</v>
      </c>
      <c r="R173" s="69">
        <f t="shared" ca="1" si="34"/>
        <v>-0.46820052676577223</v>
      </c>
      <c r="S173" s="69">
        <f t="shared" ca="1" si="35"/>
        <v>1.1775309679149681</v>
      </c>
      <c r="T173" s="69">
        <f t="shared" ca="1" si="36"/>
        <v>2.8538887480361378E-2</v>
      </c>
      <c r="U173" s="69">
        <f t="shared" ca="1" si="37"/>
        <v>-4.9281524617119259E-2</v>
      </c>
      <c r="V173" s="69">
        <f t="shared" ca="1" si="38"/>
        <v>-1.4997248972333956</v>
      </c>
      <c r="W173" s="69">
        <f t="shared" ca="1" si="39"/>
        <v>0.741496508648399</v>
      </c>
      <c r="X173" s="69">
        <f t="shared" ca="1" si="40"/>
        <v>-1.9073727276199204</v>
      </c>
    </row>
    <row r="174" spans="2:24" x14ac:dyDescent="0.2">
      <c r="B174" s="69">
        <f t="shared" ca="1" si="29"/>
        <v>-0.15841223406265095</v>
      </c>
      <c r="C174" s="69">
        <f t="shared" ca="1" si="42"/>
        <v>-0.10163877069216283</v>
      </c>
      <c r="D174" s="69">
        <f t="shared" ca="1" si="42"/>
        <v>0.3402622242456822</v>
      </c>
      <c r="E174" s="69">
        <f t="shared" ca="1" si="42"/>
        <v>1.0366956155794291</v>
      </c>
      <c r="F174" s="69">
        <f t="shared" ca="1" si="42"/>
        <v>-0.25193650159341308</v>
      </c>
      <c r="G174" s="69">
        <f t="shared" ca="1" si="42"/>
        <v>0.597623280374869</v>
      </c>
      <c r="H174" s="69">
        <f t="shared" ca="1" si="42"/>
        <v>-0.59897647421874411</v>
      </c>
      <c r="I174" s="69">
        <f t="shared" ca="1" si="42"/>
        <v>0.61771012188820595</v>
      </c>
      <c r="J174" s="69">
        <f t="shared" ca="1" si="42"/>
        <v>1.8339710403820104</v>
      </c>
      <c r="K174" s="69">
        <f t="shared" ca="1" si="42"/>
        <v>-1.0221786392205865</v>
      </c>
      <c r="L174" s="69">
        <f t="shared" ca="1" si="42"/>
        <v>0.30332426321198663</v>
      </c>
      <c r="N174" s="69">
        <f t="shared" ca="1" si="30"/>
        <v>-0.12064419022454213</v>
      </c>
      <c r="O174" s="69">
        <f t="shared" ca="1" si="31"/>
        <v>-0.12813233377504951</v>
      </c>
      <c r="P174" s="69">
        <f t="shared" ca="1" si="32"/>
        <v>0.28252015940859215</v>
      </c>
      <c r="Q174" s="69">
        <f t="shared" ca="1" si="33"/>
        <v>1.0858042944411881</v>
      </c>
      <c r="R174" s="69">
        <f t="shared" ca="1" si="34"/>
        <v>-0.25823118700106196</v>
      </c>
      <c r="S174" s="69">
        <f t="shared" ca="1" si="35"/>
        <v>0.63045025263167753</v>
      </c>
      <c r="T174" s="69">
        <f t="shared" ca="1" si="36"/>
        <v>-0.603807511933934</v>
      </c>
      <c r="U174" s="69">
        <f t="shared" ca="1" si="37"/>
        <v>0.64075024876591558</v>
      </c>
      <c r="V174" s="69">
        <f t="shared" ca="1" si="38"/>
        <v>1.8278614468084131</v>
      </c>
      <c r="W174" s="69">
        <f t="shared" ca="1" si="39"/>
        <v>-1.0211972823964874</v>
      </c>
      <c r="X174" s="69">
        <f t="shared" ca="1" si="40"/>
        <v>0.33049275358642211</v>
      </c>
    </row>
    <row r="175" spans="2:24" x14ac:dyDescent="0.2">
      <c r="B175" s="69">
        <f t="shared" ca="1" si="29"/>
        <v>1.2555355287099967</v>
      </c>
      <c r="C175" s="69">
        <f t="shared" ca="1" si="42"/>
        <v>1.628104926722673</v>
      </c>
      <c r="D175" s="69">
        <f t="shared" ca="1" si="42"/>
        <v>-0.74366609722070665</v>
      </c>
      <c r="E175" s="69">
        <f t="shared" ca="1" si="42"/>
        <v>-0.90411123150936346</v>
      </c>
      <c r="F175" s="69">
        <f t="shared" ca="1" si="42"/>
        <v>-0.42505806477739394</v>
      </c>
      <c r="G175" s="69">
        <f t="shared" ca="1" si="42"/>
        <v>0.97203171140423317</v>
      </c>
      <c r="H175" s="69">
        <f t="shared" ca="1" si="42"/>
        <v>-0.23123281099110873</v>
      </c>
      <c r="I175" s="69">
        <f t="shared" ca="1" si="42"/>
        <v>0.11134343025900546</v>
      </c>
      <c r="J175" s="69">
        <f t="shared" ca="1" si="42"/>
        <v>-1.1365971420893899</v>
      </c>
      <c r="K175" s="69">
        <f t="shared" ca="1" si="42"/>
        <v>0.82240075719910355</v>
      </c>
      <c r="L175" s="69">
        <f t="shared" ca="1" si="42"/>
        <v>-0.73656341105412526</v>
      </c>
      <c r="N175" s="69">
        <f t="shared" ca="1" si="30"/>
        <v>1.2933035725481055</v>
      </c>
      <c r="O175" s="69">
        <f t="shared" ca="1" si="31"/>
        <v>1.6016113636397864</v>
      </c>
      <c r="P175" s="69">
        <f t="shared" ca="1" si="32"/>
        <v>-0.80140816205779664</v>
      </c>
      <c r="Q175" s="69">
        <f t="shared" ca="1" si="33"/>
        <v>-0.8550025526476045</v>
      </c>
      <c r="R175" s="69">
        <f t="shared" ca="1" si="34"/>
        <v>-0.43135275018504282</v>
      </c>
      <c r="S175" s="69">
        <f t="shared" ca="1" si="35"/>
        <v>1.0048586836610416</v>
      </c>
      <c r="T175" s="69">
        <f t="shared" ca="1" si="36"/>
        <v>-0.23606384870629857</v>
      </c>
      <c r="U175" s="69">
        <f t="shared" ca="1" si="37"/>
        <v>0.13438355713671513</v>
      </c>
      <c r="V175" s="69">
        <f t="shared" ca="1" si="38"/>
        <v>-1.1427067356629872</v>
      </c>
      <c r="W175" s="69">
        <f t="shared" ca="1" si="39"/>
        <v>0.82338211402320249</v>
      </c>
      <c r="X175" s="69">
        <f t="shared" ca="1" si="40"/>
        <v>-0.70939492067968979</v>
      </c>
    </row>
    <row r="176" spans="2:24" x14ac:dyDescent="0.2">
      <c r="B176" s="69">
        <f t="shared" ca="1" si="29"/>
        <v>-0.38600270771755307</v>
      </c>
      <c r="C176" s="69">
        <f t="shared" ca="1" si="42"/>
        <v>-1.0323182828780926</v>
      </c>
      <c r="D176" s="69">
        <f t="shared" ca="1" si="42"/>
        <v>-0.19137193545552605</v>
      </c>
      <c r="E176" s="69">
        <f t="shared" ca="1" si="42"/>
        <v>-2.9757929588380936</v>
      </c>
      <c r="F176" s="69">
        <f t="shared" ca="1" si="42"/>
        <v>0.7517994884684871</v>
      </c>
      <c r="G176" s="69">
        <f t="shared" ca="1" si="42"/>
        <v>1.6630359168199869</v>
      </c>
      <c r="H176" s="69">
        <f t="shared" ca="1" si="42"/>
        <v>0.90938527153997673</v>
      </c>
      <c r="I176" s="69">
        <f t="shared" ca="1" si="42"/>
        <v>0.62868205863060711</v>
      </c>
      <c r="J176" s="69">
        <f t="shared" ca="1" si="42"/>
        <v>-1.676523707252358</v>
      </c>
      <c r="K176" s="69">
        <f t="shared" ca="1" si="42"/>
        <v>0.34437785893386935</v>
      </c>
      <c r="L176" s="69">
        <f t="shared" ca="1" si="42"/>
        <v>-0.1738112996457114</v>
      </c>
      <c r="N176" s="69">
        <f t="shared" ca="1" si="30"/>
        <v>-0.34823466387944424</v>
      </c>
      <c r="O176" s="69">
        <f t="shared" ca="1" si="31"/>
        <v>-1.0588118459609792</v>
      </c>
      <c r="P176" s="69">
        <f t="shared" ca="1" si="32"/>
        <v>-0.2491140002926161</v>
      </c>
      <c r="Q176" s="69">
        <f t="shared" ca="1" si="33"/>
        <v>-2.9266842799763348</v>
      </c>
      <c r="R176" s="69">
        <f t="shared" ca="1" si="34"/>
        <v>0.74550480306083822</v>
      </c>
      <c r="S176" s="69">
        <f t="shared" ca="1" si="35"/>
        <v>1.6958628890767953</v>
      </c>
      <c r="T176" s="69">
        <f t="shared" ca="1" si="36"/>
        <v>0.90455423382478684</v>
      </c>
      <c r="U176" s="69">
        <f t="shared" ca="1" si="37"/>
        <v>0.65172218550831673</v>
      </c>
      <c r="V176" s="69">
        <f t="shared" ca="1" si="38"/>
        <v>-1.6826333008259553</v>
      </c>
      <c r="W176" s="69">
        <f t="shared" ca="1" si="39"/>
        <v>0.3453592157579683</v>
      </c>
      <c r="X176" s="69">
        <f t="shared" ca="1" si="40"/>
        <v>-0.14664280927127593</v>
      </c>
    </row>
    <row r="177" spans="2:24" x14ac:dyDescent="0.2">
      <c r="B177" s="69">
        <f t="shared" ca="1" si="29"/>
        <v>2.2648658224487672</v>
      </c>
      <c r="C177" s="69">
        <f t="shared" ca="1" si="42"/>
        <v>-2.0366647566972147</v>
      </c>
      <c r="D177" s="69">
        <f t="shared" ca="1" si="42"/>
        <v>-0.50028877849102549</v>
      </c>
      <c r="E177" s="69">
        <f t="shared" ca="1" si="42"/>
        <v>-1.1709343197572648</v>
      </c>
      <c r="F177" s="69">
        <f t="shared" ca="1" si="42"/>
        <v>0.18897666742283961</v>
      </c>
      <c r="G177" s="69">
        <f t="shared" ca="1" si="42"/>
        <v>0.95674550188155871</v>
      </c>
      <c r="H177" s="69">
        <f t="shared" ca="1" si="42"/>
        <v>0.75266440801299861</v>
      </c>
      <c r="I177" s="69">
        <f t="shared" ca="1" si="42"/>
        <v>-0.76915002970699253</v>
      </c>
      <c r="J177" s="69">
        <f t="shared" ca="1" si="42"/>
        <v>1.7784842436616455</v>
      </c>
      <c r="K177" s="69">
        <f t="shared" ca="1" si="42"/>
        <v>-0.18790465396482475</v>
      </c>
      <c r="L177" s="69">
        <f t="shared" ca="1" si="42"/>
        <v>-0.30394887754176758</v>
      </c>
      <c r="N177" s="69">
        <f t="shared" ca="1" si="30"/>
        <v>2.3026338662868762</v>
      </c>
      <c r="O177" s="69">
        <f t="shared" ca="1" si="31"/>
        <v>-2.0631583197801016</v>
      </c>
      <c r="P177" s="69">
        <f t="shared" ca="1" si="32"/>
        <v>-0.55803084332811548</v>
      </c>
      <c r="Q177" s="69">
        <f t="shared" ca="1" si="33"/>
        <v>-1.1218256408955058</v>
      </c>
      <c r="R177" s="69">
        <f t="shared" ca="1" si="34"/>
        <v>0.1826819820151907</v>
      </c>
      <c r="S177" s="69">
        <f t="shared" ca="1" si="35"/>
        <v>0.98957247413836724</v>
      </c>
      <c r="T177" s="69">
        <f t="shared" ca="1" si="36"/>
        <v>0.74783337029780872</v>
      </c>
      <c r="U177" s="69">
        <f t="shared" ca="1" si="37"/>
        <v>-0.74610990282928291</v>
      </c>
      <c r="V177" s="69">
        <f t="shared" ca="1" si="38"/>
        <v>1.7723746500880482</v>
      </c>
      <c r="W177" s="69">
        <f t="shared" ca="1" si="39"/>
        <v>-0.18692329714072581</v>
      </c>
      <c r="X177" s="69">
        <f t="shared" ca="1" si="40"/>
        <v>-0.27678038716733211</v>
      </c>
    </row>
    <row r="178" spans="2:24" x14ac:dyDescent="0.2">
      <c r="B178" s="69">
        <f t="shared" ca="1" si="29"/>
        <v>-1.0995278209113584</v>
      </c>
      <c r="C178" s="69">
        <f t="shared" ca="1" si="42"/>
        <v>1.7531322043725397</v>
      </c>
      <c r="D178" s="69">
        <f t="shared" ca="1" si="42"/>
        <v>0.90752503959965092</v>
      </c>
      <c r="E178" s="69">
        <f t="shared" ca="1" si="42"/>
        <v>0.38407141382855464</v>
      </c>
      <c r="F178" s="69">
        <f t="shared" ca="1" si="42"/>
        <v>2.2468354694212715</v>
      </c>
      <c r="G178" s="69">
        <f t="shared" ca="1" si="42"/>
        <v>-2.0491107743162615</v>
      </c>
      <c r="H178" s="69">
        <f t="shared" ca="1" si="42"/>
        <v>-9.3537621465546977E-2</v>
      </c>
      <c r="I178" s="69">
        <f t="shared" ca="1" si="42"/>
        <v>1.3641514156515995</v>
      </c>
      <c r="J178" s="69">
        <f t="shared" ca="1" si="42"/>
        <v>1.5414206424662631</v>
      </c>
      <c r="K178" s="69">
        <f t="shared" ca="1" si="42"/>
        <v>-0.51994133752404648</v>
      </c>
      <c r="L178" s="69">
        <f t="shared" ca="1" si="42"/>
        <v>0.27283859653453696</v>
      </c>
      <c r="N178" s="69">
        <f t="shared" ca="1" si="30"/>
        <v>-1.0617597770732496</v>
      </c>
      <c r="O178" s="69">
        <f t="shared" ca="1" si="31"/>
        <v>1.7266386412896531</v>
      </c>
      <c r="P178" s="69">
        <f t="shared" ca="1" si="32"/>
        <v>0.84978297476256093</v>
      </c>
      <c r="Q178" s="69">
        <f t="shared" ca="1" si="33"/>
        <v>0.4331800926903136</v>
      </c>
      <c r="R178" s="69">
        <f t="shared" ca="1" si="34"/>
        <v>2.2405407840136227</v>
      </c>
      <c r="S178" s="69">
        <f t="shared" ca="1" si="35"/>
        <v>-2.0162838020594531</v>
      </c>
      <c r="T178" s="69">
        <f t="shared" ca="1" si="36"/>
        <v>-9.8368659180736825E-2</v>
      </c>
      <c r="U178" s="69">
        <f t="shared" ca="1" si="37"/>
        <v>1.3871915425293091</v>
      </c>
      <c r="V178" s="69">
        <f t="shared" ca="1" si="38"/>
        <v>1.5353110488926658</v>
      </c>
      <c r="W178" s="69">
        <f t="shared" ca="1" si="39"/>
        <v>-0.51895998069994753</v>
      </c>
      <c r="X178" s="69">
        <f t="shared" ca="1" si="40"/>
        <v>0.30000708690897243</v>
      </c>
    </row>
    <row r="179" spans="2:24" x14ac:dyDescent="0.2">
      <c r="B179" s="69">
        <f t="shared" ca="1" si="29"/>
        <v>-1.5638767737489843</v>
      </c>
      <c r="C179" s="69">
        <f t="shared" ca="1" si="42"/>
        <v>0.53278941097961841</v>
      </c>
      <c r="D179" s="69">
        <f t="shared" ca="1" si="42"/>
        <v>-0.46822851561369433</v>
      </c>
      <c r="E179" s="69">
        <f t="shared" ca="1" si="42"/>
        <v>-6.3783778844807751E-2</v>
      </c>
      <c r="F179" s="69">
        <f t="shared" ca="1" si="42"/>
        <v>0.51234770415946096</v>
      </c>
      <c r="G179" s="69">
        <f t="shared" ca="1" si="42"/>
        <v>-0.8325915308652333</v>
      </c>
      <c r="H179" s="69">
        <f t="shared" ca="1" si="42"/>
        <v>-0.42227748849314845</v>
      </c>
      <c r="I179" s="69">
        <f t="shared" ca="1" si="42"/>
        <v>-1.0982615259768373</v>
      </c>
      <c r="J179" s="69">
        <f t="shared" ca="1" si="42"/>
        <v>0.60891974452743947</v>
      </c>
      <c r="K179" s="69">
        <f t="shared" ca="1" si="42"/>
        <v>1.4902967277893062</v>
      </c>
      <c r="L179" s="69">
        <f t="shared" ca="1" si="42"/>
        <v>-1.694398468926354</v>
      </c>
      <c r="N179" s="69">
        <f t="shared" ca="1" si="30"/>
        <v>-1.5261087299108755</v>
      </c>
      <c r="O179" s="69">
        <f t="shared" ca="1" si="31"/>
        <v>0.50629584789673177</v>
      </c>
      <c r="P179" s="69">
        <f t="shared" ca="1" si="32"/>
        <v>-0.52597058045078438</v>
      </c>
      <c r="Q179" s="69">
        <f t="shared" ca="1" si="33"/>
        <v>-1.4675099983048806E-2</v>
      </c>
      <c r="R179" s="69">
        <f t="shared" ca="1" si="34"/>
        <v>0.50605301875181208</v>
      </c>
      <c r="S179" s="69">
        <f t="shared" ca="1" si="35"/>
        <v>-0.79976455860842477</v>
      </c>
      <c r="T179" s="69">
        <f t="shared" ca="1" si="36"/>
        <v>-0.42710852620833828</v>
      </c>
      <c r="U179" s="69">
        <f t="shared" ca="1" si="37"/>
        <v>-1.0752213990991277</v>
      </c>
      <c r="V179" s="69">
        <f t="shared" ca="1" si="38"/>
        <v>0.60281015095384216</v>
      </c>
      <c r="W179" s="69">
        <f t="shared" ca="1" si="39"/>
        <v>1.4912780846134053</v>
      </c>
      <c r="X179" s="69">
        <f t="shared" ca="1" si="40"/>
        <v>-1.6672299785519185</v>
      </c>
    </row>
    <row r="180" spans="2:24" x14ac:dyDescent="0.2">
      <c r="B180" s="69">
        <f t="shared" ca="1" si="29"/>
        <v>-0.61355745676533768</v>
      </c>
      <c r="C180" s="69">
        <f t="shared" ca="1" si="42"/>
        <v>-0.34388947218862753</v>
      </c>
      <c r="D180" s="69">
        <f t="shared" ca="1" si="42"/>
        <v>1.4327011301358752</v>
      </c>
      <c r="E180" s="69">
        <f t="shared" ca="1" si="42"/>
        <v>0.383320096094315</v>
      </c>
      <c r="F180" s="69">
        <f t="shared" ca="1" si="42"/>
        <v>-0.28882135549796606</v>
      </c>
      <c r="G180" s="69">
        <f t="shared" ca="1" si="42"/>
        <v>1.7198400290382669</v>
      </c>
      <c r="H180" s="69">
        <f t="shared" ca="1" si="42"/>
        <v>0.22838684064355358</v>
      </c>
      <c r="I180" s="69">
        <f t="shared" ca="1" si="42"/>
        <v>0.8306042165987545</v>
      </c>
      <c r="J180" s="69">
        <f t="shared" ca="1" si="42"/>
        <v>-0.83885080448381066</v>
      </c>
      <c r="K180" s="69">
        <f t="shared" ca="1" si="42"/>
        <v>-0.66905063661455</v>
      </c>
      <c r="L180" s="69">
        <f t="shared" ca="1" si="42"/>
        <v>-0.3749392930515551</v>
      </c>
      <c r="N180" s="69">
        <f t="shared" ca="1" si="30"/>
        <v>-0.57578941292722885</v>
      </c>
      <c r="O180" s="69">
        <f t="shared" ca="1" si="31"/>
        <v>-0.37038303527151423</v>
      </c>
      <c r="P180" s="69">
        <f t="shared" ca="1" si="32"/>
        <v>1.3749590652987851</v>
      </c>
      <c r="Q180" s="69">
        <f t="shared" ca="1" si="33"/>
        <v>0.43242877495607396</v>
      </c>
      <c r="R180" s="69">
        <f t="shared" ca="1" si="34"/>
        <v>-0.29511604090561494</v>
      </c>
      <c r="S180" s="69">
        <f t="shared" ca="1" si="35"/>
        <v>1.7526670012950754</v>
      </c>
      <c r="T180" s="69">
        <f t="shared" ca="1" si="36"/>
        <v>0.22355580292836374</v>
      </c>
      <c r="U180" s="69">
        <f t="shared" ca="1" si="37"/>
        <v>0.85364434347646412</v>
      </c>
      <c r="V180" s="69">
        <f t="shared" ca="1" si="38"/>
        <v>-0.84496039805740797</v>
      </c>
      <c r="W180" s="69">
        <f t="shared" ca="1" si="39"/>
        <v>-0.66806927979045105</v>
      </c>
      <c r="X180" s="69">
        <f t="shared" ca="1" si="40"/>
        <v>-0.34777080267711963</v>
      </c>
    </row>
    <row r="181" spans="2:24" x14ac:dyDescent="0.2">
      <c r="B181" s="69">
        <f t="shared" ca="1" si="29"/>
        <v>-0.95577285513452404</v>
      </c>
      <c r="C181" s="69">
        <f t="shared" ca="1" si="42"/>
        <v>0.29794944041662691</v>
      </c>
      <c r="D181" s="69">
        <f t="shared" ca="1" si="42"/>
        <v>0.17949200971953053</v>
      </c>
      <c r="E181" s="69">
        <f t="shared" ca="1" si="42"/>
        <v>-1.0720386733687863</v>
      </c>
      <c r="F181" s="69">
        <f t="shared" ca="1" si="42"/>
        <v>6.2939367296784551E-2</v>
      </c>
      <c r="G181" s="69">
        <f t="shared" ca="1" si="42"/>
        <v>0.28008731570457035</v>
      </c>
      <c r="H181" s="69">
        <f t="shared" ca="1" si="42"/>
        <v>0.17213410738535556</v>
      </c>
      <c r="I181" s="69">
        <f t="shared" ca="1" si="42"/>
        <v>1.0091246261912217</v>
      </c>
      <c r="J181" s="69">
        <f t="shared" ca="1" si="42"/>
        <v>-0.640079560612551</v>
      </c>
      <c r="K181" s="69">
        <f t="shared" ca="1" si="42"/>
        <v>1.880539222546435</v>
      </c>
      <c r="L181" s="69">
        <f t="shared" ca="1" si="42"/>
        <v>0.66613891039578543</v>
      </c>
      <c r="N181" s="69">
        <f t="shared" ca="1" si="30"/>
        <v>-0.9180048112964152</v>
      </c>
      <c r="O181" s="69">
        <f t="shared" ca="1" si="31"/>
        <v>0.27145587733374021</v>
      </c>
      <c r="P181" s="69">
        <f t="shared" ca="1" si="32"/>
        <v>0.12174994488244049</v>
      </c>
      <c r="Q181" s="69">
        <f t="shared" ca="1" si="33"/>
        <v>-1.0229299945070274</v>
      </c>
      <c r="R181" s="69">
        <f t="shared" ca="1" si="34"/>
        <v>5.6644681889135656E-2</v>
      </c>
      <c r="S181" s="69">
        <f t="shared" ca="1" si="35"/>
        <v>0.31291428796137882</v>
      </c>
      <c r="T181" s="69">
        <f t="shared" ca="1" si="36"/>
        <v>0.16730306967016573</v>
      </c>
      <c r="U181" s="69">
        <f t="shared" ca="1" si="37"/>
        <v>1.0321647530689313</v>
      </c>
      <c r="V181" s="69">
        <f t="shared" ca="1" si="38"/>
        <v>-0.64618915418614831</v>
      </c>
      <c r="W181" s="69">
        <f t="shared" ca="1" si="39"/>
        <v>1.8815205793705341</v>
      </c>
      <c r="X181" s="69">
        <f t="shared" ca="1" si="40"/>
        <v>0.69330740077022091</v>
      </c>
    </row>
    <row r="182" spans="2:24" x14ac:dyDescent="0.2">
      <c r="B182" s="69">
        <f t="shared" ca="1" si="29"/>
        <v>0.39619284117049514</v>
      </c>
      <c r="C182" s="69">
        <f t="shared" ca="1" si="42"/>
        <v>-0.45751171460532292</v>
      </c>
      <c r="D182" s="69">
        <f t="shared" ca="1" si="42"/>
        <v>0.89165342405273129</v>
      </c>
      <c r="E182" s="69">
        <f t="shared" ca="1" si="42"/>
        <v>-0.23386413893752611</v>
      </c>
      <c r="F182" s="69">
        <f t="shared" ca="1" si="42"/>
        <v>-1.5999906787162135</v>
      </c>
      <c r="G182" s="69">
        <f t="shared" ca="1" si="42"/>
        <v>0.32081668960922238</v>
      </c>
      <c r="H182" s="69">
        <f t="shared" ca="1" si="42"/>
        <v>-1.1799134844479211</v>
      </c>
      <c r="I182" s="69">
        <f t="shared" ca="1" si="42"/>
        <v>1.5410462861024989</v>
      </c>
      <c r="J182" s="69">
        <f t="shared" ca="1" si="42"/>
        <v>0.53202679977041045</v>
      </c>
      <c r="K182" s="69">
        <f t="shared" ca="1" si="42"/>
        <v>1.145286510607836</v>
      </c>
      <c r="L182" s="69">
        <f t="shared" ca="1" si="42"/>
        <v>-0.3402398282836524</v>
      </c>
      <c r="N182" s="69">
        <f t="shared" ca="1" si="30"/>
        <v>0.43396088500860397</v>
      </c>
      <c r="O182" s="69">
        <f t="shared" ca="1" si="31"/>
        <v>-0.48400527768820961</v>
      </c>
      <c r="P182" s="69">
        <f t="shared" ca="1" si="32"/>
        <v>0.8339113592156413</v>
      </c>
      <c r="Q182" s="69">
        <f t="shared" ca="1" si="33"/>
        <v>-0.18475546007576715</v>
      </c>
      <c r="R182" s="69">
        <f t="shared" ca="1" si="34"/>
        <v>-1.6062853641238624</v>
      </c>
      <c r="S182" s="69">
        <f t="shared" ca="1" si="35"/>
        <v>0.35364366186603086</v>
      </c>
      <c r="T182" s="69">
        <f t="shared" ca="1" si="36"/>
        <v>-1.184744522163111</v>
      </c>
      <c r="U182" s="69">
        <f t="shared" ca="1" si="37"/>
        <v>1.5640864129802086</v>
      </c>
      <c r="V182" s="69">
        <f t="shared" ca="1" si="38"/>
        <v>0.52591720619681315</v>
      </c>
      <c r="W182" s="69">
        <f t="shared" ca="1" si="39"/>
        <v>1.1462678674319351</v>
      </c>
      <c r="X182" s="69">
        <f t="shared" ca="1" si="40"/>
        <v>-0.31307133790921693</v>
      </c>
    </row>
    <row r="183" spans="2:24" x14ac:dyDescent="0.2">
      <c r="B183" s="69">
        <f t="shared" ca="1" si="29"/>
        <v>-1.1546849782076318</v>
      </c>
      <c r="C183" s="69">
        <f t="shared" ca="1" si="42"/>
        <v>-0.11435402943091984</v>
      </c>
      <c r="D183" s="69">
        <f t="shared" ca="1" si="42"/>
        <v>0.87039647181477708</v>
      </c>
      <c r="E183" s="69">
        <f t="shared" ca="1" si="42"/>
        <v>-0.9094458015506337</v>
      </c>
      <c r="F183" s="69">
        <f t="shared" ca="1" si="42"/>
        <v>-0.38739898280759205</v>
      </c>
      <c r="G183" s="69">
        <f t="shared" ca="1" si="42"/>
        <v>-0.32914783523915997</v>
      </c>
      <c r="H183" s="69">
        <f t="shared" ca="1" si="42"/>
        <v>0.91893154802921739</v>
      </c>
      <c r="I183" s="69">
        <f t="shared" ca="1" si="42"/>
        <v>-0.89285507980649792</v>
      </c>
      <c r="J183" s="69">
        <f t="shared" ca="1" si="42"/>
        <v>-0.31481842660864923</v>
      </c>
      <c r="K183" s="69">
        <f t="shared" ca="1" si="42"/>
        <v>0.19709210594731161</v>
      </c>
      <c r="L183" s="69">
        <f t="shared" ca="1" si="42"/>
        <v>-1.6369426794660848</v>
      </c>
      <c r="N183" s="69">
        <f t="shared" ca="1" si="30"/>
        <v>-1.1169169343695231</v>
      </c>
      <c r="O183" s="69">
        <f t="shared" ca="1" si="31"/>
        <v>-0.14084759251380652</v>
      </c>
      <c r="P183" s="69">
        <f t="shared" ca="1" si="32"/>
        <v>0.81265440697768709</v>
      </c>
      <c r="Q183" s="69">
        <f t="shared" ca="1" si="33"/>
        <v>-0.86033712268887474</v>
      </c>
      <c r="R183" s="69">
        <f t="shared" ca="1" si="34"/>
        <v>-0.39369366821524093</v>
      </c>
      <c r="S183" s="69">
        <f t="shared" ca="1" si="35"/>
        <v>-0.2963208629823515</v>
      </c>
      <c r="T183" s="69">
        <f t="shared" ca="1" si="36"/>
        <v>0.9141005103140275</v>
      </c>
      <c r="U183" s="69">
        <f t="shared" ca="1" si="37"/>
        <v>-0.8698149529287883</v>
      </c>
      <c r="V183" s="69">
        <f t="shared" ca="1" si="38"/>
        <v>-0.32092802018224653</v>
      </c>
      <c r="W183" s="69">
        <f t="shared" ca="1" si="39"/>
        <v>0.19807346277141055</v>
      </c>
      <c r="X183" s="69">
        <f t="shared" ca="1" si="40"/>
        <v>-1.6097741890916493</v>
      </c>
    </row>
    <row r="184" spans="2:24" x14ac:dyDescent="0.2">
      <c r="B184" s="69">
        <f t="shared" ca="1" si="29"/>
        <v>8.88788822018306E-2</v>
      </c>
      <c r="C184" s="69">
        <f t="shared" ca="1" si="42"/>
        <v>-0.19756109257804383</v>
      </c>
      <c r="D184" s="69">
        <f t="shared" ca="1" si="42"/>
        <v>-1.4303422474400176</v>
      </c>
      <c r="E184" s="69">
        <f t="shared" ca="1" si="42"/>
        <v>-0.49536884980889051</v>
      </c>
      <c r="F184" s="69">
        <f t="shared" ca="1" si="42"/>
        <v>0.67800006842753302</v>
      </c>
      <c r="G184" s="69">
        <f t="shared" ca="1" si="42"/>
        <v>-0.70886565464815499</v>
      </c>
      <c r="H184" s="69">
        <f t="shared" ca="1" si="42"/>
        <v>-0.72485519684030997</v>
      </c>
      <c r="I184" s="69">
        <f t="shared" ca="1" si="42"/>
        <v>-0.5710568958047173</v>
      </c>
      <c r="J184" s="69">
        <f t="shared" ca="1" si="42"/>
        <v>2.1564993973961243E-2</v>
      </c>
      <c r="K184" s="69">
        <f t="shared" ca="1" si="42"/>
        <v>0.28680576579553418</v>
      </c>
      <c r="L184" s="69">
        <f t="shared" ca="1" si="42"/>
        <v>-1.9501343623210563</v>
      </c>
      <c r="N184" s="69">
        <f t="shared" ca="1" si="30"/>
        <v>0.12664692603993943</v>
      </c>
      <c r="O184" s="69">
        <f t="shared" ca="1" si="31"/>
        <v>-0.22405465566093052</v>
      </c>
      <c r="P184" s="69">
        <f t="shared" ca="1" si="32"/>
        <v>-1.4880843122771077</v>
      </c>
      <c r="Q184" s="69">
        <f t="shared" ca="1" si="33"/>
        <v>-0.44626017094713155</v>
      </c>
      <c r="R184" s="69">
        <f t="shared" ca="1" si="34"/>
        <v>0.67170538301988414</v>
      </c>
      <c r="S184" s="69">
        <f t="shared" ca="1" si="35"/>
        <v>-0.67603868239134646</v>
      </c>
      <c r="T184" s="69">
        <f t="shared" ca="1" si="36"/>
        <v>-0.72968623455549986</v>
      </c>
      <c r="U184" s="69">
        <f t="shared" ca="1" si="37"/>
        <v>-0.54801676892700768</v>
      </c>
      <c r="V184" s="69">
        <f t="shared" ca="1" si="38"/>
        <v>1.5455400400363913E-2</v>
      </c>
      <c r="W184" s="69">
        <f t="shared" ca="1" si="39"/>
        <v>0.28778712261963313</v>
      </c>
      <c r="X184" s="69">
        <f t="shared" ca="1" si="40"/>
        <v>-1.9229658719466207</v>
      </c>
    </row>
    <row r="185" spans="2:24" x14ac:dyDescent="0.2">
      <c r="B185" s="69">
        <f t="shared" ca="1" si="29"/>
        <v>-9.5636838859292403E-2</v>
      </c>
      <c r="C185" s="69">
        <f t="shared" ca="1" si="42"/>
        <v>-1.1224749321989855</v>
      </c>
      <c r="D185" s="69">
        <f t="shared" ca="1" si="42"/>
        <v>-0.36154492080307082</v>
      </c>
      <c r="E185" s="69">
        <f t="shared" ca="1" si="42"/>
        <v>-1.0270985513985087</v>
      </c>
      <c r="F185" s="69">
        <f t="shared" ca="1" si="42"/>
        <v>0.13649277333714915</v>
      </c>
      <c r="G185" s="69">
        <f t="shared" ca="1" si="42"/>
        <v>-1.4245485695939619</v>
      </c>
      <c r="H185" s="69">
        <f t="shared" ca="1" si="42"/>
        <v>0.86063533136677284</v>
      </c>
      <c r="I185" s="69">
        <f t="shared" ca="1" si="42"/>
        <v>0.53597243454780663</v>
      </c>
      <c r="J185" s="69">
        <f t="shared" ca="1" si="42"/>
        <v>1.1760317122520267</v>
      </c>
      <c r="K185" s="69">
        <f t="shared" ca="1" si="42"/>
        <v>-0.47644859069053791</v>
      </c>
      <c r="L185" s="69">
        <f t="shared" ca="1" si="42"/>
        <v>-0.33040062046651625</v>
      </c>
      <c r="N185" s="69">
        <f t="shared" ca="1" si="30"/>
        <v>-5.7868795021183583E-2</v>
      </c>
      <c r="O185" s="69">
        <f t="shared" ca="1" si="31"/>
        <v>-1.1489684952818722</v>
      </c>
      <c r="P185" s="69">
        <f t="shared" ca="1" si="32"/>
        <v>-0.41928698564016087</v>
      </c>
      <c r="Q185" s="69">
        <f t="shared" ca="1" si="33"/>
        <v>-0.97798987253674974</v>
      </c>
      <c r="R185" s="69">
        <f t="shared" ca="1" si="34"/>
        <v>0.13019808792950024</v>
      </c>
      <c r="S185" s="69">
        <f t="shared" ca="1" si="35"/>
        <v>-1.3917215973371535</v>
      </c>
      <c r="T185" s="69">
        <f t="shared" ca="1" si="36"/>
        <v>0.85580429365158295</v>
      </c>
      <c r="U185" s="69">
        <f t="shared" ca="1" si="37"/>
        <v>0.55901256142551625</v>
      </c>
      <c r="V185" s="69">
        <f t="shared" ca="1" si="38"/>
        <v>1.1699221186784294</v>
      </c>
      <c r="W185" s="69">
        <f t="shared" ca="1" si="39"/>
        <v>-0.47546723386643897</v>
      </c>
      <c r="X185" s="69">
        <f t="shared" ca="1" si="40"/>
        <v>-0.30323213009208078</v>
      </c>
    </row>
    <row r="186" spans="2:24" x14ac:dyDescent="0.2">
      <c r="B186" s="69">
        <f t="shared" ca="1" si="29"/>
        <v>0.77199500208064042</v>
      </c>
      <c r="C186" s="69">
        <f t="shared" ca="1" si="42"/>
        <v>-1.3917534001505345</v>
      </c>
      <c r="D186" s="69">
        <f t="shared" ca="1" si="42"/>
        <v>2.0454377103004999</v>
      </c>
      <c r="E186" s="69">
        <f t="shared" ca="1" si="42"/>
        <v>0.73973424848396641</v>
      </c>
      <c r="F186" s="69">
        <f t="shared" ca="1" si="42"/>
        <v>-1.2302896498265439</v>
      </c>
      <c r="G186" s="69">
        <f t="shared" ca="1" si="42"/>
        <v>-4.0999045119620145E-2</v>
      </c>
      <c r="H186" s="69">
        <f t="shared" ca="1" si="42"/>
        <v>-0.96402713844261734</v>
      </c>
      <c r="I186" s="69">
        <f t="shared" ca="1" si="42"/>
        <v>-2.558191418669602E-2</v>
      </c>
      <c r="J186" s="69">
        <f t="shared" ca="1" si="42"/>
        <v>1.4690474495407426</v>
      </c>
      <c r="K186" s="69">
        <f t="shared" ca="1" si="42"/>
        <v>0.86171822305223789</v>
      </c>
      <c r="L186" s="69">
        <f t="shared" ca="1" si="42"/>
        <v>-0.4215784629369394</v>
      </c>
      <c r="N186" s="69">
        <f t="shared" ca="1" si="30"/>
        <v>0.80976304591874926</v>
      </c>
      <c r="O186" s="69">
        <f t="shared" ca="1" si="31"/>
        <v>-1.4182469632334211</v>
      </c>
      <c r="P186" s="69">
        <f t="shared" ca="1" si="32"/>
        <v>1.9876956454634098</v>
      </c>
      <c r="Q186" s="69">
        <f t="shared" ca="1" si="33"/>
        <v>0.78884292734572536</v>
      </c>
      <c r="R186" s="69">
        <f t="shared" ca="1" si="34"/>
        <v>-1.2365843352341928</v>
      </c>
      <c r="S186" s="69">
        <f t="shared" ca="1" si="35"/>
        <v>-8.1720728628116648E-3</v>
      </c>
      <c r="T186" s="69">
        <f t="shared" ca="1" si="36"/>
        <v>-0.96885817615780723</v>
      </c>
      <c r="U186" s="69">
        <f t="shared" ca="1" si="37"/>
        <v>-2.5417873089863645E-3</v>
      </c>
      <c r="V186" s="69">
        <f t="shared" ca="1" si="38"/>
        <v>1.4629378559671453</v>
      </c>
      <c r="W186" s="69">
        <f t="shared" ca="1" si="39"/>
        <v>0.86269957987633683</v>
      </c>
      <c r="X186" s="69">
        <f t="shared" ca="1" si="40"/>
        <v>-0.39440997256250393</v>
      </c>
    </row>
    <row r="187" spans="2:24" x14ac:dyDescent="0.2">
      <c r="B187" s="69">
        <f t="shared" ca="1" si="29"/>
        <v>-0.48893382753836423</v>
      </c>
      <c r="C187" s="69">
        <f t="shared" ca="1" si="42"/>
        <v>0.38040363851564474</v>
      </c>
      <c r="D187" s="69">
        <f t="shared" ca="1" si="42"/>
        <v>-1.1919059227418929</v>
      </c>
      <c r="E187" s="69">
        <f t="shared" ca="1" si="42"/>
        <v>-0.47853018330127406</v>
      </c>
      <c r="F187" s="69">
        <f t="shared" ca="1" si="42"/>
        <v>1.6173047635968552</v>
      </c>
      <c r="G187" s="69">
        <f t="shared" ca="1" si="42"/>
        <v>-0.49299542349916303</v>
      </c>
      <c r="H187" s="69">
        <f t="shared" ca="1" si="42"/>
        <v>0.92787920794754453</v>
      </c>
      <c r="I187" s="69">
        <f t="shared" ca="1" si="42"/>
        <v>0.6608640532120218</v>
      </c>
      <c r="J187" s="69">
        <f t="shared" ca="1" si="42"/>
        <v>0.7620484745318945</v>
      </c>
      <c r="K187" s="69">
        <f t="shared" ca="1" si="42"/>
        <v>0.9199627541872003</v>
      </c>
      <c r="L187" s="69">
        <f t="shared" ca="1" si="42"/>
        <v>-2.0227544368810557</v>
      </c>
      <c r="N187" s="69">
        <f t="shared" ca="1" si="30"/>
        <v>-0.4511657837002554</v>
      </c>
      <c r="O187" s="69">
        <f t="shared" ca="1" si="31"/>
        <v>0.35391007543275804</v>
      </c>
      <c r="P187" s="69">
        <f t="shared" ca="1" si="32"/>
        <v>-1.249647987578983</v>
      </c>
      <c r="Q187" s="69">
        <f t="shared" ca="1" si="33"/>
        <v>-0.4294215044395151</v>
      </c>
      <c r="R187" s="69">
        <f t="shared" ca="1" si="34"/>
        <v>1.6110100781892063</v>
      </c>
      <c r="S187" s="69">
        <f t="shared" ca="1" si="35"/>
        <v>-0.46016845124235456</v>
      </c>
      <c r="T187" s="69">
        <f t="shared" ca="1" si="36"/>
        <v>0.92304817023235464</v>
      </c>
      <c r="U187" s="69">
        <f t="shared" ca="1" si="37"/>
        <v>0.68390418008973142</v>
      </c>
      <c r="V187" s="69">
        <f t="shared" ca="1" si="38"/>
        <v>0.7559388809582972</v>
      </c>
      <c r="W187" s="69">
        <f t="shared" ca="1" si="39"/>
        <v>0.92094411101129925</v>
      </c>
      <c r="X187" s="69">
        <f t="shared" ca="1" si="40"/>
        <v>-1.9955859465066201</v>
      </c>
    </row>
    <row r="188" spans="2:24" x14ac:dyDescent="0.2">
      <c r="B188" s="69">
        <f t="shared" ca="1" si="29"/>
        <v>1.2893443743625563</v>
      </c>
      <c r="C188" s="69">
        <f t="shared" ca="1" si="42"/>
        <v>-0.56957472877359205</v>
      </c>
      <c r="D188" s="69">
        <f t="shared" ca="1" si="42"/>
        <v>-0.89609662863572859</v>
      </c>
      <c r="E188" s="69">
        <f t="shared" ca="1" si="42"/>
        <v>1.5739616306134345</v>
      </c>
      <c r="F188" s="69">
        <f t="shared" ca="1" si="42"/>
        <v>1.4051872994428358</v>
      </c>
      <c r="G188" s="69">
        <f t="shared" ca="1" si="42"/>
        <v>-0.12681470827030239</v>
      </c>
      <c r="H188" s="69">
        <f t="shared" ca="1" si="42"/>
        <v>-0.61436014766205072</v>
      </c>
      <c r="I188" s="69">
        <f t="shared" ca="1" si="42"/>
        <v>0.81304836922209078</v>
      </c>
      <c r="J188" s="69">
        <f t="shared" ca="1" si="42"/>
        <v>-1.1732182800644215</v>
      </c>
      <c r="K188" s="69">
        <f t="shared" ca="1" si="42"/>
        <v>-1.2394552734109727</v>
      </c>
      <c r="L188" s="69">
        <f t="shared" ca="1" si="42"/>
        <v>-0.14502345841351363</v>
      </c>
      <c r="N188" s="69">
        <f t="shared" ca="1" si="30"/>
        <v>1.3271124182006651</v>
      </c>
      <c r="O188" s="69">
        <f t="shared" ca="1" si="31"/>
        <v>-0.59606829185647869</v>
      </c>
      <c r="P188" s="69">
        <f t="shared" ca="1" si="32"/>
        <v>-0.95383869347281858</v>
      </c>
      <c r="Q188" s="69">
        <f t="shared" ca="1" si="33"/>
        <v>1.6230703094751935</v>
      </c>
      <c r="R188" s="69">
        <f t="shared" ca="1" si="34"/>
        <v>1.3988926140351869</v>
      </c>
      <c r="S188" s="69">
        <f t="shared" ca="1" si="35"/>
        <v>-9.3987736013493917E-2</v>
      </c>
      <c r="T188" s="69">
        <f t="shared" ca="1" si="36"/>
        <v>-0.6191911853772406</v>
      </c>
      <c r="U188" s="69">
        <f t="shared" ca="1" si="37"/>
        <v>0.8360884960998004</v>
      </c>
      <c r="V188" s="69">
        <f t="shared" ca="1" si="38"/>
        <v>-1.1793278736380188</v>
      </c>
      <c r="W188" s="69">
        <f t="shared" ca="1" si="39"/>
        <v>-1.2384739165868737</v>
      </c>
      <c r="X188" s="69">
        <f t="shared" ca="1" si="40"/>
        <v>-0.11785496803907816</v>
      </c>
    </row>
    <row r="189" spans="2:24" x14ac:dyDescent="0.2">
      <c r="B189" s="69">
        <f t="shared" ca="1" si="29"/>
        <v>0.34558564778443857</v>
      </c>
      <c r="C189" s="69">
        <f t="shared" ca="1" si="42"/>
        <v>0.3226699895975228</v>
      </c>
      <c r="D189" s="69">
        <f t="shared" ca="1" si="42"/>
        <v>-0.37528508995254789</v>
      </c>
      <c r="E189" s="69">
        <f t="shared" ca="1" si="42"/>
        <v>-1.3259058049629489</v>
      </c>
      <c r="F189" s="69">
        <f t="shared" ca="1" si="42"/>
        <v>-0.77917829009660289</v>
      </c>
      <c r="G189" s="69">
        <f t="shared" ca="1" si="42"/>
        <v>-2.5111690888515747</v>
      </c>
      <c r="H189" s="69">
        <f t="shared" ca="1" si="42"/>
        <v>-0.62816414585065938</v>
      </c>
      <c r="I189" s="69">
        <f t="shared" ca="1" si="42"/>
        <v>1.6696895065303077</v>
      </c>
      <c r="J189" s="69">
        <f t="shared" ca="1" si="42"/>
        <v>0.58780649433256427</v>
      </c>
      <c r="K189" s="69">
        <f t="shared" ca="1" si="42"/>
        <v>0.95155918834476283</v>
      </c>
      <c r="L189" s="69">
        <f t="shared" ca="1" si="42"/>
        <v>-1.0666038506906472</v>
      </c>
      <c r="N189" s="69">
        <f t="shared" ca="1" si="30"/>
        <v>0.3833536916225474</v>
      </c>
      <c r="O189" s="69">
        <f t="shared" ca="1" si="31"/>
        <v>0.2961764265146361</v>
      </c>
      <c r="P189" s="69">
        <f t="shared" ca="1" si="32"/>
        <v>-0.43302715478963794</v>
      </c>
      <c r="Q189" s="69">
        <f t="shared" ca="1" si="33"/>
        <v>-1.2767971261011899</v>
      </c>
      <c r="R189" s="69">
        <f t="shared" ca="1" si="34"/>
        <v>-0.78547297550425177</v>
      </c>
      <c r="S189" s="69">
        <f t="shared" ca="1" si="35"/>
        <v>-2.4783421165947663</v>
      </c>
      <c r="T189" s="69">
        <f t="shared" ca="1" si="36"/>
        <v>-0.63299518356584927</v>
      </c>
      <c r="U189" s="69">
        <f t="shared" ca="1" si="37"/>
        <v>1.6927296334080173</v>
      </c>
      <c r="V189" s="69">
        <f t="shared" ca="1" si="38"/>
        <v>0.58169690075896696</v>
      </c>
      <c r="W189" s="69">
        <f t="shared" ca="1" si="39"/>
        <v>0.95254054516886177</v>
      </c>
      <c r="X189" s="69">
        <f t="shared" ca="1" si="40"/>
        <v>-1.0394353603162116</v>
      </c>
    </row>
    <row r="190" spans="2:24" x14ac:dyDescent="0.2">
      <c r="B190" s="69">
        <f t="shared" ca="1" si="29"/>
        <v>-1.1525942206642947</v>
      </c>
      <c r="C190" s="69">
        <f t="shared" ca="1" si="42"/>
        <v>0.45852629493234964</v>
      </c>
      <c r="D190" s="69">
        <f t="shared" ca="1" si="42"/>
        <v>1.072777790664226</v>
      </c>
      <c r="E190" s="69">
        <f t="shared" ca="1" si="42"/>
        <v>-2.2269592783954122E-2</v>
      </c>
      <c r="F190" s="69">
        <f t="shared" ca="1" si="42"/>
        <v>1.7862199881267882</v>
      </c>
      <c r="G190" s="69">
        <f t="shared" ca="1" si="42"/>
        <v>0.20998547254866209</v>
      </c>
      <c r="H190" s="69">
        <f t="shared" ca="1" si="42"/>
        <v>-2.528190850238397E-2</v>
      </c>
      <c r="I190" s="69">
        <f t="shared" ca="1" si="42"/>
        <v>-1.2149783065700273</v>
      </c>
      <c r="J190" s="69">
        <f t="shared" ca="1" si="42"/>
        <v>-0.76360431913191928</v>
      </c>
      <c r="K190" s="69">
        <f t="shared" ca="1" si="42"/>
        <v>0.3462656532617317</v>
      </c>
      <c r="L190" s="69">
        <f t="shared" ca="1" si="42"/>
        <v>-0.2438186080829807</v>
      </c>
      <c r="N190" s="69">
        <f t="shared" ca="1" si="30"/>
        <v>-1.114826176826186</v>
      </c>
      <c r="O190" s="69">
        <f t="shared" ca="1" si="31"/>
        <v>0.43203273184946295</v>
      </c>
      <c r="P190" s="69">
        <f t="shared" ca="1" si="32"/>
        <v>1.0150357258271359</v>
      </c>
      <c r="Q190" s="69">
        <f t="shared" ca="1" si="33"/>
        <v>2.6839086077804823E-2</v>
      </c>
      <c r="R190" s="69">
        <f t="shared" ca="1" si="34"/>
        <v>1.7799253027191393</v>
      </c>
      <c r="S190" s="69">
        <f t="shared" ca="1" si="35"/>
        <v>0.24281244480547057</v>
      </c>
      <c r="T190" s="69">
        <f t="shared" ca="1" si="36"/>
        <v>-3.0112946217573815E-2</v>
      </c>
      <c r="U190" s="69">
        <f t="shared" ca="1" si="37"/>
        <v>-1.1919381796923176</v>
      </c>
      <c r="V190" s="69">
        <f t="shared" ca="1" si="38"/>
        <v>-0.76971391270551659</v>
      </c>
      <c r="W190" s="69">
        <f t="shared" ca="1" si="39"/>
        <v>0.34724701008583064</v>
      </c>
      <c r="X190" s="69">
        <f t="shared" ca="1" si="40"/>
        <v>-0.21665011770854523</v>
      </c>
    </row>
    <row r="191" spans="2:24" x14ac:dyDescent="0.2">
      <c r="B191" s="69">
        <f t="shared" ca="1" si="29"/>
        <v>0.44357612946583636</v>
      </c>
      <c r="C191" s="69">
        <f t="shared" ca="1" si="42"/>
        <v>-1.122672590890915</v>
      </c>
      <c r="D191" s="69">
        <f t="shared" ca="1" si="42"/>
        <v>0.29406989321272076</v>
      </c>
      <c r="E191" s="69">
        <f t="shared" ca="1" si="42"/>
        <v>0.20402822027061998</v>
      </c>
      <c r="F191" s="69">
        <f t="shared" ca="1" si="42"/>
        <v>1.5768079456066921E-3</v>
      </c>
      <c r="G191" s="69">
        <f t="shared" ca="1" si="42"/>
        <v>-0.79615042210248033</v>
      </c>
      <c r="H191" s="69">
        <f t="shared" ca="1" si="42"/>
        <v>-3.1762604499893068</v>
      </c>
      <c r="I191" s="69">
        <f t="shared" ca="1" si="42"/>
        <v>-0.40376366095163058</v>
      </c>
      <c r="J191" s="69">
        <f t="shared" ca="1" si="42"/>
        <v>-2.0253617375795223E-2</v>
      </c>
      <c r="K191" s="69">
        <f t="shared" ca="1" si="42"/>
        <v>0.24778451970353346</v>
      </c>
      <c r="L191" s="69">
        <f t="shared" ca="1" si="42"/>
        <v>0.45472777870018766</v>
      </c>
      <c r="N191" s="69">
        <f t="shared" ca="1" si="30"/>
        <v>0.48134417330394519</v>
      </c>
      <c r="O191" s="69">
        <f t="shared" ca="1" si="31"/>
        <v>-1.1491661539738016</v>
      </c>
      <c r="P191" s="69">
        <f t="shared" ca="1" si="32"/>
        <v>0.23632782837563071</v>
      </c>
      <c r="Q191" s="69">
        <f t="shared" ca="1" si="33"/>
        <v>0.25313689913237891</v>
      </c>
      <c r="R191" s="69">
        <f t="shared" ca="1" si="34"/>
        <v>-4.7178774620422036E-3</v>
      </c>
      <c r="S191" s="69">
        <f t="shared" ca="1" si="35"/>
        <v>-0.7633234498456718</v>
      </c>
      <c r="T191" s="69">
        <f t="shared" ca="1" si="36"/>
        <v>-3.1810914877044967</v>
      </c>
      <c r="U191" s="69">
        <f t="shared" ca="1" si="37"/>
        <v>-0.3807235340739209</v>
      </c>
      <c r="V191" s="69">
        <f t="shared" ca="1" si="38"/>
        <v>-2.6363210949392552E-2</v>
      </c>
      <c r="W191" s="69">
        <f t="shared" ca="1" si="39"/>
        <v>0.24876587652763241</v>
      </c>
      <c r="X191" s="69">
        <f t="shared" ca="1" si="40"/>
        <v>0.48189626907462313</v>
      </c>
    </row>
    <row r="192" spans="2:24" x14ac:dyDescent="0.2">
      <c r="B192" s="69">
        <f t="shared" ca="1" si="29"/>
        <v>-0.44834331628039531</v>
      </c>
      <c r="C192" s="69">
        <f t="shared" ca="1" si="42"/>
        <v>-0.10281931283183195</v>
      </c>
      <c r="D192" s="69">
        <f t="shared" ca="1" si="42"/>
        <v>-0.5801408674425832</v>
      </c>
      <c r="E192" s="69">
        <f t="shared" ca="1" si="42"/>
        <v>1.0485220815363709</v>
      </c>
      <c r="F192" s="69">
        <f t="shared" ca="1" si="42"/>
        <v>0.10943522534046761</v>
      </c>
      <c r="G192" s="69">
        <f t="shared" ca="1" si="42"/>
        <v>0.39091662314916964</v>
      </c>
      <c r="H192" s="69">
        <f t="shared" ca="1" si="42"/>
        <v>-0.78099348015315651</v>
      </c>
      <c r="I192" s="69">
        <f t="shared" ca="1" si="42"/>
        <v>0.5370184687937567</v>
      </c>
      <c r="J192" s="69">
        <f t="shared" ca="1" si="42"/>
        <v>-0.65503189090151193</v>
      </c>
      <c r="K192" s="69">
        <f t="shared" ca="1" si="42"/>
        <v>-0.93231336275806975</v>
      </c>
      <c r="L192" s="69">
        <f t="shared" ca="1" si="42"/>
        <v>0.1626548937232542</v>
      </c>
      <c r="N192" s="69">
        <f t="shared" ca="1" si="30"/>
        <v>-0.41057527244228648</v>
      </c>
      <c r="O192" s="69">
        <f t="shared" ca="1" si="31"/>
        <v>-0.12931287591471863</v>
      </c>
      <c r="P192" s="69">
        <f t="shared" ca="1" si="32"/>
        <v>-0.63788293227967319</v>
      </c>
      <c r="Q192" s="69">
        <f t="shared" ca="1" si="33"/>
        <v>1.0976307603981299</v>
      </c>
      <c r="R192" s="69">
        <f t="shared" ca="1" si="34"/>
        <v>0.10314053993281871</v>
      </c>
      <c r="S192" s="69">
        <f t="shared" ca="1" si="35"/>
        <v>0.42374359540597811</v>
      </c>
      <c r="T192" s="69">
        <f t="shared" ca="1" si="36"/>
        <v>-0.78582451786834639</v>
      </c>
      <c r="U192" s="69">
        <f t="shared" ca="1" si="37"/>
        <v>0.56005859567146632</v>
      </c>
      <c r="V192" s="69">
        <f t="shared" ca="1" si="38"/>
        <v>-0.66114148447510923</v>
      </c>
      <c r="W192" s="69">
        <f t="shared" ca="1" si="39"/>
        <v>-0.93133200593397081</v>
      </c>
      <c r="X192" s="69">
        <f t="shared" ca="1" si="40"/>
        <v>0.18982338409768967</v>
      </c>
    </row>
    <row r="193" spans="2:24" x14ac:dyDescent="0.2">
      <c r="B193" s="69">
        <f t="shared" ca="1" si="29"/>
        <v>-0.25811431026649501</v>
      </c>
      <c r="C193" s="69">
        <f t="shared" ca="1" si="42"/>
        <v>-9.0895357057077214E-2</v>
      </c>
      <c r="D193" s="69">
        <f t="shared" ca="1" si="42"/>
        <v>-0.76590385261857363</v>
      </c>
      <c r="E193" s="69">
        <f t="shared" ca="1" si="42"/>
        <v>-0.59338491243668234</v>
      </c>
      <c r="F193" s="69">
        <f t="shared" ca="1" si="42"/>
        <v>0.45288339607343597</v>
      </c>
      <c r="G193" s="69">
        <f t="shared" ca="1" si="42"/>
        <v>-0.32310258818929527</v>
      </c>
      <c r="H193" s="69">
        <f t="shared" ca="1" si="42"/>
        <v>0.25974342312695259</v>
      </c>
      <c r="I193" s="69">
        <f t="shared" ca="1" si="42"/>
        <v>0.71575381080932665</v>
      </c>
      <c r="J193" s="69">
        <f t="shared" ca="1" si="42"/>
        <v>-0.95457936943520305</v>
      </c>
      <c r="K193" s="69">
        <f t="shared" ca="1" si="42"/>
        <v>0.2124541135277386</v>
      </c>
      <c r="L193" s="69">
        <f t="shared" ca="1" si="42"/>
        <v>2.533502433508231</v>
      </c>
      <c r="N193" s="69">
        <f t="shared" ca="1" si="30"/>
        <v>-0.22034626642838617</v>
      </c>
      <c r="O193" s="69">
        <f t="shared" ca="1" si="31"/>
        <v>-0.1173889201399639</v>
      </c>
      <c r="P193" s="69">
        <f t="shared" ca="1" si="32"/>
        <v>-0.82364591745566362</v>
      </c>
      <c r="Q193" s="69">
        <f t="shared" ca="1" si="33"/>
        <v>-0.54427623357492338</v>
      </c>
      <c r="R193" s="69">
        <f t="shared" ca="1" si="34"/>
        <v>0.44658871066578709</v>
      </c>
      <c r="S193" s="69">
        <f t="shared" ca="1" si="35"/>
        <v>-0.2902756159324868</v>
      </c>
      <c r="T193" s="69">
        <f t="shared" ca="1" si="36"/>
        <v>0.25491238541176275</v>
      </c>
      <c r="U193" s="69">
        <f t="shared" ca="1" si="37"/>
        <v>0.73879393768703627</v>
      </c>
      <c r="V193" s="69">
        <f t="shared" ca="1" si="38"/>
        <v>-0.96068896300880036</v>
      </c>
      <c r="W193" s="69">
        <f t="shared" ca="1" si="39"/>
        <v>0.21343547035183755</v>
      </c>
      <c r="X193" s="69">
        <f t="shared" ca="1" si="40"/>
        <v>2.5606709238826664</v>
      </c>
    </row>
    <row r="194" spans="2:24" x14ac:dyDescent="0.2">
      <c r="B194" s="69">
        <f t="shared" ca="1" si="29"/>
        <v>1.5645257084909423</v>
      </c>
      <c r="C194" s="69">
        <f t="shared" ca="1" si="42"/>
        <v>-0.64100107560715835</v>
      </c>
      <c r="D194" s="69">
        <f t="shared" ca="1" si="42"/>
        <v>-0.15241307818487193</v>
      </c>
      <c r="E194" s="69">
        <f t="shared" ca="1" si="42"/>
        <v>1.0487877920864999</v>
      </c>
      <c r="F194" s="69">
        <f t="shared" ca="1" si="42"/>
        <v>-0.93345962894917023</v>
      </c>
      <c r="G194" s="69">
        <f t="shared" ca="1" si="42"/>
        <v>0.18319745630329232</v>
      </c>
      <c r="H194" s="69">
        <f t="shared" ca="1" si="42"/>
        <v>-0.22029674810697597</v>
      </c>
      <c r="I194" s="69">
        <f t="shared" ca="1" si="42"/>
        <v>0.65694081777660096</v>
      </c>
      <c r="J194" s="69">
        <f t="shared" ca="1" si="42"/>
        <v>0.76761039591929892</v>
      </c>
      <c r="K194" s="69">
        <f t="shared" ca="1" si="42"/>
        <v>-1.9627069572041167</v>
      </c>
      <c r="L194" s="69">
        <f t="shared" ca="1" si="42"/>
        <v>-0.13371248960789703</v>
      </c>
      <c r="N194" s="69">
        <f t="shared" ca="1" si="30"/>
        <v>1.602293752329051</v>
      </c>
      <c r="O194" s="69">
        <f t="shared" ca="1" si="31"/>
        <v>-0.66749463869004499</v>
      </c>
      <c r="P194" s="69">
        <f t="shared" ca="1" si="32"/>
        <v>-0.21015514302196198</v>
      </c>
      <c r="Q194" s="69">
        <f t="shared" ca="1" si="33"/>
        <v>1.0978964709482588</v>
      </c>
      <c r="R194" s="69">
        <f t="shared" ca="1" si="34"/>
        <v>-0.93975431435681911</v>
      </c>
      <c r="S194" s="69">
        <f t="shared" ca="1" si="35"/>
        <v>0.21602442856010079</v>
      </c>
      <c r="T194" s="69">
        <f t="shared" ca="1" si="36"/>
        <v>-0.2251277858221658</v>
      </c>
      <c r="U194" s="69">
        <f t="shared" ca="1" si="37"/>
        <v>0.67998094465431058</v>
      </c>
      <c r="V194" s="69">
        <f t="shared" ca="1" si="38"/>
        <v>0.76150080234570161</v>
      </c>
      <c r="W194" s="69">
        <f t="shared" ca="1" si="39"/>
        <v>-1.9617256003800176</v>
      </c>
      <c r="X194" s="69">
        <f t="shared" ca="1" si="40"/>
        <v>-0.10654399923346156</v>
      </c>
    </row>
    <row r="195" spans="2:24" x14ac:dyDescent="0.2">
      <c r="B195" s="69">
        <f t="shared" ca="1" si="29"/>
        <v>0.85730315848143579</v>
      </c>
      <c r="C195" s="69">
        <f t="shared" ca="1" si="42"/>
        <v>-1.656558279459527E-2</v>
      </c>
      <c r="D195" s="69">
        <f t="shared" ca="1" si="42"/>
        <v>1.0364300456953131</v>
      </c>
      <c r="E195" s="69">
        <f t="shared" ca="1" si="42"/>
        <v>0.39763913801773487</v>
      </c>
      <c r="F195" s="69">
        <f t="shared" ca="1" si="42"/>
        <v>-1.7989729026831724</v>
      </c>
      <c r="G195" s="69">
        <f t="shared" ca="1" si="42"/>
        <v>-1.2066184057326956</v>
      </c>
      <c r="H195" s="69">
        <f t="shared" ca="1" si="42"/>
        <v>0.35368138728596255</v>
      </c>
      <c r="I195" s="69">
        <f t="shared" ca="1" si="42"/>
        <v>-0.74080617296060336</v>
      </c>
      <c r="J195" s="69">
        <f t="shared" ca="1" si="42"/>
        <v>0.13917084494990642</v>
      </c>
      <c r="K195" s="69">
        <f t="shared" ca="1" si="42"/>
        <v>-0.68004009405896892</v>
      </c>
      <c r="L195" s="69">
        <f t="shared" ca="1" si="42"/>
        <v>0.27955841586115326</v>
      </c>
      <c r="N195" s="69">
        <f t="shared" ca="1" si="30"/>
        <v>0.89507120231954462</v>
      </c>
      <c r="O195" s="69">
        <f t="shared" ca="1" si="31"/>
        <v>-4.3059145877481955E-2</v>
      </c>
      <c r="P195" s="69">
        <f t="shared" ca="1" si="32"/>
        <v>0.97868798085822306</v>
      </c>
      <c r="Q195" s="69">
        <f t="shared" ca="1" si="33"/>
        <v>0.44674781687949383</v>
      </c>
      <c r="R195" s="69">
        <f t="shared" ca="1" si="34"/>
        <v>-1.8052675880908213</v>
      </c>
      <c r="S195" s="69">
        <f t="shared" ca="1" si="35"/>
        <v>-1.1737914334758872</v>
      </c>
      <c r="T195" s="69">
        <f t="shared" ca="1" si="36"/>
        <v>0.34885034957077271</v>
      </c>
      <c r="U195" s="69">
        <f t="shared" ca="1" si="37"/>
        <v>-0.71776604608289374</v>
      </c>
      <c r="V195" s="69">
        <f t="shared" ca="1" si="38"/>
        <v>0.13306125137630909</v>
      </c>
      <c r="W195" s="69">
        <f t="shared" ca="1" si="39"/>
        <v>-0.67905873723486998</v>
      </c>
      <c r="X195" s="69">
        <f t="shared" ca="1" si="40"/>
        <v>0.30672690623558874</v>
      </c>
    </row>
    <row r="196" spans="2:24" x14ac:dyDescent="0.2">
      <c r="B196" s="69">
        <f t="shared" ca="1" si="29"/>
        <v>-0.74187171327239598</v>
      </c>
      <c r="C196" s="69">
        <f t="shared" ca="1" si="42"/>
        <v>-0.50507480457713572</v>
      </c>
      <c r="D196" s="69">
        <f t="shared" ca="1" si="42"/>
        <v>0.21044524856488089</v>
      </c>
      <c r="E196" s="69">
        <f t="shared" ca="1" si="42"/>
        <v>0.57957721728821898</v>
      </c>
      <c r="F196" s="69">
        <f t="shared" ca="1" si="42"/>
        <v>0.75444722165792055</v>
      </c>
      <c r="G196" s="69">
        <f t="shared" ca="1" si="42"/>
        <v>-1.5513243254130531</v>
      </c>
      <c r="H196" s="69">
        <f t="shared" ca="1" si="42"/>
        <v>1.2593886243962473</v>
      </c>
      <c r="I196" s="69">
        <f t="shared" ca="1" si="42"/>
        <v>1.4973875287845024</v>
      </c>
      <c r="J196" s="69">
        <f t="shared" ca="1" si="42"/>
        <v>-1.5545140413346854</v>
      </c>
      <c r="K196" s="69">
        <f t="shared" ca="1" si="42"/>
        <v>-0.31782532367066768</v>
      </c>
      <c r="L196" s="69">
        <f t="shared" ca="1" si="42"/>
        <v>-1.3503230626120213</v>
      </c>
      <c r="N196" s="69">
        <f t="shared" ca="1" si="30"/>
        <v>-0.70410366943428715</v>
      </c>
      <c r="O196" s="69">
        <f t="shared" ca="1" si="31"/>
        <v>-0.53156836766002236</v>
      </c>
      <c r="P196" s="69">
        <f t="shared" ca="1" si="32"/>
        <v>0.15270318372779085</v>
      </c>
      <c r="Q196" s="69">
        <f t="shared" ca="1" si="33"/>
        <v>0.62868589614997794</v>
      </c>
      <c r="R196" s="69">
        <f t="shared" ca="1" si="34"/>
        <v>0.74815253625027167</v>
      </c>
      <c r="S196" s="69">
        <f t="shared" ca="1" si="35"/>
        <v>-1.5184973531562447</v>
      </c>
      <c r="T196" s="69">
        <f t="shared" ca="1" si="36"/>
        <v>1.2545575866810574</v>
      </c>
      <c r="U196" s="69">
        <f t="shared" ca="1" si="37"/>
        <v>1.5204276556622121</v>
      </c>
      <c r="V196" s="69">
        <f t="shared" ca="1" si="38"/>
        <v>-1.5606236349082827</v>
      </c>
      <c r="W196" s="69">
        <f t="shared" ca="1" si="39"/>
        <v>-0.31684396684656874</v>
      </c>
      <c r="X196" s="69">
        <f t="shared" ca="1" si="40"/>
        <v>-1.3231545722375857</v>
      </c>
    </row>
    <row r="197" spans="2:24" x14ac:dyDescent="0.2">
      <c r="B197" s="69">
        <f t="shared" ca="1" si="29"/>
        <v>-0.18637466600044941</v>
      </c>
      <c r="C197" s="69">
        <f t="shared" ca="1" si="42"/>
        <v>-2.746202998096646</v>
      </c>
      <c r="D197" s="69">
        <f t="shared" ref="C197:L260" ca="1" si="43">NORMINV(RAND(),$C$7,$F$7)</f>
        <v>4.6249047219908891E-2</v>
      </c>
      <c r="E197" s="69">
        <f t="shared" ca="1" si="43"/>
        <v>-0.43197635835666337</v>
      </c>
      <c r="F197" s="69">
        <f t="shared" ca="1" si="43"/>
        <v>0.4591766567843571</v>
      </c>
      <c r="G197" s="69">
        <f t="shared" ca="1" si="43"/>
        <v>-1.059393800872024E-2</v>
      </c>
      <c r="H197" s="69">
        <f t="shared" ca="1" si="43"/>
        <v>-0.13616284348982527</v>
      </c>
      <c r="I197" s="69">
        <f t="shared" ca="1" si="43"/>
        <v>2.441939452986696E-2</v>
      </c>
      <c r="J197" s="69">
        <f t="shared" ca="1" si="43"/>
        <v>0.21170677025250309</v>
      </c>
      <c r="K197" s="69">
        <f t="shared" ca="1" si="43"/>
        <v>-0.30756097190513237</v>
      </c>
      <c r="L197" s="69">
        <f t="shared" ca="1" si="43"/>
        <v>-0.48928463747561612</v>
      </c>
      <c r="N197" s="69">
        <f t="shared" ca="1" si="30"/>
        <v>-0.14860662216234061</v>
      </c>
      <c r="O197" s="69">
        <f t="shared" ca="1" si="31"/>
        <v>-2.7726965611795329</v>
      </c>
      <c r="P197" s="69">
        <f t="shared" ca="1" si="32"/>
        <v>-1.1493017617181141E-2</v>
      </c>
      <c r="Q197" s="69">
        <f t="shared" ca="1" si="33"/>
        <v>-0.38286767949490441</v>
      </c>
      <c r="R197" s="69">
        <f t="shared" ca="1" si="34"/>
        <v>0.45288197137670821</v>
      </c>
      <c r="S197" s="69">
        <f t="shared" ca="1" si="35"/>
        <v>2.223303424808824E-2</v>
      </c>
      <c r="T197" s="69">
        <f t="shared" ca="1" si="36"/>
        <v>-0.1409938812050151</v>
      </c>
      <c r="U197" s="69">
        <f t="shared" ca="1" si="37"/>
        <v>4.7459521407576616E-2</v>
      </c>
      <c r="V197" s="69">
        <f t="shared" ca="1" si="38"/>
        <v>0.20559717667890576</v>
      </c>
      <c r="W197" s="69">
        <f t="shared" ca="1" si="39"/>
        <v>-0.30657961508103343</v>
      </c>
      <c r="X197" s="69">
        <f t="shared" ca="1" si="40"/>
        <v>-0.46211614710118065</v>
      </c>
    </row>
    <row r="198" spans="2:24" x14ac:dyDescent="0.2">
      <c r="B198" s="69">
        <f t="shared" ca="1" si="29"/>
        <v>8.4165560765809583E-2</v>
      </c>
      <c r="C198" s="69">
        <f t="shared" ca="1" si="43"/>
        <v>-0.50277140789640495</v>
      </c>
      <c r="D198" s="69">
        <f t="shared" ca="1" si="43"/>
        <v>1.7202422230614158</v>
      </c>
      <c r="E198" s="69">
        <f t="shared" ca="1" si="43"/>
        <v>0.61964436676890999</v>
      </c>
      <c r="F198" s="69">
        <f t="shared" ca="1" si="43"/>
        <v>-1.2777975751289505</v>
      </c>
      <c r="G198" s="69">
        <f t="shared" ca="1" si="43"/>
        <v>-0.17075428178733656</v>
      </c>
      <c r="H198" s="69">
        <f t="shared" ca="1" si="43"/>
        <v>-0.87622194713134094</v>
      </c>
      <c r="I198" s="69">
        <f t="shared" ca="1" si="43"/>
        <v>0.55697880585210502</v>
      </c>
      <c r="J198" s="69">
        <f t="shared" ca="1" si="43"/>
        <v>-0.92656670870540336</v>
      </c>
      <c r="K198" s="69">
        <f t="shared" ca="1" si="43"/>
        <v>-1.2914042405209585</v>
      </c>
      <c r="L198" s="69">
        <f t="shared" ca="1" si="43"/>
        <v>-0.36417482039664051</v>
      </c>
      <c r="N198" s="69">
        <f t="shared" ca="1" si="30"/>
        <v>0.1219336046039184</v>
      </c>
      <c r="O198" s="69">
        <f t="shared" ca="1" si="31"/>
        <v>-0.52926497097929159</v>
      </c>
      <c r="P198" s="69">
        <f t="shared" ca="1" si="32"/>
        <v>1.6625001582243257</v>
      </c>
      <c r="Q198" s="69">
        <f t="shared" ca="1" si="33"/>
        <v>0.66875304563066895</v>
      </c>
      <c r="R198" s="69">
        <f t="shared" ca="1" si="34"/>
        <v>-1.2840922605365994</v>
      </c>
      <c r="S198" s="69">
        <f t="shared" ca="1" si="35"/>
        <v>-0.13792730953052809</v>
      </c>
      <c r="T198" s="69">
        <f t="shared" ca="1" si="36"/>
        <v>-0.88105298484653083</v>
      </c>
      <c r="U198" s="69">
        <f t="shared" ca="1" si="37"/>
        <v>0.58001893272981464</v>
      </c>
      <c r="V198" s="69">
        <f t="shared" ca="1" si="38"/>
        <v>-0.93267630227900067</v>
      </c>
      <c r="W198" s="69">
        <f t="shared" ca="1" si="39"/>
        <v>-1.2904228836968594</v>
      </c>
      <c r="X198" s="69">
        <f t="shared" ca="1" si="40"/>
        <v>-0.33700633002220504</v>
      </c>
    </row>
    <row r="199" spans="2:24" x14ac:dyDescent="0.2">
      <c r="B199" s="69">
        <f t="shared" ca="1" si="29"/>
        <v>0.96649116934967083</v>
      </c>
      <c r="C199" s="69">
        <f t="shared" ca="1" si="43"/>
        <v>0.63077639548004283</v>
      </c>
      <c r="D199" s="69">
        <f t="shared" ca="1" si="43"/>
        <v>1.4754290377395203</v>
      </c>
      <c r="E199" s="69">
        <f t="shared" ca="1" si="43"/>
        <v>-1.5994314306951873</v>
      </c>
      <c r="F199" s="69">
        <f t="shared" ca="1" si="43"/>
        <v>9.8750265684176813E-3</v>
      </c>
      <c r="G199" s="69">
        <f t="shared" ca="1" si="43"/>
        <v>1.1249863473716393</v>
      </c>
      <c r="H199" s="69">
        <f t="shared" ca="1" si="43"/>
        <v>-1.4558012878720674</v>
      </c>
      <c r="I199" s="69">
        <f t="shared" ca="1" si="43"/>
        <v>-0.42107847180285207</v>
      </c>
      <c r="J199" s="69">
        <f t="shared" ca="1" si="43"/>
        <v>-2.2302560309978512</v>
      </c>
      <c r="K199" s="69">
        <f t="shared" ca="1" si="43"/>
        <v>-0.392098341733912</v>
      </c>
      <c r="L199" s="69">
        <f t="shared" ca="1" si="43"/>
        <v>4.6828949804701175E-2</v>
      </c>
      <c r="N199" s="69">
        <f t="shared" ca="1" si="30"/>
        <v>1.0042592131877797</v>
      </c>
      <c r="O199" s="69">
        <f t="shared" ca="1" si="31"/>
        <v>0.60428283239715619</v>
      </c>
      <c r="P199" s="69">
        <f t="shared" ca="1" si="32"/>
        <v>1.4176869729024302</v>
      </c>
      <c r="Q199" s="69">
        <f t="shared" ca="1" si="33"/>
        <v>-1.5503227518334284</v>
      </c>
      <c r="R199" s="69">
        <f t="shared" ca="1" si="34"/>
        <v>3.5803411607687853E-3</v>
      </c>
      <c r="S199" s="69">
        <f t="shared" ca="1" si="35"/>
        <v>1.1578133196284477</v>
      </c>
      <c r="T199" s="69">
        <f t="shared" ca="1" si="36"/>
        <v>-1.4606323255872573</v>
      </c>
      <c r="U199" s="69">
        <f t="shared" ca="1" si="37"/>
        <v>-0.3980383449251424</v>
      </c>
      <c r="V199" s="69">
        <f t="shared" ca="1" si="38"/>
        <v>-2.2363656245714485</v>
      </c>
      <c r="W199" s="69">
        <f t="shared" ca="1" si="39"/>
        <v>-0.39111698490981306</v>
      </c>
      <c r="X199" s="69">
        <f t="shared" ca="1" si="40"/>
        <v>7.3997440179136648E-2</v>
      </c>
    </row>
    <row r="200" spans="2:24" x14ac:dyDescent="0.2">
      <c r="B200" s="69">
        <f t="shared" ca="1" si="29"/>
        <v>-0.57820728630273655</v>
      </c>
      <c r="C200" s="69">
        <f t="shared" ca="1" si="43"/>
        <v>6.0830218658068501E-2</v>
      </c>
      <c r="D200" s="69">
        <f t="shared" ca="1" si="43"/>
        <v>0.88156204653929982</v>
      </c>
      <c r="E200" s="69">
        <f t="shared" ca="1" si="43"/>
        <v>1.2184950331703857</v>
      </c>
      <c r="F200" s="69">
        <f t="shared" ca="1" si="43"/>
        <v>1.2477290951982778</v>
      </c>
      <c r="G200" s="69">
        <f t="shared" ca="1" si="43"/>
        <v>-0.19193099433367511</v>
      </c>
      <c r="H200" s="69">
        <f t="shared" ca="1" si="43"/>
        <v>-0.7167598527409238</v>
      </c>
      <c r="I200" s="69">
        <f t="shared" ca="1" si="43"/>
        <v>0.99029742451326364</v>
      </c>
      <c r="J200" s="69">
        <f t="shared" ca="1" si="43"/>
        <v>-0.46304775872572446</v>
      </c>
      <c r="K200" s="69">
        <f t="shared" ca="1" si="43"/>
        <v>-9.7485120962305216E-2</v>
      </c>
      <c r="L200" s="69">
        <f t="shared" ca="1" si="43"/>
        <v>4.7557145878667717E-2</v>
      </c>
      <c r="N200" s="69">
        <f t="shared" ca="1" si="30"/>
        <v>-0.54043924246462771</v>
      </c>
      <c r="O200" s="69">
        <f t="shared" ca="1" si="31"/>
        <v>3.4336655575181813E-2</v>
      </c>
      <c r="P200" s="69">
        <f t="shared" ca="1" si="32"/>
        <v>0.82381998170220982</v>
      </c>
      <c r="Q200" s="69">
        <f t="shared" ca="1" si="33"/>
        <v>1.2676037120321446</v>
      </c>
      <c r="R200" s="69">
        <f t="shared" ca="1" si="34"/>
        <v>1.2414344097906289</v>
      </c>
      <c r="S200" s="69">
        <f t="shared" ca="1" si="35"/>
        <v>-0.15910402207686664</v>
      </c>
      <c r="T200" s="69">
        <f t="shared" ca="1" si="36"/>
        <v>-0.72159089045611369</v>
      </c>
      <c r="U200" s="69">
        <f t="shared" ca="1" si="37"/>
        <v>1.0133375513909733</v>
      </c>
      <c r="V200" s="69">
        <f t="shared" ca="1" si="38"/>
        <v>-0.46915735229932176</v>
      </c>
      <c r="W200" s="69">
        <f t="shared" ca="1" si="39"/>
        <v>-9.6503764138206272E-2</v>
      </c>
      <c r="X200" s="69">
        <f t="shared" ca="1" si="40"/>
        <v>7.4725636253103189E-2</v>
      </c>
    </row>
    <row r="201" spans="2:24" x14ac:dyDescent="0.2">
      <c r="B201" s="69">
        <f t="shared" ca="1" si="29"/>
        <v>0.19322466868786456</v>
      </c>
      <c r="C201" s="69">
        <f t="shared" ca="1" si="43"/>
        <v>-1.6976937422827185</v>
      </c>
      <c r="D201" s="69">
        <f t="shared" ca="1" si="43"/>
        <v>0.27133362822344892</v>
      </c>
      <c r="E201" s="69">
        <f t="shared" ca="1" si="43"/>
        <v>0.99588852390424765</v>
      </c>
      <c r="F201" s="69">
        <f t="shared" ca="1" si="43"/>
        <v>-0.92647038063725384</v>
      </c>
      <c r="G201" s="69">
        <f t="shared" ca="1" si="43"/>
        <v>-4.1869333321001333E-3</v>
      </c>
      <c r="H201" s="69">
        <f t="shared" ca="1" si="43"/>
        <v>-2.280546585567818</v>
      </c>
      <c r="I201" s="69">
        <f t="shared" ca="1" si="43"/>
        <v>0.20777873322024282</v>
      </c>
      <c r="J201" s="69">
        <f t="shared" ca="1" si="43"/>
        <v>1.0948114934496208E-2</v>
      </c>
      <c r="K201" s="69">
        <f t="shared" ca="1" si="43"/>
        <v>-6.1611350683246628E-2</v>
      </c>
      <c r="L201" s="69">
        <f t="shared" ca="1" si="43"/>
        <v>-1.452311930880904</v>
      </c>
      <c r="N201" s="69">
        <f t="shared" ca="1" si="30"/>
        <v>0.23099271252597336</v>
      </c>
      <c r="O201" s="69">
        <f t="shared" ca="1" si="31"/>
        <v>-1.7241873053656052</v>
      </c>
      <c r="P201" s="69">
        <f t="shared" ca="1" si="32"/>
        <v>0.21359156338635887</v>
      </c>
      <c r="Q201" s="69">
        <f t="shared" ca="1" si="33"/>
        <v>1.0449972027660066</v>
      </c>
      <c r="R201" s="69">
        <f t="shared" ca="1" si="34"/>
        <v>-0.93276506604490272</v>
      </c>
      <c r="S201" s="69">
        <f t="shared" ca="1" si="35"/>
        <v>2.8640038924708348E-2</v>
      </c>
      <c r="T201" s="69">
        <f t="shared" ca="1" si="36"/>
        <v>-2.2853776232830079</v>
      </c>
      <c r="U201" s="69">
        <f t="shared" ca="1" si="37"/>
        <v>0.23081886009795247</v>
      </c>
      <c r="V201" s="69">
        <f t="shared" ca="1" si="38"/>
        <v>4.8385213608988778E-3</v>
      </c>
      <c r="W201" s="69">
        <f t="shared" ca="1" si="39"/>
        <v>-6.0629993859147677E-2</v>
      </c>
      <c r="X201" s="69">
        <f t="shared" ca="1" si="40"/>
        <v>-1.4251434405064685</v>
      </c>
    </row>
    <row r="202" spans="2:24" x14ac:dyDescent="0.2">
      <c r="B202" s="69">
        <f t="shared" ref="B202:B265" ca="1" si="44">NORMINV(RAND(),$C$7,$F$7)</f>
        <v>-1.0953751521373545</v>
      </c>
      <c r="C202" s="69">
        <f t="shared" ca="1" si="43"/>
        <v>0.88526068788065704</v>
      </c>
      <c r="D202" s="69">
        <f t="shared" ca="1" si="43"/>
        <v>0.35288551640949306</v>
      </c>
      <c r="E202" s="69">
        <f t="shared" ca="1" si="43"/>
        <v>-0.10437498067469538</v>
      </c>
      <c r="F202" s="69">
        <f t="shared" ca="1" si="43"/>
        <v>-1.5002539961863059</v>
      </c>
      <c r="G202" s="69">
        <f t="shared" ca="1" si="43"/>
        <v>-0.62767026279209692</v>
      </c>
      <c r="H202" s="69">
        <f t="shared" ca="1" si="43"/>
        <v>-0.9157281244874943</v>
      </c>
      <c r="I202" s="69">
        <f t="shared" ca="1" si="43"/>
        <v>-0.86093144263740529</v>
      </c>
      <c r="J202" s="69">
        <f t="shared" ca="1" si="43"/>
        <v>9.9039848866999292E-2</v>
      </c>
      <c r="K202" s="69">
        <f t="shared" ca="1" si="43"/>
        <v>-1.7197246509366453</v>
      </c>
      <c r="L202" s="69">
        <f t="shared" ca="1" si="43"/>
        <v>0.80265508651505602</v>
      </c>
      <c r="N202" s="69">
        <f t="shared" ref="N202:N265" ca="1" si="45">B202-$B$1010</f>
        <v>-1.0576071082992458</v>
      </c>
      <c r="O202" s="69">
        <f t="shared" ref="O202:O265" ca="1" si="46">C202-$C$1010</f>
        <v>0.8587671247977704</v>
      </c>
      <c r="P202" s="69">
        <f t="shared" ref="P202:P265" ca="1" si="47">D202-$D$1010</f>
        <v>0.29514345157240301</v>
      </c>
      <c r="Q202" s="69">
        <f t="shared" ref="Q202:Q265" ca="1" si="48">E202-$E$1010</f>
        <v>-5.526630181293643E-2</v>
      </c>
      <c r="R202" s="69">
        <f t="shared" ref="R202:R265" ca="1" si="49">F202-$F$1010</f>
        <v>-1.5065486815939548</v>
      </c>
      <c r="S202" s="69">
        <f t="shared" ref="S202:S265" ca="1" si="50">G202-$G$1010</f>
        <v>-0.59484329053528839</v>
      </c>
      <c r="T202" s="69">
        <f t="shared" ref="T202:T265" ca="1" si="51">H202-$H$1010</f>
        <v>-0.92055916220268419</v>
      </c>
      <c r="U202" s="69">
        <f t="shared" ref="U202:U265" ca="1" si="52">I202-$I$1010</f>
        <v>-0.83789131575969567</v>
      </c>
      <c r="V202" s="69">
        <f t="shared" ref="V202:V265" ca="1" si="53">J202-$J$1010</f>
        <v>9.2930255293401959E-2</v>
      </c>
      <c r="W202" s="69">
        <f t="shared" ref="W202:W265" ca="1" si="54">K202-$K$1010</f>
        <v>-1.7187432941125462</v>
      </c>
      <c r="X202" s="69">
        <f t="shared" ref="X202:X265" ca="1" si="55">L202-$L$1010</f>
        <v>0.82982357688949149</v>
      </c>
    </row>
    <row r="203" spans="2:24" x14ac:dyDescent="0.2">
      <c r="B203" s="69">
        <f t="shared" ca="1" si="44"/>
        <v>1.0481917939066094</v>
      </c>
      <c r="C203" s="69">
        <f t="shared" ca="1" si="43"/>
        <v>-0.87906028196158548</v>
      </c>
      <c r="D203" s="69">
        <f t="shared" ca="1" si="43"/>
        <v>0.31459532477907637</v>
      </c>
      <c r="E203" s="69">
        <f t="shared" ca="1" si="43"/>
        <v>1.388795417638369</v>
      </c>
      <c r="F203" s="69">
        <f t="shared" ca="1" si="43"/>
        <v>0.92308222820708485</v>
      </c>
      <c r="G203" s="69">
        <f t="shared" ca="1" si="43"/>
        <v>0.18233283251987498</v>
      </c>
      <c r="H203" s="69">
        <f t="shared" ca="1" si="43"/>
        <v>0.47316054692647985</v>
      </c>
      <c r="I203" s="69">
        <f t="shared" ca="1" si="43"/>
        <v>0.90198237913749901</v>
      </c>
      <c r="J203" s="69">
        <f t="shared" ca="1" si="43"/>
        <v>-0.25777911886999472</v>
      </c>
      <c r="K203" s="69">
        <f t="shared" ca="1" si="43"/>
        <v>-0.30620722578698595</v>
      </c>
      <c r="L203" s="69">
        <f t="shared" ca="1" si="43"/>
        <v>-1.7428784159360644</v>
      </c>
      <c r="N203" s="69">
        <f t="shared" ca="1" si="45"/>
        <v>1.0859598377447182</v>
      </c>
      <c r="O203" s="69">
        <f t="shared" ca="1" si="46"/>
        <v>-0.90555384504447212</v>
      </c>
      <c r="P203" s="69">
        <f t="shared" ca="1" si="47"/>
        <v>0.25685325994198632</v>
      </c>
      <c r="Q203" s="69">
        <f t="shared" ca="1" si="48"/>
        <v>1.437904096500128</v>
      </c>
      <c r="R203" s="69">
        <f t="shared" ca="1" si="49"/>
        <v>0.91678754279943597</v>
      </c>
      <c r="S203" s="69">
        <f t="shared" ca="1" si="50"/>
        <v>0.21515980477668345</v>
      </c>
      <c r="T203" s="69">
        <f t="shared" ca="1" si="51"/>
        <v>0.46832950921129002</v>
      </c>
      <c r="U203" s="69">
        <f t="shared" ca="1" si="52"/>
        <v>0.92502250601520863</v>
      </c>
      <c r="V203" s="69">
        <f t="shared" ca="1" si="53"/>
        <v>-0.26388871244359202</v>
      </c>
      <c r="W203" s="69">
        <f t="shared" ca="1" si="54"/>
        <v>-0.305225868962887</v>
      </c>
      <c r="X203" s="69">
        <f t="shared" ca="1" si="55"/>
        <v>-1.7157099255616288</v>
      </c>
    </row>
    <row r="204" spans="2:24" x14ac:dyDescent="0.2">
      <c r="B204" s="69">
        <f t="shared" ca="1" si="44"/>
        <v>0.18598307607986581</v>
      </c>
      <c r="C204" s="69">
        <f t="shared" ca="1" si="43"/>
        <v>0.60315351775549897</v>
      </c>
      <c r="D204" s="69">
        <f t="shared" ca="1" si="43"/>
        <v>-1.2363460618963074</v>
      </c>
      <c r="E204" s="69">
        <f t="shared" ca="1" si="43"/>
        <v>-0.14788540663815333</v>
      </c>
      <c r="F204" s="69">
        <f t="shared" ca="1" si="43"/>
        <v>-0.80318854973176668</v>
      </c>
      <c r="G204" s="69">
        <f t="shared" ca="1" si="43"/>
        <v>-1.3841411527342133</v>
      </c>
      <c r="H204" s="69">
        <f t="shared" ca="1" si="43"/>
        <v>-0.10758027634576846</v>
      </c>
      <c r="I204" s="69">
        <f t="shared" ca="1" si="43"/>
        <v>1.9928359927334115E-2</v>
      </c>
      <c r="J204" s="69">
        <f t="shared" ca="1" si="43"/>
        <v>0.21614465905759037</v>
      </c>
      <c r="K204" s="69">
        <f t="shared" ca="1" si="43"/>
        <v>1.0814544986804668</v>
      </c>
      <c r="L204" s="69">
        <f t="shared" ca="1" si="43"/>
        <v>1.0643886156240336</v>
      </c>
      <c r="N204" s="69">
        <f t="shared" ca="1" si="45"/>
        <v>0.22375111991797464</v>
      </c>
      <c r="O204" s="69">
        <f t="shared" ca="1" si="46"/>
        <v>0.57665995467261233</v>
      </c>
      <c r="P204" s="69">
        <f t="shared" ca="1" si="47"/>
        <v>-1.2940881267333975</v>
      </c>
      <c r="Q204" s="69">
        <f t="shared" ca="1" si="48"/>
        <v>-9.8776727776394388E-2</v>
      </c>
      <c r="R204" s="69">
        <f t="shared" ca="1" si="49"/>
        <v>-0.80948323513941556</v>
      </c>
      <c r="S204" s="69">
        <f t="shared" ca="1" si="50"/>
        <v>-1.3513141804774049</v>
      </c>
      <c r="T204" s="69">
        <f t="shared" ca="1" si="51"/>
        <v>-0.11241131406095831</v>
      </c>
      <c r="U204" s="69">
        <f t="shared" ca="1" si="52"/>
        <v>4.2968486805043768E-2</v>
      </c>
      <c r="V204" s="69">
        <f t="shared" ca="1" si="53"/>
        <v>0.21003506548399303</v>
      </c>
      <c r="W204" s="69">
        <f t="shared" ca="1" si="54"/>
        <v>1.0824358555045659</v>
      </c>
      <c r="X204" s="69">
        <f t="shared" ca="1" si="55"/>
        <v>1.0915571059984692</v>
      </c>
    </row>
    <row r="205" spans="2:24" x14ac:dyDescent="0.2">
      <c r="B205" s="69">
        <f t="shared" ca="1" si="44"/>
        <v>-0.21831435026496335</v>
      </c>
      <c r="C205" s="69">
        <f t="shared" ca="1" si="43"/>
        <v>-0.42285862848837386</v>
      </c>
      <c r="D205" s="69">
        <f t="shared" ca="1" si="43"/>
        <v>-0.25927306445724124</v>
      </c>
      <c r="E205" s="69">
        <f t="shared" ca="1" si="43"/>
        <v>0.65383554879930628</v>
      </c>
      <c r="F205" s="69">
        <f t="shared" ca="1" si="43"/>
        <v>0.86675559077012765</v>
      </c>
      <c r="G205" s="69">
        <f t="shared" ca="1" si="43"/>
        <v>-1.3721357342334506</v>
      </c>
      <c r="H205" s="69">
        <f t="shared" ca="1" si="43"/>
        <v>3.0632977818297259E-2</v>
      </c>
      <c r="I205" s="69">
        <f t="shared" ca="1" si="43"/>
        <v>2.8150712336468633</v>
      </c>
      <c r="J205" s="69">
        <f t="shared" ca="1" si="43"/>
        <v>-1.0909990751117584</v>
      </c>
      <c r="K205" s="69">
        <f t="shared" ca="1" si="43"/>
        <v>-0.23085860404926148</v>
      </c>
      <c r="L205" s="69">
        <f t="shared" ca="1" si="43"/>
        <v>-0.61315209647205293</v>
      </c>
      <c r="N205" s="69">
        <f t="shared" ca="1" si="45"/>
        <v>-0.18054630642685454</v>
      </c>
      <c r="O205" s="69">
        <f t="shared" ca="1" si="46"/>
        <v>-0.44935219157126055</v>
      </c>
      <c r="P205" s="69">
        <f t="shared" ca="1" si="47"/>
        <v>-0.31701512929433129</v>
      </c>
      <c r="Q205" s="69">
        <f t="shared" ca="1" si="48"/>
        <v>0.70294422766106524</v>
      </c>
      <c r="R205" s="69">
        <f t="shared" ca="1" si="49"/>
        <v>0.86046090536247877</v>
      </c>
      <c r="S205" s="69">
        <f t="shared" ca="1" si="50"/>
        <v>-1.3393087619766422</v>
      </c>
      <c r="T205" s="69">
        <f t="shared" ca="1" si="51"/>
        <v>2.5801940103107414E-2</v>
      </c>
      <c r="U205" s="69">
        <f t="shared" ca="1" si="52"/>
        <v>2.8381113605245729</v>
      </c>
      <c r="V205" s="69">
        <f t="shared" ca="1" si="53"/>
        <v>-1.0971086686853557</v>
      </c>
      <c r="W205" s="69">
        <f t="shared" ca="1" si="54"/>
        <v>-0.22987724722516253</v>
      </c>
      <c r="X205" s="69">
        <f t="shared" ca="1" si="55"/>
        <v>-0.58598360609761746</v>
      </c>
    </row>
    <row r="206" spans="2:24" x14ac:dyDescent="0.2">
      <c r="B206" s="69">
        <f t="shared" ca="1" si="44"/>
        <v>1.1906470284630395</v>
      </c>
      <c r="C206" s="69">
        <f t="shared" ca="1" si="43"/>
        <v>0.10141361885385328</v>
      </c>
      <c r="D206" s="69">
        <f t="shared" ca="1" si="43"/>
        <v>-0.31669920977130306</v>
      </c>
      <c r="E206" s="69">
        <f t="shared" ca="1" si="43"/>
        <v>1.3004310445167688</v>
      </c>
      <c r="F206" s="69">
        <f t="shared" ca="1" si="43"/>
        <v>-0.28722720474012609</v>
      </c>
      <c r="G206" s="69">
        <f t="shared" ca="1" si="43"/>
        <v>8.5674341507720769E-2</v>
      </c>
      <c r="H206" s="69">
        <f t="shared" ca="1" si="43"/>
        <v>-0.73924279227451473</v>
      </c>
      <c r="I206" s="69">
        <f t="shared" ca="1" si="43"/>
        <v>-2.3757126992951312</v>
      </c>
      <c r="J206" s="69">
        <f t="shared" ca="1" si="43"/>
        <v>0.8357821743768985</v>
      </c>
      <c r="K206" s="69">
        <f t="shared" ca="1" si="43"/>
        <v>0.39319135427929292</v>
      </c>
      <c r="L206" s="69">
        <f t="shared" ca="1" si="43"/>
        <v>-0.31745732801255921</v>
      </c>
      <c r="N206" s="69">
        <f t="shared" ca="1" si="45"/>
        <v>1.2284150723011482</v>
      </c>
      <c r="O206" s="69">
        <f t="shared" ca="1" si="46"/>
        <v>7.4920055770966595E-2</v>
      </c>
      <c r="P206" s="69">
        <f t="shared" ca="1" si="47"/>
        <v>-0.3744412746083931</v>
      </c>
      <c r="Q206" s="69">
        <f t="shared" ca="1" si="48"/>
        <v>1.3495397233785278</v>
      </c>
      <c r="R206" s="69">
        <f t="shared" ca="1" si="49"/>
        <v>-0.29352189014777497</v>
      </c>
      <c r="S206" s="69">
        <f t="shared" ca="1" si="50"/>
        <v>0.11850131376452924</v>
      </c>
      <c r="T206" s="69">
        <f t="shared" ca="1" si="51"/>
        <v>-0.74407382998970462</v>
      </c>
      <c r="U206" s="69">
        <f t="shared" ca="1" si="52"/>
        <v>-2.3526725724174216</v>
      </c>
      <c r="V206" s="69">
        <f t="shared" ca="1" si="53"/>
        <v>0.8296725808033012</v>
      </c>
      <c r="W206" s="69">
        <f t="shared" ca="1" si="54"/>
        <v>0.39417271110339186</v>
      </c>
      <c r="X206" s="69">
        <f t="shared" ca="1" si="55"/>
        <v>-0.29028883763812374</v>
      </c>
    </row>
    <row r="207" spans="2:24" x14ac:dyDescent="0.2">
      <c r="B207" s="69">
        <f t="shared" ca="1" si="44"/>
        <v>-1.3803955745981431</v>
      </c>
      <c r="C207" s="69">
        <f t="shared" ca="1" si="43"/>
        <v>-0.24568249566645198</v>
      </c>
      <c r="D207" s="69">
        <f t="shared" ca="1" si="43"/>
        <v>-1.0304001292095553</v>
      </c>
      <c r="E207" s="69">
        <f t="shared" ca="1" si="43"/>
        <v>-0.88513887727517804</v>
      </c>
      <c r="F207" s="69">
        <f t="shared" ca="1" si="43"/>
        <v>-0.51623525967532802</v>
      </c>
      <c r="G207" s="69">
        <f t="shared" ca="1" si="43"/>
        <v>-0.46761061855955477</v>
      </c>
      <c r="H207" s="69">
        <f t="shared" ca="1" si="43"/>
        <v>-0.13706884221856169</v>
      </c>
      <c r="I207" s="69">
        <f t="shared" ca="1" si="43"/>
        <v>0.54123918392368842</v>
      </c>
      <c r="J207" s="69">
        <f t="shared" ca="1" si="43"/>
        <v>0.77183340931751143</v>
      </c>
      <c r="K207" s="69">
        <f t="shared" ca="1" si="43"/>
        <v>0.20422450137989279</v>
      </c>
      <c r="L207" s="69">
        <f t="shared" ca="1" si="43"/>
        <v>0.37514389000775517</v>
      </c>
      <c r="N207" s="69">
        <f t="shared" ca="1" si="45"/>
        <v>-1.3426275307600344</v>
      </c>
      <c r="O207" s="69">
        <f t="shared" ca="1" si="46"/>
        <v>-0.27217605874933865</v>
      </c>
      <c r="P207" s="69">
        <f t="shared" ca="1" si="47"/>
        <v>-1.0881421940466454</v>
      </c>
      <c r="Q207" s="69">
        <f t="shared" ca="1" si="48"/>
        <v>-0.83603019841341908</v>
      </c>
      <c r="R207" s="69">
        <f t="shared" ca="1" si="49"/>
        <v>-0.5225299450829769</v>
      </c>
      <c r="S207" s="69">
        <f t="shared" ca="1" si="50"/>
        <v>-0.4347836463027463</v>
      </c>
      <c r="T207" s="69">
        <f t="shared" ca="1" si="51"/>
        <v>-0.14189987993375153</v>
      </c>
      <c r="U207" s="69">
        <f t="shared" ca="1" si="52"/>
        <v>0.56427931080139804</v>
      </c>
      <c r="V207" s="69">
        <f t="shared" ca="1" si="53"/>
        <v>0.76572381574391413</v>
      </c>
      <c r="W207" s="69">
        <f t="shared" ca="1" si="54"/>
        <v>0.20520585820399173</v>
      </c>
      <c r="X207" s="69">
        <f t="shared" ca="1" si="55"/>
        <v>0.40231238038219064</v>
      </c>
    </row>
    <row r="208" spans="2:24" x14ac:dyDescent="0.2">
      <c r="B208" s="69">
        <f t="shared" ca="1" si="44"/>
        <v>-0.52395006214623119</v>
      </c>
      <c r="C208" s="69">
        <f t="shared" ca="1" si="43"/>
        <v>-1.3581376150327105</v>
      </c>
      <c r="D208" s="69">
        <f t="shared" ca="1" si="43"/>
        <v>0.67720976332495253</v>
      </c>
      <c r="E208" s="69">
        <f t="shared" ca="1" si="43"/>
        <v>-0.21606269253444677</v>
      </c>
      <c r="F208" s="69">
        <f t="shared" ca="1" si="43"/>
        <v>0.17062004702741779</v>
      </c>
      <c r="G208" s="69">
        <f t="shared" ca="1" si="43"/>
        <v>-1.6102467096813142</v>
      </c>
      <c r="H208" s="69">
        <f t="shared" ca="1" si="43"/>
        <v>0.89894137661263451</v>
      </c>
      <c r="I208" s="69">
        <f t="shared" ca="1" si="43"/>
        <v>-0.17296771274520845</v>
      </c>
      <c r="J208" s="69">
        <f t="shared" ca="1" si="43"/>
        <v>-9.9900637663763114E-2</v>
      </c>
      <c r="K208" s="69">
        <f t="shared" ca="1" si="43"/>
        <v>2.21069216597642</v>
      </c>
      <c r="L208" s="69">
        <f t="shared" ca="1" si="43"/>
        <v>-8.424917042963101E-2</v>
      </c>
      <c r="N208" s="69">
        <f t="shared" ca="1" si="45"/>
        <v>-0.48618201830812235</v>
      </c>
      <c r="O208" s="69">
        <f t="shared" ca="1" si="46"/>
        <v>-1.3846311781155971</v>
      </c>
      <c r="P208" s="69">
        <f t="shared" ca="1" si="47"/>
        <v>0.61946769848786254</v>
      </c>
      <c r="Q208" s="69">
        <f t="shared" ca="1" si="48"/>
        <v>-0.16695401367268781</v>
      </c>
      <c r="R208" s="69">
        <f t="shared" ca="1" si="49"/>
        <v>0.16432536161976888</v>
      </c>
      <c r="S208" s="69">
        <f t="shared" ca="1" si="50"/>
        <v>-1.5774197374245058</v>
      </c>
      <c r="T208" s="69">
        <f t="shared" ca="1" si="51"/>
        <v>0.89411033889744462</v>
      </c>
      <c r="U208" s="69">
        <f t="shared" ca="1" si="52"/>
        <v>-0.1499275858674988</v>
      </c>
      <c r="V208" s="69">
        <f t="shared" ca="1" si="53"/>
        <v>-0.10601023123736045</v>
      </c>
      <c r="W208" s="69">
        <f t="shared" ca="1" si="54"/>
        <v>2.2116735228005191</v>
      </c>
      <c r="X208" s="69">
        <f t="shared" ca="1" si="55"/>
        <v>-5.708068005519553E-2</v>
      </c>
    </row>
    <row r="209" spans="2:24" x14ac:dyDescent="0.2">
      <c r="B209" s="69">
        <f t="shared" ca="1" si="44"/>
        <v>-1.0231032313370232</v>
      </c>
      <c r="C209" s="69">
        <f t="shared" ca="1" si="43"/>
        <v>-0.99423452266344137</v>
      </c>
      <c r="D209" s="69">
        <f t="shared" ca="1" si="43"/>
        <v>-0.53004624438563741</v>
      </c>
      <c r="E209" s="69">
        <f t="shared" ca="1" si="43"/>
        <v>1.9284517516551325</v>
      </c>
      <c r="F209" s="69">
        <f t="shared" ca="1" si="43"/>
        <v>0.56684865996598222</v>
      </c>
      <c r="G209" s="69">
        <f t="shared" ca="1" si="43"/>
        <v>1.155216867009939</v>
      </c>
      <c r="H209" s="69">
        <f t="shared" ca="1" si="43"/>
        <v>1.0041317747413232</v>
      </c>
      <c r="I209" s="69">
        <f t="shared" ca="1" si="43"/>
        <v>-1.1876423057182801</v>
      </c>
      <c r="J209" s="69">
        <f t="shared" ca="1" si="43"/>
        <v>-0.71321858578406971</v>
      </c>
      <c r="K209" s="69">
        <f t="shared" ca="1" si="43"/>
        <v>-0.48527996285097008</v>
      </c>
      <c r="L209" s="69">
        <f t="shared" ca="1" si="43"/>
        <v>-0.73580845806484574</v>
      </c>
      <c r="N209" s="69">
        <f t="shared" ca="1" si="45"/>
        <v>-0.98533518749891436</v>
      </c>
      <c r="O209" s="69">
        <f t="shared" ca="1" si="46"/>
        <v>-1.0207280857463281</v>
      </c>
      <c r="P209" s="69">
        <f t="shared" ca="1" si="47"/>
        <v>-0.5877883092227274</v>
      </c>
      <c r="Q209" s="69">
        <f t="shared" ca="1" si="48"/>
        <v>1.9775604305168915</v>
      </c>
      <c r="R209" s="69">
        <f t="shared" ca="1" si="49"/>
        <v>0.56055397455833333</v>
      </c>
      <c r="S209" s="69">
        <f t="shared" ca="1" si="50"/>
        <v>1.1880438392667474</v>
      </c>
      <c r="T209" s="69">
        <f t="shared" ca="1" si="51"/>
        <v>0.99930073702613331</v>
      </c>
      <c r="U209" s="69">
        <f t="shared" ca="1" si="52"/>
        <v>-1.1646021788405705</v>
      </c>
      <c r="V209" s="69">
        <f t="shared" ca="1" si="53"/>
        <v>-0.71932817935766702</v>
      </c>
      <c r="W209" s="69">
        <f t="shared" ca="1" si="54"/>
        <v>-0.48429860602687114</v>
      </c>
      <c r="X209" s="69">
        <f t="shared" ca="1" si="55"/>
        <v>-0.70863996769041027</v>
      </c>
    </row>
    <row r="210" spans="2:24" x14ac:dyDescent="0.2">
      <c r="B210" s="69">
        <f t="shared" ca="1" si="44"/>
        <v>1.3377683547166632</v>
      </c>
      <c r="C210" s="69">
        <f t="shared" ca="1" si="43"/>
        <v>-0.35571805261261019</v>
      </c>
      <c r="D210" s="69">
        <f t="shared" ca="1" si="43"/>
        <v>-7.2349318552340017E-2</v>
      </c>
      <c r="E210" s="69">
        <f t="shared" ca="1" si="43"/>
        <v>-1.5700095774344129</v>
      </c>
      <c r="F210" s="69">
        <f t="shared" ca="1" si="43"/>
        <v>-1.0043333384068929</v>
      </c>
      <c r="G210" s="69">
        <f t="shared" ca="1" si="43"/>
        <v>-1.228776737492189</v>
      </c>
      <c r="H210" s="69">
        <f t="shared" ca="1" si="43"/>
        <v>3.8118437657733657E-2</v>
      </c>
      <c r="I210" s="69">
        <f t="shared" ca="1" si="43"/>
        <v>0.29759336140619458</v>
      </c>
      <c r="J210" s="69">
        <f t="shared" ca="1" si="43"/>
        <v>0.22616804012911629</v>
      </c>
      <c r="K210" s="69">
        <f t="shared" ca="1" si="43"/>
        <v>1.6313572099296643</v>
      </c>
      <c r="L210" s="69">
        <f t="shared" ca="1" si="43"/>
        <v>-0.28103484391304862</v>
      </c>
      <c r="N210" s="69">
        <f t="shared" ca="1" si="45"/>
        <v>1.3755363985547719</v>
      </c>
      <c r="O210" s="69">
        <f t="shared" ca="1" si="46"/>
        <v>-0.38221161569549689</v>
      </c>
      <c r="P210" s="69">
        <f t="shared" ca="1" si="47"/>
        <v>-0.13009138338943005</v>
      </c>
      <c r="Q210" s="69">
        <f t="shared" ca="1" si="48"/>
        <v>-1.520900898572654</v>
      </c>
      <c r="R210" s="69">
        <f t="shared" ca="1" si="49"/>
        <v>-1.0106280238145418</v>
      </c>
      <c r="S210" s="69">
        <f t="shared" ca="1" si="50"/>
        <v>-1.1959497652353805</v>
      </c>
      <c r="T210" s="69">
        <f t="shared" ca="1" si="51"/>
        <v>3.3287399942543809E-2</v>
      </c>
      <c r="U210" s="69">
        <f t="shared" ca="1" si="52"/>
        <v>0.32063348828390426</v>
      </c>
      <c r="V210" s="69">
        <f t="shared" ca="1" si="53"/>
        <v>0.22005844655551896</v>
      </c>
      <c r="W210" s="69">
        <f t="shared" ca="1" si="54"/>
        <v>1.6323385667537633</v>
      </c>
      <c r="X210" s="69">
        <f t="shared" ca="1" si="55"/>
        <v>-0.25386635353861314</v>
      </c>
    </row>
    <row r="211" spans="2:24" x14ac:dyDescent="0.2">
      <c r="B211" s="69">
        <f t="shared" ca="1" si="44"/>
        <v>-0.93422257438875345</v>
      </c>
      <c r="C211" s="69">
        <f t="shared" ca="1" si="43"/>
        <v>1.7390133012332223</v>
      </c>
      <c r="D211" s="69">
        <f t="shared" ca="1" si="43"/>
        <v>0.50169751830649301</v>
      </c>
      <c r="E211" s="69">
        <f t="shared" ca="1" si="43"/>
        <v>-0.35933805404784597</v>
      </c>
      <c r="F211" s="69">
        <f t="shared" ca="1" si="43"/>
        <v>-0.24425806586004956</v>
      </c>
      <c r="G211" s="69">
        <f t="shared" ca="1" si="43"/>
        <v>1.2389498987599379</v>
      </c>
      <c r="H211" s="69">
        <f t="shared" ca="1" si="43"/>
        <v>-1.5092913316953507</v>
      </c>
      <c r="I211" s="69">
        <f t="shared" ca="1" si="43"/>
        <v>-0.84909095258319278</v>
      </c>
      <c r="J211" s="69">
        <f t="shared" ca="1" si="43"/>
        <v>0.60065306457773249</v>
      </c>
      <c r="K211" s="69">
        <f t="shared" ca="1" si="43"/>
        <v>-0.5389242352579855</v>
      </c>
      <c r="L211" s="69">
        <f t="shared" ca="1" si="43"/>
        <v>1.6974815631594764</v>
      </c>
      <c r="N211" s="69">
        <f t="shared" ca="1" si="45"/>
        <v>-0.89645453055064461</v>
      </c>
      <c r="O211" s="69">
        <f t="shared" ca="1" si="46"/>
        <v>1.7125197381503356</v>
      </c>
      <c r="P211" s="69">
        <f t="shared" ca="1" si="47"/>
        <v>0.44395545346940296</v>
      </c>
      <c r="Q211" s="69">
        <f t="shared" ca="1" si="48"/>
        <v>-0.31022937518608701</v>
      </c>
      <c r="R211" s="69">
        <f t="shared" ca="1" si="49"/>
        <v>-0.25055275126769844</v>
      </c>
      <c r="S211" s="69">
        <f t="shared" ca="1" si="50"/>
        <v>1.2717768710167463</v>
      </c>
      <c r="T211" s="69">
        <f t="shared" ca="1" si="51"/>
        <v>-1.5141223694105406</v>
      </c>
      <c r="U211" s="69">
        <f t="shared" ca="1" si="52"/>
        <v>-0.82605082570548316</v>
      </c>
      <c r="V211" s="69">
        <f t="shared" ca="1" si="53"/>
        <v>0.59454347100413518</v>
      </c>
      <c r="W211" s="69">
        <f t="shared" ca="1" si="54"/>
        <v>-0.53794287843388655</v>
      </c>
      <c r="X211" s="69">
        <f t="shared" ca="1" si="55"/>
        <v>1.724650053533912</v>
      </c>
    </row>
    <row r="212" spans="2:24" x14ac:dyDescent="0.2">
      <c r="B212" s="69">
        <f t="shared" ca="1" si="44"/>
        <v>1.2182766811308643</v>
      </c>
      <c r="C212" s="69">
        <f t="shared" ca="1" si="43"/>
        <v>0.38882249647745148</v>
      </c>
      <c r="D212" s="69">
        <f t="shared" ca="1" si="43"/>
        <v>-1.0130102549679501</v>
      </c>
      <c r="E212" s="69">
        <f t="shared" ca="1" si="43"/>
        <v>0.65170398861904633</v>
      </c>
      <c r="F212" s="69">
        <f t="shared" ca="1" si="43"/>
        <v>0.14833597225909584</v>
      </c>
      <c r="G212" s="69">
        <f t="shared" ca="1" si="43"/>
        <v>1.4880637395167913</v>
      </c>
      <c r="H212" s="69">
        <f t="shared" ca="1" si="43"/>
        <v>0.3815045977481491</v>
      </c>
      <c r="I212" s="69">
        <f t="shared" ca="1" si="43"/>
        <v>0.6330966234612605</v>
      </c>
      <c r="J212" s="69">
        <f t="shared" ca="1" si="43"/>
        <v>-0.40640458369529181</v>
      </c>
      <c r="K212" s="69">
        <f t="shared" ca="1" si="43"/>
        <v>0.28689423919261353</v>
      </c>
      <c r="L212" s="69">
        <f t="shared" ca="1" si="43"/>
        <v>0.72263706137178385</v>
      </c>
      <c r="N212" s="69">
        <f t="shared" ca="1" si="45"/>
        <v>1.256044724968973</v>
      </c>
      <c r="O212" s="69">
        <f t="shared" ca="1" si="46"/>
        <v>0.36232893339456479</v>
      </c>
      <c r="P212" s="69">
        <f t="shared" ca="1" si="47"/>
        <v>-1.0707523198050402</v>
      </c>
      <c r="Q212" s="69">
        <f t="shared" ca="1" si="48"/>
        <v>0.70081266748080528</v>
      </c>
      <c r="R212" s="69">
        <f t="shared" ca="1" si="49"/>
        <v>0.14204128685144693</v>
      </c>
      <c r="S212" s="69">
        <f t="shared" ca="1" si="50"/>
        <v>1.5208907117735997</v>
      </c>
      <c r="T212" s="69">
        <f t="shared" ca="1" si="51"/>
        <v>0.37667356003295926</v>
      </c>
      <c r="U212" s="69">
        <f t="shared" ca="1" si="52"/>
        <v>0.65613675033897012</v>
      </c>
      <c r="V212" s="69">
        <f t="shared" ca="1" si="53"/>
        <v>-0.41251417726888912</v>
      </c>
      <c r="W212" s="69">
        <f t="shared" ca="1" si="54"/>
        <v>0.28787559601671248</v>
      </c>
      <c r="X212" s="69">
        <f t="shared" ca="1" si="55"/>
        <v>0.74980555174621932</v>
      </c>
    </row>
    <row r="213" spans="2:24" x14ac:dyDescent="0.2">
      <c r="B213" s="69">
        <f t="shared" ca="1" si="44"/>
        <v>1.1750519359920446</v>
      </c>
      <c r="C213" s="69">
        <f t="shared" ca="1" si="43"/>
        <v>-0.98671178844089702</v>
      </c>
      <c r="D213" s="69">
        <f t="shared" ca="1" si="43"/>
        <v>-1.6994779666843254</v>
      </c>
      <c r="E213" s="69">
        <f t="shared" ca="1" si="43"/>
        <v>1.7995113946217534</v>
      </c>
      <c r="F213" s="69">
        <f t="shared" ca="1" si="43"/>
        <v>0.85000901208907442</v>
      </c>
      <c r="G213" s="69">
        <f t="shared" ca="1" si="43"/>
        <v>-1.0561370620368926</v>
      </c>
      <c r="H213" s="69">
        <f t="shared" ca="1" si="43"/>
        <v>0.63280888096553578</v>
      </c>
      <c r="I213" s="69">
        <f t="shared" ca="1" si="43"/>
        <v>5.3778274696062611E-2</v>
      </c>
      <c r="J213" s="69">
        <f t="shared" ca="1" si="43"/>
        <v>1.0401830528965379</v>
      </c>
      <c r="K213" s="69">
        <f t="shared" ca="1" si="43"/>
        <v>0.30000044615811111</v>
      </c>
      <c r="L213" s="69">
        <f t="shared" ca="1" si="43"/>
        <v>0.47396641904295705</v>
      </c>
      <c r="N213" s="69">
        <f t="shared" ca="1" si="45"/>
        <v>1.2128199798301533</v>
      </c>
      <c r="O213" s="69">
        <f t="shared" ca="1" si="46"/>
        <v>-1.0132053515237838</v>
      </c>
      <c r="P213" s="69">
        <f t="shared" ca="1" si="47"/>
        <v>-1.7572200315214155</v>
      </c>
      <c r="Q213" s="69">
        <f t="shared" ca="1" si="48"/>
        <v>1.8486200734835123</v>
      </c>
      <c r="R213" s="69">
        <f t="shared" ca="1" si="49"/>
        <v>0.84371432668142554</v>
      </c>
      <c r="S213" s="69">
        <f t="shared" ca="1" si="50"/>
        <v>-1.0233100897800842</v>
      </c>
      <c r="T213" s="69">
        <f t="shared" ca="1" si="51"/>
        <v>0.62797784325034589</v>
      </c>
      <c r="U213" s="69">
        <f t="shared" ca="1" si="52"/>
        <v>7.681840157377226E-2</v>
      </c>
      <c r="V213" s="69">
        <f t="shared" ca="1" si="53"/>
        <v>1.0340734593229406</v>
      </c>
      <c r="W213" s="69">
        <f t="shared" ca="1" si="54"/>
        <v>0.30098180298221006</v>
      </c>
      <c r="X213" s="69">
        <f t="shared" ca="1" si="55"/>
        <v>0.50113490941739258</v>
      </c>
    </row>
    <row r="214" spans="2:24" x14ac:dyDescent="0.2">
      <c r="B214" s="69">
        <f t="shared" ca="1" si="44"/>
        <v>-8.9309073167966546E-2</v>
      </c>
      <c r="C214" s="69">
        <f t="shared" ca="1" si="43"/>
        <v>1.7406112179560969</v>
      </c>
      <c r="D214" s="69">
        <f t="shared" ca="1" si="43"/>
        <v>-0.51447286012461146</v>
      </c>
      <c r="E214" s="69">
        <f t="shared" ca="1" si="43"/>
        <v>-0.13917343835960416</v>
      </c>
      <c r="F214" s="69">
        <f t="shared" ca="1" si="43"/>
        <v>-0.88629984569785891</v>
      </c>
      <c r="G214" s="69">
        <f t="shared" ca="1" si="43"/>
        <v>-0.20742087114666521</v>
      </c>
      <c r="H214" s="69">
        <f t="shared" ca="1" si="43"/>
        <v>-0.93167998076494263</v>
      </c>
      <c r="I214" s="69">
        <f t="shared" ca="1" si="43"/>
        <v>0.7594445263340619</v>
      </c>
      <c r="J214" s="69">
        <f t="shared" ca="1" si="43"/>
        <v>-0.5571273331944836</v>
      </c>
      <c r="K214" s="69">
        <f t="shared" ca="1" si="43"/>
        <v>-1.1393740926741991</v>
      </c>
      <c r="L214" s="69">
        <f t="shared" ca="1" si="43"/>
        <v>-0.45294631828743748</v>
      </c>
      <c r="N214" s="69">
        <f t="shared" ca="1" si="45"/>
        <v>-5.1541029329857727E-2</v>
      </c>
      <c r="O214" s="69">
        <f t="shared" ca="1" si="46"/>
        <v>1.7141176548732102</v>
      </c>
      <c r="P214" s="69">
        <f t="shared" ca="1" si="47"/>
        <v>-0.57221492496170145</v>
      </c>
      <c r="Q214" s="69">
        <f t="shared" ca="1" si="48"/>
        <v>-9.0064759497845218E-2</v>
      </c>
      <c r="R214" s="69">
        <f t="shared" ca="1" si="49"/>
        <v>-0.89259453110550779</v>
      </c>
      <c r="S214" s="69">
        <f t="shared" ca="1" si="50"/>
        <v>-0.17459389888985674</v>
      </c>
      <c r="T214" s="69">
        <f t="shared" ca="1" si="51"/>
        <v>-0.93651101848013252</v>
      </c>
      <c r="U214" s="69">
        <f t="shared" ca="1" si="52"/>
        <v>0.78248465321177152</v>
      </c>
      <c r="V214" s="69">
        <f t="shared" ca="1" si="53"/>
        <v>-0.5632369267680809</v>
      </c>
      <c r="W214" s="69">
        <f t="shared" ca="1" si="54"/>
        <v>-1.1383927358501</v>
      </c>
      <c r="X214" s="69">
        <f t="shared" ca="1" si="55"/>
        <v>-0.425777827913002</v>
      </c>
    </row>
    <row r="215" spans="2:24" x14ac:dyDescent="0.2">
      <c r="B215" s="69">
        <f t="shared" ca="1" si="44"/>
        <v>-1.0643078091232943</v>
      </c>
      <c r="C215" s="69">
        <f t="shared" ca="1" si="43"/>
        <v>-0.99895958943182783</v>
      </c>
      <c r="D215" s="69">
        <f t="shared" ca="1" si="43"/>
        <v>-0.14097413404429227</v>
      </c>
      <c r="E215" s="69">
        <f t="shared" ca="1" si="43"/>
        <v>-0.57108176524216858</v>
      </c>
      <c r="F215" s="69">
        <f t="shared" ca="1" si="43"/>
        <v>-1.4716689105637901</v>
      </c>
      <c r="G215" s="69">
        <f t="shared" ca="1" si="43"/>
        <v>1.0271640005890159</v>
      </c>
      <c r="H215" s="69">
        <f t="shared" ca="1" si="43"/>
        <v>-2.5042394007060609</v>
      </c>
      <c r="I215" s="69">
        <f t="shared" ca="1" si="43"/>
        <v>-0.7955158996042706</v>
      </c>
      <c r="J215" s="69">
        <f t="shared" ca="1" si="43"/>
        <v>-0.21454805346777261</v>
      </c>
      <c r="K215" s="69">
        <f t="shared" ca="1" si="43"/>
        <v>-2.5239582594564491</v>
      </c>
      <c r="L215" s="69">
        <f t="shared" ca="1" si="43"/>
        <v>-1.064151969952416</v>
      </c>
      <c r="N215" s="69">
        <f t="shared" ca="1" si="45"/>
        <v>-1.0265397652851855</v>
      </c>
      <c r="O215" s="69">
        <f t="shared" ca="1" si="46"/>
        <v>-1.0254531525147146</v>
      </c>
      <c r="P215" s="69">
        <f t="shared" ca="1" si="47"/>
        <v>-0.19871619888138231</v>
      </c>
      <c r="Q215" s="69">
        <f t="shared" ca="1" si="48"/>
        <v>-0.52197308638040962</v>
      </c>
      <c r="R215" s="69">
        <f t="shared" ca="1" si="49"/>
        <v>-1.477963595971439</v>
      </c>
      <c r="S215" s="69">
        <f t="shared" ca="1" si="50"/>
        <v>1.0599909728458243</v>
      </c>
      <c r="T215" s="69">
        <f t="shared" ca="1" si="51"/>
        <v>-2.5090704384212508</v>
      </c>
      <c r="U215" s="69">
        <f t="shared" ca="1" si="52"/>
        <v>-0.77247577272656098</v>
      </c>
      <c r="V215" s="69">
        <f t="shared" ca="1" si="53"/>
        <v>-0.22065764704136995</v>
      </c>
      <c r="W215" s="69">
        <f t="shared" ca="1" si="54"/>
        <v>-2.5229769026323501</v>
      </c>
      <c r="X215" s="69">
        <f t="shared" ca="1" si="55"/>
        <v>-1.0369834795779804</v>
      </c>
    </row>
    <row r="216" spans="2:24" x14ac:dyDescent="0.2">
      <c r="B216" s="69">
        <f t="shared" ca="1" si="44"/>
        <v>-0.48954660269924405</v>
      </c>
      <c r="C216" s="69">
        <f t="shared" ca="1" si="43"/>
        <v>0.46916316082168641</v>
      </c>
      <c r="D216" s="69">
        <f t="shared" ca="1" si="43"/>
        <v>0.11016858108554564</v>
      </c>
      <c r="E216" s="69">
        <f t="shared" ca="1" si="43"/>
        <v>0.97464360946982431</v>
      </c>
      <c r="F216" s="69">
        <f t="shared" ca="1" si="43"/>
        <v>1.2711995004868637</v>
      </c>
      <c r="G216" s="69">
        <f t="shared" ca="1" si="43"/>
        <v>0.80302116307533133</v>
      </c>
      <c r="H216" s="69">
        <f t="shared" ca="1" si="43"/>
        <v>0.6156762877961488</v>
      </c>
      <c r="I216" s="69">
        <f t="shared" ca="1" si="43"/>
        <v>-0.31891024331629719</v>
      </c>
      <c r="J216" s="69">
        <f t="shared" ca="1" si="43"/>
        <v>-1.9902787657931458</v>
      </c>
      <c r="K216" s="69">
        <f t="shared" ca="1" si="43"/>
        <v>-0.88054861765989001</v>
      </c>
      <c r="L216" s="69">
        <f t="shared" ca="1" si="43"/>
        <v>0.22318396261048187</v>
      </c>
      <c r="N216" s="69">
        <f t="shared" ca="1" si="45"/>
        <v>-0.45177855886113522</v>
      </c>
      <c r="O216" s="69">
        <f t="shared" ca="1" si="46"/>
        <v>0.44266959773879971</v>
      </c>
      <c r="P216" s="69">
        <f t="shared" ca="1" si="47"/>
        <v>5.242651624845561E-2</v>
      </c>
      <c r="Q216" s="69">
        <f t="shared" ca="1" si="48"/>
        <v>1.0237522883315833</v>
      </c>
      <c r="R216" s="69">
        <f t="shared" ca="1" si="49"/>
        <v>1.2649048150792148</v>
      </c>
      <c r="S216" s="69">
        <f t="shared" ca="1" si="50"/>
        <v>0.83584813533213986</v>
      </c>
      <c r="T216" s="69">
        <f t="shared" ca="1" si="51"/>
        <v>0.61084525008095891</v>
      </c>
      <c r="U216" s="69">
        <f t="shared" ca="1" si="52"/>
        <v>-0.29587011643858752</v>
      </c>
      <c r="V216" s="69">
        <f t="shared" ca="1" si="53"/>
        <v>-1.9963883593667431</v>
      </c>
      <c r="W216" s="69">
        <f t="shared" ca="1" si="54"/>
        <v>-0.87956726083579106</v>
      </c>
      <c r="X216" s="69">
        <f t="shared" ca="1" si="55"/>
        <v>0.25035245298491737</v>
      </c>
    </row>
    <row r="217" spans="2:24" x14ac:dyDescent="0.2">
      <c r="B217" s="69">
        <f t="shared" ca="1" si="44"/>
        <v>-0.76598939954097645</v>
      </c>
      <c r="C217" s="69">
        <f t="shared" ca="1" si="43"/>
        <v>-0.2640112040208652</v>
      </c>
      <c r="D217" s="69">
        <f t="shared" ca="1" si="43"/>
        <v>0.59922388755013145</v>
      </c>
      <c r="E217" s="69">
        <f t="shared" ca="1" si="43"/>
        <v>-1.8250049598858977</v>
      </c>
      <c r="F217" s="69">
        <f t="shared" ca="1" si="43"/>
        <v>0.74539411702565417</v>
      </c>
      <c r="G217" s="69">
        <f t="shared" ca="1" si="43"/>
        <v>-0.3425214489008846</v>
      </c>
      <c r="H217" s="69">
        <f t="shared" ca="1" si="43"/>
        <v>2.9379203997086063</v>
      </c>
      <c r="I217" s="69">
        <f t="shared" ca="1" si="43"/>
        <v>-1.3575420970433092</v>
      </c>
      <c r="J217" s="69">
        <f t="shared" ca="1" si="43"/>
        <v>-1.1929083909497542</v>
      </c>
      <c r="K217" s="69">
        <f t="shared" ca="1" si="43"/>
        <v>0.45685076997564394</v>
      </c>
      <c r="L217" s="69">
        <f t="shared" ca="1" si="43"/>
        <v>0.35992837090424246</v>
      </c>
      <c r="N217" s="69">
        <f t="shared" ca="1" si="45"/>
        <v>-0.72822135570286761</v>
      </c>
      <c r="O217" s="69">
        <f t="shared" ca="1" si="46"/>
        <v>-0.29050476710375189</v>
      </c>
      <c r="P217" s="69">
        <f t="shared" ca="1" si="47"/>
        <v>0.54148182271304146</v>
      </c>
      <c r="Q217" s="69">
        <f t="shared" ca="1" si="48"/>
        <v>-1.7758962810241388</v>
      </c>
      <c r="R217" s="69">
        <f t="shared" ca="1" si="49"/>
        <v>0.73909943161800529</v>
      </c>
      <c r="S217" s="69">
        <f t="shared" ca="1" si="50"/>
        <v>-0.30969447664407612</v>
      </c>
      <c r="T217" s="69">
        <f t="shared" ca="1" si="51"/>
        <v>2.9330893619934164</v>
      </c>
      <c r="U217" s="69">
        <f t="shared" ca="1" si="52"/>
        <v>-1.3345019701655996</v>
      </c>
      <c r="V217" s="69">
        <f t="shared" ca="1" si="53"/>
        <v>-1.1990179845233515</v>
      </c>
      <c r="W217" s="69">
        <f t="shared" ca="1" si="54"/>
        <v>0.45783212679974289</v>
      </c>
      <c r="X217" s="69">
        <f t="shared" ca="1" si="55"/>
        <v>0.38709686127867793</v>
      </c>
    </row>
    <row r="218" spans="2:24" x14ac:dyDescent="0.2">
      <c r="B218" s="69">
        <f t="shared" ca="1" si="44"/>
        <v>9.0139487918676653E-2</v>
      </c>
      <c r="C218" s="69">
        <f t="shared" ca="1" si="43"/>
        <v>-0.35712933553382203</v>
      </c>
      <c r="D218" s="69">
        <f t="shared" ca="1" si="43"/>
        <v>-1.0646773306179695</v>
      </c>
      <c r="E218" s="69">
        <f t="shared" ca="1" si="43"/>
        <v>1.3441720122649874</v>
      </c>
      <c r="F218" s="69">
        <f t="shared" ca="1" si="43"/>
        <v>-1.0123139906684264</v>
      </c>
      <c r="G218" s="69">
        <f t="shared" ca="1" si="43"/>
        <v>0.77260658977454644</v>
      </c>
      <c r="H218" s="69">
        <f t="shared" ca="1" si="43"/>
        <v>0.99143769913955238</v>
      </c>
      <c r="I218" s="69">
        <f t="shared" ca="1" si="43"/>
        <v>1.0707590917193457</v>
      </c>
      <c r="J218" s="69">
        <f t="shared" ca="1" si="43"/>
        <v>0.45336057756415782</v>
      </c>
      <c r="K218" s="69">
        <f t="shared" ca="1" si="43"/>
        <v>0.84241606423849313</v>
      </c>
      <c r="L218" s="69">
        <f t="shared" ca="1" si="43"/>
        <v>-5.149554788309562E-2</v>
      </c>
      <c r="N218" s="69">
        <f t="shared" ca="1" si="45"/>
        <v>0.12790753175678549</v>
      </c>
      <c r="O218" s="69">
        <f t="shared" ca="1" si="46"/>
        <v>-0.38362289861670873</v>
      </c>
      <c r="P218" s="69">
        <f t="shared" ca="1" si="47"/>
        <v>-1.1224193954550596</v>
      </c>
      <c r="Q218" s="69">
        <f t="shared" ca="1" si="48"/>
        <v>1.3932806911267464</v>
      </c>
      <c r="R218" s="69">
        <f t="shared" ca="1" si="49"/>
        <v>-1.0186086760760753</v>
      </c>
      <c r="S218" s="69">
        <f t="shared" ca="1" si="50"/>
        <v>0.80543356203135497</v>
      </c>
      <c r="T218" s="69">
        <f t="shared" ca="1" si="51"/>
        <v>0.98660666142436249</v>
      </c>
      <c r="U218" s="69">
        <f t="shared" ca="1" si="52"/>
        <v>1.0937992185970553</v>
      </c>
      <c r="V218" s="69">
        <f t="shared" ca="1" si="53"/>
        <v>0.44725098399056051</v>
      </c>
      <c r="W218" s="69">
        <f t="shared" ca="1" si="54"/>
        <v>0.84339742106259208</v>
      </c>
      <c r="X218" s="69">
        <f t="shared" ca="1" si="55"/>
        <v>-2.4327057508660141E-2</v>
      </c>
    </row>
    <row r="219" spans="2:24" x14ac:dyDescent="0.2">
      <c r="B219" s="69">
        <f t="shared" ca="1" si="44"/>
        <v>3.5374147072552002</v>
      </c>
      <c r="C219" s="69">
        <f t="shared" ca="1" si="43"/>
        <v>-1.3191364642108474</v>
      </c>
      <c r="D219" s="69">
        <f t="shared" ca="1" si="43"/>
        <v>-2.4339216800807657</v>
      </c>
      <c r="E219" s="69">
        <f t="shared" ca="1" si="43"/>
        <v>-2.0974535215263548</v>
      </c>
      <c r="F219" s="69">
        <f t="shared" ca="1" si="43"/>
        <v>-2.9499090604023133</v>
      </c>
      <c r="G219" s="69">
        <f t="shared" ca="1" si="43"/>
        <v>-0.16372415301758139</v>
      </c>
      <c r="H219" s="69">
        <f t="shared" ca="1" si="43"/>
        <v>-0.75536910155677839</v>
      </c>
      <c r="I219" s="69">
        <f t="shared" ca="1" si="43"/>
        <v>-2.1887350623847479</v>
      </c>
      <c r="J219" s="69">
        <f t="shared" ca="1" si="43"/>
        <v>1.2220215696836869</v>
      </c>
      <c r="K219" s="69">
        <f t="shared" ca="1" si="43"/>
        <v>4.0133197835628701E-2</v>
      </c>
      <c r="L219" s="69">
        <f t="shared" ca="1" si="43"/>
        <v>-0.87931493996026155</v>
      </c>
      <c r="N219" s="69">
        <f t="shared" ca="1" si="45"/>
        <v>3.5751827510933092</v>
      </c>
      <c r="O219" s="69">
        <f t="shared" ca="1" si="46"/>
        <v>-1.345630027293734</v>
      </c>
      <c r="P219" s="69">
        <f t="shared" ca="1" si="47"/>
        <v>-2.4916637449178558</v>
      </c>
      <c r="Q219" s="69">
        <f t="shared" ca="1" si="48"/>
        <v>-2.048344842664596</v>
      </c>
      <c r="R219" s="69">
        <f t="shared" ca="1" si="49"/>
        <v>-2.9562037458099621</v>
      </c>
      <c r="S219" s="69">
        <f t="shared" ca="1" si="50"/>
        <v>-0.13089718076077292</v>
      </c>
      <c r="T219" s="69">
        <f t="shared" ca="1" si="51"/>
        <v>-0.76020013927196828</v>
      </c>
      <c r="U219" s="69">
        <f t="shared" ca="1" si="52"/>
        <v>-2.1656949355070383</v>
      </c>
      <c r="V219" s="69">
        <f t="shared" ca="1" si="53"/>
        <v>1.2159119761100896</v>
      </c>
      <c r="W219" s="69">
        <f t="shared" ca="1" si="54"/>
        <v>4.1114554659727652E-2</v>
      </c>
      <c r="X219" s="69">
        <f t="shared" ca="1" si="55"/>
        <v>-0.85214644958582608</v>
      </c>
    </row>
    <row r="220" spans="2:24" x14ac:dyDescent="0.2">
      <c r="B220" s="69">
        <f t="shared" ca="1" si="44"/>
        <v>0.19683453840347828</v>
      </c>
      <c r="C220" s="69">
        <f t="shared" ca="1" si="43"/>
        <v>-6.254550702480309E-2</v>
      </c>
      <c r="D220" s="69">
        <f t="shared" ca="1" si="43"/>
        <v>-1.4886199447511226</v>
      </c>
      <c r="E220" s="69">
        <f t="shared" ca="1" si="43"/>
        <v>-0.11626935764204767</v>
      </c>
      <c r="F220" s="69">
        <f t="shared" ca="1" si="43"/>
        <v>-1.1391119369822873</v>
      </c>
      <c r="G220" s="69">
        <f t="shared" ca="1" si="43"/>
        <v>-1.2579128924448599</v>
      </c>
      <c r="H220" s="69">
        <f t="shared" ca="1" si="43"/>
        <v>-2.0442759683829381</v>
      </c>
      <c r="I220" s="69">
        <f t="shared" ca="1" si="43"/>
        <v>1.4024282462563389</v>
      </c>
      <c r="J220" s="69">
        <f t="shared" ca="1" si="43"/>
        <v>1.0812275670718194</v>
      </c>
      <c r="K220" s="69">
        <f t="shared" ca="1" si="43"/>
        <v>-1.2316241820054321</v>
      </c>
      <c r="L220" s="69">
        <f t="shared" ca="1" si="43"/>
        <v>1.7585612529517264E-2</v>
      </c>
      <c r="N220" s="69">
        <f t="shared" ca="1" si="45"/>
        <v>0.23460258224158709</v>
      </c>
      <c r="O220" s="69">
        <f t="shared" ca="1" si="46"/>
        <v>-8.9039070107689772E-2</v>
      </c>
      <c r="P220" s="69">
        <f t="shared" ca="1" si="47"/>
        <v>-1.5463620095882127</v>
      </c>
      <c r="Q220" s="69">
        <f t="shared" ca="1" si="48"/>
        <v>-6.7160678780288724E-2</v>
      </c>
      <c r="R220" s="69">
        <f t="shared" ca="1" si="49"/>
        <v>-1.1454066223899362</v>
      </c>
      <c r="S220" s="69">
        <f t="shared" ca="1" si="50"/>
        <v>-1.2250859201880515</v>
      </c>
      <c r="T220" s="69">
        <f t="shared" ca="1" si="51"/>
        <v>-2.049107006098128</v>
      </c>
      <c r="U220" s="69">
        <f t="shared" ca="1" si="52"/>
        <v>1.4254683731340485</v>
      </c>
      <c r="V220" s="69">
        <f t="shared" ca="1" si="53"/>
        <v>1.0751179734982221</v>
      </c>
      <c r="W220" s="69">
        <f t="shared" ca="1" si="54"/>
        <v>-1.2306428251813331</v>
      </c>
      <c r="X220" s="69">
        <f t="shared" ca="1" si="55"/>
        <v>4.4754102903952743E-2</v>
      </c>
    </row>
    <row r="221" spans="2:24" x14ac:dyDescent="0.2">
      <c r="B221" s="69">
        <f t="shared" ca="1" si="44"/>
        <v>0.24091499412031064</v>
      </c>
      <c r="C221" s="69">
        <f t="shared" ca="1" si="43"/>
        <v>-1.780636564513594</v>
      </c>
      <c r="D221" s="69">
        <f t="shared" ca="1" si="43"/>
        <v>-0.56270485278295057</v>
      </c>
      <c r="E221" s="69">
        <f t="shared" ca="1" si="43"/>
        <v>-1.4052425492569456</v>
      </c>
      <c r="F221" s="69">
        <f t="shared" ca="1" si="43"/>
        <v>-0.30970232710228834</v>
      </c>
      <c r="G221" s="69">
        <f t="shared" ca="1" si="43"/>
        <v>0.13001283351122611</v>
      </c>
      <c r="H221" s="69">
        <f t="shared" ca="1" si="43"/>
        <v>-0.17236967737614989</v>
      </c>
      <c r="I221" s="69">
        <f t="shared" ca="1" si="43"/>
        <v>-3.5226923606789959E-2</v>
      </c>
      <c r="J221" s="69">
        <f t="shared" ca="1" si="43"/>
        <v>1.189357334991195</v>
      </c>
      <c r="K221" s="69">
        <f t="shared" ca="1" si="43"/>
        <v>0.72366211534864977</v>
      </c>
      <c r="L221" s="69">
        <f t="shared" ca="1" si="43"/>
        <v>-0.95109080282875103</v>
      </c>
      <c r="N221" s="69">
        <f t="shared" ca="1" si="45"/>
        <v>0.27868303795841948</v>
      </c>
      <c r="O221" s="69">
        <f t="shared" ca="1" si="46"/>
        <v>-1.8071301275964806</v>
      </c>
      <c r="P221" s="69">
        <f t="shared" ca="1" si="47"/>
        <v>-0.62044691762004056</v>
      </c>
      <c r="Q221" s="69">
        <f t="shared" ca="1" si="48"/>
        <v>-1.3561338703951866</v>
      </c>
      <c r="R221" s="69">
        <f t="shared" ca="1" si="49"/>
        <v>-0.31599701250993723</v>
      </c>
      <c r="S221" s="69">
        <f t="shared" ca="1" si="50"/>
        <v>0.16283980576803458</v>
      </c>
      <c r="T221" s="69">
        <f t="shared" ca="1" si="51"/>
        <v>-0.17720071509133972</v>
      </c>
      <c r="U221" s="69">
        <f t="shared" ca="1" si="52"/>
        <v>-1.2186796729080303E-2</v>
      </c>
      <c r="V221" s="69">
        <f t="shared" ca="1" si="53"/>
        <v>1.1832477414175977</v>
      </c>
      <c r="W221" s="69">
        <f t="shared" ca="1" si="54"/>
        <v>0.72464347217274871</v>
      </c>
      <c r="X221" s="69">
        <f t="shared" ca="1" si="55"/>
        <v>-0.92392231245431555</v>
      </c>
    </row>
    <row r="222" spans="2:24" x14ac:dyDescent="0.2">
      <c r="B222" s="69">
        <f t="shared" ca="1" si="44"/>
        <v>-0.93605716852509113</v>
      </c>
      <c r="C222" s="69">
        <f t="shared" ca="1" si="43"/>
        <v>-0.768966435890725</v>
      </c>
      <c r="D222" s="69">
        <f t="shared" ca="1" si="43"/>
        <v>-0.43992755273642431</v>
      </c>
      <c r="E222" s="69">
        <f t="shared" ca="1" si="43"/>
        <v>0.7114192253272249</v>
      </c>
      <c r="F222" s="69">
        <f t="shared" ca="1" si="43"/>
        <v>-0.31279668696276963</v>
      </c>
      <c r="G222" s="69">
        <f t="shared" ca="1" si="43"/>
        <v>0.38826968722774913</v>
      </c>
      <c r="H222" s="69">
        <f t="shared" ca="1" si="43"/>
        <v>-0.85679683963734654</v>
      </c>
      <c r="I222" s="69">
        <f t="shared" ref="C222:L285" ca="1" si="56">NORMINV(RAND(),$C$7,$F$7)</f>
        <v>2.3328339138039712E-2</v>
      </c>
      <c r="J222" s="69">
        <f t="shared" ca="1" si="56"/>
        <v>-0.64587570242025116</v>
      </c>
      <c r="K222" s="69">
        <f t="shared" ca="1" si="56"/>
        <v>-0.80584160631176038</v>
      </c>
      <c r="L222" s="69">
        <f t="shared" ca="1" si="56"/>
        <v>0.32316049899124477</v>
      </c>
      <c r="N222" s="69">
        <f t="shared" ca="1" si="45"/>
        <v>-0.8982891246869823</v>
      </c>
      <c r="O222" s="69">
        <f t="shared" ca="1" si="46"/>
        <v>-0.79545999897361164</v>
      </c>
      <c r="P222" s="69">
        <f t="shared" ca="1" si="47"/>
        <v>-0.49766961757351436</v>
      </c>
      <c r="Q222" s="69">
        <f t="shared" ca="1" si="48"/>
        <v>0.76052790418898386</v>
      </c>
      <c r="R222" s="69">
        <f t="shared" ca="1" si="49"/>
        <v>-0.31909137237041851</v>
      </c>
      <c r="S222" s="69">
        <f t="shared" ca="1" si="50"/>
        <v>0.4210966594845576</v>
      </c>
      <c r="T222" s="69">
        <f t="shared" ca="1" si="51"/>
        <v>-0.86162787735253643</v>
      </c>
      <c r="U222" s="69">
        <f t="shared" ca="1" si="52"/>
        <v>4.6368466015749371E-2</v>
      </c>
      <c r="V222" s="69">
        <f t="shared" ca="1" si="53"/>
        <v>-0.65198529599384847</v>
      </c>
      <c r="W222" s="69">
        <f t="shared" ca="1" si="54"/>
        <v>-0.80486024948766144</v>
      </c>
      <c r="X222" s="69">
        <f t="shared" ca="1" si="55"/>
        <v>0.35032898936568024</v>
      </c>
    </row>
    <row r="223" spans="2:24" x14ac:dyDescent="0.2">
      <c r="B223" s="69">
        <f t="shared" ca="1" si="44"/>
        <v>-0.24672819462605777</v>
      </c>
      <c r="C223" s="69">
        <f t="shared" ca="1" si="56"/>
        <v>-0.74162360033793773</v>
      </c>
      <c r="D223" s="69">
        <f t="shared" ca="1" si="56"/>
        <v>2.6562383769552667</v>
      </c>
      <c r="E223" s="69">
        <f t="shared" ca="1" si="56"/>
        <v>0.66103154747072146</v>
      </c>
      <c r="F223" s="69">
        <f t="shared" ca="1" si="56"/>
        <v>-0.24344393183755053</v>
      </c>
      <c r="G223" s="69">
        <f t="shared" ca="1" si="56"/>
        <v>0.29331708819773505</v>
      </c>
      <c r="H223" s="69">
        <f t="shared" ca="1" si="56"/>
        <v>1.2049072501887019</v>
      </c>
      <c r="I223" s="69">
        <f t="shared" ca="1" si="56"/>
        <v>-1.0744166374722843</v>
      </c>
      <c r="J223" s="69">
        <f t="shared" ca="1" si="56"/>
        <v>1.5016153461459034</v>
      </c>
      <c r="K223" s="69">
        <f t="shared" ca="1" si="56"/>
        <v>-0.8426085127432108</v>
      </c>
      <c r="L223" s="69">
        <f t="shared" ca="1" si="56"/>
        <v>6.7385280448222146E-2</v>
      </c>
      <c r="N223" s="69">
        <f t="shared" ca="1" si="45"/>
        <v>-0.20896015078794894</v>
      </c>
      <c r="O223" s="69">
        <f t="shared" ca="1" si="46"/>
        <v>-0.76811716342082437</v>
      </c>
      <c r="P223" s="69">
        <f t="shared" ca="1" si="47"/>
        <v>2.5984963121181766</v>
      </c>
      <c r="Q223" s="69">
        <f t="shared" ca="1" si="48"/>
        <v>0.71014022633248042</v>
      </c>
      <c r="R223" s="69">
        <f t="shared" ca="1" si="49"/>
        <v>-0.24973861724519944</v>
      </c>
      <c r="S223" s="69">
        <f t="shared" ca="1" si="50"/>
        <v>0.32614406045454353</v>
      </c>
      <c r="T223" s="69">
        <f t="shared" ca="1" si="51"/>
        <v>1.200076212473512</v>
      </c>
      <c r="U223" s="69">
        <f t="shared" ca="1" si="52"/>
        <v>-1.0513765105945747</v>
      </c>
      <c r="V223" s="69">
        <f t="shared" ca="1" si="53"/>
        <v>1.4955057525723061</v>
      </c>
      <c r="W223" s="69">
        <f t="shared" ca="1" si="54"/>
        <v>-0.84162715591911186</v>
      </c>
      <c r="X223" s="69">
        <f t="shared" ca="1" si="55"/>
        <v>9.4553770822657618E-2</v>
      </c>
    </row>
    <row r="224" spans="2:24" x14ac:dyDescent="0.2">
      <c r="B224" s="69">
        <f t="shared" ca="1" si="44"/>
        <v>1.2990292913930395</v>
      </c>
      <c r="C224" s="69">
        <f t="shared" ca="1" si="56"/>
        <v>-1.1749970606444511</v>
      </c>
      <c r="D224" s="69">
        <f t="shared" ca="1" si="56"/>
        <v>-8.6685995005278821E-2</v>
      </c>
      <c r="E224" s="69">
        <f t="shared" ca="1" si="56"/>
        <v>-0.5535858557261385</v>
      </c>
      <c r="F224" s="69">
        <f t="shared" ca="1" si="56"/>
        <v>1.7853303263670486</v>
      </c>
      <c r="G224" s="69">
        <f t="shared" ca="1" si="56"/>
        <v>-2.1775176075858584</v>
      </c>
      <c r="H224" s="69">
        <f t="shared" ca="1" si="56"/>
        <v>0.17218220355128025</v>
      </c>
      <c r="I224" s="69">
        <f t="shared" ca="1" si="56"/>
        <v>0.14375789115038173</v>
      </c>
      <c r="J224" s="69">
        <f t="shared" ca="1" si="56"/>
        <v>-0.45214933481179942</v>
      </c>
      <c r="K224" s="69">
        <f t="shared" ca="1" si="56"/>
        <v>0.80367785514196555</v>
      </c>
      <c r="L224" s="69">
        <f t="shared" ca="1" si="56"/>
        <v>3.0322417822758654E-2</v>
      </c>
      <c r="N224" s="69">
        <f t="shared" ca="1" si="45"/>
        <v>1.3367973352311482</v>
      </c>
      <c r="O224" s="69">
        <f t="shared" ca="1" si="46"/>
        <v>-1.2014906237273377</v>
      </c>
      <c r="P224" s="69">
        <f t="shared" ca="1" si="47"/>
        <v>-0.14442805984236884</v>
      </c>
      <c r="Q224" s="69">
        <f t="shared" ca="1" si="48"/>
        <v>-0.50447717686437954</v>
      </c>
      <c r="R224" s="69">
        <f t="shared" ca="1" si="49"/>
        <v>1.7790356409593997</v>
      </c>
      <c r="S224" s="69">
        <f t="shared" ca="1" si="50"/>
        <v>-2.14469063532905</v>
      </c>
      <c r="T224" s="69">
        <f t="shared" ca="1" si="51"/>
        <v>0.16735116583609042</v>
      </c>
      <c r="U224" s="69">
        <f t="shared" ca="1" si="52"/>
        <v>0.16679801802809138</v>
      </c>
      <c r="V224" s="69">
        <f t="shared" ca="1" si="53"/>
        <v>-0.45825892838539672</v>
      </c>
      <c r="W224" s="69">
        <f t="shared" ca="1" si="54"/>
        <v>0.80465921196606449</v>
      </c>
      <c r="X224" s="69">
        <f t="shared" ca="1" si="55"/>
        <v>5.7490908197194129E-2</v>
      </c>
    </row>
    <row r="225" spans="2:24" x14ac:dyDescent="0.2">
      <c r="B225" s="69">
        <f t="shared" ca="1" si="44"/>
        <v>-0.76272689037541008</v>
      </c>
      <c r="C225" s="69">
        <f t="shared" ca="1" si="56"/>
        <v>0.43393210347310424</v>
      </c>
      <c r="D225" s="69">
        <f t="shared" ca="1" si="56"/>
        <v>-0.93040730362490487</v>
      </c>
      <c r="E225" s="69">
        <f t="shared" ca="1" si="56"/>
        <v>0.81457145705522926</v>
      </c>
      <c r="F225" s="69">
        <f t="shared" ca="1" si="56"/>
        <v>0.23412177041903359</v>
      </c>
      <c r="G225" s="69">
        <f t="shared" ca="1" si="56"/>
        <v>-0.90289185592691534</v>
      </c>
      <c r="H225" s="69">
        <f t="shared" ca="1" si="56"/>
        <v>-0.53668903072339347</v>
      </c>
      <c r="I225" s="69">
        <f t="shared" ca="1" si="56"/>
        <v>0.1731701863090673</v>
      </c>
      <c r="J225" s="69">
        <f t="shared" ca="1" si="56"/>
        <v>1.78032538473999</v>
      </c>
      <c r="K225" s="69">
        <f t="shared" ca="1" si="56"/>
        <v>1.8599538692186615</v>
      </c>
      <c r="L225" s="69">
        <f t="shared" ca="1" si="56"/>
        <v>0.40883302713447739</v>
      </c>
      <c r="N225" s="69">
        <f t="shared" ca="1" si="45"/>
        <v>-0.72495884653730125</v>
      </c>
      <c r="O225" s="69">
        <f t="shared" ca="1" si="46"/>
        <v>0.40743854039021754</v>
      </c>
      <c r="P225" s="69">
        <f t="shared" ca="1" si="47"/>
        <v>-0.98814936846199486</v>
      </c>
      <c r="Q225" s="69">
        <f t="shared" ca="1" si="48"/>
        <v>0.86368013591698822</v>
      </c>
      <c r="R225" s="69">
        <f t="shared" ca="1" si="49"/>
        <v>0.22782708501138468</v>
      </c>
      <c r="S225" s="69">
        <f t="shared" ca="1" si="50"/>
        <v>-0.87006488367010681</v>
      </c>
      <c r="T225" s="69">
        <f t="shared" ca="1" si="51"/>
        <v>-0.54152006843858336</v>
      </c>
      <c r="U225" s="69">
        <f t="shared" ca="1" si="52"/>
        <v>0.19621031318677695</v>
      </c>
      <c r="V225" s="69">
        <f t="shared" ca="1" si="53"/>
        <v>1.7742157911663927</v>
      </c>
      <c r="W225" s="69">
        <f t="shared" ca="1" si="54"/>
        <v>1.8609352260427605</v>
      </c>
      <c r="X225" s="69">
        <f t="shared" ca="1" si="55"/>
        <v>0.43600151750891286</v>
      </c>
    </row>
    <row r="226" spans="2:24" x14ac:dyDescent="0.2">
      <c r="B226" s="69">
        <f t="shared" ca="1" si="44"/>
        <v>-1.5268334595078041</v>
      </c>
      <c r="C226" s="69">
        <f t="shared" ca="1" si="56"/>
        <v>-0.45596930826825666</v>
      </c>
      <c r="D226" s="69">
        <f t="shared" ca="1" si="56"/>
        <v>0.48545361543786586</v>
      </c>
      <c r="E226" s="69">
        <f t="shared" ca="1" si="56"/>
        <v>0.49237031847059631</v>
      </c>
      <c r="F226" s="69">
        <f t="shared" ca="1" si="56"/>
        <v>1.4368475703463433</v>
      </c>
      <c r="G226" s="69">
        <f t="shared" ca="1" si="56"/>
        <v>-1.676288321874251</v>
      </c>
      <c r="H226" s="69">
        <f t="shared" ca="1" si="56"/>
        <v>0.60251471986296057</v>
      </c>
      <c r="I226" s="69">
        <f t="shared" ca="1" si="56"/>
        <v>-0.29007122730592788</v>
      </c>
      <c r="J226" s="69">
        <f t="shared" ca="1" si="56"/>
        <v>-0.75415600947331529</v>
      </c>
      <c r="K226" s="69">
        <f t="shared" ca="1" si="56"/>
        <v>-0.54030250379150313</v>
      </c>
      <c r="L226" s="69">
        <f t="shared" ca="1" si="56"/>
        <v>-7.1608866969181242E-2</v>
      </c>
      <c r="N226" s="69">
        <f t="shared" ca="1" si="45"/>
        <v>-1.4890654156696954</v>
      </c>
      <c r="O226" s="69">
        <f t="shared" ca="1" si="46"/>
        <v>-0.48246287135114335</v>
      </c>
      <c r="P226" s="69">
        <f t="shared" ca="1" si="47"/>
        <v>0.42771155060077581</v>
      </c>
      <c r="Q226" s="69">
        <f t="shared" ca="1" si="48"/>
        <v>0.54147899733235527</v>
      </c>
      <c r="R226" s="69">
        <f t="shared" ca="1" si="49"/>
        <v>1.4305528849386944</v>
      </c>
      <c r="S226" s="69">
        <f t="shared" ca="1" si="50"/>
        <v>-1.6434613496174426</v>
      </c>
      <c r="T226" s="69">
        <f t="shared" ca="1" si="51"/>
        <v>0.59768368214777068</v>
      </c>
      <c r="U226" s="69">
        <f t="shared" ca="1" si="52"/>
        <v>-0.2670311004282182</v>
      </c>
      <c r="V226" s="69">
        <f t="shared" ca="1" si="53"/>
        <v>-0.7602656030469126</v>
      </c>
      <c r="W226" s="69">
        <f t="shared" ca="1" si="54"/>
        <v>-0.53932114696740419</v>
      </c>
      <c r="X226" s="69">
        <f t="shared" ca="1" si="55"/>
        <v>-4.4440376594745763E-2</v>
      </c>
    </row>
    <row r="227" spans="2:24" x14ac:dyDescent="0.2">
      <c r="B227" s="69">
        <f t="shared" ca="1" si="44"/>
        <v>-2.0953776727326323</v>
      </c>
      <c r="C227" s="69">
        <f t="shared" ca="1" si="56"/>
        <v>0.13200552400810805</v>
      </c>
      <c r="D227" s="69">
        <f t="shared" ca="1" si="56"/>
        <v>-1.3198421834030938</v>
      </c>
      <c r="E227" s="69">
        <f t="shared" ca="1" si="56"/>
        <v>1.4645488753841898</v>
      </c>
      <c r="F227" s="69">
        <f t="shared" ca="1" si="56"/>
        <v>-0.69595928409871122</v>
      </c>
      <c r="G227" s="69">
        <f t="shared" ca="1" si="56"/>
        <v>-2.1853280657392029E-2</v>
      </c>
      <c r="H227" s="69">
        <f t="shared" ca="1" si="56"/>
        <v>0.52292247984481965</v>
      </c>
      <c r="I227" s="69">
        <f t="shared" ca="1" si="56"/>
        <v>-0.43318827890072087</v>
      </c>
      <c r="J227" s="69">
        <f t="shared" ca="1" si="56"/>
        <v>-1.7622851952908787</v>
      </c>
      <c r="K227" s="69">
        <f t="shared" ca="1" si="56"/>
        <v>-0.73289853194613785</v>
      </c>
      <c r="L227" s="69">
        <f t="shared" ca="1" si="56"/>
        <v>-1.240740067650772</v>
      </c>
      <c r="N227" s="69">
        <f t="shared" ca="1" si="45"/>
        <v>-2.0576096288945234</v>
      </c>
      <c r="O227" s="69">
        <f t="shared" ca="1" si="46"/>
        <v>0.10551196092522137</v>
      </c>
      <c r="P227" s="69">
        <f t="shared" ca="1" si="47"/>
        <v>-1.3775842482401839</v>
      </c>
      <c r="Q227" s="69">
        <f t="shared" ca="1" si="48"/>
        <v>1.5136575542459487</v>
      </c>
      <c r="R227" s="69">
        <f t="shared" ca="1" si="49"/>
        <v>-0.7022539695063601</v>
      </c>
      <c r="S227" s="69">
        <f t="shared" ca="1" si="50"/>
        <v>1.0973691599416451E-2</v>
      </c>
      <c r="T227" s="69">
        <f t="shared" ca="1" si="51"/>
        <v>0.51809144212962976</v>
      </c>
      <c r="U227" s="69">
        <f t="shared" ca="1" si="52"/>
        <v>-0.41014815202301119</v>
      </c>
      <c r="V227" s="69">
        <f t="shared" ca="1" si="53"/>
        <v>-1.768394788864476</v>
      </c>
      <c r="W227" s="69">
        <f t="shared" ca="1" si="54"/>
        <v>-0.73191717512203891</v>
      </c>
      <c r="X227" s="69">
        <f t="shared" ca="1" si="55"/>
        <v>-1.2135715772763365</v>
      </c>
    </row>
    <row r="228" spans="2:24" x14ac:dyDescent="0.2">
      <c r="B228" s="69">
        <f t="shared" ca="1" si="44"/>
        <v>-0.77254353859945024</v>
      </c>
      <c r="C228" s="69">
        <f t="shared" ca="1" si="56"/>
        <v>1.3559967183915524</v>
      </c>
      <c r="D228" s="69">
        <f t="shared" ca="1" si="56"/>
        <v>1.1424207056272651</v>
      </c>
      <c r="E228" s="69">
        <f t="shared" ca="1" si="56"/>
        <v>-1.55036386165555</v>
      </c>
      <c r="F228" s="69">
        <f t="shared" ca="1" si="56"/>
        <v>-0.21630842642406281</v>
      </c>
      <c r="G228" s="69">
        <f t="shared" ca="1" si="56"/>
        <v>-0.3494840661051698</v>
      </c>
      <c r="H228" s="69">
        <f t="shared" ca="1" si="56"/>
        <v>0.48533445499884947</v>
      </c>
      <c r="I228" s="69">
        <f t="shared" ca="1" si="56"/>
        <v>0.94252267564094361</v>
      </c>
      <c r="J228" s="69">
        <f t="shared" ca="1" si="56"/>
        <v>0.40054529486605911</v>
      </c>
      <c r="K228" s="69">
        <f t="shared" ca="1" si="56"/>
        <v>0.30854189115578284</v>
      </c>
      <c r="L228" s="69">
        <f t="shared" ca="1" si="56"/>
        <v>0.28171430680918153</v>
      </c>
      <c r="N228" s="69">
        <f t="shared" ca="1" si="45"/>
        <v>-0.73477549476134141</v>
      </c>
      <c r="O228" s="69">
        <f t="shared" ca="1" si="46"/>
        <v>1.3295031553086658</v>
      </c>
      <c r="P228" s="69">
        <f t="shared" ca="1" si="47"/>
        <v>1.084678640790175</v>
      </c>
      <c r="Q228" s="69">
        <f t="shared" ca="1" si="48"/>
        <v>-1.501255182793791</v>
      </c>
      <c r="R228" s="69">
        <f t="shared" ca="1" si="49"/>
        <v>-0.22260311183171172</v>
      </c>
      <c r="S228" s="69">
        <f t="shared" ca="1" si="50"/>
        <v>-0.31665709384836133</v>
      </c>
      <c r="T228" s="69">
        <f t="shared" ca="1" si="51"/>
        <v>0.48050341728365964</v>
      </c>
      <c r="U228" s="69">
        <f t="shared" ca="1" si="52"/>
        <v>0.96556280251865323</v>
      </c>
      <c r="V228" s="69">
        <f t="shared" ca="1" si="53"/>
        <v>0.3944357012924618</v>
      </c>
      <c r="W228" s="69">
        <f t="shared" ca="1" si="54"/>
        <v>0.30952324797988179</v>
      </c>
      <c r="X228" s="69">
        <f t="shared" ca="1" si="55"/>
        <v>0.308882797183617</v>
      </c>
    </row>
    <row r="229" spans="2:24" x14ac:dyDescent="0.2">
      <c r="B229" s="69">
        <f t="shared" ca="1" si="44"/>
        <v>1.1258324981396279</v>
      </c>
      <c r="C229" s="69">
        <f t="shared" ca="1" si="56"/>
        <v>-1.0919204391985919</v>
      </c>
      <c r="D229" s="69">
        <f t="shared" ca="1" si="56"/>
        <v>1.0989498542441902</v>
      </c>
      <c r="E229" s="69">
        <f t="shared" ca="1" si="56"/>
        <v>-0.80097433411790597</v>
      </c>
      <c r="F229" s="69">
        <f t="shared" ca="1" si="56"/>
        <v>1.2976428833680254</v>
      </c>
      <c r="G229" s="69">
        <f t="shared" ca="1" si="56"/>
        <v>1.8660464744484455</v>
      </c>
      <c r="H229" s="69">
        <f t="shared" ca="1" si="56"/>
        <v>-0.9955258628419682</v>
      </c>
      <c r="I229" s="69">
        <f t="shared" ca="1" si="56"/>
        <v>-2.3487274214409988</v>
      </c>
      <c r="J229" s="69">
        <f t="shared" ca="1" si="56"/>
        <v>0.48063111265160302</v>
      </c>
      <c r="K229" s="69">
        <f t="shared" ca="1" si="56"/>
        <v>-1.2730058354082723</v>
      </c>
      <c r="L229" s="69">
        <f t="shared" ca="1" si="56"/>
        <v>0.22757155545169755</v>
      </c>
      <c r="N229" s="69">
        <f t="shared" ca="1" si="45"/>
        <v>1.1636005419777367</v>
      </c>
      <c r="O229" s="69">
        <f t="shared" ca="1" si="46"/>
        <v>-1.1184140022814786</v>
      </c>
      <c r="P229" s="69">
        <f t="shared" ca="1" si="47"/>
        <v>1.0412077894071001</v>
      </c>
      <c r="Q229" s="69">
        <f t="shared" ca="1" si="48"/>
        <v>-0.75186565525614701</v>
      </c>
      <c r="R229" s="69">
        <f t="shared" ca="1" si="49"/>
        <v>1.2913481979603765</v>
      </c>
      <c r="S229" s="69">
        <f t="shared" ca="1" si="50"/>
        <v>1.8988734467052539</v>
      </c>
      <c r="T229" s="69">
        <f t="shared" ca="1" si="51"/>
        <v>-1.000356900557158</v>
      </c>
      <c r="U229" s="69">
        <f t="shared" ca="1" si="52"/>
        <v>-2.3256872945632892</v>
      </c>
      <c r="V229" s="69">
        <f t="shared" ca="1" si="53"/>
        <v>0.47452151907800572</v>
      </c>
      <c r="W229" s="69">
        <f t="shared" ca="1" si="54"/>
        <v>-1.2720244785841732</v>
      </c>
      <c r="X229" s="69">
        <f t="shared" ca="1" si="55"/>
        <v>0.25474004582613302</v>
      </c>
    </row>
    <row r="230" spans="2:24" x14ac:dyDescent="0.2">
      <c r="B230" s="69">
        <f t="shared" ca="1" si="44"/>
        <v>2.5091633434285003</v>
      </c>
      <c r="C230" s="69">
        <f t="shared" ca="1" si="56"/>
        <v>1.8235086779944707</v>
      </c>
      <c r="D230" s="69">
        <f t="shared" ca="1" si="56"/>
        <v>1.8765512601303569</v>
      </c>
      <c r="E230" s="69">
        <f t="shared" ca="1" si="56"/>
        <v>0.27448137250109811</v>
      </c>
      <c r="F230" s="69">
        <f t="shared" ca="1" si="56"/>
        <v>1.824286639272926</v>
      </c>
      <c r="G230" s="69">
        <f t="shared" ca="1" si="56"/>
        <v>0.37091471104209389</v>
      </c>
      <c r="H230" s="69">
        <f t="shared" ca="1" si="56"/>
        <v>1.0843049802357689</v>
      </c>
      <c r="I230" s="69">
        <f t="shared" ca="1" si="56"/>
        <v>0.22708675881915794</v>
      </c>
      <c r="J230" s="69">
        <f t="shared" ca="1" si="56"/>
        <v>-0.7708815444842364</v>
      </c>
      <c r="K230" s="69">
        <f t="shared" ca="1" si="56"/>
        <v>0.17780243456165784</v>
      </c>
      <c r="L230" s="69">
        <f t="shared" ca="1" si="56"/>
        <v>-1.8372789199833099</v>
      </c>
      <c r="N230" s="69">
        <f t="shared" ca="1" si="45"/>
        <v>2.5469313872666093</v>
      </c>
      <c r="O230" s="69">
        <f t="shared" ca="1" si="46"/>
        <v>1.7970151149115841</v>
      </c>
      <c r="P230" s="69">
        <f t="shared" ca="1" si="47"/>
        <v>1.8188091952932668</v>
      </c>
      <c r="Q230" s="69">
        <f t="shared" ca="1" si="48"/>
        <v>0.32359005136285707</v>
      </c>
      <c r="R230" s="69">
        <f t="shared" ca="1" si="49"/>
        <v>1.8179919538652771</v>
      </c>
      <c r="S230" s="69">
        <f t="shared" ca="1" si="50"/>
        <v>0.40374168329890237</v>
      </c>
      <c r="T230" s="69">
        <f t="shared" ca="1" si="51"/>
        <v>1.079473942520579</v>
      </c>
      <c r="U230" s="69">
        <f t="shared" ca="1" si="52"/>
        <v>0.25012688569686758</v>
      </c>
      <c r="V230" s="69">
        <f t="shared" ca="1" si="53"/>
        <v>-0.77699113805783371</v>
      </c>
      <c r="W230" s="69">
        <f t="shared" ca="1" si="54"/>
        <v>0.17878379138575679</v>
      </c>
      <c r="X230" s="69">
        <f t="shared" ca="1" si="55"/>
        <v>-1.8101104296088744</v>
      </c>
    </row>
    <row r="231" spans="2:24" x14ac:dyDescent="0.2">
      <c r="B231" s="69">
        <f t="shared" ca="1" si="44"/>
        <v>-1.0599907888972</v>
      </c>
      <c r="C231" s="69">
        <f t="shared" ca="1" si="56"/>
        <v>0.88177385851455792</v>
      </c>
      <c r="D231" s="69">
        <f t="shared" ca="1" si="56"/>
        <v>0.23469814273340309</v>
      </c>
      <c r="E231" s="69">
        <f t="shared" ca="1" si="56"/>
        <v>-0.39603863225122321</v>
      </c>
      <c r="F231" s="69">
        <f t="shared" ca="1" si="56"/>
        <v>-0.5619925243787135</v>
      </c>
      <c r="G231" s="69">
        <f t="shared" ca="1" si="56"/>
        <v>-7.165681381522325E-2</v>
      </c>
      <c r="H231" s="69">
        <f t="shared" ca="1" si="56"/>
        <v>-1.1541084834324591</v>
      </c>
      <c r="I231" s="69">
        <f t="shared" ca="1" si="56"/>
        <v>-0.7125716953431539</v>
      </c>
      <c r="J231" s="69">
        <f t="shared" ca="1" si="56"/>
        <v>0.63210163005401609</v>
      </c>
      <c r="K231" s="69">
        <f t="shared" ca="1" si="56"/>
        <v>-7.9039359036283646E-2</v>
      </c>
      <c r="L231" s="69">
        <f t="shared" ca="1" si="56"/>
        <v>1.3489811248276766</v>
      </c>
      <c r="N231" s="69">
        <f t="shared" ca="1" si="45"/>
        <v>-1.0222227450590913</v>
      </c>
      <c r="O231" s="69">
        <f t="shared" ca="1" si="46"/>
        <v>0.85528029543167128</v>
      </c>
      <c r="P231" s="69">
        <f t="shared" ca="1" si="47"/>
        <v>0.17695607789631307</v>
      </c>
      <c r="Q231" s="69">
        <f t="shared" ca="1" si="48"/>
        <v>-0.34692995338946425</v>
      </c>
      <c r="R231" s="69">
        <f t="shared" ca="1" si="49"/>
        <v>-0.56828720978636238</v>
      </c>
      <c r="S231" s="69">
        <f t="shared" ca="1" si="50"/>
        <v>-3.882984155841477E-2</v>
      </c>
      <c r="T231" s="69">
        <f t="shared" ca="1" si="51"/>
        <v>-1.158939521147649</v>
      </c>
      <c r="U231" s="69">
        <f t="shared" ca="1" si="52"/>
        <v>-0.68953156846544428</v>
      </c>
      <c r="V231" s="69">
        <f t="shared" ca="1" si="53"/>
        <v>0.62599203648041879</v>
      </c>
      <c r="W231" s="69">
        <f t="shared" ca="1" si="54"/>
        <v>-7.8058002212184702E-2</v>
      </c>
      <c r="X231" s="69">
        <f t="shared" ca="1" si="55"/>
        <v>1.3761496152021122</v>
      </c>
    </row>
    <row r="232" spans="2:24" x14ac:dyDescent="0.2">
      <c r="B232" s="69">
        <f t="shared" ca="1" si="44"/>
        <v>-1.2523161509999015</v>
      </c>
      <c r="C232" s="69">
        <f t="shared" ca="1" si="56"/>
        <v>0.7793339687682036</v>
      </c>
      <c r="D232" s="69">
        <f t="shared" ca="1" si="56"/>
        <v>-0.88558493682713912</v>
      </c>
      <c r="E232" s="69">
        <f t="shared" ca="1" si="56"/>
        <v>-1.1096562934209981</v>
      </c>
      <c r="F232" s="69">
        <f t="shared" ca="1" si="56"/>
        <v>1.2537611517542719</v>
      </c>
      <c r="G232" s="69">
        <f t="shared" ca="1" si="56"/>
        <v>0.56128127887024115</v>
      </c>
      <c r="H232" s="69">
        <f t="shared" ca="1" si="56"/>
        <v>3.9548663264625313E-2</v>
      </c>
      <c r="I232" s="69">
        <f t="shared" ca="1" si="56"/>
        <v>1.2213159826131244</v>
      </c>
      <c r="J232" s="69">
        <f t="shared" ca="1" si="56"/>
        <v>-0.58142948040863196</v>
      </c>
      <c r="K232" s="69">
        <f t="shared" ca="1" si="56"/>
        <v>3.1962866039489897E-2</v>
      </c>
      <c r="L232" s="69">
        <f t="shared" ca="1" si="56"/>
        <v>0.61104524111308123</v>
      </c>
      <c r="N232" s="69">
        <f t="shared" ca="1" si="45"/>
        <v>-1.2145481071617927</v>
      </c>
      <c r="O232" s="69">
        <f t="shared" ca="1" si="46"/>
        <v>0.75284040568531696</v>
      </c>
      <c r="P232" s="69">
        <f t="shared" ca="1" si="47"/>
        <v>-0.94332700166422911</v>
      </c>
      <c r="Q232" s="69">
        <f t="shared" ca="1" si="48"/>
        <v>-1.0605476145592392</v>
      </c>
      <c r="R232" s="69">
        <f t="shared" ca="1" si="49"/>
        <v>1.2474664663466231</v>
      </c>
      <c r="S232" s="69">
        <f t="shared" ca="1" si="50"/>
        <v>0.59410825112704968</v>
      </c>
      <c r="T232" s="69">
        <f t="shared" ca="1" si="51"/>
        <v>3.4717625549435464E-2</v>
      </c>
      <c r="U232" s="69">
        <f t="shared" ca="1" si="52"/>
        <v>1.244356109490834</v>
      </c>
      <c r="V232" s="69">
        <f t="shared" ca="1" si="53"/>
        <v>-0.58753907398222927</v>
      </c>
      <c r="W232" s="69">
        <f t="shared" ca="1" si="54"/>
        <v>3.2944222863588848E-2</v>
      </c>
      <c r="X232" s="69">
        <f t="shared" ca="1" si="55"/>
        <v>0.6382137314875167</v>
      </c>
    </row>
    <row r="233" spans="2:24" x14ac:dyDescent="0.2">
      <c r="B233" s="69">
        <f t="shared" ca="1" si="44"/>
        <v>-0.5925881429840264</v>
      </c>
      <c r="C233" s="69">
        <f t="shared" ca="1" si="56"/>
        <v>-0.55877197548085178</v>
      </c>
      <c r="D233" s="69">
        <f t="shared" ca="1" si="56"/>
        <v>0.35255858343216279</v>
      </c>
      <c r="E233" s="69">
        <f t="shared" ca="1" si="56"/>
        <v>1.8420272779732141</v>
      </c>
      <c r="F233" s="69">
        <f t="shared" ca="1" si="56"/>
        <v>-0.51907263463166509</v>
      </c>
      <c r="G233" s="69">
        <f t="shared" ca="1" si="56"/>
        <v>0.27185987845826576</v>
      </c>
      <c r="H233" s="69">
        <f t="shared" ca="1" si="56"/>
        <v>1.6198699753483148</v>
      </c>
      <c r="I233" s="69">
        <f t="shared" ca="1" si="56"/>
        <v>-0.50867924026779288</v>
      </c>
      <c r="J233" s="69">
        <f t="shared" ca="1" si="56"/>
        <v>1.6294784220699046</v>
      </c>
      <c r="K233" s="69">
        <f t="shared" ca="1" si="56"/>
        <v>0.17219320929349863</v>
      </c>
      <c r="L233" s="69">
        <f t="shared" ca="1" si="56"/>
        <v>0.81012353959184846</v>
      </c>
      <c r="N233" s="69">
        <f t="shared" ca="1" si="45"/>
        <v>-0.55482009914591757</v>
      </c>
      <c r="O233" s="69">
        <f t="shared" ca="1" si="46"/>
        <v>-0.58526553856373842</v>
      </c>
      <c r="P233" s="69">
        <f t="shared" ca="1" si="47"/>
        <v>0.29481651859507274</v>
      </c>
      <c r="Q233" s="69">
        <f t="shared" ca="1" si="48"/>
        <v>1.891135956834973</v>
      </c>
      <c r="R233" s="69">
        <f t="shared" ca="1" si="49"/>
        <v>-0.52536732003931397</v>
      </c>
      <c r="S233" s="69">
        <f t="shared" ca="1" si="50"/>
        <v>0.30468685071507423</v>
      </c>
      <c r="T233" s="69">
        <f t="shared" ca="1" si="51"/>
        <v>1.6150389376331249</v>
      </c>
      <c r="U233" s="69">
        <f t="shared" ca="1" si="52"/>
        <v>-0.4856391133900832</v>
      </c>
      <c r="V233" s="69">
        <f t="shared" ca="1" si="53"/>
        <v>1.6233688284963073</v>
      </c>
      <c r="W233" s="69">
        <f t="shared" ca="1" si="54"/>
        <v>0.17317456611759757</v>
      </c>
      <c r="X233" s="69">
        <f t="shared" ca="1" si="55"/>
        <v>0.83729202996628393</v>
      </c>
    </row>
    <row r="234" spans="2:24" x14ac:dyDescent="0.2">
      <c r="B234" s="69">
        <f t="shared" ca="1" si="44"/>
        <v>0.61206025957111831</v>
      </c>
      <c r="C234" s="69">
        <f t="shared" ca="1" si="56"/>
        <v>1.3559891680786669</v>
      </c>
      <c r="D234" s="69">
        <f t="shared" ca="1" si="56"/>
        <v>1.5980251172680593</v>
      </c>
      <c r="E234" s="69">
        <f t="shared" ca="1" si="56"/>
        <v>-0.21856426897237183</v>
      </c>
      <c r="F234" s="69">
        <f t="shared" ca="1" si="56"/>
        <v>-0.19262756741332179</v>
      </c>
      <c r="G234" s="69">
        <f t="shared" ca="1" si="56"/>
        <v>1.0059766212832253</v>
      </c>
      <c r="H234" s="69">
        <f t="shared" ca="1" si="56"/>
        <v>0.99792791973469586</v>
      </c>
      <c r="I234" s="69">
        <f t="shared" ca="1" si="56"/>
        <v>0.3269329322633463</v>
      </c>
      <c r="J234" s="69">
        <f t="shared" ca="1" si="56"/>
        <v>-2.2978507737242286</v>
      </c>
      <c r="K234" s="69">
        <f t="shared" ca="1" si="56"/>
        <v>-0.13423633795043124</v>
      </c>
      <c r="L234" s="69">
        <f t="shared" ca="1" si="56"/>
        <v>0.87597258559591584</v>
      </c>
      <c r="N234" s="69">
        <f t="shared" ca="1" si="45"/>
        <v>0.64982830340922715</v>
      </c>
      <c r="O234" s="69">
        <f t="shared" ca="1" si="46"/>
        <v>1.3294956049957802</v>
      </c>
      <c r="P234" s="69">
        <f t="shared" ca="1" si="47"/>
        <v>1.5402830524309692</v>
      </c>
      <c r="Q234" s="69">
        <f t="shared" ca="1" si="48"/>
        <v>-0.1694555901106129</v>
      </c>
      <c r="R234" s="69">
        <f t="shared" ca="1" si="49"/>
        <v>-0.1989222528209707</v>
      </c>
      <c r="S234" s="69">
        <f t="shared" ca="1" si="50"/>
        <v>1.0388035935400337</v>
      </c>
      <c r="T234" s="69">
        <f t="shared" ca="1" si="51"/>
        <v>0.99309688201950597</v>
      </c>
      <c r="U234" s="69">
        <f t="shared" ca="1" si="52"/>
        <v>0.34997305914105598</v>
      </c>
      <c r="V234" s="69">
        <f t="shared" ca="1" si="53"/>
        <v>-2.3039603672978259</v>
      </c>
      <c r="W234" s="69">
        <f t="shared" ca="1" si="54"/>
        <v>-0.1332549811263323</v>
      </c>
      <c r="X234" s="69">
        <f t="shared" ca="1" si="55"/>
        <v>0.90314107597035131</v>
      </c>
    </row>
    <row r="235" spans="2:24" x14ac:dyDescent="0.2">
      <c r="B235" s="69">
        <f t="shared" ca="1" si="44"/>
        <v>-0.53866806423875824</v>
      </c>
      <c r="C235" s="69">
        <f t="shared" ca="1" si="56"/>
        <v>-0.34191092933472661</v>
      </c>
      <c r="D235" s="69">
        <f t="shared" ca="1" si="56"/>
        <v>0.52915082583435868</v>
      </c>
      <c r="E235" s="69">
        <f t="shared" ca="1" si="56"/>
        <v>0.65554407919979552</v>
      </c>
      <c r="F235" s="69">
        <f t="shared" ca="1" si="56"/>
        <v>0.47653620562663523</v>
      </c>
      <c r="G235" s="69">
        <f t="shared" ca="1" si="56"/>
        <v>-0.11233813408459395</v>
      </c>
      <c r="H235" s="69">
        <f t="shared" ca="1" si="56"/>
        <v>-1.5314004120633204</v>
      </c>
      <c r="I235" s="69">
        <f t="shared" ca="1" si="56"/>
        <v>-0.80386913073011135</v>
      </c>
      <c r="J235" s="69">
        <f t="shared" ca="1" si="56"/>
        <v>0.45585319325738838</v>
      </c>
      <c r="K235" s="69">
        <f t="shared" ca="1" si="56"/>
        <v>-1.0395354333028186</v>
      </c>
      <c r="L235" s="69">
        <f t="shared" ca="1" si="56"/>
        <v>0.83346595594590345</v>
      </c>
      <c r="N235" s="69">
        <f t="shared" ca="1" si="45"/>
        <v>-0.5009000204006494</v>
      </c>
      <c r="O235" s="69">
        <f t="shared" ca="1" si="46"/>
        <v>-0.36840449241761331</v>
      </c>
      <c r="P235" s="69">
        <f t="shared" ca="1" si="47"/>
        <v>0.47140876099726864</v>
      </c>
      <c r="Q235" s="69">
        <f t="shared" ca="1" si="48"/>
        <v>0.70465275806155447</v>
      </c>
      <c r="R235" s="69">
        <f t="shared" ca="1" si="49"/>
        <v>0.47024152021898635</v>
      </c>
      <c r="S235" s="69">
        <f t="shared" ca="1" si="50"/>
        <v>-7.9511161827785476E-2</v>
      </c>
      <c r="T235" s="69">
        <f t="shared" ca="1" si="51"/>
        <v>-1.5362314497785103</v>
      </c>
      <c r="U235" s="69">
        <f t="shared" ca="1" si="52"/>
        <v>-0.78082900385240173</v>
      </c>
      <c r="V235" s="69">
        <f t="shared" ca="1" si="53"/>
        <v>0.44974359968379107</v>
      </c>
      <c r="W235" s="69">
        <f t="shared" ca="1" si="54"/>
        <v>-1.0385540764787196</v>
      </c>
      <c r="X235" s="69">
        <f t="shared" ca="1" si="55"/>
        <v>0.86063444632033892</v>
      </c>
    </row>
    <row r="236" spans="2:24" x14ac:dyDescent="0.2">
      <c r="B236" s="69">
        <f t="shared" ca="1" si="44"/>
        <v>1.1302747902710857</v>
      </c>
      <c r="C236" s="69">
        <f t="shared" ca="1" si="56"/>
        <v>1.5729247941361373</v>
      </c>
      <c r="D236" s="69">
        <f t="shared" ca="1" si="56"/>
        <v>-0.3039882099830149</v>
      </c>
      <c r="E236" s="69">
        <f t="shared" ca="1" si="56"/>
        <v>0.47060344201881998</v>
      </c>
      <c r="F236" s="69">
        <f t="shared" ca="1" si="56"/>
        <v>-1.3652836153003001</v>
      </c>
      <c r="G236" s="69">
        <f t="shared" ca="1" si="56"/>
        <v>4.1086731510112377E-2</v>
      </c>
      <c r="H236" s="69">
        <f t="shared" ca="1" si="56"/>
        <v>0.35462836787075908</v>
      </c>
      <c r="I236" s="69">
        <f t="shared" ca="1" si="56"/>
        <v>-0.81675207106546155</v>
      </c>
      <c r="J236" s="69">
        <f t="shared" ca="1" si="56"/>
        <v>1.1939139604470836</v>
      </c>
      <c r="K236" s="69">
        <f t="shared" ca="1" si="56"/>
        <v>-0.10975115121878989</v>
      </c>
      <c r="L236" s="69">
        <f t="shared" ca="1" si="56"/>
        <v>4.6055355303357103E-2</v>
      </c>
      <c r="N236" s="69">
        <f t="shared" ca="1" si="45"/>
        <v>1.1680428341091944</v>
      </c>
      <c r="O236" s="69">
        <f t="shared" ca="1" si="46"/>
        <v>1.5464312310532506</v>
      </c>
      <c r="P236" s="69">
        <f t="shared" ca="1" si="47"/>
        <v>-0.36173027482010495</v>
      </c>
      <c r="Q236" s="69">
        <f t="shared" ca="1" si="48"/>
        <v>0.51971212088057894</v>
      </c>
      <c r="R236" s="69">
        <f t="shared" ca="1" si="49"/>
        <v>-1.3715783007079489</v>
      </c>
      <c r="S236" s="69">
        <f t="shared" ca="1" si="50"/>
        <v>7.3913703766920857E-2</v>
      </c>
      <c r="T236" s="69">
        <f t="shared" ca="1" si="51"/>
        <v>0.34979733015556924</v>
      </c>
      <c r="U236" s="69">
        <f t="shared" ca="1" si="52"/>
        <v>-0.79371194418775193</v>
      </c>
      <c r="V236" s="69">
        <f t="shared" ca="1" si="53"/>
        <v>1.1878043668734863</v>
      </c>
      <c r="W236" s="69">
        <f t="shared" ca="1" si="54"/>
        <v>-0.10876979439469095</v>
      </c>
      <c r="X236" s="69">
        <f t="shared" ca="1" si="55"/>
        <v>7.3223845677792582E-2</v>
      </c>
    </row>
    <row r="237" spans="2:24" x14ac:dyDescent="0.2">
      <c r="B237" s="69">
        <f t="shared" ca="1" si="44"/>
        <v>-0.47500113911175457</v>
      </c>
      <c r="C237" s="69">
        <f t="shared" ca="1" si="56"/>
        <v>-8.0263591489897132E-2</v>
      </c>
      <c r="D237" s="69">
        <f t="shared" ca="1" si="56"/>
        <v>1.3344094001819502</v>
      </c>
      <c r="E237" s="69">
        <f t="shared" ca="1" si="56"/>
        <v>1.2918955896660189</v>
      </c>
      <c r="F237" s="69">
        <f t="shared" ca="1" si="56"/>
        <v>1.3553701852634823</v>
      </c>
      <c r="G237" s="69">
        <f t="shared" ca="1" si="56"/>
        <v>1.1171640016590989</v>
      </c>
      <c r="H237" s="69">
        <f t="shared" ca="1" si="56"/>
        <v>-0.27345861947426253</v>
      </c>
      <c r="I237" s="69">
        <f t="shared" ca="1" si="56"/>
        <v>2.5461746441958639</v>
      </c>
      <c r="J237" s="69">
        <f t="shared" ca="1" si="56"/>
        <v>-6.643129801370537E-2</v>
      </c>
      <c r="K237" s="69">
        <f t="shared" ca="1" si="56"/>
        <v>0.48255257389604256</v>
      </c>
      <c r="L237" s="69">
        <f t="shared" ca="1" si="56"/>
        <v>-0.37244172855914365</v>
      </c>
      <c r="N237" s="69">
        <f t="shared" ca="1" si="45"/>
        <v>-0.43723309527364573</v>
      </c>
      <c r="O237" s="69">
        <f t="shared" ca="1" si="46"/>
        <v>-0.10675715457278381</v>
      </c>
      <c r="P237" s="69">
        <f t="shared" ca="1" si="47"/>
        <v>1.2766673353448601</v>
      </c>
      <c r="Q237" s="69">
        <f t="shared" ca="1" si="48"/>
        <v>1.3410042685277779</v>
      </c>
      <c r="R237" s="69">
        <f t="shared" ca="1" si="49"/>
        <v>1.3490754998558334</v>
      </c>
      <c r="S237" s="69">
        <f t="shared" ca="1" si="50"/>
        <v>1.1499909739159073</v>
      </c>
      <c r="T237" s="69">
        <f t="shared" ca="1" si="51"/>
        <v>-0.27828965718945237</v>
      </c>
      <c r="U237" s="69">
        <f t="shared" ca="1" si="52"/>
        <v>2.5692147710735735</v>
      </c>
      <c r="V237" s="69">
        <f t="shared" ca="1" si="53"/>
        <v>-7.2540891587302703E-2</v>
      </c>
      <c r="W237" s="69">
        <f t="shared" ca="1" si="54"/>
        <v>0.4835339307201415</v>
      </c>
      <c r="X237" s="69">
        <f t="shared" ca="1" si="55"/>
        <v>-0.34527323818470818</v>
      </c>
    </row>
    <row r="238" spans="2:24" x14ac:dyDescent="0.2">
      <c r="B238" s="69">
        <f t="shared" ca="1" si="44"/>
        <v>0.99017293594105116</v>
      </c>
      <c r="C238" s="69">
        <f t="shared" ca="1" si="56"/>
        <v>1.037429132020071</v>
      </c>
      <c r="D238" s="69">
        <f t="shared" ca="1" si="56"/>
        <v>1.1406003654810641</v>
      </c>
      <c r="E238" s="69">
        <f t="shared" ca="1" si="56"/>
        <v>-1.1658641156807108</v>
      </c>
      <c r="F238" s="69">
        <f t="shared" ca="1" si="56"/>
        <v>1.8623667565281652</v>
      </c>
      <c r="G238" s="69">
        <f t="shared" ca="1" si="56"/>
        <v>-0.70285515853808611</v>
      </c>
      <c r="H238" s="69">
        <f t="shared" ca="1" si="56"/>
        <v>0.4054339241762675</v>
      </c>
      <c r="I238" s="69">
        <f t="shared" ca="1" si="56"/>
        <v>0.56282238149509345</v>
      </c>
      <c r="J238" s="69">
        <f t="shared" ca="1" si="56"/>
        <v>1.3337135582451141</v>
      </c>
      <c r="K238" s="69">
        <f t="shared" ca="1" si="56"/>
        <v>0.6359756870739226</v>
      </c>
      <c r="L238" s="69">
        <f t="shared" ca="1" si="56"/>
        <v>1.0252983111635219</v>
      </c>
      <c r="N238" s="69">
        <f t="shared" ca="1" si="45"/>
        <v>1.0279409797791599</v>
      </c>
      <c r="O238" s="69">
        <f t="shared" ca="1" si="46"/>
        <v>1.0109355689371844</v>
      </c>
      <c r="P238" s="69">
        <f t="shared" ca="1" si="47"/>
        <v>1.082858300643974</v>
      </c>
      <c r="Q238" s="69">
        <f t="shared" ca="1" si="48"/>
        <v>-1.1167554368189518</v>
      </c>
      <c r="R238" s="69">
        <f t="shared" ca="1" si="49"/>
        <v>1.8560720711205163</v>
      </c>
      <c r="S238" s="69">
        <f t="shared" ca="1" si="50"/>
        <v>-0.67002818628127758</v>
      </c>
      <c r="T238" s="69">
        <f t="shared" ca="1" si="51"/>
        <v>0.40060288646107767</v>
      </c>
      <c r="U238" s="69">
        <f t="shared" ca="1" si="52"/>
        <v>0.58586250837280307</v>
      </c>
      <c r="V238" s="69">
        <f t="shared" ca="1" si="53"/>
        <v>1.3276039646715168</v>
      </c>
      <c r="W238" s="69">
        <f t="shared" ca="1" si="54"/>
        <v>0.63695704389802155</v>
      </c>
      <c r="X238" s="69">
        <f t="shared" ca="1" si="55"/>
        <v>1.0524668015379575</v>
      </c>
    </row>
    <row r="239" spans="2:24" x14ac:dyDescent="0.2">
      <c r="B239" s="69">
        <f t="shared" ca="1" si="44"/>
        <v>2.2006256789376799</v>
      </c>
      <c r="C239" s="69">
        <f t="shared" ca="1" si="56"/>
        <v>7.6802208937466837E-2</v>
      </c>
      <c r="D239" s="69">
        <f t="shared" ca="1" si="56"/>
        <v>-0.90342649839413758</v>
      </c>
      <c r="E239" s="69">
        <f t="shared" ca="1" si="56"/>
        <v>-0.13488077937755222</v>
      </c>
      <c r="F239" s="69">
        <f t="shared" ca="1" si="56"/>
        <v>-0.16429734459662529</v>
      </c>
      <c r="G239" s="69">
        <f t="shared" ca="1" si="56"/>
        <v>-0.1110466059048537</v>
      </c>
      <c r="H239" s="69">
        <f t="shared" ca="1" si="56"/>
        <v>-0.59200323202456684</v>
      </c>
      <c r="I239" s="69">
        <f t="shared" ca="1" si="56"/>
        <v>-8.2578537325203108E-2</v>
      </c>
      <c r="J239" s="69">
        <f t="shared" ca="1" si="56"/>
        <v>-0.17217356327256353</v>
      </c>
      <c r="K239" s="69">
        <f t="shared" ca="1" si="56"/>
        <v>-0.30097031545535108</v>
      </c>
      <c r="L239" s="69">
        <f t="shared" ca="1" si="56"/>
        <v>1.6929197715702364</v>
      </c>
      <c r="N239" s="69">
        <f t="shared" ca="1" si="45"/>
        <v>2.2383937227757889</v>
      </c>
      <c r="O239" s="69">
        <f t="shared" ca="1" si="46"/>
        <v>5.0308645854580156E-2</v>
      </c>
      <c r="P239" s="69">
        <f t="shared" ca="1" si="47"/>
        <v>-0.96116856323122757</v>
      </c>
      <c r="Q239" s="69">
        <f t="shared" ca="1" si="48"/>
        <v>-8.5772100515793273E-2</v>
      </c>
      <c r="R239" s="69">
        <f t="shared" ca="1" si="49"/>
        <v>-0.1705920300042742</v>
      </c>
      <c r="S239" s="69">
        <f t="shared" ca="1" si="50"/>
        <v>-7.8219633648045211E-2</v>
      </c>
      <c r="T239" s="69">
        <f t="shared" ca="1" si="51"/>
        <v>-0.59683426973975673</v>
      </c>
      <c r="U239" s="69">
        <f t="shared" ca="1" si="52"/>
        <v>-5.9538410447493452E-2</v>
      </c>
      <c r="V239" s="69">
        <f t="shared" ca="1" si="53"/>
        <v>-0.17828315684616086</v>
      </c>
      <c r="W239" s="69">
        <f t="shared" ca="1" si="54"/>
        <v>-0.29998895863125213</v>
      </c>
      <c r="X239" s="69">
        <f t="shared" ca="1" si="55"/>
        <v>1.720088261944672</v>
      </c>
    </row>
    <row r="240" spans="2:24" x14ac:dyDescent="0.2">
      <c r="B240" s="69">
        <f t="shared" ca="1" si="44"/>
        <v>8.8862456867235026E-2</v>
      </c>
      <c r="C240" s="69">
        <f t="shared" ca="1" si="56"/>
        <v>-0.53923340241963069</v>
      </c>
      <c r="D240" s="69">
        <f t="shared" ca="1" si="56"/>
        <v>-0.69090473598365243</v>
      </c>
      <c r="E240" s="69">
        <f t="shared" ca="1" si="56"/>
        <v>0.11031295172461385</v>
      </c>
      <c r="F240" s="69">
        <f t="shared" ca="1" si="56"/>
        <v>-1.4745708324864779</v>
      </c>
      <c r="G240" s="69">
        <f t="shared" ca="1" si="56"/>
        <v>5.6426730302175682E-2</v>
      </c>
      <c r="H240" s="69">
        <f t="shared" ca="1" si="56"/>
        <v>0.5921567518898323</v>
      </c>
      <c r="I240" s="69">
        <f t="shared" ca="1" si="56"/>
        <v>-0.79259038557225414</v>
      </c>
      <c r="J240" s="69">
        <f t="shared" ca="1" si="56"/>
        <v>7.6658491887773669E-2</v>
      </c>
      <c r="K240" s="69">
        <f t="shared" ca="1" si="56"/>
        <v>0.42036476590274441</v>
      </c>
      <c r="L240" s="69">
        <f t="shared" ca="1" si="56"/>
        <v>1.648601000441807</v>
      </c>
      <c r="N240" s="69">
        <f t="shared" ca="1" si="45"/>
        <v>0.12663050070534385</v>
      </c>
      <c r="O240" s="69">
        <f t="shared" ca="1" si="46"/>
        <v>-0.56572696550251733</v>
      </c>
      <c r="P240" s="69">
        <f t="shared" ca="1" si="47"/>
        <v>-0.74864680082074242</v>
      </c>
      <c r="Q240" s="69">
        <f t="shared" ca="1" si="48"/>
        <v>0.15942163058637279</v>
      </c>
      <c r="R240" s="69">
        <f t="shared" ca="1" si="49"/>
        <v>-1.4808655178941268</v>
      </c>
      <c r="S240" s="69">
        <f t="shared" ca="1" si="50"/>
        <v>8.9253702558984155E-2</v>
      </c>
      <c r="T240" s="69">
        <f t="shared" ca="1" si="51"/>
        <v>0.58732571417464241</v>
      </c>
      <c r="U240" s="69">
        <f t="shared" ca="1" si="52"/>
        <v>-0.76955025869454452</v>
      </c>
      <c r="V240" s="69">
        <f t="shared" ca="1" si="53"/>
        <v>7.0548898314176336E-2</v>
      </c>
      <c r="W240" s="69">
        <f t="shared" ca="1" si="54"/>
        <v>0.42134612272684335</v>
      </c>
      <c r="X240" s="69">
        <f t="shared" ca="1" si="55"/>
        <v>1.6757694908162426</v>
      </c>
    </row>
    <row r="241" spans="2:24" x14ac:dyDescent="0.2">
      <c r="B241" s="69">
        <f t="shared" ca="1" si="44"/>
        <v>0.24229397437986575</v>
      </c>
      <c r="C241" s="69">
        <f t="shared" ca="1" si="56"/>
        <v>-1.5860954869132495</v>
      </c>
      <c r="D241" s="69">
        <f t="shared" ca="1" si="56"/>
        <v>1.9349170233269941</v>
      </c>
      <c r="E241" s="69">
        <f t="shared" ca="1" si="56"/>
        <v>0.44031714374696407</v>
      </c>
      <c r="F241" s="69">
        <f t="shared" ca="1" si="56"/>
        <v>0.6944227470544535</v>
      </c>
      <c r="G241" s="69">
        <f t="shared" ca="1" si="56"/>
        <v>1.0001358444541746</v>
      </c>
      <c r="H241" s="69">
        <f t="shared" ca="1" si="56"/>
        <v>0.18414077444143592</v>
      </c>
      <c r="I241" s="69">
        <f t="shared" ca="1" si="56"/>
        <v>-0.4087902802803533</v>
      </c>
      <c r="J241" s="69">
        <f t="shared" ca="1" si="56"/>
        <v>-1.6405902792939493</v>
      </c>
      <c r="K241" s="69">
        <f t="shared" ca="1" si="56"/>
        <v>1.7652998102103097</v>
      </c>
      <c r="L241" s="69">
        <f t="shared" ca="1" si="56"/>
        <v>0.24667208583245923</v>
      </c>
      <c r="N241" s="69">
        <f t="shared" ca="1" si="45"/>
        <v>0.28006201821797455</v>
      </c>
      <c r="O241" s="69">
        <f t="shared" ca="1" si="46"/>
        <v>-1.6125890499961362</v>
      </c>
      <c r="P241" s="69">
        <f t="shared" ca="1" si="47"/>
        <v>1.877174958489904</v>
      </c>
      <c r="Q241" s="69">
        <f t="shared" ca="1" si="48"/>
        <v>0.48942582260872303</v>
      </c>
      <c r="R241" s="69">
        <f t="shared" ca="1" si="49"/>
        <v>0.68812806164680462</v>
      </c>
      <c r="S241" s="69">
        <f t="shared" ca="1" si="50"/>
        <v>1.032962816710983</v>
      </c>
      <c r="T241" s="69">
        <f t="shared" ca="1" si="51"/>
        <v>0.17930973672624609</v>
      </c>
      <c r="U241" s="69">
        <f t="shared" ca="1" si="52"/>
        <v>-0.38575015340264363</v>
      </c>
      <c r="V241" s="69">
        <f t="shared" ca="1" si="53"/>
        <v>-1.6466998728675466</v>
      </c>
      <c r="W241" s="69">
        <f t="shared" ca="1" si="54"/>
        <v>1.7662811670344087</v>
      </c>
      <c r="X241" s="69">
        <f t="shared" ca="1" si="55"/>
        <v>0.27384057620689473</v>
      </c>
    </row>
    <row r="242" spans="2:24" x14ac:dyDescent="0.2">
      <c r="B242" s="69">
        <f t="shared" ca="1" si="44"/>
        <v>-0.49958504452476088</v>
      </c>
      <c r="C242" s="69">
        <f t="shared" ca="1" si="56"/>
        <v>0.56201958644941208</v>
      </c>
      <c r="D242" s="69">
        <f t="shared" ca="1" si="56"/>
        <v>1.1593591483124328</v>
      </c>
      <c r="E242" s="69">
        <f t="shared" ca="1" si="56"/>
        <v>-0.63786915799758448</v>
      </c>
      <c r="F242" s="69">
        <f t="shared" ca="1" si="56"/>
        <v>-2.8926392098492122</v>
      </c>
      <c r="G242" s="69">
        <f t="shared" ca="1" si="56"/>
        <v>1.6376788876413995</v>
      </c>
      <c r="H242" s="69">
        <f t="shared" ca="1" si="56"/>
        <v>-0.23523135445460883</v>
      </c>
      <c r="I242" s="69">
        <f t="shared" ca="1" si="56"/>
        <v>-1.1381048920936556</v>
      </c>
      <c r="J242" s="69">
        <f t="shared" ca="1" si="56"/>
        <v>0.5416537867475858</v>
      </c>
      <c r="K242" s="69">
        <f t="shared" ca="1" si="56"/>
        <v>1.1114914302469825</v>
      </c>
      <c r="L242" s="69">
        <f t="shared" ca="1" si="56"/>
        <v>0.49679540689474944</v>
      </c>
      <c r="N242" s="69">
        <f t="shared" ca="1" si="45"/>
        <v>-0.46181700068665205</v>
      </c>
      <c r="O242" s="69">
        <f t="shared" ca="1" si="46"/>
        <v>0.53552602336652544</v>
      </c>
      <c r="P242" s="69">
        <f t="shared" ca="1" si="47"/>
        <v>1.1016170834753427</v>
      </c>
      <c r="Q242" s="69">
        <f t="shared" ca="1" si="48"/>
        <v>-0.58876047913582552</v>
      </c>
      <c r="R242" s="69">
        <f t="shared" ca="1" si="49"/>
        <v>-2.8989338952568611</v>
      </c>
      <c r="S242" s="69">
        <f t="shared" ca="1" si="50"/>
        <v>1.6705058598982079</v>
      </c>
      <c r="T242" s="69">
        <f t="shared" ca="1" si="51"/>
        <v>-0.24006239216979866</v>
      </c>
      <c r="U242" s="69">
        <f t="shared" ca="1" si="52"/>
        <v>-1.115064765215946</v>
      </c>
      <c r="V242" s="69">
        <f t="shared" ca="1" si="53"/>
        <v>0.53554419317398849</v>
      </c>
      <c r="W242" s="69">
        <f t="shared" ca="1" si="54"/>
        <v>1.1124727870710815</v>
      </c>
      <c r="X242" s="69">
        <f t="shared" ca="1" si="55"/>
        <v>0.52396389726918491</v>
      </c>
    </row>
    <row r="243" spans="2:24" x14ac:dyDescent="0.2">
      <c r="B243" s="69">
        <f t="shared" ca="1" si="44"/>
        <v>0.67208260651924712</v>
      </c>
      <c r="C243" s="69">
        <f t="shared" ca="1" si="56"/>
        <v>-0.9369572329890572</v>
      </c>
      <c r="D243" s="69">
        <f t="shared" ca="1" si="56"/>
        <v>-1.550989369238335</v>
      </c>
      <c r="E243" s="69">
        <f t="shared" ca="1" si="56"/>
        <v>-1.9082725124426418</v>
      </c>
      <c r="F243" s="69">
        <f t="shared" ca="1" si="56"/>
        <v>1.1388400265470262</v>
      </c>
      <c r="G243" s="69">
        <f t="shared" ca="1" si="56"/>
        <v>-0.27999519658794314</v>
      </c>
      <c r="H243" s="69">
        <f t="shared" ca="1" si="56"/>
        <v>-0.30137605238919535</v>
      </c>
      <c r="I243" s="69">
        <f t="shared" ca="1" si="56"/>
        <v>-0.52397572887333721</v>
      </c>
      <c r="J243" s="69">
        <f t="shared" ca="1" si="56"/>
        <v>-1.1265303770557193</v>
      </c>
      <c r="K243" s="69">
        <f t="shared" ca="1" si="56"/>
        <v>-0.45797117357789996</v>
      </c>
      <c r="L243" s="69">
        <f t="shared" ca="1" si="56"/>
        <v>-0.37565053377859403</v>
      </c>
      <c r="N243" s="69">
        <f t="shared" ca="1" si="45"/>
        <v>0.70985065035735595</v>
      </c>
      <c r="O243" s="69">
        <f t="shared" ca="1" si="46"/>
        <v>-0.96345079607194384</v>
      </c>
      <c r="P243" s="69">
        <f t="shared" ca="1" si="47"/>
        <v>-1.6087314340754251</v>
      </c>
      <c r="Q243" s="69">
        <f t="shared" ca="1" si="48"/>
        <v>-1.8591638335808829</v>
      </c>
      <c r="R243" s="69">
        <f t="shared" ca="1" si="49"/>
        <v>1.1325453411393773</v>
      </c>
      <c r="S243" s="69">
        <f t="shared" ca="1" si="50"/>
        <v>-0.24716822433113467</v>
      </c>
      <c r="T243" s="69">
        <f t="shared" ca="1" si="51"/>
        <v>-0.30620709010438518</v>
      </c>
      <c r="U243" s="69">
        <f t="shared" ca="1" si="52"/>
        <v>-0.50093560199562759</v>
      </c>
      <c r="V243" s="69">
        <f t="shared" ca="1" si="53"/>
        <v>-1.1326399706293167</v>
      </c>
      <c r="W243" s="69">
        <f t="shared" ca="1" si="54"/>
        <v>-0.45698981675380101</v>
      </c>
      <c r="X243" s="69">
        <f t="shared" ca="1" si="55"/>
        <v>-0.34848204340415856</v>
      </c>
    </row>
    <row r="244" spans="2:24" x14ac:dyDescent="0.2">
      <c r="B244" s="69">
        <f t="shared" ca="1" si="44"/>
        <v>1.4322060713043894</v>
      </c>
      <c r="C244" s="69">
        <f t="shared" ca="1" si="56"/>
        <v>0.12095996060897049</v>
      </c>
      <c r="D244" s="69">
        <f t="shared" ca="1" si="56"/>
        <v>0.25025137545149484</v>
      </c>
      <c r="E244" s="69">
        <f t="shared" ca="1" si="56"/>
        <v>0.47378883075053813</v>
      </c>
      <c r="F244" s="69">
        <f t="shared" ca="1" si="56"/>
        <v>0.18270230189338049</v>
      </c>
      <c r="G244" s="69">
        <f t="shared" ca="1" si="56"/>
        <v>-1.6489236369156604</v>
      </c>
      <c r="H244" s="69">
        <f t="shared" ca="1" si="56"/>
        <v>3.6079238098273562E-2</v>
      </c>
      <c r="I244" s="69">
        <f t="shared" ca="1" si="56"/>
        <v>0.42650978105904508</v>
      </c>
      <c r="J244" s="69">
        <f t="shared" ca="1" si="56"/>
        <v>-0.70457601686903892</v>
      </c>
      <c r="K244" s="69">
        <f t="shared" ca="1" si="56"/>
        <v>-1.1415198670102671</v>
      </c>
      <c r="L244" s="69">
        <f t="shared" ca="1" si="56"/>
        <v>5.4471400204098505E-2</v>
      </c>
      <c r="N244" s="69">
        <f t="shared" ca="1" si="45"/>
        <v>1.4699741151424981</v>
      </c>
      <c r="O244" s="69">
        <f t="shared" ca="1" si="46"/>
        <v>9.4466397526083809E-2</v>
      </c>
      <c r="P244" s="69">
        <f t="shared" ca="1" si="47"/>
        <v>0.19250931061440479</v>
      </c>
      <c r="Q244" s="69">
        <f t="shared" ca="1" si="48"/>
        <v>0.52289750961229708</v>
      </c>
      <c r="R244" s="69">
        <f t="shared" ca="1" si="49"/>
        <v>0.17640761648573158</v>
      </c>
      <c r="S244" s="69">
        <f t="shared" ca="1" si="50"/>
        <v>-1.6160966646588519</v>
      </c>
      <c r="T244" s="69">
        <f t="shared" ca="1" si="51"/>
        <v>3.1248200383083718E-2</v>
      </c>
      <c r="U244" s="69">
        <f t="shared" ca="1" si="52"/>
        <v>0.44954990793675476</v>
      </c>
      <c r="V244" s="69">
        <f t="shared" ca="1" si="53"/>
        <v>-0.71068561044263623</v>
      </c>
      <c r="W244" s="69">
        <f t="shared" ca="1" si="54"/>
        <v>-1.140538510186168</v>
      </c>
      <c r="X244" s="69">
        <f t="shared" ca="1" si="55"/>
        <v>8.1639890578533991E-2</v>
      </c>
    </row>
    <row r="245" spans="2:24" x14ac:dyDescent="0.2">
      <c r="B245" s="69">
        <f t="shared" ca="1" si="44"/>
        <v>0.9437734350553082</v>
      </c>
      <c r="C245" s="69">
        <f t="shared" ca="1" si="56"/>
        <v>1.8604181905449584</v>
      </c>
      <c r="D245" s="69">
        <f t="shared" ca="1" si="56"/>
        <v>0.83904088992887627</v>
      </c>
      <c r="E245" s="69">
        <f t="shared" ca="1" si="56"/>
        <v>2.1652038253640442</v>
      </c>
      <c r="F245" s="69">
        <f t="shared" ca="1" si="56"/>
        <v>-0.30857038955370292</v>
      </c>
      <c r="G245" s="69">
        <f t="shared" ca="1" si="56"/>
        <v>-2.8140464380676171</v>
      </c>
      <c r="H245" s="69">
        <f t="shared" ca="1" si="56"/>
        <v>-1.0159280549956156</v>
      </c>
      <c r="I245" s="69">
        <f t="shared" ca="1" si="56"/>
        <v>-0.7446713203513573</v>
      </c>
      <c r="J245" s="69">
        <f t="shared" ca="1" si="56"/>
        <v>-0.53211920609179297</v>
      </c>
      <c r="K245" s="69">
        <f t="shared" ca="1" si="56"/>
        <v>0.53012438505907855</v>
      </c>
      <c r="L245" s="69">
        <f t="shared" ca="1" si="56"/>
        <v>0.41953297287037777</v>
      </c>
      <c r="N245" s="69">
        <f t="shared" ca="1" si="45"/>
        <v>0.98154147889341703</v>
      </c>
      <c r="O245" s="69">
        <f t="shared" ca="1" si="46"/>
        <v>1.8339246274620717</v>
      </c>
      <c r="P245" s="69">
        <f t="shared" ca="1" si="47"/>
        <v>0.78129882509178628</v>
      </c>
      <c r="Q245" s="69">
        <f t="shared" ca="1" si="48"/>
        <v>2.2143125042258029</v>
      </c>
      <c r="R245" s="69">
        <f t="shared" ca="1" si="49"/>
        <v>-0.3148650749613518</v>
      </c>
      <c r="S245" s="69">
        <f t="shared" ca="1" si="50"/>
        <v>-2.7812194658108087</v>
      </c>
      <c r="T245" s="69">
        <f t="shared" ca="1" si="51"/>
        <v>-1.0207590927108054</v>
      </c>
      <c r="U245" s="69">
        <f t="shared" ca="1" si="52"/>
        <v>-0.72163119347364768</v>
      </c>
      <c r="V245" s="69">
        <f t="shared" ca="1" si="53"/>
        <v>-0.53822879966539028</v>
      </c>
      <c r="W245" s="69">
        <f t="shared" ca="1" si="54"/>
        <v>0.5311057418831775</v>
      </c>
      <c r="X245" s="69">
        <f t="shared" ca="1" si="55"/>
        <v>0.44670146324481325</v>
      </c>
    </row>
    <row r="246" spans="2:24" x14ac:dyDescent="0.2">
      <c r="B246" s="69">
        <f t="shared" ca="1" si="44"/>
        <v>-0.12022387704793355</v>
      </c>
      <c r="C246" s="69">
        <f t="shared" ca="1" si="56"/>
        <v>1.8616492375955581E-2</v>
      </c>
      <c r="D246" s="69">
        <f t="shared" ca="1" si="56"/>
        <v>-0.91375773957578621</v>
      </c>
      <c r="E246" s="69">
        <f t="shared" ca="1" si="56"/>
        <v>-0.8240905020552578</v>
      </c>
      <c r="F246" s="69">
        <f t="shared" ca="1" si="56"/>
        <v>1.1181004569062016</v>
      </c>
      <c r="G246" s="69">
        <f t="shared" ca="1" si="56"/>
        <v>0.4335719550699676</v>
      </c>
      <c r="H246" s="69">
        <f t="shared" ca="1" si="56"/>
        <v>-0.3095181724749827</v>
      </c>
      <c r="I246" s="69">
        <f t="shared" ca="1" si="56"/>
        <v>-0.24838418584801583</v>
      </c>
      <c r="J246" s="69">
        <f t="shared" ca="1" si="56"/>
        <v>1.4659957897486435</v>
      </c>
      <c r="K246" s="69">
        <f t="shared" ca="1" si="56"/>
        <v>0.23614111330750942</v>
      </c>
      <c r="L246" s="69">
        <f t="shared" ca="1" si="56"/>
        <v>0.75158156145901622</v>
      </c>
      <c r="N246" s="69">
        <f t="shared" ca="1" si="45"/>
        <v>-8.2455833209824733E-2</v>
      </c>
      <c r="O246" s="69">
        <f t="shared" ca="1" si="46"/>
        <v>-7.8770707069311038E-3</v>
      </c>
      <c r="P246" s="69">
        <f t="shared" ca="1" si="47"/>
        <v>-0.9714998044128762</v>
      </c>
      <c r="Q246" s="69">
        <f t="shared" ca="1" si="48"/>
        <v>-0.77498182319349884</v>
      </c>
      <c r="R246" s="69">
        <f t="shared" ca="1" si="49"/>
        <v>1.1118057714985528</v>
      </c>
      <c r="S246" s="69">
        <f t="shared" ca="1" si="50"/>
        <v>0.46639892732677607</v>
      </c>
      <c r="T246" s="69">
        <f t="shared" ca="1" si="51"/>
        <v>-0.31434921019017253</v>
      </c>
      <c r="U246" s="69">
        <f t="shared" ca="1" si="52"/>
        <v>-0.22534405897030618</v>
      </c>
      <c r="V246" s="69">
        <f t="shared" ca="1" si="53"/>
        <v>1.4598861961750462</v>
      </c>
      <c r="W246" s="69">
        <f t="shared" ca="1" si="54"/>
        <v>0.23712247013160836</v>
      </c>
      <c r="X246" s="69">
        <f t="shared" ca="1" si="55"/>
        <v>0.7787500518334517</v>
      </c>
    </row>
    <row r="247" spans="2:24" x14ac:dyDescent="0.2">
      <c r="B247" s="69">
        <f t="shared" ca="1" si="44"/>
        <v>-2.547747965126796</v>
      </c>
      <c r="C247" s="69">
        <f t="shared" ca="1" si="56"/>
        <v>0.11899372628622443</v>
      </c>
      <c r="D247" s="69">
        <f t="shared" ca="1" si="56"/>
        <v>0.4491824657130446</v>
      </c>
      <c r="E247" s="69">
        <f t="shared" ca="1" si="56"/>
        <v>1.8975657599533629</v>
      </c>
      <c r="F247" s="69">
        <f t="shared" ca="1" si="56"/>
        <v>0.64300571859449462</v>
      </c>
      <c r="G247" s="69">
        <f t="shared" ca="1" si="56"/>
        <v>-0.14169129944522987</v>
      </c>
      <c r="H247" s="69">
        <f t="shared" ca="1" si="56"/>
        <v>-0.20221036818671334</v>
      </c>
      <c r="I247" s="69">
        <f t="shared" ca="1" si="56"/>
        <v>0.49621685947804561</v>
      </c>
      <c r="J247" s="69">
        <f t="shared" ca="1" si="56"/>
        <v>0.46696120494828613</v>
      </c>
      <c r="K247" s="69">
        <f t="shared" ca="1" si="56"/>
        <v>2.3343101949548082</v>
      </c>
      <c r="L247" s="69">
        <f t="shared" ca="1" si="56"/>
        <v>-3.1971175678364605E-2</v>
      </c>
      <c r="N247" s="69">
        <f t="shared" ca="1" si="45"/>
        <v>-2.5099799212886871</v>
      </c>
      <c r="O247" s="69">
        <f t="shared" ca="1" si="46"/>
        <v>9.2500163203337746E-2</v>
      </c>
      <c r="P247" s="69">
        <f t="shared" ca="1" si="47"/>
        <v>0.39144040087595455</v>
      </c>
      <c r="Q247" s="69">
        <f t="shared" ca="1" si="48"/>
        <v>1.9466744388151218</v>
      </c>
      <c r="R247" s="69">
        <f t="shared" ca="1" si="49"/>
        <v>0.63671103318684574</v>
      </c>
      <c r="S247" s="69">
        <f t="shared" ca="1" si="50"/>
        <v>-0.1088643271884214</v>
      </c>
      <c r="T247" s="69">
        <f t="shared" ca="1" si="51"/>
        <v>-0.20704140590190317</v>
      </c>
      <c r="U247" s="69">
        <f t="shared" ca="1" si="52"/>
        <v>0.51925698635575523</v>
      </c>
      <c r="V247" s="69">
        <f t="shared" ca="1" si="53"/>
        <v>0.46085161137468883</v>
      </c>
      <c r="W247" s="69">
        <f t="shared" ca="1" si="54"/>
        <v>2.3352915517789072</v>
      </c>
      <c r="X247" s="69">
        <f t="shared" ca="1" si="55"/>
        <v>-4.8026853039291259E-3</v>
      </c>
    </row>
    <row r="248" spans="2:24" x14ac:dyDescent="0.2">
      <c r="B248" s="69">
        <f t="shared" ca="1" si="44"/>
        <v>-0.64552756078139117</v>
      </c>
      <c r="C248" s="69">
        <f t="shared" ca="1" si="56"/>
        <v>2.0990247987952637</v>
      </c>
      <c r="D248" s="69">
        <f t="shared" ref="C248:L311" ca="1" si="57">NORMINV(RAND(),$C$7,$F$7)</f>
        <v>2.0446175587957121</v>
      </c>
      <c r="E248" s="69">
        <f t="shared" ca="1" si="57"/>
        <v>-0.36329493376146355</v>
      </c>
      <c r="F248" s="69">
        <f t="shared" ca="1" si="57"/>
        <v>-0.44398357881170025</v>
      </c>
      <c r="G248" s="69">
        <f t="shared" ca="1" si="57"/>
        <v>1.2964449892821879</v>
      </c>
      <c r="H248" s="69">
        <f t="shared" ca="1" si="57"/>
        <v>-0.17466752524522272</v>
      </c>
      <c r="I248" s="69">
        <f t="shared" ca="1" si="57"/>
        <v>-2.6675365641450576E-2</v>
      </c>
      <c r="J248" s="69">
        <f t="shared" ca="1" si="57"/>
        <v>-0.60552382796448068</v>
      </c>
      <c r="K248" s="69">
        <f t="shared" ca="1" si="57"/>
        <v>-1.0783743187133517</v>
      </c>
      <c r="L248" s="69">
        <f t="shared" ca="1" si="57"/>
        <v>0.2476872961995476</v>
      </c>
      <c r="N248" s="69">
        <f t="shared" ca="1" si="45"/>
        <v>-0.60775951694328234</v>
      </c>
      <c r="O248" s="69">
        <f t="shared" ca="1" si="46"/>
        <v>2.0725312357123769</v>
      </c>
      <c r="P248" s="69">
        <f t="shared" ca="1" si="47"/>
        <v>1.986875493958622</v>
      </c>
      <c r="Q248" s="69">
        <f t="shared" ca="1" si="48"/>
        <v>-0.31418625489970459</v>
      </c>
      <c r="R248" s="69">
        <f t="shared" ca="1" si="49"/>
        <v>-0.45027826421934913</v>
      </c>
      <c r="S248" s="69">
        <f t="shared" ca="1" si="50"/>
        <v>1.3292719615389963</v>
      </c>
      <c r="T248" s="69">
        <f t="shared" ca="1" si="51"/>
        <v>-0.17949856296041256</v>
      </c>
      <c r="U248" s="69">
        <f t="shared" ca="1" si="52"/>
        <v>-3.6352387637409202E-3</v>
      </c>
      <c r="V248" s="69">
        <f t="shared" ca="1" si="53"/>
        <v>-0.61163342153807798</v>
      </c>
      <c r="W248" s="69">
        <f t="shared" ca="1" si="54"/>
        <v>-1.0773929618892526</v>
      </c>
      <c r="X248" s="69">
        <f t="shared" ca="1" si="55"/>
        <v>0.27485578657398307</v>
      </c>
    </row>
    <row r="249" spans="2:24" x14ac:dyDescent="0.2">
      <c r="B249" s="69">
        <f t="shared" ca="1" si="44"/>
        <v>1.994279686512912</v>
      </c>
      <c r="C249" s="69">
        <f t="shared" ca="1" si="57"/>
        <v>0.25348559367036677</v>
      </c>
      <c r="D249" s="69">
        <f t="shared" ca="1" si="57"/>
        <v>1.4080494239662735</v>
      </c>
      <c r="E249" s="69">
        <f t="shared" ca="1" si="57"/>
        <v>-1.0850200334667144</v>
      </c>
      <c r="F249" s="69">
        <f t="shared" ca="1" si="57"/>
        <v>0.27469972611886512</v>
      </c>
      <c r="G249" s="69">
        <f t="shared" ca="1" si="57"/>
        <v>5.2776263578736132E-2</v>
      </c>
      <c r="H249" s="69">
        <f t="shared" ca="1" si="57"/>
        <v>0.3047453213999905</v>
      </c>
      <c r="I249" s="69">
        <f t="shared" ca="1" si="57"/>
        <v>-7.3650597867089287E-2</v>
      </c>
      <c r="J249" s="69">
        <f t="shared" ca="1" si="57"/>
        <v>-7.6296921312747276E-2</v>
      </c>
      <c r="K249" s="69">
        <f t="shared" ca="1" si="57"/>
        <v>-0.49683376229346182</v>
      </c>
      <c r="L249" s="69">
        <f t="shared" ca="1" si="57"/>
        <v>1.5514028809672868</v>
      </c>
      <c r="N249" s="69">
        <f t="shared" ca="1" si="45"/>
        <v>2.0320477303510209</v>
      </c>
      <c r="O249" s="69">
        <f t="shared" ca="1" si="46"/>
        <v>0.22699203058748008</v>
      </c>
      <c r="P249" s="69">
        <f t="shared" ca="1" si="47"/>
        <v>1.3503073591291834</v>
      </c>
      <c r="Q249" s="69">
        <f t="shared" ca="1" si="48"/>
        <v>-1.0359113546049554</v>
      </c>
      <c r="R249" s="69">
        <f t="shared" ca="1" si="49"/>
        <v>0.26840504071121624</v>
      </c>
      <c r="S249" s="69">
        <f t="shared" ca="1" si="50"/>
        <v>8.5603235835544605E-2</v>
      </c>
      <c r="T249" s="69">
        <f t="shared" ca="1" si="51"/>
        <v>0.29991428368480066</v>
      </c>
      <c r="U249" s="69">
        <f t="shared" ca="1" si="52"/>
        <v>-5.0610470989379631E-2</v>
      </c>
      <c r="V249" s="69">
        <f t="shared" ca="1" si="53"/>
        <v>-8.2406514886344609E-2</v>
      </c>
      <c r="W249" s="69">
        <f t="shared" ca="1" si="54"/>
        <v>-0.49585240546936288</v>
      </c>
      <c r="X249" s="69">
        <f t="shared" ca="1" si="55"/>
        <v>1.5785713713417224</v>
      </c>
    </row>
    <row r="250" spans="2:24" x14ac:dyDescent="0.2">
      <c r="B250" s="69">
        <f t="shared" ca="1" si="44"/>
        <v>1.8405545271060397</v>
      </c>
      <c r="C250" s="69">
        <f t="shared" ca="1" si="57"/>
        <v>6.1154565067039465E-2</v>
      </c>
      <c r="D250" s="69">
        <f t="shared" ca="1" si="57"/>
        <v>-0.3217297959599259</v>
      </c>
      <c r="E250" s="69">
        <f t="shared" ca="1" si="57"/>
        <v>-1.7957080723646237</v>
      </c>
      <c r="F250" s="69">
        <f t="shared" ca="1" si="57"/>
        <v>0.68932594944463499</v>
      </c>
      <c r="G250" s="69">
        <f t="shared" ca="1" si="57"/>
        <v>0.91544746776418529</v>
      </c>
      <c r="H250" s="69">
        <f t="shared" ca="1" si="57"/>
        <v>1.6413155631290859</v>
      </c>
      <c r="I250" s="69">
        <f t="shared" ca="1" si="57"/>
        <v>0.23447053238891241</v>
      </c>
      <c r="J250" s="69">
        <f t="shared" ca="1" si="57"/>
        <v>-0.1370167482309507</v>
      </c>
      <c r="K250" s="69">
        <f t="shared" ca="1" si="57"/>
        <v>0.15207783137699052</v>
      </c>
      <c r="L250" s="69">
        <f t="shared" ca="1" si="57"/>
        <v>-0.17348091850263833</v>
      </c>
      <c r="N250" s="69">
        <f t="shared" ca="1" si="45"/>
        <v>1.8783225709441485</v>
      </c>
      <c r="O250" s="69">
        <f t="shared" ca="1" si="46"/>
        <v>3.4661001984152784E-2</v>
      </c>
      <c r="P250" s="69">
        <f t="shared" ca="1" si="47"/>
        <v>-0.37947186079701595</v>
      </c>
      <c r="Q250" s="69">
        <f t="shared" ca="1" si="48"/>
        <v>-1.7465993935028647</v>
      </c>
      <c r="R250" s="69">
        <f t="shared" ca="1" si="49"/>
        <v>0.68303126403698611</v>
      </c>
      <c r="S250" s="69">
        <f t="shared" ca="1" si="50"/>
        <v>0.94827444002099381</v>
      </c>
      <c r="T250" s="69">
        <f t="shared" ca="1" si="51"/>
        <v>1.636484525413896</v>
      </c>
      <c r="U250" s="69">
        <f t="shared" ca="1" si="52"/>
        <v>0.25751065926662209</v>
      </c>
      <c r="V250" s="69">
        <f t="shared" ca="1" si="53"/>
        <v>-0.14312634180454803</v>
      </c>
      <c r="W250" s="69">
        <f t="shared" ca="1" si="54"/>
        <v>0.15305918820108946</v>
      </c>
      <c r="X250" s="69">
        <f t="shared" ca="1" si="55"/>
        <v>-0.14631242812820286</v>
      </c>
    </row>
    <row r="251" spans="2:24" x14ac:dyDescent="0.2">
      <c r="B251" s="69">
        <f t="shared" ca="1" si="44"/>
        <v>-0.32335618423944845</v>
      </c>
      <c r="C251" s="69">
        <f t="shared" ca="1" si="57"/>
        <v>0.37773333406699183</v>
      </c>
      <c r="D251" s="69">
        <f t="shared" ca="1" si="57"/>
        <v>-0.29246346640817156</v>
      </c>
      <c r="E251" s="69">
        <f t="shared" ca="1" si="57"/>
        <v>-0.7642409995209396</v>
      </c>
      <c r="F251" s="69">
        <f t="shared" ca="1" si="57"/>
        <v>-0.38256398433256344</v>
      </c>
      <c r="G251" s="69">
        <f t="shared" ca="1" si="57"/>
        <v>0.27659090195417679</v>
      </c>
      <c r="H251" s="69">
        <f t="shared" ca="1" si="57"/>
        <v>-0.16632209236307119</v>
      </c>
      <c r="I251" s="69">
        <f t="shared" ca="1" si="57"/>
        <v>0.14787727951156243</v>
      </c>
      <c r="J251" s="69">
        <f t="shared" ca="1" si="57"/>
        <v>0.16608867678340389</v>
      </c>
      <c r="K251" s="69">
        <f t="shared" ca="1" si="57"/>
        <v>-0.87040363314647162</v>
      </c>
      <c r="L251" s="69">
        <f t="shared" ca="1" si="57"/>
        <v>0.87902060727417008</v>
      </c>
      <c r="N251" s="69">
        <f t="shared" ca="1" si="45"/>
        <v>-0.28558814040133962</v>
      </c>
      <c r="O251" s="69">
        <f t="shared" ca="1" si="46"/>
        <v>0.35123977098410514</v>
      </c>
      <c r="P251" s="69">
        <f t="shared" ca="1" si="47"/>
        <v>-0.3502055312452616</v>
      </c>
      <c r="Q251" s="69">
        <f t="shared" ca="1" si="48"/>
        <v>-0.71513232065918064</v>
      </c>
      <c r="R251" s="69">
        <f t="shared" ca="1" si="49"/>
        <v>-0.38885866974021233</v>
      </c>
      <c r="S251" s="69">
        <f t="shared" ca="1" si="50"/>
        <v>0.30941787421098527</v>
      </c>
      <c r="T251" s="69">
        <f t="shared" ca="1" si="51"/>
        <v>-0.17115313007826102</v>
      </c>
      <c r="U251" s="69">
        <f t="shared" ca="1" si="52"/>
        <v>0.17091740638927208</v>
      </c>
      <c r="V251" s="69">
        <f t="shared" ca="1" si="53"/>
        <v>0.15997908320980656</v>
      </c>
      <c r="W251" s="69">
        <f t="shared" ca="1" si="54"/>
        <v>-0.86942227632237268</v>
      </c>
      <c r="X251" s="69">
        <f t="shared" ca="1" si="55"/>
        <v>0.90618909764860556</v>
      </c>
    </row>
    <row r="252" spans="2:24" x14ac:dyDescent="0.2">
      <c r="B252" s="69">
        <f t="shared" ca="1" si="44"/>
        <v>-1.3921648411539127</v>
      </c>
      <c r="C252" s="69">
        <f t="shared" ca="1" si="57"/>
        <v>-0.8643056955490207</v>
      </c>
      <c r="D252" s="69">
        <f t="shared" ca="1" si="57"/>
        <v>-1.3748219458216815</v>
      </c>
      <c r="E252" s="69">
        <f t="shared" ca="1" si="57"/>
        <v>-0.77634422977648077</v>
      </c>
      <c r="F252" s="69">
        <f t="shared" ca="1" si="57"/>
        <v>-0.15513951065463188</v>
      </c>
      <c r="G252" s="69">
        <f t="shared" ca="1" si="57"/>
        <v>0.79063684155990677</v>
      </c>
      <c r="H252" s="69">
        <f t="shared" ca="1" si="57"/>
        <v>2.3501061243366697</v>
      </c>
      <c r="I252" s="69">
        <f t="shared" ca="1" si="57"/>
        <v>-0.74701838159845979</v>
      </c>
      <c r="J252" s="69">
        <f t="shared" ca="1" si="57"/>
        <v>2.0373463332983945</v>
      </c>
      <c r="K252" s="69">
        <f t="shared" ca="1" si="57"/>
        <v>-0.8590031121498487</v>
      </c>
      <c r="L252" s="69">
        <f t="shared" ca="1" si="57"/>
        <v>-1.779842307165131</v>
      </c>
      <c r="N252" s="69">
        <f t="shared" ca="1" si="45"/>
        <v>-1.354396797315804</v>
      </c>
      <c r="O252" s="69">
        <f t="shared" ca="1" si="46"/>
        <v>-0.89079925863190734</v>
      </c>
      <c r="P252" s="69">
        <f t="shared" ca="1" si="47"/>
        <v>-1.4325640106587716</v>
      </c>
      <c r="Q252" s="69">
        <f t="shared" ca="1" si="48"/>
        <v>-0.72723555091472181</v>
      </c>
      <c r="R252" s="69">
        <f t="shared" ca="1" si="49"/>
        <v>-0.16143419606228079</v>
      </c>
      <c r="S252" s="69">
        <f t="shared" ca="1" si="50"/>
        <v>0.8234638138167153</v>
      </c>
      <c r="T252" s="69">
        <f t="shared" ca="1" si="51"/>
        <v>2.3452750866214798</v>
      </c>
      <c r="U252" s="69">
        <f t="shared" ca="1" si="52"/>
        <v>-0.72397825472075017</v>
      </c>
      <c r="V252" s="69">
        <f t="shared" ca="1" si="53"/>
        <v>2.0312367397247972</v>
      </c>
      <c r="W252" s="69">
        <f t="shared" ca="1" si="54"/>
        <v>-0.85802175532574976</v>
      </c>
      <c r="X252" s="69">
        <f t="shared" ca="1" si="55"/>
        <v>-1.7526738167906954</v>
      </c>
    </row>
    <row r="253" spans="2:24" x14ac:dyDescent="0.2">
      <c r="B253" s="69">
        <f t="shared" ca="1" si="44"/>
        <v>0.12752792859746423</v>
      </c>
      <c r="C253" s="69">
        <f t="shared" ca="1" si="57"/>
        <v>-0.11520474336886924</v>
      </c>
      <c r="D253" s="69">
        <f t="shared" ca="1" si="57"/>
        <v>-0.91369301506363654</v>
      </c>
      <c r="E253" s="69">
        <f t="shared" ca="1" si="57"/>
        <v>-1.0300113808146183</v>
      </c>
      <c r="F253" s="69">
        <f t="shared" ca="1" si="57"/>
        <v>-0.51558051973485841</v>
      </c>
      <c r="G253" s="69">
        <f t="shared" ca="1" si="57"/>
        <v>-1.2654970786262114</v>
      </c>
      <c r="H253" s="69">
        <f t="shared" ca="1" si="57"/>
        <v>-0.63390095652184941</v>
      </c>
      <c r="I253" s="69">
        <f t="shared" ca="1" si="57"/>
        <v>-1.6696429849332965</v>
      </c>
      <c r="J253" s="69">
        <f t="shared" ca="1" si="57"/>
        <v>-0.44965995833475991</v>
      </c>
      <c r="K253" s="69">
        <f t="shared" ca="1" si="57"/>
        <v>0.74603254428389632</v>
      </c>
      <c r="L253" s="69">
        <f t="shared" ca="1" si="57"/>
        <v>1.2927240977592791</v>
      </c>
      <c r="N253" s="69">
        <f t="shared" ca="1" si="45"/>
        <v>0.16529597243557304</v>
      </c>
      <c r="O253" s="69">
        <f t="shared" ca="1" si="46"/>
        <v>-0.14169830645175593</v>
      </c>
      <c r="P253" s="69">
        <f t="shared" ca="1" si="47"/>
        <v>-0.97143507990072653</v>
      </c>
      <c r="Q253" s="69">
        <f t="shared" ca="1" si="48"/>
        <v>-0.98090270195285933</v>
      </c>
      <c r="R253" s="69">
        <f t="shared" ca="1" si="49"/>
        <v>-0.52187520514250729</v>
      </c>
      <c r="S253" s="69">
        <f t="shared" ca="1" si="50"/>
        <v>-1.232670106369403</v>
      </c>
      <c r="T253" s="69">
        <f t="shared" ca="1" si="51"/>
        <v>-0.6387319942370393</v>
      </c>
      <c r="U253" s="69">
        <f t="shared" ca="1" si="52"/>
        <v>-1.6466028580555869</v>
      </c>
      <c r="V253" s="69">
        <f t="shared" ca="1" si="53"/>
        <v>-0.45576955190835722</v>
      </c>
      <c r="W253" s="69">
        <f t="shared" ca="1" si="54"/>
        <v>0.74701390110799526</v>
      </c>
      <c r="X253" s="69">
        <f t="shared" ca="1" si="55"/>
        <v>1.3198925881337147</v>
      </c>
    </row>
    <row r="254" spans="2:24" x14ac:dyDescent="0.2">
      <c r="B254" s="69">
        <f t="shared" ca="1" si="44"/>
        <v>7.4877787434248569E-2</v>
      </c>
      <c r="C254" s="69">
        <f t="shared" ca="1" si="57"/>
        <v>-0.63524662208203109</v>
      </c>
      <c r="D254" s="69">
        <f t="shared" ca="1" si="57"/>
        <v>-1.1819554797918979</v>
      </c>
      <c r="E254" s="69">
        <f t="shared" ca="1" si="57"/>
        <v>-0.67218301372866629</v>
      </c>
      <c r="F254" s="69">
        <f t="shared" ca="1" si="57"/>
        <v>-0.32850362288050655</v>
      </c>
      <c r="G254" s="69">
        <f t="shared" ca="1" si="57"/>
        <v>-0.36529852890284459</v>
      </c>
      <c r="H254" s="69">
        <f t="shared" ca="1" si="57"/>
        <v>-2.440510356962702E-2</v>
      </c>
      <c r="I254" s="69">
        <f t="shared" ca="1" si="57"/>
        <v>0.31566269585389978</v>
      </c>
      <c r="J254" s="69">
        <f t="shared" ca="1" si="57"/>
        <v>1.8754324924174999</v>
      </c>
      <c r="K254" s="69">
        <f t="shared" ca="1" si="57"/>
        <v>0.7279431727308503</v>
      </c>
      <c r="L254" s="69">
        <f t="shared" ca="1" si="57"/>
        <v>0.18470789218241568</v>
      </c>
      <c r="N254" s="69">
        <f t="shared" ca="1" si="45"/>
        <v>0.11264583127235739</v>
      </c>
      <c r="O254" s="69">
        <f t="shared" ca="1" si="46"/>
        <v>-0.66174018516491773</v>
      </c>
      <c r="P254" s="69">
        <f t="shared" ca="1" si="47"/>
        <v>-1.239697544628988</v>
      </c>
      <c r="Q254" s="69">
        <f t="shared" ca="1" si="48"/>
        <v>-0.62307433486690733</v>
      </c>
      <c r="R254" s="69">
        <f t="shared" ca="1" si="49"/>
        <v>-0.33479830828815543</v>
      </c>
      <c r="S254" s="69">
        <f t="shared" ca="1" si="50"/>
        <v>-0.33247155664603611</v>
      </c>
      <c r="T254" s="69">
        <f t="shared" ca="1" si="51"/>
        <v>-2.9236141284816865E-2</v>
      </c>
      <c r="U254" s="69">
        <f t="shared" ca="1" si="52"/>
        <v>0.33870282273160945</v>
      </c>
      <c r="V254" s="69">
        <f t="shared" ca="1" si="53"/>
        <v>1.8693228988439026</v>
      </c>
      <c r="W254" s="69">
        <f t="shared" ca="1" si="54"/>
        <v>0.72892452955494924</v>
      </c>
      <c r="X254" s="69">
        <f t="shared" ca="1" si="55"/>
        <v>0.21187638255685115</v>
      </c>
    </row>
    <row r="255" spans="2:24" x14ac:dyDescent="0.2">
      <c r="B255" s="69">
        <f t="shared" ca="1" si="44"/>
        <v>1.0818886812860777</v>
      </c>
      <c r="C255" s="69">
        <f t="shared" ca="1" si="57"/>
        <v>-0.17698729989532955</v>
      </c>
      <c r="D255" s="69">
        <f t="shared" ca="1" si="57"/>
        <v>0.21024211243160634</v>
      </c>
      <c r="E255" s="69">
        <f t="shared" ca="1" si="57"/>
        <v>0.74354058203761286</v>
      </c>
      <c r="F255" s="69">
        <f t="shared" ca="1" si="57"/>
        <v>1.5889478273672664</v>
      </c>
      <c r="G255" s="69">
        <f t="shared" ca="1" si="57"/>
        <v>-0.38048041067500227</v>
      </c>
      <c r="H255" s="69">
        <f t="shared" ca="1" si="57"/>
        <v>0.8034661767715584</v>
      </c>
      <c r="I255" s="69">
        <f t="shared" ca="1" si="57"/>
        <v>0.55845153287800575</v>
      </c>
      <c r="J255" s="69">
        <f t="shared" ca="1" si="57"/>
        <v>-1.1415476401406126</v>
      </c>
      <c r="K255" s="69">
        <f t="shared" ca="1" si="57"/>
        <v>1.6860450107763985</v>
      </c>
      <c r="L255" s="69">
        <f t="shared" ca="1" si="57"/>
        <v>-2.5990477926583875</v>
      </c>
      <c r="N255" s="69">
        <f t="shared" ca="1" si="45"/>
        <v>1.1196567251241865</v>
      </c>
      <c r="O255" s="69">
        <f t="shared" ca="1" si="46"/>
        <v>-0.20348086297821624</v>
      </c>
      <c r="P255" s="69">
        <f t="shared" ca="1" si="47"/>
        <v>0.1525000475945163</v>
      </c>
      <c r="Q255" s="69">
        <f t="shared" ca="1" si="48"/>
        <v>0.79264926089937182</v>
      </c>
      <c r="R255" s="69">
        <f t="shared" ca="1" si="49"/>
        <v>1.5826531419596175</v>
      </c>
      <c r="S255" s="69">
        <f t="shared" ca="1" si="50"/>
        <v>-0.34765343841819379</v>
      </c>
      <c r="T255" s="69">
        <f t="shared" ca="1" si="51"/>
        <v>0.79863513905636851</v>
      </c>
      <c r="U255" s="69">
        <f t="shared" ca="1" si="52"/>
        <v>0.58149165975571537</v>
      </c>
      <c r="V255" s="69">
        <f t="shared" ca="1" si="53"/>
        <v>-1.1476572337142099</v>
      </c>
      <c r="W255" s="69">
        <f t="shared" ca="1" si="54"/>
        <v>1.6870263676004975</v>
      </c>
      <c r="X255" s="69">
        <f t="shared" ca="1" si="55"/>
        <v>-2.5718793022839521</v>
      </c>
    </row>
    <row r="256" spans="2:24" x14ac:dyDescent="0.2">
      <c r="B256" s="69">
        <f t="shared" ca="1" si="44"/>
        <v>0.3864098810220199</v>
      </c>
      <c r="C256" s="69">
        <f t="shared" ca="1" si="57"/>
        <v>-0.52397114522842292</v>
      </c>
      <c r="D256" s="69">
        <f t="shared" ca="1" si="57"/>
        <v>-0.12157073736831321</v>
      </c>
      <c r="E256" s="69">
        <f t="shared" ca="1" si="57"/>
        <v>-1.3423446454134909</v>
      </c>
      <c r="F256" s="69">
        <f t="shared" ca="1" si="57"/>
        <v>1.2273602572445146</v>
      </c>
      <c r="G256" s="69">
        <f t="shared" ca="1" si="57"/>
        <v>-0.69690669639562497</v>
      </c>
      <c r="H256" s="69">
        <f t="shared" ca="1" si="57"/>
        <v>0.24182533256244118</v>
      </c>
      <c r="I256" s="69">
        <f t="shared" ca="1" si="57"/>
        <v>-2.474799816149746</v>
      </c>
      <c r="J256" s="69">
        <f t="shared" ca="1" si="57"/>
        <v>0.80367249926367379</v>
      </c>
      <c r="K256" s="69">
        <f t="shared" ca="1" si="57"/>
        <v>-1.2062741477614838</v>
      </c>
      <c r="L256" s="69">
        <f t="shared" ca="1" si="57"/>
        <v>0.1975435626620676</v>
      </c>
      <c r="N256" s="69">
        <f t="shared" ca="1" si="45"/>
        <v>0.42417792486012873</v>
      </c>
      <c r="O256" s="69">
        <f t="shared" ca="1" si="46"/>
        <v>-0.55046470831130956</v>
      </c>
      <c r="P256" s="69">
        <f t="shared" ca="1" si="47"/>
        <v>-0.17931280220540324</v>
      </c>
      <c r="Q256" s="69">
        <f t="shared" ca="1" si="48"/>
        <v>-1.2932359665517319</v>
      </c>
      <c r="R256" s="69">
        <f t="shared" ca="1" si="49"/>
        <v>1.2210655718368657</v>
      </c>
      <c r="S256" s="69">
        <f t="shared" ca="1" si="50"/>
        <v>-0.66407972413881644</v>
      </c>
      <c r="T256" s="69">
        <f t="shared" ca="1" si="51"/>
        <v>0.23699429484725135</v>
      </c>
      <c r="U256" s="69">
        <f t="shared" ca="1" si="52"/>
        <v>-2.4517596892720364</v>
      </c>
      <c r="V256" s="69">
        <f t="shared" ca="1" si="53"/>
        <v>0.79756290569007648</v>
      </c>
      <c r="W256" s="69">
        <f t="shared" ca="1" si="54"/>
        <v>-1.2052927909373847</v>
      </c>
      <c r="X256" s="69">
        <f t="shared" ca="1" si="55"/>
        <v>0.22471205303650307</v>
      </c>
    </row>
    <row r="257" spans="2:24" x14ac:dyDescent="0.2">
      <c r="B257" s="69">
        <f t="shared" ca="1" si="44"/>
        <v>-1.2878675444587702</v>
      </c>
      <c r="C257" s="69">
        <f t="shared" ca="1" si="57"/>
        <v>0.35786889558184992</v>
      </c>
      <c r="D257" s="69">
        <f t="shared" ca="1" si="57"/>
        <v>-1.6762872845487917</v>
      </c>
      <c r="E257" s="69">
        <f t="shared" ca="1" si="57"/>
        <v>-0.39277375572297707</v>
      </c>
      <c r="F257" s="69">
        <f t="shared" ca="1" si="57"/>
        <v>1.3203564140105595</v>
      </c>
      <c r="G257" s="69">
        <f t="shared" ca="1" si="57"/>
        <v>1.0305825687500751</v>
      </c>
      <c r="H257" s="69">
        <f t="shared" ca="1" si="57"/>
        <v>0.60162904495406144</v>
      </c>
      <c r="I257" s="69">
        <f t="shared" ca="1" si="57"/>
        <v>-0.140138179995074</v>
      </c>
      <c r="J257" s="69">
        <f t="shared" ca="1" si="57"/>
        <v>-1.6481975814014234</v>
      </c>
      <c r="K257" s="69">
        <f t="shared" ca="1" si="57"/>
        <v>0.2579743466013491</v>
      </c>
      <c r="L257" s="69">
        <f t="shared" ca="1" si="57"/>
        <v>-0.19193732044665074</v>
      </c>
      <c r="N257" s="69">
        <f t="shared" ca="1" si="45"/>
        <v>-1.2500995006206614</v>
      </c>
      <c r="O257" s="69">
        <f t="shared" ca="1" si="46"/>
        <v>0.33137533249896323</v>
      </c>
      <c r="P257" s="69">
        <f t="shared" ca="1" si="47"/>
        <v>-1.7340293493858818</v>
      </c>
      <c r="Q257" s="69">
        <f t="shared" ca="1" si="48"/>
        <v>-0.34366507686121811</v>
      </c>
      <c r="R257" s="69">
        <f t="shared" ca="1" si="49"/>
        <v>1.3140617286029106</v>
      </c>
      <c r="S257" s="69">
        <f t="shared" ca="1" si="50"/>
        <v>1.0634095410068836</v>
      </c>
      <c r="T257" s="69">
        <f t="shared" ca="1" si="51"/>
        <v>0.59679800723887155</v>
      </c>
      <c r="U257" s="69">
        <f t="shared" ca="1" si="52"/>
        <v>-0.11709805311736435</v>
      </c>
      <c r="V257" s="69">
        <f t="shared" ca="1" si="53"/>
        <v>-1.6543071749750207</v>
      </c>
      <c r="W257" s="69">
        <f t="shared" ca="1" si="54"/>
        <v>0.25895570342544805</v>
      </c>
      <c r="X257" s="69">
        <f t="shared" ca="1" si="55"/>
        <v>-0.16476883007221527</v>
      </c>
    </row>
    <row r="258" spans="2:24" x14ac:dyDescent="0.2">
      <c r="B258" s="69">
        <f t="shared" ca="1" si="44"/>
        <v>-1.1855795092135373</v>
      </c>
      <c r="C258" s="69">
        <f t="shared" ca="1" si="57"/>
        <v>-0.15860380133798724</v>
      </c>
      <c r="D258" s="69">
        <f t="shared" ca="1" si="57"/>
        <v>-0.1226414049122382</v>
      </c>
      <c r="E258" s="69">
        <f t="shared" ca="1" si="57"/>
        <v>1.0870145796136519</v>
      </c>
      <c r="F258" s="69">
        <f t="shared" ca="1" si="57"/>
        <v>0.59218770998107995</v>
      </c>
      <c r="G258" s="69">
        <f t="shared" ca="1" si="57"/>
        <v>-0.75673077579274239</v>
      </c>
      <c r="H258" s="69">
        <f t="shared" ca="1" si="57"/>
        <v>-0.20827650955949284</v>
      </c>
      <c r="I258" s="69">
        <f t="shared" ca="1" si="57"/>
        <v>0.42264599395833091</v>
      </c>
      <c r="J258" s="69">
        <f t="shared" ca="1" si="57"/>
        <v>-0.10503274371953544</v>
      </c>
      <c r="K258" s="69">
        <f t="shared" ca="1" si="57"/>
        <v>2.3079526637637735</v>
      </c>
      <c r="L258" s="69">
        <f t="shared" ca="1" si="57"/>
        <v>0.57766344389530422</v>
      </c>
      <c r="N258" s="69">
        <f t="shared" ca="1" si="45"/>
        <v>-1.1478114653754286</v>
      </c>
      <c r="O258" s="69">
        <f t="shared" ca="1" si="46"/>
        <v>-0.18509736442087393</v>
      </c>
      <c r="P258" s="69">
        <f t="shared" ca="1" si="47"/>
        <v>-0.18038346974932823</v>
      </c>
      <c r="Q258" s="69">
        <f t="shared" ca="1" si="48"/>
        <v>1.1361232584754108</v>
      </c>
      <c r="R258" s="69">
        <f t="shared" ca="1" si="49"/>
        <v>0.58589302457343106</v>
      </c>
      <c r="S258" s="69">
        <f t="shared" ca="1" si="50"/>
        <v>-0.72390380353593387</v>
      </c>
      <c r="T258" s="69">
        <f t="shared" ca="1" si="51"/>
        <v>-0.21310754727468267</v>
      </c>
      <c r="U258" s="69">
        <f t="shared" ca="1" si="52"/>
        <v>0.44568612083604059</v>
      </c>
      <c r="V258" s="69">
        <f t="shared" ca="1" si="53"/>
        <v>-0.11114233729313278</v>
      </c>
      <c r="W258" s="69">
        <f t="shared" ca="1" si="54"/>
        <v>2.3089340205878726</v>
      </c>
      <c r="X258" s="69">
        <f t="shared" ca="1" si="55"/>
        <v>0.60483193426973969</v>
      </c>
    </row>
    <row r="259" spans="2:24" x14ac:dyDescent="0.2">
      <c r="B259" s="69">
        <f t="shared" ca="1" si="44"/>
        <v>-0.6767346504551911</v>
      </c>
      <c r="C259" s="69">
        <f t="shared" ca="1" si="57"/>
        <v>-0.31654818026136017</v>
      </c>
      <c r="D259" s="69">
        <f t="shared" ca="1" si="57"/>
        <v>-1.126030364813253</v>
      </c>
      <c r="E259" s="69">
        <f t="shared" ca="1" si="57"/>
        <v>-2.6534161428460115</v>
      </c>
      <c r="F259" s="69">
        <f t="shared" ca="1" si="57"/>
        <v>0.32035041379563528</v>
      </c>
      <c r="G259" s="69">
        <f t="shared" ca="1" si="57"/>
        <v>2.5738833054646939E-2</v>
      </c>
      <c r="H259" s="69">
        <f t="shared" ca="1" si="57"/>
        <v>0.38080892871403349</v>
      </c>
      <c r="I259" s="69">
        <f t="shared" ca="1" si="57"/>
        <v>0.96595224974555771</v>
      </c>
      <c r="J259" s="69">
        <f t="shared" ca="1" si="57"/>
        <v>0.44232103903089992</v>
      </c>
      <c r="K259" s="69">
        <f t="shared" ca="1" si="57"/>
        <v>-0.3806469094659537</v>
      </c>
      <c r="L259" s="69">
        <f t="shared" ca="1" si="57"/>
        <v>-0.86321466241037947</v>
      </c>
      <c r="N259" s="69">
        <f t="shared" ca="1" si="45"/>
        <v>-0.63896660661708227</v>
      </c>
      <c r="O259" s="69">
        <f t="shared" ca="1" si="46"/>
        <v>-0.34304174334424686</v>
      </c>
      <c r="P259" s="69">
        <f t="shared" ca="1" si="47"/>
        <v>-1.1837724296503431</v>
      </c>
      <c r="Q259" s="69">
        <f t="shared" ca="1" si="48"/>
        <v>-2.6043074639842527</v>
      </c>
      <c r="R259" s="69">
        <f t="shared" ca="1" si="49"/>
        <v>0.3140557283879864</v>
      </c>
      <c r="S259" s="69">
        <f t="shared" ca="1" si="50"/>
        <v>5.8565805311455416E-2</v>
      </c>
      <c r="T259" s="69">
        <f t="shared" ca="1" si="51"/>
        <v>0.37597789099884366</v>
      </c>
      <c r="U259" s="69">
        <f t="shared" ca="1" si="52"/>
        <v>0.98899237662326733</v>
      </c>
      <c r="V259" s="69">
        <f t="shared" ca="1" si="53"/>
        <v>0.43621144545730262</v>
      </c>
      <c r="W259" s="69">
        <f t="shared" ca="1" si="54"/>
        <v>-0.37966555264185475</v>
      </c>
      <c r="X259" s="69">
        <f t="shared" ca="1" si="55"/>
        <v>-0.836046172035944</v>
      </c>
    </row>
    <row r="260" spans="2:24" x14ac:dyDescent="0.2">
      <c r="B260" s="69">
        <f t="shared" ca="1" si="44"/>
        <v>-0.65429054947801801</v>
      </c>
      <c r="C260" s="69">
        <f t="shared" ca="1" si="57"/>
        <v>0.11535677942480388</v>
      </c>
      <c r="D260" s="69">
        <f t="shared" ca="1" si="57"/>
        <v>0.34174439758152075</v>
      </c>
      <c r="E260" s="69">
        <f t="shared" ca="1" si="57"/>
        <v>0.94625091541348205</v>
      </c>
      <c r="F260" s="69">
        <f t="shared" ca="1" si="57"/>
        <v>-0.85900046488004222</v>
      </c>
      <c r="G260" s="69">
        <f t="shared" ca="1" si="57"/>
        <v>-0.41892465273242269</v>
      </c>
      <c r="H260" s="69">
        <f t="shared" ca="1" si="57"/>
        <v>-0.7501454300198197</v>
      </c>
      <c r="I260" s="69">
        <f t="shared" ca="1" si="57"/>
        <v>0.91350656770660199</v>
      </c>
      <c r="J260" s="69">
        <f t="shared" ca="1" si="57"/>
        <v>-1.2009710774177973</v>
      </c>
      <c r="K260" s="69">
        <f t="shared" ca="1" si="57"/>
        <v>-1.7813183518795666</v>
      </c>
      <c r="L260" s="69">
        <f t="shared" ca="1" si="57"/>
        <v>-0.68502293443438667</v>
      </c>
      <c r="N260" s="69">
        <f t="shared" ca="1" si="45"/>
        <v>-0.61652250563990918</v>
      </c>
      <c r="O260" s="69">
        <f t="shared" ca="1" si="46"/>
        <v>8.8863216341917198E-2</v>
      </c>
      <c r="P260" s="69">
        <f t="shared" ca="1" si="47"/>
        <v>0.28400233274443071</v>
      </c>
      <c r="Q260" s="69">
        <f t="shared" ca="1" si="48"/>
        <v>0.99535959427524101</v>
      </c>
      <c r="R260" s="69">
        <f t="shared" ca="1" si="49"/>
        <v>-0.86529515028769111</v>
      </c>
      <c r="S260" s="69">
        <f t="shared" ca="1" si="50"/>
        <v>-0.38609768047561421</v>
      </c>
      <c r="T260" s="69">
        <f t="shared" ca="1" si="51"/>
        <v>-0.75497646773500959</v>
      </c>
      <c r="U260" s="69">
        <f t="shared" ca="1" si="52"/>
        <v>0.93654669458431161</v>
      </c>
      <c r="V260" s="69">
        <f t="shared" ca="1" si="53"/>
        <v>-1.2070806709913946</v>
      </c>
      <c r="W260" s="69">
        <f t="shared" ca="1" si="54"/>
        <v>-1.7803369950554675</v>
      </c>
      <c r="X260" s="69">
        <f t="shared" ca="1" si="55"/>
        <v>-0.65785444405995119</v>
      </c>
    </row>
    <row r="261" spans="2:24" x14ac:dyDescent="0.2">
      <c r="B261" s="69">
        <f t="shared" ca="1" si="44"/>
        <v>-1.6749097027679698</v>
      </c>
      <c r="C261" s="69">
        <f t="shared" ca="1" si="57"/>
        <v>1.2167141993792583</v>
      </c>
      <c r="D261" s="69">
        <f t="shared" ca="1" si="57"/>
        <v>1.0457592787852235</v>
      </c>
      <c r="E261" s="69">
        <f t="shared" ca="1" si="57"/>
        <v>-0.66885860153246679</v>
      </c>
      <c r="F261" s="69">
        <f t="shared" ca="1" si="57"/>
        <v>-0.25755293066262608</v>
      </c>
      <c r="G261" s="69">
        <f t="shared" ca="1" si="57"/>
        <v>0.71792685723633187</v>
      </c>
      <c r="H261" s="69">
        <f t="shared" ca="1" si="57"/>
        <v>-1.0879440750658855</v>
      </c>
      <c r="I261" s="69">
        <f t="shared" ca="1" si="57"/>
        <v>0.43191584050613818</v>
      </c>
      <c r="J261" s="69">
        <f t="shared" ca="1" si="57"/>
        <v>-1.6044645780473137</v>
      </c>
      <c r="K261" s="69">
        <f t="shared" ca="1" si="57"/>
        <v>0.65723058691634528</v>
      </c>
      <c r="L261" s="69">
        <f t="shared" ca="1" si="57"/>
        <v>1.0489160912740014</v>
      </c>
      <c r="N261" s="69">
        <f t="shared" ca="1" si="45"/>
        <v>-1.6371416589298611</v>
      </c>
      <c r="O261" s="69">
        <f t="shared" ca="1" si="46"/>
        <v>1.1902206362963716</v>
      </c>
      <c r="P261" s="69">
        <f t="shared" ca="1" si="47"/>
        <v>0.98801721394813347</v>
      </c>
      <c r="Q261" s="69">
        <f t="shared" ca="1" si="48"/>
        <v>-0.61974992267070783</v>
      </c>
      <c r="R261" s="69">
        <f t="shared" ca="1" si="49"/>
        <v>-0.26384761607027496</v>
      </c>
      <c r="S261" s="69">
        <f t="shared" ca="1" si="50"/>
        <v>0.7507538294931404</v>
      </c>
      <c r="T261" s="69">
        <f t="shared" ca="1" si="51"/>
        <v>-1.0927751127810754</v>
      </c>
      <c r="U261" s="69">
        <f t="shared" ca="1" si="52"/>
        <v>0.45495596738384786</v>
      </c>
      <c r="V261" s="69">
        <f t="shared" ca="1" si="53"/>
        <v>-1.610574171620911</v>
      </c>
      <c r="W261" s="69">
        <f t="shared" ca="1" si="54"/>
        <v>0.65821194374044423</v>
      </c>
      <c r="X261" s="69">
        <f t="shared" ca="1" si="55"/>
        <v>1.076084581648437</v>
      </c>
    </row>
    <row r="262" spans="2:24" x14ac:dyDescent="0.2">
      <c r="B262" s="69">
        <f t="shared" ca="1" si="44"/>
        <v>1.7241120103000902</v>
      </c>
      <c r="C262" s="69">
        <f t="shared" ca="1" si="57"/>
        <v>1.2841616878123854</v>
      </c>
      <c r="D262" s="69">
        <f t="shared" ca="1" si="57"/>
        <v>-1.3105062278125301</v>
      </c>
      <c r="E262" s="69">
        <f t="shared" ca="1" si="57"/>
        <v>-2.7302029792059357</v>
      </c>
      <c r="F262" s="69">
        <f t="shared" ca="1" si="57"/>
        <v>-1.4219672570523747</v>
      </c>
      <c r="G262" s="69">
        <f t="shared" ca="1" si="57"/>
        <v>-0.40515905832703641</v>
      </c>
      <c r="H262" s="69">
        <f t="shared" ca="1" si="57"/>
        <v>0.59983612219267368</v>
      </c>
      <c r="I262" s="69">
        <f t="shared" ca="1" si="57"/>
        <v>-0.91366584008923279</v>
      </c>
      <c r="J262" s="69">
        <f t="shared" ca="1" si="57"/>
        <v>-0.66892878561762747</v>
      </c>
      <c r="K262" s="69">
        <f t="shared" ca="1" si="57"/>
        <v>-1.5258976351348532</v>
      </c>
      <c r="L262" s="69">
        <f t="shared" ca="1" si="57"/>
        <v>-1.8604028210828225</v>
      </c>
      <c r="N262" s="69">
        <f t="shared" ca="1" si="45"/>
        <v>1.7618800541381989</v>
      </c>
      <c r="O262" s="69">
        <f t="shared" ca="1" si="46"/>
        <v>1.2576681247294987</v>
      </c>
      <c r="P262" s="69">
        <f t="shared" ca="1" si="47"/>
        <v>-1.3682482926496202</v>
      </c>
      <c r="Q262" s="69">
        <f t="shared" ca="1" si="48"/>
        <v>-2.681094300344177</v>
      </c>
      <c r="R262" s="69">
        <f t="shared" ca="1" si="49"/>
        <v>-1.4282619424600236</v>
      </c>
      <c r="S262" s="69">
        <f t="shared" ca="1" si="50"/>
        <v>-0.37233208607022794</v>
      </c>
      <c r="T262" s="69">
        <f t="shared" ca="1" si="51"/>
        <v>0.59500508447748379</v>
      </c>
      <c r="U262" s="69">
        <f t="shared" ca="1" si="52"/>
        <v>-0.89062571321152317</v>
      </c>
      <c r="V262" s="69">
        <f t="shared" ca="1" si="53"/>
        <v>-0.67503837919122478</v>
      </c>
      <c r="W262" s="69">
        <f t="shared" ca="1" si="54"/>
        <v>-1.5249162783107542</v>
      </c>
      <c r="X262" s="69">
        <f t="shared" ca="1" si="55"/>
        <v>-1.8332343307083869</v>
      </c>
    </row>
    <row r="263" spans="2:24" x14ac:dyDescent="0.2">
      <c r="B263" s="69">
        <f t="shared" ca="1" si="44"/>
        <v>-1.1597608758125419</v>
      </c>
      <c r="C263" s="69">
        <f t="shared" ca="1" si="57"/>
        <v>-4.8923429048668747E-2</v>
      </c>
      <c r="D263" s="69">
        <f t="shared" ca="1" si="57"/>
        <v>-0.68004584911417076</v>
      </c>
      <c r="E263" s="69">
        <f t="shared" ca="1" si="57"/>
        <v>0.38157407448217134</v>
      </c>
      <c r="F263" s="69">
        <f t="shared" ca="1" si="57"/>
        <v>-0.58584517754139875</v>
      </c>
      <c r="G263" s="69">
        <f t="shared" ca="1" si="57"/>
        <v>-4.9637749621597733E-2</v>
      </c>
      <c r="H263" s="69">
        <f t="shared" ca="1" si="57"/>
        <v>1.01379003735823</v>
      </c>
      <c r="I263" s="69">
        <f t="shared" ca="1" si="57"/>
        <v>-0.66930086981482839</v>
      </c>
      <c r="J263" s="69">
        <f t="shared" ca="1" si="57"/>
        <v>-9.7763861976080696E-2</v>
      </c>
      <c r="K263" s="69">
        <f t="shared" ca="1" si="57"/>
        <v>2.1944930347176124</v>
      </c>
      <c r="L263" s="69">
        <f t="shared" ca="1" si="57"/>
        <v>0.27113726596511023</v>
      </c>
      <c r="N263" s="69">
        <f t="shared" ca="1" si="45"/>
        <v>-1.1219928319744332</v>
      </c>
      <c r="O263" s="69">
        <f t="shared" ca="1" si="46"/>
        <v>-7.5416992131555435E-2</v>
      </c>
      <c r="P263" s="69">
        <f t="shared" ca="1" si="47"/>
        <v>-0.73778791395126075</v>
      </c>
      <c r="Q263" s="69">
        <f t="shared" ca="1" si="48"/>
        <v>0.4306827533439303</v>
      </c>
      <c r="R263" s="69">
        <f t="shared" ca="1" si="49"/>
        <v>-0.59213986294904764</v>
      </c>
      <c r="S263" s="69">
        <f t="shared" ca="1" si="50"/>
        <v>-1.6810777364789253E-2</v>
      </c>
      <c r="T263" s="69">
        <f t="shared" ca="1" si="51"/>
        <v>1.0089589996430401</v>
      </c>
      <c r="U263" s="69">
        <f t="shared" ca="1" si="52"/>
        <v>-0.64626074293711877</v>
      </c>
      <c r="V263" s="69">
        <f t="shared" ca="1" si="53"/>
        <v>-0.10387345554967803</v>
      </c>
      <c r="W263" s="69">
        <f t="shared" ca="1" si="54"/>
        <v>2.1954743915417114</v>
      </c>
      <c r="X263" s="69">
        <f t="shared" ca="1" si="55"/>
        <v>0.2983057563395457</v>
      </c>
    </row>
    <row r="264" spans="2:24" x14ac:dyDescent="0.2">
      <c r="B264" s="69">
        <f t="shared" ca="1" si="44"/>
        <v>-1.2009202608773109</v>
      </c>
      <c r="C264" s="69">
        <f t="shared" ca="1" si="57"/>
        <v>0.56514333079772283</v>
      </c>
      <c r="D264" s="69">
        <f t="shared" ca="1" si="57"/>
        <v>0.46830068101710465</v>
      </c>
      <c r="E264" s="69">
        <f t="shared" ca="1" si="57"/>
        <v>0.32586302988277754</v>
      </c>
      <c r="F264" s="69">
        <f t="shared" ca="1" si="57"/>
        <v>0.25883665554565805</v>
      </c>
      <c r="G264" s="69">
        <f t="shared" ca="1" si="57"/>
        <v>-0.29817618788535744</v>
      </c>
      <c r="H264" s="69">
        <f t="shared" ca="1" si="57"/>
        <v>-1.4937367646161941</v>
      </c>
      <c r="I264" s="69">
        <f t="shared" ca="1" si="57"/>
        <v>-1.8674652845367767</v>
      </c>
      <c r="J264" s="69">
        <f t="shared" ca="1" si="57"/>
        <v>-0.26029768168120404</v>
      </c>
      <c r="K264" s="69">
        <f t="shared" ca="1" si="57"/>
        <v>5.0728431038871723E-2</v>
      </c>
      <c r="L264" s="69">
        <f t="shared" ca="1" si="57"/>
        <v>1.5688390795979545</v>
      </c>
      <c r="N264" s="69">
        <f t="shared" ca="1" si="45"/>
        <v>-1.1631522170392021</v>
      </c>
      <c r="O264" s="69">
        <f t="shared" ca="1" si="46"/>
        <v>0.53864976771483619</v>
      </c>
      <c r="P264" s="69">
        <f t="shared" ca="1" si="47"/>
        <v>0.4105586161800146</v>
      </c>
      <c r="Q264" s="69">
        <f t="shared" ca="1" si="48"/>
        <v>0.3749717087445365</v>
      </c>
      <c r="R264" s="69">
        <f t="shared" ca="1" si="49"/>
        <v>0.25254197013800916</v>
      </c>
      <c r="S264" s="69">
        <f t="shared" ca="1" si="50"/>
        <v>-0.26534921562854896</v>
      </c>
      <c r="T264" s="69">
        <f t="shared" ca="1" si="51"/>
        <v>-1.498567802331384</v>
      </c>
      <c r="U264" s="69">
        <f t="shared" ca="1" si="52"/>
        <v>-1.8444251576590671</v>
      </c>
      <c r="V264" s="69">
        <f t="shared" ca="1" si="53"/>
        <v>-0.26640727525480135</v>
      </c>
      <c r="W264" s="69">
        <f t="shared" ca="1" si="54"/>
        <v>5.1709787862970674E-2</v>
      </c>
      <c r="X264" s="69">
        <f t="shared" ca="1" si="55"/>
        <v>1.5960075699723901</v>
      </c>
    </row>
    <row r="265" spans="2:24" x14ac:dyDescent="0.2">
      <c r="B265" s="69">
        <f t="shared" ca="1" si="44"/>
        <v>-0.52324649949156909</v>
      </c>
      <c r="C265" s="69">
        <f t="shared" ca="1" si="57"/>
        <v>8.0201455018666795E-2</v>
      </c>
      <c r="D265" s="69">
        <f t="shared" ca="1" si="57"/>
        <v>1.3089144693257619</v>
      </c>
      <c r="E265" s="69">
        <f t="shared" ca="1" si="57"/>
        <v>0.8040324473577305</v>
      </c>
      <c r="F265" s="69">
        <f t="shared" ca="1" si="57"/>
        <v>6.5968523774484214E-2</v>
      </c>
      <c r="G265" s="69">
        <f t="shared" ca="1" si="57"/>
        <v>0.8465249759074287</v>
      </c>
      <c r="H265" s="69">
        <f t="shared" ca="1" si="57"/>
        <v>0.6416474328732622</v>
      </c>
      <c r="I265" s="69">
        <f t="shared" ca="1" si="57"/>
        <v>0.34788815816405827</v>
      </c>
      <c r="J265" s="69">
        <f t="shared" ca="1" si="57"/>
        <v>-3.1277695134232661E-2</v>
      </c>
      <c r="K265" s="69">
        <f t="shared" ca="1" si="57"/>
        <v>-1.3798952585859894</v>
      </c>
      <c r="L265" s="69">
        <f t="shared" ca="1" si="57"/>
        <v>-0.40107299892122211</v>
      </c>
      <c r="N265" s="69">
        <f t="shared" ca="1" si="45"/>
        <v>-0.48547845565346026</v>
      </c>
      <c r="O265" s="69">
        <f t="shared" ca="1" si="46"/>
        <v>5.3707891935780114E-2</v>
      </c>
      <c r="P265" s="69">
        <f t="shared" ca="1" si="47"/>
        <v>1.2511724044886718</v>
      </c>
      <c r="Q265" s="69">
        <f t="shared" ca="1" si="48"/>
        <v>0.85314112621948945</v>
      </c>
      <c r="R265" s="69">
        <f t="shared" ca="1" si="49"/>
        <v>5.9673838366835319E-2</v>
      </c>
      <c r="S265" s="69">
        <f t="shared" ca="1" si="50"/>
        <v>0.87935194816423723</v>
      </c>
      <c r="T265" s="69">
        <f t="shared" ca="1" si="51"/>
        <v>0.63681639515807231</v>
      </c>
      <c r="U265" s="69">
        <f t="shared" ca="1" si="52"/>
        <v>0.37092828504176795</v>
      </c>
      <c r="V265" s="69">
        <f t="shared" ca="1" si="53"/>
        <v>-3.7387288707829994E-2</v>
      </c>
      <c r="W265" s="69">
        <f t="shared" ca="1" si="54"/>
        <v>-1.3789139017618903</v>
      </c>
      <c r="X265" s="69">
        <f t="shared" ca="1" si="55"/>
        <v>-0.37390450854678664</v>
      </c>
    </row>
    <row r="266" spans="2:24" x14ac:dyDescent="0.2">
      <c r="B266" s="69">
        <f t="shared" ref="B266:B329" ca="1" si="58">NORMINV(RAND(),$C$7,$F$7)</f>
        <v>0.91327849054324151</v>
      </c>
      <c r="C266" s="69">
        <f t="shared" ca="1" si="57"/>
        <v>-1.969614942668358</v>
      </c>
      <c r="D266" s="69">
        <f t="shared" ca="1" si="57"/>
        <v>-1.6839132443921652</v>
      </c>
      <c r="E266" s="69">
        <f t="shared" ca="1" si="57"/>
        <v>1.3551010846264326</v>
      </c>
      <c r="F266" s="69">
        <f t="shared" ca="1" si="57"/>
        <v>-0.72142031395538819</v>
      </c>
      <c r="G266" s="69">
        <f t="shared" ca="1" si="57"/>
        <v>1.4233452590341538</v>
      </c>
      <c r="H266" s="69">
        <f t="shared" ca="1" si="57"/>
        <v>1.3646515926098108</v>
      </c>
      <c r="I266" s="69">
        <f t="shared" ca="1" si="57"/>
        <v>0.58216000659468703</v>
      </c>
      <c r="J266" s="69">
        <f t="shared" ca="1" si="57"/>
        <v>-1.1994271912406112E-2</v>
      </c>
      <c r="K266" s="69">
        <f t="shared" ca="1" si="57"/>
        <v>1.9766818941028683</v>
      </c>
      <c r="L266" s="69">
        <f t="shared" ca="1" si="57"/>
        <v>-6.6602103317784822E-2</v>
      </c>
      <c r="N266" s="69">
        <f t="shared" ref="N266:N329" ca="1" si="59">B266-$B$1010</f>
        <v>0.95104653438135034</v>
      </c>
      <c r="O266" s="69">
        <f t="shared" ref="O266:O329" ca="1" si="60">C266-$C$1010</f>
        <v>-1.9961085057512447</v>
      </c>
      <c r="P266" s="69">
        <f t="shared" ref="P266:P329" ca="1" si="61">D266-$D$1010</f>
        <v>-1.7416553092292553</v>
      </c>
      <c r="Q266" s="69">
        <f t="shared" ref="Q266:Q329" ca="1" si="62">E266-$E$1010</f>
        <v>1.4042097634881916</v>
      </c>
      <c r="R266" s="69">
        <f t="shared" ref="R266:R329" ca="1" si="63">F266-$F$1010</f>
        <v>-0.72771499936303707</v>
      </c>
      <c r="S266" s="69">
        <f t="shared" ref="S266:S329" ca="1" si="64">G266-$G$1010</f>
        <v>1.4561722312909622</v>
      </c>
      <c r="T266" s="69">
        <f t="shared" ref="T266:T329" ca="1" si="65">H266-$H$1010</f>
        <v>1.3598205548946209</v>
      </c>
      <c r="U266" s="69">
        <f t="shared" ref="U266:U329" ca="1" si="66">I266-$I$1010</f>
        <v>0.60520013347239665</v>
      </c>
      <c r="V266" s="69">
        <f t="shared" ref="V266:V329" ca="1" si="67">J266-$J$1010</f>
        <v>-1.8103865486003443E-2</v>
      </c>
      <c r="W266" s="69">
        <f t="shared" ref="W266:W329" ca="1" si="68">K266-$K$1010</f>
        <v>1.9776632509269674</v>
      </c>
      <c r="X266" s="69">
        <f t="shared" ref="X266:X329" ca="1" si="69">L266-$L$1010</f>
        <v>-3.9433612943349343E-2</v>
      </c>
    </row>
    <row r="267" spans="2:24" x14ac:dyDescent="0.2">
      <c r="B267" s="69">
        <f t="shared" ca="1" si="58"/>
        <v>-0.37618495389763756</v>
      </c>
      <c r="C267" s="69">
        <f t="shared" ca="1" si="57"/>
        <v>-1.4310177375115143</v>
      </c>
      <c r="D267" s="69">
        <f t="shared" ca="1" si="57"/>
        <v>-0.14606226258615615</v>
      </c>
      <c r="E267" s="69">
        <f t="shared" ca="1" si="57"/>
        <v>0.22424486058624726</v>
      </c>
      <c r="F267" s="69">
        <f t="shared" ca="1" si="57"/>
        <v>-2.8206372596464204</v>
      </c>
      <c r="G267" s="69">
        <f t="shared" ca="1" si="57"/>
        <v>-0.15925634969009034</v>
      </c>
      <c r="H267" s="69">
        <f t="shared" ca="1" si="57"/>
        <v>-1.1034814590656208</v>
      </c>
      <c r="I267" s="69">
        <f t="shared" ca="1" si="57"/>
        <v>-0.37456921979029706</v>
      </c>
      <c r="J267" s="69">
        <f t="shared" ca="1" si="57"/>
        <v>-1.5016472648193597</v>
      </c>
      <c r="K267" s="69">
        <f t="shared" ca="1" si="57"/>
        <v>0.26764412800132775</v>
      </c>
      <c r="L267" s="69">
        <f t="shared" ca="1" si="57"/>
        <v>-1.8391391117436049</v>
      </c>
      <c r="N267" s="69">
        <f t="shared" ca="1" si="59"/>
        <v>-0.33841691005952873</v>
      </c>
      <c r="O267" s="69">
        <f t="shared" ca="1" si="60"/>
        <v>-1.4575113005944009</v>
      </c>
      <c r="P267" s="69">
        <f t="shared" ca="1" si="61"/>
        <v>-0.20380432742324617</v>
      </c>
      <c r="Q267" s="69">
        <f t="shared" ca="1" si="62"/>
        <v>0.27335353944800622</v>
      </c>
      <c r="R267" s="69">
        <f t="shared" ca="1" si="63"/>
        <v>-2.8269319450540693</v>
      </c>
      <c r="S267" s="69">
        <f t="shared" ca="1" si="64"/>
        <v>-0.12642937743328186</v>
      </c>
      <c r="T267" s="69">
        <f t="shared" ca="1" si="65"/>
        <v>-1.1083124967808107</v>
      </c>
      <c r="U267" s="69">
        <f t="shared" ca="1" si="66"/>
        <v>-0.35152909291258738</v>
      </c>
      <c r="V267" s="69">
        <f t="shared" ca="1" si="67"/>
        <v>-1.507756858392957</v>
      </c>
      <c r="W267" s="69">
        <f t="shared" ca="1" si="68"/>
        <v>0.2686254848254267</v>
      </c>
      <c r="X267" s="69">
        <f t="shared" ca="1" si="69"/>
        <v>-1.8119706213691693</v>
      </c>
    </row>
    <row r="268" spans="2:24" x14ac:dyDescent="0.2">
      <c r="B268" s="69">
        <f t="shared" ca="1" si="58"/>
        <v>-0.28530733199066322</v>
      </c>
      <c r="C268" s="69">
        <f t="shared" ca="1" si="57"/>
        <v>-0.68022532676662961</v>
      </c>
      <c r="D268" s="69">
        <f t="shared" ca="1" si="57"/>
        <v>-0.64811820489378802</v>
      </c>
      <c r="E268" s="69">
        <f t="shared" ca="1" si="57"/>
        <v>-0.75665391759096379</v>
      </c>
      <c r="F268" s="69">
        <f t="shared" ca="1" si="57"/>
        <v>-7.9870806425264507E-2</v>
      </c>
      <c r="G268" s="69">
        <f t="shared" ca="1" si="57"/>
        <v>1.0087778227688331</v>
      </c>
      <c r="H268" s="69">
        <f t="shared" ca="1" si="57"/>
        <v>-1.5004808230816362</v>
      </c>
      <c r="I268" s="69">
        <f t="shared" ca="1" si="57"/>
        <v>1.2312939060984203</v>
      </c>
      <c r="J268" s="69">
        <f t="shared" ca="1" si="57"/>
        <v>-0.23282877553379566</v>
      </c>
      <c r="K268" s="69">
        <f t="shared" ca="1" si="57"/>
        <v>-1.3778823824327102</v>
      </c>
      <c r="L268" s="69">
        <f t="shared" ca="1" si="57"/>
        <v>0.45507397972139185</v>
      </c>
      <c r="N268" s="69">
        <f t="shared" ca="1" si="59"/>
        <v>-0.24753928815255438</v>
      </c>
      <c r="O268" s="69">
        <f t="shared" ca="1" si="60"/>
        <v>-0.70671888984951625</v>
      </c>
      <c r="P268" s="69">
        <f t="shared" ca="1" si="61"/>
        <v>-0.70586026973087801</v>
      </c>
      <c r="Q268" s="69">
        <f t="shared" ca="1" si="62"/>
        <v>-0.70754523872920483</v>
      </c>
      <c r="R268" s="69">
        <f t="shared" ca="1" si="63"/>
        <v>-8.6165491832913402E-2</v>
      </c>
      <c r="S268" s="69">
        <f t="shared" ca="1" si="64"/>
        <v>1.0416047950256415</v>
      </c>
      <c r="T268" s="69">
        <f t="shared" ca="1" si="65"/>
        <v>-1.5053118607968261</v>
      </c>
      <c r="U268" s="69">
        <f t="shared" ca="1" si="66"/>
        <v>1.2543340329761299</v>
      </c>
      <c r="V268" s="69">
        <f t="shared" ca="1" si="67"/>
        <v>-0.23893836910739299</v>
      </c>
      <c r="W268" s="69">
        <f t="shared" ca="1" si="68"/>
        <v>-1.3769010256086112</v>
      </c>
      <c r="X268" s="69">
        <f t="shared" ca="1" si="69"/>
        <v>0.48224247009582732</v>
      </c>
    </row>
    <row r="269" spans="2:24" x14ac:dyDescent="0.2">
      <c r="B269" s="69">
        <f t="shared" ca="1" si="58"/>
        <v>0.42036477730507432</v>
      </c>
      <c r="C269" s="69">
        <f t="shared" ca="1" si="57"/>
        <v>0.53888093399218651</v>
      </c>
      <c r="D269" s="69">
        <f t="shared" ca="1" si="57"/>
        <v>0.89659216295179744</v>
      </c>
      <c r="E269" s="69">
        <f t="shared" ca="1" si="57"/>
        <v>0.60342648119461095</v>
      </c>
      <c r="F269" s="69">
        <f t="shared" ca="1" si="57"/>
        <v>-1.2719886906916513</v>
      </c>
      <c r="G269" s="69">
        <f t="shared" ca="1" si="57"/>
        <v>-2.6241482022213982</v>
      </c>
      <c r="H269" s="69">
        <f t="shared" ca="1" si="57"/>
        <v>-0.47503059304257939</v>
      </c>
      <c r="I269" s="69">
        <f t="shared" ca="1" si="57"/>
        <v>-1.071689728164652</v>
      </c>
      <c r="J269" s="69">
        <f t="shared" ca="1" si="57"/>
        <v>1.2787097175283566</v>
      </c>
      <c r="K269" s="69">
        <f t="shared" ca="1" si="57"/>
        <v>0.70862179375553547</v>
      </c>
      <c r="L269" s="69">
        <f t="shared" ca="1" si="57"/>
        <v>0.62207299199059429</v>
      </c>
      <c r="N269" s="69">
        <f t="shared" ca="1" si="59"/>
        <v>0.45813282114318316</v>
      </c>
      <c r="O269" s="69">
        <f t="shared" ca="1" si="60"/>
        <v>0.51238737090929987</v>
      </c>
      <c r="P269" s="69">
        <f t="shared" ca="1" si="61"/>
        <v>0.83885009811470745</v>
      </c>
      <c r="Q269" s="69">
        <f t="shared" ca="1" si="62"/>
        <v>0.65253516005636991</v>
      </c>
      <c r="R269" s="69">
        <f t="shared" ca="1" si="63"/>
        <v>-1.2782833760993002</v>
      </c>
      <c r="S269" s="69">
        <f t="shared" ca="1" si="64"/>
        <v>-2.5913212299645898</v>
      </c>
      <c r="T269" s="69">
        <f t="shared" ca="1" si="65"/>
        <v>-0.47986163075776922</v>
      </c>
      <c r="U269" s="69">
        <f t="shared" ca="1" si="66"/>
        <v>-1.0486496012869424</v>
      </c>
      <c r="V269" s="69">
        <f t="shared" ca="1" si="67"/>
        <v>1.2726001239547593</v>
      </c>
      <c r="W269" s="69">
        <f t="shared" ca="1" si="68"/>
        <v>0.70960315057963441</v>
      </c>
      <c r="X269" s="69">
        <f t="shared" ca="1" si="69"/>
        <v>0.64924148236502977</v>
      </c>
    </row>
    <row r="270" spans="2:24" x14ac:dyDescent="0.2">
      <c r="B270" s="69">
        <f t="shared" ca="1" si="58"/>
        <v>-0.39078977374123175</v>
      </c>
      <c r="C270" s="69">
        <f t="shared" ca="1" si="57"/>
        <v>-1.3525009774198602</v>
      </c>
      <c r="D270" s="69">
        <f t="shared" ca="1" si="57"/>
        <v>-0.78931528424415898</v>
      </c>
      <c r="E270" s="69">
        <f t="shared" ca="1" si="57"/>
        <v>-1.13808764459343</v>
      </c>
      <c r="F270" s="69">
        <f t="shared" ca="1" si="57"/>
        <v>2.050060419807155</v>
      </c>
      <c r="G270" s="69">
        <f t="shared" ca="1" si="57"/>
        <v>-2.4580415066512509E-2</v>
      </c>
      <c r="H270" s="69">
        <f t="shared" ca="1" si="57"/>
        <v>-0.92209660263372906</v>
      </c>
      <c r="I270" s="69">
        <f t="shared" ca="1" si="57"/>
        <v>-1.1527628688706619</v>
      </c>
      <c r="J270" s="69">
        <f t="shared" ca="1" si="57"/>
        <v>-8.7907100431538973E-2</v>
      </c>
      <c r="K270" s="69">
        <f t="shared" ca="1" si="57"/>
        <v>0.81714202809088632</v>
      </c>
      <c r="L270" s="69">
        <f t="shared" ca="1" si="57"/>
        <v>0.94616484293658087</v>
      </c>
      <c r="N270" s="69">
        <f t="shared" ca="1" si="59"/>
        <v>-0.35302172990312292</v>
      </c>
      <c r="O270" s="69">
        <f t="shared" ca="1" si="60"/>
        <v>-1.3789945405027468</v>
      </c>
      <c r="P270" s="69">
        <f t="shared" ca="1" si="61"/>
        <v>-0.84705734908124897</v>
      </c>
      <c r="Q270" s="69">
        <f t="shared" ca="1" si="62"/>
        <v>-1.0889789657316711</v>
      </c>
      <c r="R270" s="69">
        <f t="shared" ca="1" si="63"/>
        <v>2.0437657343995062</v>
      </c>
      <c r="S270" s="69">
        <f t="shared" ca="1" si="64"/>
        <v>8.2465571902959715E-3</v>
      </c>
      <c r="T270" s="69">
        <f t="shared" ca="1" si="65"/>
        <v>-0.92692764034891895</v>
      </c>
      <c r="U270" s="69">
        <f t="shared" ca="1" si="66"/>
        <v>-1.1297227419929523</v>
      </c>
      <c r="V270" s="69">
        <f t="shared" ca="1" si="67"/>
        <v>-9.4016694005136306E-2</v>
      </c>
      <c r="W270" s="69">
        <f t="shared" ca="1" si="68"/>
        <v>0.81812338491498526</v>
      </c>
      <c r="X270" s="69">
        <f t="shared" ca="1" si="69"/>
        <v>0.97333333331101635</v>
      </c>
    </row>
    <row r="271" spans="2:24" x14ac:dyDescent="0.2">
      <c r="B271" s="69">
        <f t="shared" ca="1" si="58"/>
        <v>1.3749238829602555</v>
      </c>
      <c r="C271" s="69">
        <f t="shared" ca="1" si="57"/>
        <v>1.2154403158372995</v>
      </c>
      <c r="D271" s="69">
        <f t="shared" ca="1" si="57"/>
        <v>0.25189620064910817</v>
      </c>
      <c r="E271" s="69">
        <f t="shared" ca="1" si="57"/>
        <v>0.52258022231323487</v>
      </c>
      <c r="F271" s="69">
        <f t="shared" ca="1" si="57"/>
        <v>-0.74631611461125613</v>
      </c>
      <c r="G271" s="69">
        <f t="shared" ca="1" si="57"/>
        <v>-0.40867770677244769</v>
      </c>
      <c r="H271" s="69">
        <f t="shared" ca="1" si="57"/>
        <v>-0.49791854222709858</v>
      </c>
      <c r="I271" s="69">
        <f t="shared" ca="1" si="57"/>
        <v>-1.0078565714718375</v>
      </c>
      <c r="J271" s="69">
        <f t="shared" ca="1" si="57"/>
        <v>-8.1791916252742708E-2</v>
      </c>
      <c r="K271" s="69">
        <f t="shared" ca="1" si="57"/>
        <v>1.5019350922421915</v>
      </c>
      <c r="L271" s="69">
        <f t="shared" ca="1" si="57"/>
        <v>0.18414952029344919</v>
      </c>
      <c r="N271" s="69">
        <f t="shared" ca="1" si="59"/>
        <v>1.4126919267983642</v>
      </c>
      <c r="O271" s="69">
        <f t="shared" ca="1" si="60"/>
        <v>1.1889467527544129</v>
      </c>
      <c r="P271" s="69">
        <f t="shared" ca="1" si="61"/>
        <v>0.19415413581201812</v>
      </c>
      <c r="Q271" s="69">
        <f t="shared" ca="1" si="62"/>
        <v>0.57168890117499382</v>
      </c>
      <c r="R271" s="69">
        <f t="shared" ca="1" si="63"/>
        <v>-0.75261080001890501</v>
      </c>
      <c r="S271" s="69">
        <f t="shared" ca="1" si="64"/>
        <v>-0.37585073451563922</v>
      </c>
      <c r="T271" s="69">
        <f t="shared" ca="1" si="65"/>
        <v>-0.50274957994228842</v>
      </c>
      <c r="U271" s="69">
        <f t="shared" ca="1" si="66"/>
        <v>-0.98481644459412787</v>
      </c>
      <c r="V271" s="69">
        <f t="shared" ca="1" si="67"/>
        <v>-8.7901509826340041E-2</v>
      </c>
      <c r="W271" s="69">
        <f t="shared" ca="1" si="68"/>
        <v>1.5029164490662905</v>
      </c>
      <c r="X271" s="69">
        <f t="shared" ca="1" si="69"/>
        <v>0.21131801066788466</v>
      </c>
    </row>
    <row r="272" spans="2:24" x14ac:dyDescent="0.2">
      <c r="B272" s="69">
        <f t="shared" ca="1" si="58"/>
        <v>-0.59063833490194784</v>
      </c>
      <c r="C272" s="69">
        <f t="shared" ca="1" si="57"/>
        <v>-0.5441965295218415</v>
      </c>
      <c r="D272" s="69">
        <f t="shared" ca="1" si="57"/>
        <v>4.6811969543056511E-2</v>
      </c>
      <c r="E272" s="69">
        <f t="shared" ca="1" si="57"/>
        <v>-0.68619332584125869</v>
      </c>
      <c r="F272" s="69">
        <f t="shared" ca="1" si="57"/>
        <v>0.84368891375053867</v>
      </c>
      <c r="G272" s="69">
        <f t="shared" ca="1" si="57"/>
        <v>0.74061967714752619</v>
      </c>
      <c r="H272" s="69">
        <f t="shared" ca="1" si="57"/>
        <v>-0.32335645146162395</v>
      </c>
      <c r="I272" s="69">
        <f t="shared" ca="1" si="57"/>
        <v>-2.4189824934579631</v>
      </c>
      <c r="J272" s="69">
        <f t="shared" ca="1" si="57"/>
        <v>1.9460990737414645</v>
      </c>
      <c r="K272" s="69">
        <f t="shared" ca="1" si="57"/>
        <v>1.0630733602042857</v>
      </c>
      <c r="L272" s="69">
        <f t="shared" ca="1" si="57"/>
        <v>0.1554375149037496</v>
      </c>
      <c r="N272" s="69">
        <f t="shared" ca="1" si="59"/>
        <v>-0.552870291063839</v>
      </c>
      <c r="O272" s="69">
        <f t="shared" ca="1" si="60"/>
        <v>-0.57069009260472814</v>
      </c>
      <c r="P272" s="69">
        <f t="shared" ca="1" si="61"/>
        <v>-1.0930095294033521E-2</v>
      </c>
      <c r="Q272" s="69">
        <f t="shared" ca="1" si="62"/>
        <v>-0.63708464697949974</v>
      </c>
      <c r="R272" s="69">
        <f t="shared" ca="1" si="63"/>
        <v>0.83739422834288979</v>
      </c>
      <c r="S272" s="69">
        <f t="shared" ca="1" si="64"/>
        <v>0.77344664940433472</v>
      </c>
      <c r="T272" s="69">
        <f t="shared" ca="1" si="65"/>
        <v>-0.32818748917681378</v>
      </c>
      <c r="U272" s="69">
        <f t="shared" ca="1" si="66"/>
        <v>-2.3959423665802535</v>
      </c>
      <c r="V272" s="69">
        <f t="shared" ca="1" si="67"/>
        <v>1.9399894801678672</v>
      </c>
      <c r="W272" s="69">
        <f t="shared" ca="1" si="68"/>
        <v>1.0640547170283847</v>
      </c>
      <c r="X272" s="69">
        <f t="shared" ca="1" si="69"/>
        <v>0.18260600527818507</v>
      </c>
    </row>
    <row r="273" spans="2:24" x14ac:dyDescent="0.2">
      <c r="B273" s="69">
        <f t="shared" ca="1" si="58"/>
        <v>1.0865452395897408</v>
      </c>
      <c r="C273" s="69">
        <f t="shared" ca="1" si="57"/>
        <v>-1.1030383740889842</v>
      </c>
      <c r="D273" s="69">
        <f t="shared" ca="1" si="57"/>
        <v>4.8453464512342665E-3</v>
      </c>
      <c r="E273" s="69">
        <f t="shared" ca="1" si="57"/>
        <v>-0.47626326582457074</v>
      </c>
      <c r="F273" s="69">
        <f t="shared" ca="1" si="57"/>
        <v>-1.6940191143271335</v>
      </c>
      <c r="G273" s="69">
        <f t="shared" ca="1" si="57"/>
        <v>-0.65765754568603707</v>
      </c>
      <c r="H273" s="69">
        <f t="shared" ca="1" si="57"/>
        <v>1.0264650013603989</v>
      </c>
      <c r="I273" s="69">
        <f t="shared" ref="C273:L336" ca="1" si="70">NORMINV(RAND(),$C$7,$F$7)</f>
        <v>-0.2977271018969182</v>
      </c>
      <c r="J273" s="69">
        <f t="shared" ca="1" si="70"/>
        <v>-0.38788471986432849</v>
      </c>
      <c r="K273" s="69">
        <f t="shared" ca="1" si="70"/>
        <v>0.9142751573847766</v>
      </c>
      <c r="L273" s="69">
        <f t="shared" ca="1" si="70"/>
        <v>0.88314658057996664</v>
      </c>
      <c r="N273" s="69">
        <f t="shared" ca="1" si="59"/>
        <v>1.1243132834278495</v>
      </c>
      <c r="O273" s="69">
        <f t="shared" ca="1" si="60"/>
        <v>-1.1295319371718708</v>
      </c>
      <c r="P273" s="69">
        <f t="shared" ca="1" si="61"/>
        <v>-5.2896718385855766E-2</v>
      </c>
      <c r="Q273" s="69">
        <f t="shared" ca="1" si="62"/>
        <v>-0.42715458696281178</v>
      </c>
      <c r="R273" s="69">
        <f t="shared" ca="1" si="63"/>
        <v>-1.7003137997347824</v>
      </c>
      <c r="S273" s="69">
        <f t="shared" ca="1" si="64"/>
        <v>-0.62483057342922854</v>
      </c>
      <c r="T273" s="69">
        <f t="shared" ca="1" si="65"/>
        <v>1.021633963645209</v>
      </c>
      <c r="U273" s="69">
        <f t="shared" ca="1" si="66"/>
        <v>-0.27468697501920852</v>
      </c>
      <c r="V273" s="69">
        <f t="shared" ca="1" si="67"/>
        <v>-0.39399431343792579</v>
      </c>
      <c r="W273" s="69">
        <f t="shared" ca="1" si="68"/>
        <v>0.91525651420887555</v>
      </c>
      <c r="X273" s="69">
        <f t="shared" ca="1" si="69"/>
        <v>0.91031507095440212</v>
      </c>
    </row>
    <row r="274" spans="2:24" x14ac:dyDescent="0.2">
      <c r="B274" s="69">
        <f t="shared" ca="1" si="58"/>
        <v>-0.61748674866615527</v>
      </c>
      <c r="C274" s="69">
        <f t="shared" ca="1" si="70"/>
        <v>0.37544721126622466</v>
      </c>
      <c r="D274" s="69">
        <f t="shared" ca="1" si="70"/>
        <v>0.22107186516690899</v>
      </c>
      <c r="E274" s="69">
        <f t="shared" ca="1" si="70"/>
        <v>0.33777820986221085</v>
      </c>
      <c r="F274" s="69">
        <f t="shared" ca="1" si="70"/>
        <v>0.67699641191481974</v>
      </c>
      <c r="G274" s="69">
        <f t="shared" ca="1" si="70"/>
        <v>-0.86924538766802062</v>
      </c>
      <c r="H274" s="69">
        <f t="shared" ca="1" si="70"/>
        <v>0.61073126862824079</v>
      </c>
      <c r="I274" s="69">
        <f t="shared" ca="1" si="70"/>
        <v>-2.1649651836034343</v>
      </c>
      <c r="J274" s="69">
        <f t="shared" ca="1" si="70"/>
        <v>-0.94706134463615743</v>
      </c>
      <c r="K274" s="69">
        <f t="shared" ca="1" si="70"/>
        <v>-2.0163531991994446</v>
      </c>
      <c r="L274" s="69">
        <f t="shared" ca="1" si="70"/>
        <v>0.1706018619466983</v>
      </c>
      <c r="N274" s="69">
        <f t="shared" ca="1" si="59"/>
        <v>-0.57971870482804644</v>
      </c>
      <c r="O274" s="69">
        <f t="shared" ca="1" si="60"/>
        <v>0.34895364818333796</v>
      </c>
      <c r="P274" s="69">
        <f t="shared" ca="1" si="61"/>
        <v>0.16332980032981897</v>
      </c>
      <c r="Q274" s="69">
        <f t="shared" ca="1" si="62"/>
        <v>0.38688688872396981</v>
      </c>
      <c r="R274" s="69">
        <f t="shared" ca="1" si="63"/>
        <v>0.67070172650717086</v>
      </c>
      <c r="S274" s="69">
        <f t="shared" ca="1" si="64"/>
        <v>-0.83641841541121209</v>
      </c>
      <c r="T274" s="69">
        <f t="shared" ca="1" si="65"/>
        <v>0.6059002309130509</v>
      </c>
      <c r="U274" s="69">
        <f t="shared" ca="1" si="66"/>
        <v>-2.1419250567257246</v>
      </c>
      <c r="V274" s="69">
        <f t="shared" ca="1" si="67"/>
        <v>-0.95317093820975474</v>
      </c>
      <c r="W274" s="69">
        <f t="shared" ca="1" si="68"/>
        <v>-2.0153718423753455</v>
      </c>
      <c r="X274" s="69">
        <f t="shared" ca="1" si="69"/>
        <v>0.19777035232113377</v>
      </c>
    </row>
    <row r="275" spans="2:24" x14ac:dyDescent="0.2">
      <c r="B275" s="69">
        <f t="shared" ca="1" si="58"/>
        <v>-1.3109980860466823</v>
      </c>
      <c r="C275" s="69">
        <f t="shared" ca="1" si="70"/>
        <v>1.0514104134096707</v>
      </c>
      <c r="D275" s="69">
        <f t="shared" ca="1" si="70"/>
        <v>-0.56554706722771009</v>
      </c>
      <c r="E275" s="69">
        <f t="shared" ca="1" si="70"/>
        <v>-0.97655646599119561</v>
      </c>
      <c r="F275" s="69">
        <f t="shared" ca="1" si="70"/>
        <v>-0.43758789625492261</v>
      </c>
      <c r="G275" s="69">
        <f t="shared" ca="1" si="70"/>
        <v>-1.1748924598759938</v>
      </c>
      <c r="H275" s="69">
        <f t="shared" ca="1" si="70"/>
        <v>-9.2676862142666502E-2</v>
      </c>
      <c r="I275" s="69">
        <f t="shared" ca="1" si="70"/>
        <v>-1.4123962406863584</v>
      </c>
      <c r="J275" s="69">
        <f t="shared" ca="1" si="70"/>
        <v>0.14308217543045668</v>
      </c>
      <c r="K275" s="69">
        <f t="shared" ca="1" si="70"/>
        <v>0.94101854723606437</v>
      </c>
      <c r="L275" s="69">
        <f t="shared" ca="1" si="70"/>
        <v>-0.71871404037053244</v>
      </c>
      <c r="N275" s="69">
        <f t="shared" ca="1" si="59"/>
        <v>-1.2732300422085736</v>
      </c>
      <c r="O275" s="69">
        <f t="shared" ca="1" si="60"/>
        <v>1.024916850326784</v>
      </c>
      <c r="P275" s="69">
        <f t="shared" ca="1" si="61"/>
        <v>-0.62328913206480008</v>
      </c>
      <c r="Q275" s="69">
        <f t="shared" ca="1" si="62"/>
        <v>-0.92744778712943665</v>
      </c>
      <c r="R275" s="69">
        <f t="shared" ca="1" si="63"/>
        <v>-0.4438825816625715</v>
      </c>
      <c r="S275" s="69">
        <f t="shared" ca="1" si="64"/>
        <v>-1.1420654876191854</v>
      </c>
      <c r="T275" s="69">
        <f t="shared" ca="1" si="65"/>
        <v>-9.7507899857856351E-2</v>
      </c>
      <c r="U275" s="69">
        <f t="shared" ca="1" si="66"/>
        <v>-1.3893561138086488</v>
      </c>
      <c r="V275" s="69">
        <f t="shared" ca="1" si="67"/>
        <v>0.13697258185685934</v>
      </c>
      <c r="W275" s="69">
        <f t="shared" ca="1" si="68"/>
        <v>0.94199990406016332</v>
      </c>
      <c r="X275" s="69">
        <f t="shared" ca="1" si="69"/>
        <v>-0.69154554999609696</v>
      </c>
    </row>
    <row r="276" spans="2:24" x14ac:dyDescent="0.2">
      <c r="B276" s="69">
        <f t="shared" ca="1" si="58"/>
        <v>-6.2927804449383118E-2</v>
      </c>
      <c r="C276" s="69">
        <f t="shared" ca="1" si="70"/>
        <v>-0.67073133103031135</v>
      </c>
      <c r="D276" s="69">
        <f t="shared" ca="1" si="70"/>
        <v>2.3071560293034112</v>
      </c>
      <c r="E276" s="69">
        <f t="shared" ca="1" si="70"/>
        <v>-0.89324401548570509</v>
      </c>
      <c r="F276" s="69">
        <f t="shared" ca="1" si="70"/>
        <v>0.74264267280790919</v>
      </c>
      <c r="G276" s="69">
        <f t="shared" ca="1" si="70"/>
        <v>-0.10339073563874195</v>
      </c>
      <c r="H276" s="69">
        <f t="shared" ca="1" si="70"/>
        <v>0.18343845364993688</v>
      </c>
      <c r="I276" s="69">
        <f t="shared" ca="1" si="70"/>
        <v>-0.93825015854654648</v>
      </c>
      <c r="J276" s="69">
        <f t="shared" ca="1" si="70"/>
        <v>0.10014810182821966</v>
      </c>
      <c r="K276" s="69">
        <f t="shared" ca="1" si="70"/>
        <v>-0.41632026342737949</v>
      </c>
      <c r="L276" s="69">
        <f t="shared" ca="1" si="70"/>
        <v>0.46209924656460166</v>
      </c>
      <c r="N276" s="69">
        <f t="shared" ca="1" si="59"/>
        <v>-2.5159760611274298E-2</v>
      </c>
      <c r="O276" s="69">
        <f t="shared" ca="1" si="60"/>
        <v>-0.69722489411319799</v>
      </c>
      <c r="P276" s="69">
        <f t="shared" ca="1" si="61"/>
        <v>2.2494139644663211</v>
      </c>
      <c r="Q276" s="69">
        <f t="shared" ca="1" si="62"/>
        <v>-0.84413533662394613</v>
      </c>
      <c r="R276" s="69">
        <f t="shared" ca="1" si="63"/>
        <v>0.73634798740026031</v>
      </c>
      <c r="S276" s="69">
        <f t="shared" ca="1" si="64"/>
        <v>-7.0563763381933459E-2</v>
      </c>
      <c r="T276" s="69">
        <f t="shared" ca="1" si="65"/>
        <v>0.17860741593474705</v>
      </c>
      <c r="U276" s="69">
        <f t="shared" ca="1" si="66"/>
        <v>-0.91521003166883685</v>
      </c>
      <c r="V276" s="69">
        <f t="shared" ca="1" si="67"/>
        <v>9.403850825462233E-2</v>
      </c>
      <c r="W276" s="69">
        <f t="shared" ca="1" si="68"/>
        <v>-0.41533890660328054</v>
      </c>
      <c r="X276" s="69">
        <f t="shared" ca="1" si="69"/>
        <v>0.48926773693903713</v>
      </c>
    </row>
    <row r="277" spans="2:24" x14ac:dyDescent="0.2">
      <c r="B277" s="69">
        <f t="shared" ca="1" si="58"/>
        <v>1.2259284302378934</v>
      </c>
      <c r="C277" s="69">
        <f t="shared" ca="1" si="70"/>
        <v>1.2979445807244601</v>
      </c>
      <c r="D277" s="69">
        <f t="shared" ca="1" si="70"/>
        <v>0.79592595972739522</v>
      </c>
      <c r="E277" s="69">
        <f t="shared" ca="1" si="70"/>
        <v>1.0124084061003094</v>
      </c>
      <c r="F277" s="69">
        <f t="shared" ca="1" si="70"/>
        <v>3.076800309977732E-2</v>
      </c>
      <c r="G277" s="69">
        <f t="shared" ca="1" si="70"/>
        <v>0.49237260202420308</v>
      </c>
      <c r="H277" s="69">
        <f t="shared" ca="1" si="70"/>
        <v>0.53779620085844704</v>
      </c>
      <c r="I277" s="69">
        <f t="shared" ca="1" si="70"/>
        <v>0.984429875768706</v>
      </c>
      <c r="J277" s="69">
        <f t="shared" ca="1" si="70"/>
        <v>1.2399730433460461</v>
      </c>
      <c r="K277" s="69">
        <f t="shared" ca="1" si="70"/>
        <v>0.22548624893262972</v>
      </c>
      <c r="L277" s="69">
        <f t="shared" ca="1" si="70"/>
        <v>0.20717466214924518</v>
      </c>
      <c r="N277" s="69">
        <f t="shared" ca="1" si="59"/>
        <v>1.2636964740760022</v>
      </c>
      <c r="O277" s="69">
        <f t="shared" ca="1" si="60"/>
        <v>1.2714510176415734</v>
      </c>
      <c r="P277" s="69">
        <f t="shared" ca="1" si="61"/>
        <v>0.73818389489030523</v>
      </c>
      <c r="Q277" s="69">
        <f t="shared" ca="1" si="62"/>
        <v>1.0615170849620683</v>
      </c>
      <c r="R277" s="69">
        <f t="shared" ca="1" si="63"/>
        <v>2.4473317692128425E-2</v>
      </c>
      <c r="S277" s="69">
        <f t="shared" ca="1" si="64"/>
        <v>0.52519957428101161</v>
      </c>
      <c r="T277" s="69">
        <f t="shared" ca="1" si="65"/>
        <v>0.53296516314325715</v>
      </c>
      <c r="U277" s="69">
        <f t="shared" ca="1" si="66"/>
        <v>1.0074700026464156</v>
      </c>
      <c r="V277" s="69">
        <f t="shared" ca="1" si="67"/>
        <v>1.2338634497724488</v>
      </c>
      <c r="W277" s="69">
        <f t="shared" ca="1" si="68"/>
        <v>0.22646760575672867</v>
      </c>
      <c r="X277" s="69">
        <f t="shared" ca="1" si="69"/>
        <v>0.23434315252368065</v>
      </c>
    </row>
    <row r="278" spans="2:24" x14ac:dyDescent="0.2">
      <c r="B278" s="69">
        <f t="shared" ca="1" si="58"/>
        <v>-0.86377964478876879</v>
      </c>
      <c r="C278" s="69">
        <f t="shared" ca="1" si="70"/>
        <v>0.35306028955397217</v>
      </c>
      <c r="D278" s="69">
        <f t="shared" ca="1" si="70"/>
        <v>-0.57767994267731615</v>
      </c>
      <c r="E278" s="69">
        <f t="shared" ca="1" si="70"/>
        <v>4.9539511338294762E-2</v>
      </c>
      <c r="F278" s="69">
        <f t="shared" ca="1" si="70"/>
        <v>0.77803050704359733</v>
      </c>
      <c r="G278" s="69">
        <f t="shared" ca="1" si="70"/>
        <v>-0.75536869608329493</v>
      </c>
      <c r="H278" s="69">
        <f t="shared" ca="1" si="70"/>
        <v>-0.38130298136670238</v>
      </c>
      <c r="I278" s="69">
        <f t="shared" ca="1" si="70"/>
        <v>-0.55122368198918936</v>
      </c>
      <c r="J278" s="69">
        <f t="shared" ca="1" si="70"/>
        <v>1.4861302626577866</v>
      </c>
      <c r="K278" s="69">
        <f t="shared" ca="1" si="70"/>
        <v>-0.11182100627802584</v>
      </c>
      <c r="L278" s="69">
        <f t="shared" ca="1" si="70"/>
        <v>-0.81361429973640242</v>
      </c>
      <c r="N278" s="69">
        <f t="shared" ca="1" si="59"/>
        <v>-0.82601160095065995</v>
      </c>
      <c r="O278" s="69">
        <f t="shared" ca="1" si="60"/>
        <v>0.32656672647108548</v>
      </c>
      <c r="P278" s="69">
        <f t="shared" ca="1" si="61"/>
        <v>-0.63542200751440614</v>
      </c>
      <c r="Q278" s="69">
        <f t="shared" ca="1" si="62"/>
        <v>9.8648190200053706E-2</v>
      </c>
      <c r="R278" s="69">
        <f t="shared" ca="1" si="63"/>
        <v>0.77173582163594845</v>
      </c>
      <c r="S278" s="69">
        <f t="shared" ca="1" si="64"/>
        <v>-0.7225417238264864</v>
      </c>
      <c r="T278" s="69">
        <f t="shared" ca="1" si="65"/>
        <v>-0.38613401908189221</v>
      </c>
      <c r="U278" s="69">
        <f t="shared" ca="1" si="66"/>
        <v>-0.52818355511147974</v>
      </c>
      <c r="V278" s="69">
        <f t="shared" ca="1" si="67"/>
        <v>1.4800206690841893</v>
      </c>
      <c r="W278" s="69">
        <f t="shared" ca="1" si="68"/>
        <v>-0.11083964945392688</v>
      </c>
      <c r="X278" s="69">
        <f t="shared" ca="1" si="69"/>
        <v>-0.78644580936196695</v>
      </c>
    </row>
    <row r="279" spans="2:24" x14ac:dyDescent="0.2">
      <c r="B279" s="69">
        <f t="shared" ca="1" si="58"/>
        <v>-0.45912419243458741</v>
      </c>
      <c r="C279" s="69">
        <f t="shared" ca="1" si="70"/>
        <v>-0.92382656423438803</v>
      </c>
      <c r="D279" s="69">
        <f t="shared" ca="1" si="70"/>
        <v>-0.38476673685089335</v>
      </c>
      <c r="E279" s="69">
        <f t="shared" ca="1" si="70"/>
        <v>1.8115304502611065</v>
      </c>
      <c r="F279" s="69">
        <f t="shared" ca="1" si="70"/>
        <v>-0.54905160399428088</v>
      </c>
      <c r="G279" s="69">
        <f t="shared" ca="1" si="70"/>
        <v>2.5074488777922652</v>
      </c>
      <c r="H279" s="69">
        <f t="shared" ca="1" si="70"/>
        <v>0.38024756012174876</v>
      </c>
      <c r="I279" s="69">
        <f t="shared" ca="1" si="70"/>
        <v>-7.4331413197491869E-2</v>
      </c>
      <c r="J279" s="69">
        <f t="shared" ca="1" si="70"/>
        <v>-0.77435877084935456</v>
      </c>
      <c r="K279" s="69">
        <f t="shared" ca="1" si="70"/>
        <v>-0.81840707355145015</v>
      </c>
      <c r="L279" s="69">
        <f t="shared" ca="1" si="70"/>
        <v>-5.0546600450465079E-2</v>
      </c>
      <c r="N279" s="69">
        <f t="shared" ca="1" si="59"/>
        <v>-0.42135614859647857</v>
      </c>
      <c r="O279" s="69">
        <f t="shared" ca="1" si="60"/>
        <v>-0.95032012731727467</v>
      </c>
      <c r="P279" s="69">
        <f t="shared" ca="1" si="61"/>
        <v>-0.4425088016879834</v>
      </c>
      <c r="Q279" s="69">
        <f t="shared" ca="1" si="62"/>
        <v>1.8606391291228654</v>
      </c>
      <c r="R279" s="69">
        <f t="shared" ca="1" si="63"/>
        <v>-0.55534628940192976</v>
      </c>
      <c r="S279" s="69">
        <f t="shared" ca="1" si="64"/>
        <v>2.5402758500490736</v>
      </c>
      <c r="T279" s="69">
        <f t="shared" ca="1" si="65"/>
        <v>0.37541652240655893</v>
      </c>
      <c r="U279" s="69">
        <f t="shared" ca="1" si="66"/>
        <v>-5.1291286319782213E-2</v>
      </c>
      <c r="V279" s="69">
        <f t="shared" ca="1" si="67"/>
        <v>-0.78046836442295187</v>
      </c>
      <c r="W279" s="69">
        <f t="shared" ca="1" si="68"/>
        <v>-0.8174257167273512</v>
      </c>
      <c r="X279" s="69">
        <f t="shared" ca="1" si="69"/>
        <v>-2.33781100760296E-2</v>
      </c>
    </row>
    <row r="280" spans="2:24" x14ac:dyDescent="0.2">
      <c r="B280" s="69">
        <f t="shared" ca="1" si="58"/>
        <v>-1.1466110433618018</v>
      </c>
      <c r="C280" s="69">
        <f t="shared" ca="1" si="70"/>
        <v>-0.66648297037863691</v>
      </c>
      <c r="D280" s="69">
        <f t="shared" ca="1" si="70"/>
        <v>1.4325727375419499</v>
      </c>
      <c r="E280" s="69">
        <f t="shared" ca="1" si="70"/>
        <v>0.71034071463128723</v>
      </c>
      <c r="F280" s="69">
        <f t="shared" ca="1" si="70"/>
        <v>0.57820983312969143</v>
      </c>
      <c r="G280" s="69">
        <f t="shared" ca="1" si="70"/>
        <v>0.24418247418905981</v>
      </c>
      <c r="H280" s="69">
        <f t="shared" ca="1" si="70"/>
        <v>-0.18241576194595416</v>
      </c>
      <c r="I280" s="69">
        <f t="shared" ca="1" si="70"/>
        <v>0.84015171824301893</v>
      </c>
      <c r="J280" s="69">
        <f t="shared" ca="1" si="70"/>
        <v>-1.3321552481722914</v>
      </c>
      <c r="K280" s="69">
        <f t="shared" ca="1" si="70"/>
        <v>0.8555652518304433</v>
      </c>
      <c r="L280" s="69">
        <f t="shared" ca="1" si="70"/>
        <v>-0.34455777296874135</v>
      </c>
      <c r="N280" s="69">
        <f t="shared" ca="1" si="59"/>
        <v>-1.108842999523693</v>
      </c>
      <c r="O280" s="69">
        <f t="shared" ca="1" si="60"/>
        <v>-0.69297653346152355</v>
      </c>
      <c r="P280" s="69">
        <f t="shared" ca="1" si="61"/>
        <v>1.3748306727048598</v>
      </c>
      <c r="Q280" s="69">
        <f t="shared" ca="1" si="62"/>
        <v>0.75944939349304619</v>
      </c>
      <c r="R280" s="69">
        <f t="shared" ca="1" si="63"/>
        <v>0.57191514772204255</v>
      </c>
      <c r="S280" s="69">
        <f t="shared" ca="1" si="64"/>
        <v>0.27700944644586828</v>
      </c>
      <c r="T280" s="69">
        <f t="shared" ca="1" si="65"/>
        <v>-0.18724679966114399</v>
      </c>
      <c r="U280" s="69">
        <f t="shared" ca="1" si="66"/>
        <v>0.86319184512072855</v>
      </c>
      <c r="V280" s="69">
        <f t="shared" ca="1" si="67"/>
        <v>-1.3382648417458887</v>
      </c>
      <c r="W280" s="69">
        <f t="shared" ca="1" si="68"/>
        <v>0.85654660865454224</v>
      </c>
      <c r="X280" s="69">
        <f t="shared" ca="1" si="69"/>
        <v>-0.31738928259430588</v>
      </c>
    </row>
    <row r="281" spans="2:24" x14ac:dyDescent="0.2">
      <c r="B281" s="69">
        <f t="shared" ca="1" si="58"/>
        <v>0.24351003981444586</v>
      </c>
      <c r="C281" s="69">
        <f t="shared" ca="1" si="70"/>
        <v>0.53123922110952815</v>
      </c>
      <c r="D281" s="69">
        <f t="shared" ca="1" si="70"/>
        <v>0.79435454214866397</v>
      </c>
      <c r="E281" s="69">
        <f t="shared" ca="1" si="70"/>
        <v>-0.24625851912319455</v>
      </c>
      <c r="F281" s="69">
        <f t="shared" ca="1" si="70"/>
        <v>-0.60502730435794394</v>
      </c>
      <c r="G281" s="69">
        <f t="shared" ca="1" si="70"/>
        <v>-1.5771940140509682</v>
      </c>
      <c r="H281" s="69">
        <f t="shared" ca="1" si="70"/>
        <v>9.7637022152063907E-2</v>
      </c>
      <c r="I281" s="69">
        <f t="shared" ca="1" si="70"/>
        <v>0.30758292073095039</v>
      </c>
      <c r="J281" s="69">
        <f t="shared" ca="1" si="70"/>
        <v>-0.55066692129213501</v>
      </c>
      <c r="K281" s="69">
        <f t="shared" ca="1" si="70"/>
        <v>1.4420917795838997</v>
      </c>
      <c r="L281" s="69">
        <f t="shared" ca="1" si="70"/>
        <v>1.3005157049596339</v>
      </c>
      <c r="N281" s="69">
        <f t="shared" ca="1" si="59"/>
        <v>0.28127808365255469</v>
      </c>
      <c r="O281" s="69">
        <f t="shared" ca="1" si="60"/>
        <v>0.50474565802664151</v>
      </c>
      <c r="P281" s="69">
        <f t="shared" ca="1" si="61"/>
        <v>0.73661247731157398</v>
      </c>
      <c r="Q281" s="69">
        <f t="shared" ca="1" si="62"/>
        <v>-0.19714984026143562</v>
      </c>
      <c r="R281" s="69">
        <f t="shared" ca="1" si="63"/>
        <v>-0.61132198976559282</v>
      </c>
      <c r="S281" s="69">
        <f t="shared" ca="1" si="64"/>
        <v>-1.5443670417941597</v>
      </c>
      <c r="T281" s="69">
        <f t="shared" ca="1" si="65"/>
        <v>9.2805984436874059E-2</v>
      </c>
      <c r="U281" s="69">
        <f t="shared" ca="1" si="66"/>
        <v>0.33062304760866007</v>
      </c>
      <c r="V281" s="69">
        <f t="shared" ca="1" si="67"/>
        <v>-0.55677651486573232</v>
      </c>
      <c r="W281" s="69">
        <f t="shared" ca="1" si="68"/>
        <v>1.4430731364079987</v>
      </c>
      <c r="X281" s="69">
        <f t="shared" ca="1" si="69"/>
        <v>1.3276841953340695</v>
      </c>
    </row>
    <row r="282" spans="2:24" x14ac:dyDescent="0.2">
      <c r="B282" s="69">
        <f t="shared" ca="1" si="58"/>
        <v>-1.3412129772979853</v>
      </c>
      <c r="C282" s="69">
        <f t="shared" ca="1" si="70"/>
        <v>-0.95294037812277677</v>
      </c>
      <c r="D282" s="69">
        <f t="shared" ca="1" si="70"/>
        <v>-1.944603480649413</v>
      </c>
      <c r="E282" s="69">
        <f t="shared" ca="1" si="70"/>
        <v>1.9500691095424347E-4</v>
      </c>
      <c r="F282" s="69">
        <f t="shared" ca="1" si="70"/>
        <v>0.37620261003710165</v>
      </c>
      <c r="G282" s="69">
        <f t="shared" ca="1" si="70"/>
        <v>0.84002574892103199</v>
      </c>
      <c r="H282" s="69">
        <f t="shared" ca="1" si="70"/>
        <v>0.64739314343102206</v>
      </c>
      <c r="I282" s="69">
        <f t="shared" ca="1" si="70"/>
        <v>-1.6043941271504791</v>
      </c>
      <c r="J282" s="69">
        <f t="shared" ca="1" si="70"/>
        <v>-0.73263501722411528</v>
      </c>
      <c r="K282" s="69">
        <f t="shared" ca="1" si="70"/>
        <v>0.1310391682256484</v>
      </c>
      <c r="L282" s="69">
        <f t="shared" ca="1" si="70"/>
        <v>-0.52860172637713598</v>
      </c>
      <c r="N282" s="69">
        <f t="shared" ca="1" si="59"/>
        <v>-1.3034449334598766</v>
      </c>
      <c r="O282" s="69">
        <f t="shared" ca="1" si="60"/>
        <v>-0.97943394120566341</v>
      </c>
      <c r="P282" s="69">
        <f t="shared" ca="1" si="61"/>
        <v>-2.0023455454865031</v>
      </c>
      <c r="Q282" s="69">
        <f t="shared" ca="1" si="62"/>
        <v>4.9303685772713185E-2</v>
      </c>
      <c r="R282" s="69">
        <f t="shared" ca="1" si="63"/>
        <v>0.36990792462945277</v>
      </c>
      <c r="S282" s="69">
        <f t="shared" ca="1" si="64"/>
        <v>0.87285272117784052</v>
      </c>
      <c r="T282" s="69">
        <f t="shared" ca="1" si="65"/>
        <v>0.64256210571583217</v>
      </c>
      <c r="U282" s="69">
        <f t="shared" ca="1" si="66"/>
        <v>-1.5813540002727695</v>
      </c>
      <c r="V282" s="69">
        <f t="shared" ca="1" si="67"/>
        <v>-0.73874461079771259</v>
      </c>
      <c r="W282" s="69">
        <f t="shared" ca="1" si="68"/>
        <v>0.13202052504974734</v>
      </c>
      <c r="X282" s="69">
        <f t="shared" ca="1" si="69"/>
        <v>-0.50143323600270051</v>
      </c>
    </row>
    <row r="283" spans="2:24" x14ac:dyDescent="0.2">
      <c r="B283" s="69">
        <f t="shared" ca="1" si="58"/>
        <v>0.81206162970666229</v>
      </c>
      <c r="C283" s="69">
        <f t="shared" ca="1" si="70"/>
        <v>-0.72648021626666104</v>
      </c>
      <c r="D283" s="69">
        <f t="shared" ca="1" si="70"/>
        <v>0.28330651322589984</v>
      </c>
      <c r="E283" s="69">
        <f t="shared" ca="1" si="70"/>
        <v>-0.95855763669912541</v>
      </c>
      <c r="F283" s="69">
        <f t="shared" ca="1" si="70"/>
        <v>1.4775596014324062</v>
      </c>
      <c r="G283" s="69">
        <f t="shared" ca="1" si="70"/>
        <v>0.9544878376891045</v>
      </c>
      <c r="H283" s="69">
        <f t="shared" ca="1" si="70"/>
        <v>0.46582513083444843</v>
      </c>
      <c r="I283" s="69">
        <f t="shared" ca="1" si="70"/>
        <v>0.28065545474124104</v>
      </c>
      <c r="J283" s="69">
        <f t="shared" ca="1" si="70"/>
        <v>-1.4480800053080369</v>
      </c>
      <c r="K283" s="69">
        <f t="shared" ca="1" si="70"/>
        <v>-0.19235256392467243</v>
      </c>
      <c r="L283" s="69">
        <f t="shared" ca="1" si="70"/>
        <v>1.0725828260807926</v>
      </c>
      <c r="N283" s="69">
        <f t="shared" ca="1" si="59"/>
        <v>0.84982967354477112</v>
      </c>
      <c r="O283" s="69">
        <f t="shared" ca="1" si="60"/>
        <v>-0.75297377934954768</v>
      </c>
      <c r="P283" s="69">
        <f t="shared" ca="1" si="61"/>
        <v>0.22556444838880979</v>
      </c>
      <c r="Q283" s="69">
        <f t="shared" ca="1" si="62"/>
        <v>-0.90944895783736646</v>
      </c>
      <c r="R283" s="69">
        <f t="shared" ca="1" si="63"/>
        <v>1.4712649160247573</v>
      </c>
      <c r="S283" s="69">
        <f t="shared" ca="1" si="64"/>
        <v>0.98731480994591303</v>
      </c>
      <c r="T283" s="69">
        <f t="shared" ca="1" si="65"/>
        <v>0.4609940931192586</v>
      </c>
      <c r="U283" s="69">
        <f t="shared" ca="1" si="66"/>
        <v>0.30369558161895072</v>
      </c>
      <c r="V283" s="69">
        <f t="shared" ca="1" si="67"/>
        <v>-1.4541895988816342</v>
      </c>
      <c r="W283" s="69">
        <f t="shared" ca="1" si="68"/>
        <v>-0.19137120710057348</v>
      </c>
      <c r="X283" s="69">
        <f t="shared" ca="1" si="69"/>
        <v>1.0997513164552282</v>
      </c>
    </row>
    <row r="284" spans="2:24" x14ac:dyDescent="0.2">
      <c r="B284" s="69">
        <f t="shared" ca="1" si="58"/>
        <v>-0.21508732084120327</v>
      </c>
      <c r="C284" s="69">
        <f t="shared" ca="1" si="70"/>
        <v>-0.68152835182222316</v>
      </c>
      <c r="D284" s="69">
        <f t="shared" ca="1" si="70"/>
        <v>-4.7792460109443366E-2</v>
      </c>
      <c r="E284" s="69">
        <f t="shared" ca="1" si="70"/>
        <v>0.70799540719840415</v>
      </c>
      <c r="F284" s="69">
        <f t="shared" ca="1" si="70"/>
        <v>1.1331411293232394</v>
      </c>
      <c r="G284" s="69">
        <f t="shared" ca="1" si="70"/>
        <v>1.3472242760810851</v>
      </c>
      <c r="H284" s="69">
        <f t="shared" ca="1" si="70"/>
        <v>-7.4568253331696463E-2</v>
      </c>
      <c r="I284" s="69">
        <f t="shared" ca="1" si="70"/>
        <v>-0.99121667310947736</v>
      </c>
      <c r="J284" s="69">
        <f t="shared" ca="1" si="70"/>
        <v>-1.5205654798277775</v>
      </c>
      <c r="K284" s="69">
        <f t="shared" ca="1" si="70"/>
        <v>-0.50900645473647688</v>
      </c>
      <c r="L284" s="69">
        <f t="shared" ca="1" si="70"/>
        <v>-9.6084546984868874E-2</v>
      </c>
      <c r="N284" s="69">
        <f t="shared" ca="1" si="59"/>
        <v>-0.17731927700309447</v>
      </c>
      <c r="O284" s="69">
        <f t="shared" ca="1" si="60"/>
        <v>-0.70802191490510979</v>
      </c>
      <c r="P284" s="69">
        <f t="shared" ca="1" si="61"/>
        <v>-0.1055345249465334</v>
      </c>
      <c r="Q284" s="69">
        <f t="shared" ca="1" si="62"/>
        <v>0.75710408606016311</v>
      </c>
      <c r="R284" s="69">
        <f t="shared" ca="1" si="63"/>
        <v>1.1268464439155905</v>
      </c>
      <c r="S284" s="69">
        <f t="shared" ca="1" si="64"/>
        <v>1.3800512483378935</v>
      </c>
      <c r="T284" s="69">
        <f t="shared" ca="1" si="65"/>
        <v>-7.9399291046886311E-2</v>
      </c>
      <c r="U284" s="69">
        <f t="shared" ca="1" si="66"/>
        <v>-0.96817654623176774</v>
      </c>
      <c r="V284" s="69">
        <f t="shared" ca="1" si="67"/>
        <v>-1.5266750734013748</v>
      </c>
      <c r="W284" s="69">
        <f t="shared" ca="1" si="68"/>
        <v>-0.50802509791237793</v>
      </c>
      <c r="X284" s="69">
        <f t="shared" ca="1" si="69"/>
        <v>-6.8916056610433402E-2</v>
      </c>
    </row>
    <row r="285" spans="2:24" x14ac:dyDescent="0.2">
      <c r="B285" s="69">
        <f t="shared" ca="1" si="58"/>
        <v>0.56263170870790535</v>
      </c>
      <c r="C285" s="69">
        <f t="shared" ca="1" si="70"/>
        <v>-0.42321935809370342</v>
      </c>
      <c r="D285" s="69">
        <f t="shared" ca="1" si="70"/>
        <v>-0.10163669406086656</v>
      </c>
      <c r="E285" s="69">
        <f t="shared" ca="1" si="70"/>
        <v>0.98454078470809225</v>
      </c>
      <c r="F285" s="69">
        <f t="shared" ca="1" si="70"/>
        <v>-1.6424476095722066E-2</v>
      </c>
      <c r="G285" s="69">
        <f t="shared" ca="1" si="70"/>
        <v>0.14977996308620878</v>
      </c>
      <c r="H285" s="69">
        <f t="shared" ca="1" si="70"/>
        <v>0.36329483991379002</v>
      </c>
      <c r="I285" s="69">
        <f t="shared" ca="1" si="70"/>
        <v>-0.52891719263419179</v>
      </c>
      <c r="J285" s="69">
        <f t="shared" ca="1" si="70"/>
        <v>-1.5541452788991585</v>
      </c>
      <c r="K285" s="69">
        <f t="shared" ca="1" si="70"/>
        <v>-0.53222976702859104</v>
      </c>
      <c r="L285" s="69">
        <f t="shared" ca="1" si="70"/>
        <v>-0.59257522157392573</v>
      </c>
      <c r="N285" s="69">
        <f t="shared" ca="1" si="59"/>
        <v>0.60039975254601419</v>
      </c>
      <c r="O285" s="69">
        <f t="shared" ca="1" si="60"/>
        <v>-0.44971292117659012</v>
      </c>
      <c r="P285" s="69">
        <f t="shared" ca="1" si="61"/>
        <v>-0.15937875889795661</v>
      </c>
      <c r="Q285" s="69">
        <f t="shared" ca="1" si="62"/>
        <v>1.0336494635698512</v>
      </c>
      <c r="R285" s="69">
        <f t="shared" ca="1" si="63"/>
        <v>-2.2719161503370961E-2</v>
      </c>
      <c r="S285" s="69">
        <f t="shared" ca="1" si="64"/>
        <v>0.18260693534301725</v>
      </c>
      <c r="T285" s="69">
        <f t="shared" ca="1" si="65"/>
        <v>0.35846380219860019</v>
      </c>
      <c r="U285" s="69">
        <f t="shared" ca="1" si="66"/>
        <v>-0.50587706575648217</v>
      </c>
      <c r="V285" s="69">
        <f t="shared" ca="1" si="67"/>
        <v>-1.5602548724727558</v>
      </c>
      <c r="W285" s="69">
        <f t="shared" ca="1" si="68"/>
        <v>-0.53124841020449209</v>
      </c>
      <c r="X285" s="69">
        <f t="shared" ca="1" si="69"/>
        <v>-0.56540673119949025</v>
      </c>
    </row>
    <row r="286" spans="2:24" x14ac:dyDescent="0.2">
      <c r="B286" s="69">
        <f t="shared" ca="1" si="58"/>
        <v>0.8677444699478235</v>
      </c>
      <c r="C286" s="69">
        <f t="shared" ca="1" si="70"/>
        <v>1.7467874205301566</v>
      </c>
      <c r="D286" s="69">
        <f t="shared" ca="1" si="70"/>
        <v>-1.4143723533860424</v>
      </c>
      <c r="E286" s="69">
        <f t="shared" ca="1" si="70"/>
        <v>-0.37524804117549604</v>
      </c>
      <c r="F286" s="69">
        <f t="shared" ca="1" si="70"/>
        <v>-1.3314036101006921</v>
      </c>
      <c r="G286" s="69">
        <f t="shared" ca="1" si="70"/>
        <v>0.40421093577130029</v>
      </c>
      <c r="H286" s="69">
        <f t="shared" ca="1" si="70"/>
        <v>0.76501902001086108</v>
      </c>
      <c r="I286" s="69">
        <f t="shared" ca="1" si="70"/>
        <v>0.49238734776749232</v>
      </c>
      <c r="J286" s="69">
        <f t="shared" ca="1" si="70"/>
        <v>-1.3620365381451933</v>
      </c>
      <c r="K286" s="69">
        <f t="shared" ca="1" si="70"/>
        <v>3.3739900678564472E-2</v>
      </c>
      <c r="L286" s="69">
        <f t="shared" ca="1" si="70"/>
        <v>-0.81843388997758992</v>
      </c>
      <c r="N286" s="69">
        <f t="shared" ca="1" si="59"/>
        <v>0.90551251378593234</v>
      </c>
      <c r="O286" s="69">
        <f t="shared" ca="1" si="60"/>
        <v>1.7202938574472699</v>
      </c>
      <c r="P286" s="69">
        <f t="shared" ca="1" si="61"/>
        <v>-1.4721144182231325</v>
      </c>
      <c r="Q286" s="69">
        <f t="shared" ca="1" si="62"/>
        <v>-0.32613936231373708</v>
      </c>
      <c r="R286" s="69">
        <f t="shared" ca="1" si="63"/>
        <v>-1.337698295508341</v>
      </c>
      <c r="S286" s="69">
        <f t="shared" ca="1" si="64"/>
        <v>0.43703790802810877</v>
      </c>
      <c r="T286" s="69">
        <f t="shared" ca="1" si="65"/>
        <v>0.76018798229567119</v>
      </c>
      <c r="U286" s="69">
        <f t="shared" ca="1" si="66"/>
        <v>0.515427474645202</v>
      </c>
      <c r="V286" s="69">
        <f t="shared" ca="1" si="67"/>
        <v>-1.3681461317187906</v>
      </c>
      <c r="W286" s="69">
        <f t="shared" ca="1" si="68"/>
        <v>3.4721257502663423E-2</v>
      </c>
      <c r="X286" s="69">
        <f t="shared" ca="1" si="69"/>
        <v>-0.79126539960315445</v>
      </c>
    </row>
    <row r="287" spans="2:24" x14ac:dyDescent="0.2">
      <c r="B287" s="69">
        <f t="shared" ca="1" si="58"/>
        <v>-1.1410286193682082</v>
      </c>
      <c r="C287" s="69">
        <f t="shared" ca="1" si="70"/>
        <v>-1.1042268032999001</v>
      </c>
      <c r="D287" s="69">
        <f t="shared" ca="1" si="70"/>
        <v>-0.17811149552181144</v>
      </c>
      <c r="E287" s="69">
        <f t="shared" ca="1" si="70"/>
        <v>0.82613277935946461</v>
      </c>
      <c r="F287" s="69">
        <f t="shared" ca="1" si="70"/>
        <v>-0.6612516042231521</v>
      </c>
      <c r="G287" s="69">
        <f t="shared" ca="1" si="70"/>
        <v>0.9333028949052411</v>
      </c>
      <c r="H287" s="69">
        <f t="shared" ca="1" si="70"/>
        <v>0.64403942765586009</v>
      </c>
      <c r="I287" s="69">
        <f t="shared" ca="1" si="70"/>
        <v>0.39382619956548309</v>
      </c>
      <c r="J287" s="69">
        <f t="shared" ca="1" si="70"/>
        <v>0.65772982299806937</v>
      </c>
      <c r="K287" s="69">
        <f t="shared" ca="1" si="70"/>
        <v>0.2955631443650088</v>
      </c>
      <c r="L287" s="69">
        <f t="shared" ca="1" si="70"/>
        <v>-0.5445378111766388</v>
      </c>
      <c r="N287" s="69">
        <f t="shared" ca="1" si="59"/>
        <v>-1.1032605755300995</v>
      </c>
      <c r="O287" s="69">
        <f t="shared" ca="1" si="60"/>
        <v>-1.1307203663827867</v>
      </c>
      <c r="P287" s="69">
        <f t="shared" ca="1" si="61"/>
        <v>-0.23585356035890148</v>
      </c>
      <c r="Q287" s="69">
        <f t="shared" ca="1" si="62"/>
        <v>0.87524145822122357</v>
      </c>
      <c r="R287" s="69">
        <f t="shared" ca="1" si="63"/>
        <v>-0.66754628963080098</v>
      </c>
      <c r="S287" s="69">
        <f t="shared" ca="1" si="64"/>
        <v>0.96612986716204963</v>
      </c>
      <c r="T287" s="69">
        <f t="shared" ca="1" si="65"/>
        <v>0.6392083899406702</v>
      </c>
      <c r="U287" s="69">
        <f t="shared" ca="1" si="66"/>
        <v>0.41686632644319277</v>
      </c>
      <c r="V287" s="69">
        <f t="shared" ca="1" si="67"/>
        <v>0.65162022942447206</v>
      </c>
      <c r="W287" s="69">
        <f t="shared" ca="1" si="68"/>
        <v>0.29654450118910775</v>
      </c>
      <c r="X287" s="69">
        <f t="shared" ca="1" si="69"/>
        <v>-0.51736932080220333</v>
      </c>
    </row>
    <row r="288" spans="2:24" x14ac:dyDescent="0.2">
      <c r="B288" s="69">
        <f t="shared" ca="1" si="58"/>
        <v>-0.55826941468494085</v>
      </c>
      <c r="C288" s="69">
        <f t="shared" ca="1" si="70"/>
        <v>-0.64903234954975841</v>
      </c>
      <c r="D288" s="69">
        <f t="shared" ca="1" si="70"/>
        <v>-0.12357834765843312</v>
      </c>
      <c r="E288" s="69">
        <f t="shared" ca="1" si="70"/>
        <v>-4.7228063813133686E-2</v>
      </c>
      <c r="F288" s="69">
        <f t="shared" ca="1" si="70"/>
        <v>1.3022243098957729</v>
      </c>
      <c r="G288" s="69">
        <f t="shared" ca="1" si="70"/>
        <v>-0.48368331423227162</v>
      </c>
      <c r="H288" s="69">
        <f t="shared" ca="1" si="70"/>
        <v>-0.79639193078884807</v>
      </c>
      <c r="I288" s="69">
        <f t="shared" ca="1" si="70"/>
        <v>1.5815165136403551</v>
      </c>
      <c r="J288" s="69">
        <f t="shared" ca="1" si="70"/>
        <v>0.28249297688904312</v>
      </c>
      <c r="K288" s="69">
        <f t="shared" ca="1" si="70"/>
        <v>-0.64121969647339883</v>
      </c>
      <c r="L288" s="69">
        <f t="shared" ca="1" si="70"/>
        <v>-1.955224303162858</v>
      </c>
      <c r="N288" s="69">
        <f t="shared" ca="1" si="59"/>
        <v>-0.52050137084683201</v>
      </c>
      <c r="O288" s="69">
        <f t="shared" ca="1" si="60"/>
        <v>-0.67552591263264505</v>
      </c>
      <c r="P288" s="69">
        <f t="shared" ca="1" si="61"/>
        <v>-0.18132041249552316</v>
      </c>
      <c r="Q288" s="69">
        <f t="shared" ca="1" si="62"/>
        <v>1.8806150486252587E-3</v>
      </c>
      <c r="R288" s="69">
        <f t="shared" ca="1" si="63"/>
        <v>1.295929624488124</v>
      </c>
      <c r="S288" s="69">
        <f t="shared" ca="1" si="64"/>
        <v>-0.45085634197546315</v>
      </c>
      <c r="T288" s="69">
        <f t="shared" ca="1" si="65"/>
        <v>-0.80122296850403796</v>
      </c>
      <c r="U288" s="69">
        <f t="shared" ca="1" si="66"/>
        <v>1.6045566405180647</v>
      </c>
      <c r="V288" s="69">
        <f t="shared" ca="1" si="67"/>
        <v>0.27638338331544582</v>
      </c>
      <c r="W288" s="69">
        <f t="shared" ca="1" si="68"/>
        <v>-0.64023833964929988</v>
      </c>
      <c r="X288" s="69">
        <f t="shared" ca="1" si="69"/>
        <v>-1.9280558127884224</v>
      </c>
    </row>
    <row r="289" spans="2:24" x14ac:dyDescent="0.2">
      <c r="B289" s="69">
        <f t="shared" ca="1" si="58"/>
        <v>0.98410010201687226</v>
      </c>
      <c r="C289" s="69">
        <f t="shared" ca="1" si="70"/>
        <v>1.2075732168387052</v>
      </c>
      <c r="D289" s="69">
        <f t="shared" ca="1" si="70"/>
        <v>1.5345408643664735</v>
      </c>
      <c r="E289" s="69">
        <f t="shared" ca="1" si="70"/>
        <v>1.463516608205562</v>
      </c>
      <c r="F289" s="69">
        <f t="shared" ca="1" si="70"/>
        <v>0.42215097255309969</v>
      </c>
      <c r="G289" s="69">
        <f t="shared" ca="1" si="70"/>
        <v>0.24431126760857755</v>
      </c>
      <c r="H289" s="69">
        <f t="shared" ca="1" si="70"/>
        <v>-0.88680783571909794</v>
      </c>
      <c r="I289" s="69">
        <f t="shared" ca="1" si="70"/>
        <v>-1.3519827942966429</v>
      </c>
      <c r="J289" s="69">
        <f t="shared" ca="1" si="70"/>
        <v>0.45044146837924576</v>
      </c>
      <c r="K289" s="69">
        <f t="shared" ca="1" si="70"/>
        <v>0.5630530425007737</v>
      </c>
      <c r="L289" s="69">
        <f t="shared" ca="1" si="70"/>
        <v>1.1619919338453022</v>
      </c>
      <c r="N289" s="69">
        <f t="shared" ca="1" si="59"/>
        <v>1.021868145854981</v>
      </c>
      <c r="O289" s="69">
        <f t="shared" ca="1" si="60"/>
        <v>1.1810796537558186</v>
      </c>
      <c r="P289" s="69">
        <f t="shared" ca="1" si="61"/>
        <v>1.4767987995293834</v>
      </c>
      <c r="Q289" s="69">
        <f t="shared" ca="1" si="62"/>
        <v>1.5126252870673209</v>
      </c>
      <c r="R289" s="69">
        <f t="shared" ca="1" si="63"/>
        <v>0.41585628714545081</v>
      </c>
      <c r="S289" s="69">
        <f t="shared" ca="1" si="64"/>
        <v>0.27713823986538605</v>
      </c>
      <c r="T289" s="69">
        <f t="shared" ca="1" si="65"/>
        <v>-0.89163887343428783</v>
      </c>
      <c r="U289" s="69">
        <f t="shared" ca="1" si="66"/>
        <v>-1.3289426674189333</v>
      </c>
      <c r="V289" s="69">
        <f t="shared" ca="1" si="67"/>
        <v>0.44433187480564845</v>
      </c>
      <c r="W289" s="69">
        <f t="shared" ca="1" si="68"/>
        <v>0.56403439932487265</v>
      </c>
      <c r="X289" s="69">
        <f t="shared" ca="1" si="69"/>
        <v>1.1891604242197378</v>
      </c>
    </row>
    <row r="290" spans="2:24" x14ac:dyDescent="0.2">
      <c r="B290" s="69">
        <f t="shared" ca="1" si="58"/>
        <v>-0.71203893812598584</v>
      </c>
      <c r="C290" s="69">
        <f t="shared" ca="1" si="70"/>
        <v>0.40234617050508453</v>
      </c>
      <c r="D290" s="69">
        <f t="shared" ca="1" si="70"/>
        <v>-8.6237467593348993E-2</v>
      </c>
      <c r="E290" s="69">
        <f t="shared" ca="1" si="70"/>
        <v>1.2974193716275517</v>
      </c>
      <c r="F290" s="69">
        <f t="shared" ca="1" si="70"/>
        <v>-0.4108771882007729</v>
      </c>
      <c r="G290" s="69">
        <f t="shared" ca="1" si="70"/>
        <v>-1.1484776476353233</v>
      </c>
      <c r="H290" s="69">
        <f t="shared" ca="1" si="70"/>
        <v>0.2049639154648987</v>
      </c>
      <c r="I290" s="69">
        <f t="shared" ca="1" si="70"/>
        <v>-0.48461121403506929</v>
      </c>
      <c r="J290" s="69">
        <f t="shared" ca="1" si="70"/>
        <v>-0.20024815219528735</v>
      </c>
      <c r="K290" s="69">
        <f t="shared" ca="1" si="70"/>
        <v>-0.50837355877227874</v>
      </c>
      <c r="L290" s="69">
        <f t="shared" ca="1" si="70"/>
        <v>0.5699485601289811</v>
      </c>
      <c r="N290" s="69">
        <f t="shared" ca="1" si="59"/>
        <v>-0.67427089428787701</v>
      </c>
      <c r="O290" s="69">
        <f t="shared" ca="1" si="60"/>
        <v>0.37585260742219784</v>
      </c>
      <c r="P290" s="69">
        <f t="shared" ca="1" si="61"/>
        <v>-0.14397953243043904</v>
      </c>
      <c r="Q290" s="69">
        <f t="shared" ca="1" si="62"/>
        <v>1.3465280504893107</v>
      </c>
      <c r="R290" s="69">
        <f t="shared" ca="1" si="63"/>
        <v>-0.41717187360842178</v>
      </c>
      <c r="S290" s="69">
        <f t="shared" ca="1" si="64"/>
        <v>-1.1156506753785149</v>
      </c>
      <c r="T290" s="69">
        <f t="shared" ca="1" si="65"/>
        <v>0.20013287774970887</v>
      </c>
      <c r="U290" s="69">
        <f t="shared" ca="1" si="66"/>
        <v>-0.46157108715735962</v>
      </c>
      <c r="V290" s="69">
        <f t="shared" ca="1" si="67"/>
        <v>-0.20635774576888469</v>
      </c>
      <c r="W290" s="69">
        <f t="shared" ca="1" si="68"/>
        <v>-0.5073922019481798</v>
      </c>
      <c r="X290" s="69">
        <f t="shared" ca="1" si="69"/>
        <v>0.59711705050341657</v>
      </c>
    </row>
    <row r="291" spans="2:24" x14ac:dyDescent="0.2">
      <c r="B291" s="69">
        <f t="shared" ca="1" si="58"/>
        <v>-0.79116304930436743</v>
      </c>
      <c r="C291" s="69">
        <f t="shared" ca="1" si="70"/>
        <v>1.6746105184456666</v>
      </c>
      <c r="D291" s="69">
        <f t="shared" ca="1" si="70"/>
        <v>1.6687214837930573</v>
      </c>
      <c r="E291" s="69">
        <f t="shared" ca="1" si="70"/>
        <v>-1.5316466995764935</v>
      </c>
      <c r="F291" s="69">
        <f t="shared" ca="1" si="70"/>
        <v>0.36111673773648229</v>
      </c>
      <c r="G291" s="69">
        <f t="shared" ca="1" si="70"/>
        <v>-0.34744994652040662</v>
      </c>
      <c r="H291" s="69">
        <f t="shared" ca="1" si="70"/>
        <v>0.75450820614149294</v>
      </c>
      <c r="I291" s="69">
        <f t="shared" ca="1" si="70"/>
        <v>-0.20202308373151598</v>
      </c>
      <c r="J291" s="69">
        <f t="shared" ca="1" si="70"/>
        <v>-0.2172731497137462</v>
      </c>
      <c r="K291" s="69">
        <f t="shared" ca="1" si="70"/>
        <v>-0.78564966486117049</v>
      </c>
      <c r="L291" s="69">
        <f t="shared" ca="1" si="70"/>
        <v>-0.37545819002916553</v>
      </c>
      <c r="N291" s="69">
        <f t="shared" ca="1" si="59"/>
        <v>-0.75339500546625859</v>
      </c>
      <c r="O291" s="69">
        <f t="shared" ca="1" si="60"/>
        <v>1.6481169553627799</v>
      </c>
      <c r="P291" s="69">
        <f t="shared" ca="1" si="61"/>
        <v>1.6109794189559672</v>
      </c>
      <c r="Q291" s="69">
        <f t="shared" ca="1" si="62"/>
        <v>-1.4825380207147345</v>
      </c>
      <c r="R291" s="69">
        <f t="shared" ca="1" si="63"/>
        <v>0.3548220523288334</v>
      </c>
      <c r="S291" s="69">
        <f t="shared" ca="1" si="64"/>
        <v>-0.31462297426359814</v>
      </c>
      <c r="T291" s="69">
        <f t="shared" ca="1" si="65"/>
        <v>0.74967716842630305</v>
      </c>
      <c r="U291" s="69">
        <f t="shared" ca="1" si="66"/>
        <v>-0.17898295685380633</v>
      </c>
      <c r="V291" s="69">
        <f t="shared" ca="1" si="67"/>
        <v>-0.22338274328734353</v>
      </c>
      <c r="W291" s="69">
        <f t="shared" ca="1" si="68"/>
        <v>-0.78466830803707155</v>
      </c>
      <c r="X291" s="69">
        <f t="shared" ca="1" si="69"/>
        <v>-0.34828969965473006</v>
      </c>
    </row>
    <row r="292" spans="2:24" x14ac:dyDescent="0.2">
      <c r="B292" s="69">
        <f t="shared" ca="1" si="58"/>
        <v>-0.17760807758109909</v>
      </c>
      <c r="C292" s="69">
        <f t="shared" ca="1" si="70"/>
        <v>1.5930634440314815</v>
      </c>
      <c r="D292" s="69">
        <f t="shared" ca="1" si="70"/>
        <v>3.2350880639497545E-4</v>
      </c>
      <c r="E292" s="69">
        <f t="shared" ca="1" si="70"/>
        <v>-1.5288470125253049</v>
      </c>
      <c r="F292" s="69">
        <f t="shared" ca="1" si="70"/>
        <v>-3.5482181216728984E-2</v>
      </c>
      <c r="G292" s="69">
        <f t="shared" ca="1" si="70"/>
        <v>0.78641978320661476</v>
      </c>
      <c r="H292" s="69">
        <f t="shared" ca="1" si="70"/>
        <v>-0.36435602442556242</v>
      </c>
      <c r="I292" s="69">
        <f t="shared" ca="1" si="70"/>
        <v>-0.96448085733838895</v>
      </c>
      <c r="J292" s="69">
        <f t="shared" ca="1" si="70"/>
        <v>1.3064579907534446</v>
      </c>
      <c r="K292" s="69">
        <f t="shared" ca="1" si="70"/>
        <v>0.29940584221291255</v>
      </c>
      <c r="L292" s="69">
        <f t="shared" ca="1" si="70"/>
        <v>-2.1910033626032928E-3</v>
      </c>
      <c r="N292" s="69">
        <f t="shared" ca="1" si="59"/>
        <v>-0.13984003374299026</v>
      </c>
      <c r="O292" s="69">
        <f t="shared" ca="1" si="60"/>
        <v>1.5665698809485948</v>
      </c>
      <c r="P292" s="69">
        <f t="shared" ca="1" si="61"/>
        <v>-5.7418556030695053E-2</v>
      </c>
      <c r="Q292" s="69">
        <f t="shared" ca="1" si="62"/>
        <v>-1.4797383336635459</v>
      </c>
      <c r="R292" s="69">
        <f t="shared" ca="1" si="63"/>
        <v>-4.1776866624377879E-2</v>
      </c>
      <c r="S292" s="69">
        <f t="shared" ca="1" si="64"/>
        <v>0.81924675546342329</v>
      </c>
      <c r="T292" s="69">
        <f t="shared" ca="1" si="65"/>
        <v>-0.36918706214075225</v>
      </c>
      <c r="U292" s="69">
        <f t="shared" ca="1" si="66"/>
        <v>-0.94144073046067933</v>
      </c>
      <c r="V292" s="69">
        <f t="shared" ca="1" si="67"/>
        <v>1.3003483971798473</v>
      </c>
      <c r="W292" s="69">
        <f t="shared" ca="1" si="68"/>
        <v>0.3003871990370115</v>
      </c>
      <c r="X292" s="69">
        <f t="shared" ca="1" si="69"/>
        <v>2.4977487011832188E-2</v>
      </c>
    </row>
    <row r="293" spans="2:24" x14ac:dyDescent="0.2">
      <c r="B293" s="69">
        <f t="shared" ca="1" si="58"/>
        <v>-1.1133757190626552</v>
      </c>
      <c r="C293" s="69">
        <f t="shared" ca="1" si="70"/>
        <v>-1.1992059364105285</v>
      </c>
      <c r="D293" s="69">
        <f t="shared" ca="1" si="70"/>
        <v>-1.6662147128953342</v>
      </c>
      <c r="E293" s="69">
        <f t="shared" ca="1" si="70"/>
        <v>0.14573798054501752</v>
      </c>
      <c r="F293" s="69">
        <f t="shared" ca="1" si="70"/>
        <v>-1.2090398705469754</v>
      </c>
      <c r="G293" s="69">
        <f t="shared" ca="1" si="70"/>
        <v>-0.59290289419815989</v>
      </c>
      <c r="H293" s="69">
        <f t="shared" ca="1" si="70"/>
        <v>-1.1514679682026414</v>
      </c>
      <c r="I293" s="69">
        <f t="shared" ca="1" si="70"/>
        <v>-0.20986638098022983</v>
      </c>
      <c r="J293" s="69">
        <f t="shared" ca="1" si="70"/>
        <v>-0.70691584515957684</v>
      </c>
      <c r="K293" s="69">
        <f t="shared" ca="1" si="70"/>
        <v>0.40629821021893858</v>
      </c>
      <c r="L293" s="69">
        <f t="shared" ca="1" si="70"/>
        <v>1.4952041931406606</v>
      </c>
      <c r="N293" s="69">
        <f t="shared" ca="1" si="59"/>
        <v>-1.0756076752245465</v>
      </c>
      <c r="O293" s="69">
        <f t="shared" ca="1" si="60"/>
        <v>-1.2256994994934152</v>
      </c>
      <c r="P293" s="69">
        <f t="shared" ca="1" si="61"/>
        <v>-1.7239567777324243</v>
      </c>
      <c r="Q293" s="69">
        <f t="shared" ca="1" si="62"/>
        <v>0.19484665940677648</v>
      </c>
      <c r="R293" s="69">
        <f t="shared" ca="1" si="63"/>
        <v>-1.2153345559546243</v>
      </c>
      <c r="S293" s="69">
        <f t="shared" ca="1" si="64"/>
        <v>-0.56007592194135136</v>
      </c>
      <c r="T293" s="69">
        <f t="shared" ca="1" si="65"/>
        <v>-1.1562990059178313</v>
      </c>
      <c r="U293" s="69">
        <f t="shared" ca="1" si="66"/>
        <v>-0.18682625410252018</v>
      </c>
      <c r="V293" s="69">
        <f t="shared" ca="1" si="67"/>
        <v>-0.71302543873317414</v>
      </c>
      <c r="W293" s="69">
        <f t="shared" ca="1" si="68"/>
        <v>0.40727956704303753</v>
      </c>
      <c r="X293" s="69">
        <f t="shared" ca="1" si="69"/>
        <v>1.5223726835150961</v>
      </c>
    </row>
    <row r="294" spans="2:24" x14ac:dyDescent="0.2">
      <c r="B294" s="69">
        <f t="shared" ca="1" si="58"/>
        <v>-0.10500321547709568</v>
      </c>
      <c r="C294" s="69">
        <f t="shared" ca="1" si="70"/>
        <v>0.47096145815869545</v>
      </c>
      <c r="D294" s="69">
        <f t="shared" ca="1" si="70"/>
        <v>1.0658968327674176</v>
      </c>
      <c r="E294" s="69">
        <f t="shared" ca="1" si="70"/>
        <v>-0.4040196951702637</v>
      </c>
      <c r="F294" s="69">
        <f t="shared" ca="1" si="70"/>
        <v>0.87633334036843114</v>
      </c>
      <c r="G294" s="69">
        <f t="shared" ca="1" si="70"/>
        <v>-0.40471009238816319</v>
      </c>
      <c r="H294" s="69">
        <f t="shared" ca="1" si="70"/>
        <v>-1.3325293488684768</v>
      </c>
      <c r="I294" s="69">
        <f t="shared" ca="1" si="70"/>
        <v>0.17534099633348493</v>
      </c>
      <c r="J294" s="69">
        <f t="shared" ca="1" si="70"/>
        <v>-0.77599802423393038</v>
      </c>
      <c r="K294" s="69">
        <f t="shared" ca="1" si="70"/>
        <v>0.45667401103896171</v>
      </c>
      <c r="L294" s="69">
        <f t="shared" ca="1" si="70"/>
        <v>1.3973310545404507</v>
      </c>
      <c r="N294" s="69">
        <f t="shared" ca="1" si="59"/>
        <v>-6.723517163898686E-2</v>
      </c>
      <c r="O294" s="69">
        <f t="shared" ca="1" si="60"/>
        <v>0.44446789507580875</v>
      </c>
      <c r="P294" s="69">
        <f t="shared" ca="1" si="61"/>
        <v>1.0081547679303275</v>
      </c>
      <c r="Q294" s="69">
        <f t="shared" ca="1" si="62"/>
        <v>-0.35491101630850475</v>
      </c>
      <c r="R294" s="69">
        <f t="shared" ca="1" si="63"/>
        <v>0.87003865496078225</v>
      </c>
      <c r="S294" s="69">
        <f t="shared" ca="1" si="64"/>
        <v>-0.37188312013135472</v>
      </c>
      <c r="T294" s="69">
        <f t="shared" ca="1" si="65"/>
        <v>-1.3373603865836667</v>
      </c>
      <c r="U294" s="69">
        <f t="shared" ca="1" si="66"/>
        <v>0.19838112321119458</v>
      </c>
      <c r="V294" s="69">
        <f t="shared" ca="1" si="67"/>
        <v>-0.78210761780752769</v>
      </c>
      <c r="W294" s="69">
        <f t="shared" ca="1" si="68"/>
        <v>0.45765536786306066</v>
      </c>
      <c r="X294" s="69">
        <f t="shared" ca="1" si="69"/>
        <v>1.4244995449148863</v>
      </c>
    </row>
    <row r="295" spans="2:24" x14ac:dyDescent="0.2">
      <c r="B295" s="69">
        <f t="shared" ca="1" si="58"/>
        <v>-2.3054350800340108E-2</v>
      </c>
      <c r="C295" s="69">
        <f t="shared" ca="1" si="70"/>
        <v>-0.70914079576798172</v>
      </c>
      <c r="D295" s="69">
        <f t="shared" ca="1" si="70"/>
        <v>1.1356507873942574</v>
      </c>
      <c r="E295" s="69">
        <f t="shared" ca="1" si="70"/>
        <v>-1.1818459510726274</v>
      </c>
      <c r="F295" s="69">
        <f t="shared" ca="1" si="70"/>
        <v>-0.69407417785584036</v>
      </c>
      <c r="G295" s="69">
        <f t="shared" ca="1" si="70"/>
        <v>-3.348057673260272E-2</v>
      </c>
      <c r="H295" s="69">
        <f t="shared" ca="1" si="70"/>
        <v>-0.55588857206920772</v>
      </c>
      <c r="I295" s="69">
        <f t="shared" ca="1" si="70"/>
        <v>0.80013903425126576</v>
      </c>
      <c r="J295" s="69">
        <f t="shared" ca="1" si="70"/>
        <v>0.23350188783336456</v>
      </c>
      <c r="K295" s="69">
        <f t="shared" ca="1" si="70"/>
        <v>0.1586568544567126</v>
      </c>
      <c r="L295" s="69">
        <f t="shared" ca="1" si="70"/>
        <v>0.27495983444416</v>
      </c>
      <c r="N295" s="69">
        <f t="shared" ca="1" si="59"/>
        <v>1.4713693037768712E-2</v>
      </c>
      <c r="O295" s="69">
        <f t="shared" ca="1" si="60"/>
        <v>-0.73563435885086836</v>
      </c>
      <c r="P295" s="69">
        <f t="shared" ca="1" si="61"/>
        <v>1.0779087225571673</v>
      </c>
      <c r="Q295" s="69">
        <f t="shared" ca="1" si="62"/>
        <v>-1.1327372722108684</v>
      </c>
      <c r="R295" s="69">
        <f t="shared" ca="1" si="63"/>
        <v>-0.70036886326348924</v>
      </c>
      <c r="S295" s="69">
        <f t="shared" ca="1" si="64"/>
        <v>-6.5360447579423941E-4</v>
      </c>
      <c r="T295" s="69">
        <f t="shared" ca="1" si="65"/>
        <v>-0.56071960978439761</v>
      </c>
      <c r="U295" s="69">
        <f t="shared" ca="1" si="66"/>
        <v>0.82317916112897538</v>
      </c>
      <c r="V295" s="69">
        <f t="shared" ca="1" si="67"/>
        <v>0.22739229425976723</v>
      </c>
      <c r="W295" s="69">
        <f t="shared" ca="1" si="68"/>
        <v>0.15963821128081154</v>
      </c>
      <c r="X295" s="69">
        <f t="shared" ca="1" si="69"/>
        <v>0.30212832481859547</v>
      </c>
    </row>
    <row r="296" spans="2:24" x14ac:dyDescent="0.2">
      <c r="B296" s="69">
        <f t="shared" ca="1" si="58"/>
        <v>1.1815412394587095</v>
      </c>
      <c r="C296" s="69">
        <f t="shared" ca="1" si="70"/>
        <v>0.41088967914007796</v>
      </c>
      <c r="D296" s="69">
        <f t="shared" ca="1" si="70"/>
        <v>-0.18741784017361626</v>
      </c>
      <c r="E296" s="69">
        <f t="shared" ca="1" si="70"/>
        <v>-0.6828081268710483</v>
      </c>
      <c r="F296" s="69">
        <f t="shared" ca="1" si="70"/>
        <v>0.40817658095430215</v>
      </c>
      <c r="G296" s="69">
        <f t="shared" ca="1" si="70"/>
        <v>-0.65762550263257491</v>
      </c>
      <c r="H296" s="69">
        <f t="shared" ca="1" si="70"/>
        <v>-0.8996322715450592</v>
      </c>
      <c r="I296" s="69">
        <f t="shared" ca="1" si="70"/>
        <v>-0.40648790838982585</v>
      </c>
      <c r="J296" s="69">
        <f t="shared" ca="1" si="70"/>
        <v>0.41342854143274455</v>
      </c>
      <c r="K296" s="69">
        <f t="shared" ca="1" si="70"/>
        <v>0.32221262405561202</v>
      </c>
      <c r="L296" s="69">
        <f t="shared" ca="1" si="70"/>
        <v>-0.91746068785225188</v>
      </c>
      <c r="N296" s="69">
        <f t="shared" ca="1" si="59"/>
        <v>1.2193092832968182</v>
      </c>
      <c r="O296" s="69">
        <f t="shared" ca="1" si="60"/>
        <v>0.38439611605719126</v>
      </c>
      <c r="P296" s="69">
        <f t="shared" ca="1" si="61"/>
        <v>-0.24515990501070628</v>
      </c>
      <c r="Q296" s="69">
        <f t="shared" ca="1" si="62"/>
        <v>-0.63369944800928935</v>
      </c>
      <c r="R296" s="69">
        <f t="shared" ca="1" si="63"/>
        <v>0.40188189554665327</v>
      </c>
      <c r="S296" s="69">
        <f t="shared" ca="1" si="64"/>
        <v>-0.62479853037576638</v>
      </c>
      <c r="T296" s="69">
        <f t="shared" ca="1" si="65"/>
        <v>-0.90446330926024909</v>
      </c>
      <c r="U296" s="69">
        <f t="shared" ca="1" si="66"/>
        <v>-0.38344778151211617</v>
      </c>
      <c r="V296" s="69">
        <f t="shared" ca="1" si="67"/>
        <v>0.40731894785914724</v>
      </c>
      <c r="W296" s="69">
        <f t="shared" ca="1" si="68"/>
        <v>0.32319398087971096</v>
      </c>
      <c r="X296" s="69">
        <f t="shared" ca="1" si="69"/>
        <v>-0.8902921974778164</v>
      </c>
    </row>
    <row r="297" spans="2:24" x14ac:dyDescent="0.2">
      <c r="B297" s="69">
        <f t="shared" ca="1" si="58"/>
        <v>1.9377260784789399</v>
      </c>
      <c r="C297" s="69">
        <f t="shared" ca="1" si="70"/>
        <v>-1.2229389333886009</v>
      </c>
      <c r="D297" s="69">
        <f t="shared" ca="1" si="70"/>
        <v>1.0132938194097796</v>
      </c>
      <c r="E297" s="69">
        <f t="shared" ca="1" si="70"/>
        <v>1.9284412335722234</v>
      </c>
      <c r="F297" s="69">
        <f t="shared" ca="1" si="70"/>
        <v>-0.29487451849202329</v>
      </c>
      <c r="G297" s="69">
        <f t="shared" ca="1" si="70"/>
        <v>1.1024328491294685E-2</v>
      </c>
      <c r="H297" s="69">
        <f t="shared" ca="1" si="70"/>
        <v>-0.48352397209887255</v>
      </c>
      <c r="I297" s="69">
        <f t="shared" ca="1" si="70"/>
        <v>-0.61195143916375039</v>
      </c>
      <c r="J297" s="69">
        <f t="shared" ca="1" si="70"/>
        <v>-2.6366023939245</v>
      </c>
      <c r="K297" s="69">
        <f t="shared" ca="1" si="70"/>
        <v>0.19846994642031587</v>
      </c>
      <c r="L297" s="69">
        <f t="shared" ca="1" si="70"/>
        <v>-0.32435094985611768</v>
      </c>
      <c r="N297" s="69">
        <f t="shared" ca="1" si="59"/>
        <v>1.9754941223170486</v>
      </c>
      <c r="O297" s="69">
        <f t="shared" ca="1" si="60"/>
        <v>-1.2494324964714876</v>
      </c>
      <c r="P297" s="69">
        <f t="shared" ca="1" si="61"/>
        <v>0.95555175457268959</v>
      </c>
      <c r="Q297" s="69">
        <f t="shared" ca="1" si="62"/>
        <v>1.9775499124339824</v>
      </c>
      <c r="R297" s="69">
        <f t="shared" ca="1" si="63"/>
        <v>-0.30116920389967217</v>
      </c>
      <c r="S297" s="69">
        <f t="shared" ca="1" si="64"/>
        <v>4.3851300748103166E-2</v>
      </c>
      <c r="T297" s="69">
        <f t="shared" ca="1" si="65"/>
        <v>-0.48835500981406238</v>
      </c>
      <c r="U297" s="69">
        <f t="shared" ca="1" si="66"/>
        <v>-0.58891131228604077</v>
      </c>
      <c r="V297" s="69">
        <f t="shared" ca="1" si="67"/>
        <v>-2.6427119874980973</v>
      </c>
      <c r="W297" s="69">
        <f t="shared" ca="1" si="68"/>
        <v>0.19945130324441482</v>
      </c>
      <c r="X297" s="69">
        <f t="shared" ca="1" si="69"/>
        <v>-0.2971824594816822</v>
      </c>
    </row>
    <row r="298" spans="2:24" x14ac:dyDescent="0.2">
      <c r="B298" s="69">
        <f t="shared" ca="1" si="58"/>
        <v>-0.11107033664927174</v>
      </c>
      <c r="C298" s="69">
        <f t="shared" ca="1" si="70"/>
        <v>1.0698812514954661</v>
      </c>
      <c r="D298" s="69">
        <f t="shared" ca="1" si="70"/>
        <v>-1.0446238511596415</v>
      </c>
      <c r="E298" s="69">
        <f t="shared" ca="1" si="70"/>
        <v>-1.0089245658864248</v>
      </c>
      <c r="F298" s="69">
        <f t="shared" ca="1" si="70"/>
        <v>-0.22612297995083774</v>
      </c>
      <c r="G298" s="69">
        <f t="shared" ca="1" si="70"/>
        <v>1.0302618423497283</v>
      </c>
      <c r="H298" s="69">
        <f t="shared" ca="1" si="70"/>
        <v>0.48911911232324146</v>
      </c>
      <c r="I298" s="69">
        <f t="shared" ca="1" si="70"/>
        <v>-0.31274975366949409</v>
      </c>
      <c r="J298" s="69">
        <f t="shared" ca="1" si="70"/>
        <v>0.56493880602919244</v>
      </c>
      <c r="K298" s="69">
        <f t="shared" ca="1" si="70"/>
        <v>0.25117033720385928</v>
      </c>
      <c r="L298" s="69">
        <f t="shared" ca="1" si="70"/>
        <v>2.1804943823969438</v>
      </c>
      <c r="N298" s="69">
        <f t="shared" ca="1" si="59"/>
        <v>-7.330229281116292E-2</v>
      </c>
      <c r="O298" s="69">
        <f t="shared" ca="1" si="60"/>
        <v>1.0433876884125795</v>
      </c>
      <c r="P298" s="69">
        <f t="shared" ca="1" si="61"/>
        <v>-1.1023659159967316</v>
      </c>
      <c r="Q298" s="69">
        <f t="shared" ca="1" si="62"/>
        <v>-0.9598158870246658</v>
      </c>
      <c r="R298" s="69">
        <f t="shared" ca="1" si="63"/>
        <v>-0.23241766535848665</v>
      </c>
      <c r="S298" s="69">
        <f t="shared" ca="1" si="64"/>
        <v>1.0630888146065367</v>
      </c>
      <c r="T298" s="69">
        <f t="shared" ca="1" si="65"/>
        <v>0.48428807460805162</v>
      </c>
      <c r="U298" s="69">
        <f t="shared" ca="1" si="66"/>
        <v>-0.28970962679178441</v>
      </c>
      <c r="V298" s="69">
        <f t="shared" ca="1" si="67"/>
        <v>0.55882921245559514</v>
      </c>
      <c r="W298" s="69">
        <f t="shared" ca="1" si="68"/>
        <v>0.25215169402795823</v>
      </c>
      <c r="X298" s="69">
        <f t="shared" ca="1" si="69"/>
        <v>2.2076628727713792</v>
      </c>
    </row>
    <row r="299" spans="2:24" x14ac:dyDescent="0.2">
      <c r="B299" s="69">
        <f t="shared" ca="1" si="58"/>
        <v>-0.90935429123009692</v>
      </c>
      <c r="C299" s="69">
        <f t="shared" ca="1" si="70"/>
        <v>-0.19329200334109289</v>
      </c>
      <c r="D299" s="69">
        <f t="shared" ref="C299:L362" ca="1" si="71">NORMINV(RAND(),$C$7,$F$7)</f>
        <v>0.69847047686634656</v>
      </c>
      <c r="E299" s="69">
        <f t="shared" ca="1" si="71"/>
        <v>-2.1424497958901347</v>
      </c>
      <c r="F299" s="69">
        <f t="shared" ca="1" si="71"/>
        <v>-8.4820548798859141E-2</v>
      </c>
      <c r="G299" s="69">
        <f t="shared" ca="1" si="71"/>
        <v>0.35409271154965993</v>
      </c>
      <c r="H299" s="69">
        <f t="shared" ca="1" si="71"/>
        <v>-1.0894789403586524</v>
      </c>
      <c r="I299" s="69">
        <f t="shared" ca="1" si="71"/>
        <v>0.29097977698472793</v>
      </c>
      <c r="J299" s="69">
        <f t="shared" ca="1" si="71"/>
        <v>-0.93582044609686343</v>
      </c>
      <c r="K299" s="69">
        <f t="shared" ca="1" si="71"/>
        <v>0.85467007177632182</v>
      </c>
      <c r="L299" s="69">
        <f t="shared" ca="1" si="71"/>
        <v>0.89157556416277861</v>
      </c>
      <c r="N299" s="69">
        <f t="shared" ca="1" si="59"/>
        <v>-0.87158624739198809</v>
      </c>
      <c r="O299" s="69">
        <f t="shared" ca="1" si="60"/>
        <v>-0.21978556642397959</v>
      </c>
      <c r="P299" s="69">
        <f t="shared" ca="1" si="61"/>
        <v>0.64072841202925657</v>
      </c>
      <c r="Q299" s="69">
        <f t="shared" ca="1" si="62"/>
        <v>-2.093341117028376</v>
      </c>
      <c r="R299" s="69">
        <f t="shared" ca="1" si="63"/>
        <v>-9.1115234206508036E-2</v>
      </c>
      <c r="S299" s="69">
        <f t="shared" ca="1" si="64"/>
        <v>0.38691968380646841</v>
      </c>
      <c r="T299" s="69">
        <f t="shared" ca="1" si="65"/>
        <v>-1.0943099780738423</v>
      </c>
      <c r="U299" s="69">
        <f t="shared" ca="1" si="66"/>
        <v>0.31401990386243761</v>
      </c>
      <c r="V299" s="69">
        <f t="shared" ca="1" si="67"/>
        <v>-0.94193003967046074</v>
      </c>
      <c r="W299" s="69">
        <f t="shared" ca="1" si="68"/>
        <v>0.85565142860042076</v>
      </c>
      <c r="X299" s="69">
        <f t="shared" ca="1" si="69"/>
        <v>0.91874405453721408</v>
      </c>
    </row>
    <row r="300" spans="2:24" x14ac:dyDescent="0.2">
      <c r="B300" s="69">
        <f t="shared" ca="1" si="58"/>
        <v>1.7635938232847659</v>
      </c>
      <c r="C300" s="69">
        <f t="shared" ca="1" si="71"/>
        <v>-0.92622873325988675</v>
      </c>
      <c r="D300" s="69">
        <f t="shared" ca="1" si="71"/>
        <v>1.6246475436394918</v>
      </c>
      <c r="E300" s="69">
        <f t="shared" ca="1" si="71"/>
        <v>1.2342809311994802</v>
      </c>
      <c r="F300" s="69">
        <f t="shared" ca="1" si="71"/>
        <v>0.62788366817646157</v>
      </c>
      <c r="G300" s="69">
        <f t="shared" ca="1" si="71"/>
        <v>-0.33264449466771684</v>
      </c>
      <c r="H300" s="69">
        <f t="shared" ca="1" si="71"/>
        <v>-0.97651940352565791</v>
      </c>
      <c r="I300" s="69">
        <f t="shared" ca="1" si="71"/>
        <v>1.1042654778959533</v>
      </c>
      <c r="J300" s="69">
        <f t="shared" ca="1" si="71"/>
        <v>0.83016196055267677</v>
      </c>
      <c r="K300" s="69">
        <f t="shared" ca="1" si="71"/>
        <v>1.5357620361213244</v>
      </c>
      <c r="L300" s="69">
        <f t="shared" ca="1" si="71"/>
        <v>-0.71009795174219126</v>
      </c>
      <c r="N300" s="69">
        <f t="shared" ca="1" si="59"/>
        <v>1.8013618671228746</v>
      </c>
      <c r="O300" s="69">
        <f t="shared" ca="1" si="60"/>
        <v>-0.95272229634277339</v>
      </c>
      <c r="P300" s="69">
        <f t="shared" ca="1" si="61"/>
        <v>1.5669054788024017</v>
      </c>
      <c r="Q300" s="69">
        <f t="shared" ca="1" si="62"/>
        <v>1.2833896100612392</v>
      </c>
      <c r="R300" s="69">
        <f t="shared" ca="1" si="63"/>
        <v>0.62158898276881269</v>
      </c>
      <c r="S300" s="69">
        <f t="shared" ca="1" si="64"/>
        <v>-0.29981752241090837</v>
      </c>
      <c r="T300" s="69">
        <f t="shared" ca="1" si="65"/>
        <v>-0.9813504412408478</v>
      </c>
      <c r="U300" s="69">
        <f t="shared" ca="1" si="66"/>
        <v>1.1273056047736629</v>
      </c>
      <c r="V300" s="69">
        <f t="shared" ca="1" si="67"/>
        <v>0.82405236697907946</v>
      </c>
      <c r="W300" s="69">
        <f t="shared" ca="1" si="68"/>
        <v>1.5367433929454235</v>
      </c>
      <c r="X300" s="69">
        <f t="shared" ca="1" si="69"/>
        <v>-0.68292946136775579</v>
      </c>
    </row>
    <row r="301" spans="2:24" x14ac:dyDescent="0.2">
      <c r="B301" s="69">
        <f t="shared" ca="1" si="58"/>
        <v>-2.030329261381755</v>
      </c>
      <c r="C301" s="69">
        <f t="shared" ca="1" si="71"/>
        <v>-0.50329836232302805</v>
      </c>
      <c r="D301" s="69">
        <f t="shared" ca="1" si="71"/>
        <v>0.70959325704953324</v>
      </c>
      <c r="E301" s="69">
        <f t="shared" ca="1" si="71"/>
        <v>0.9223850248660348</v>
      </c>
      <c r="F301" s="69">
        <f t="shared" ca="1" si="71"/>
        <v>-0.73628423376511654</v>
      </c>
      <c r="G301" s="69">
        <f t="shared" ca="1" si="71"/>
        <v>0.78526560867851292</v>
      </c>
      <c r="H301" s="69">
        <f t="shared" ca="1" si="71"/>
        <v>-0.48053692157685551</v>
      </c>
      <c r="I301" s="69">
        <f t="shared" ca="1" si="71"/>
        <v>-1.0477284493742482</v>
      </c>
      <c r="J301" s="69">
        <f t="shared" ca="1" si="71"/>
        <v>1.0506761285762065</v>
      </c>
      <c r="K301" s="69">
        <f t="shared" ca="1" si="71"/>
        <v>1.3946918771008774</v>
      </c>
      <c r="L301" s="69">
        <f t="shared" ca="1" si="71"/>
        <v>-2.3244372623903602</v>
      </c>
      <c r="N301" s="69">
        <f t="shared" ca="1" si="59"/>
        <v>-1.9925612175436462</v>
      </c>
      <c r="O301" s="69">
        <f t="shared" ca="1" si="60"/>
        <v>-0.52979192540591469</v>
      </c>
      <c r="P301" s="69">
        <f t="shared" ca="1" si="61"/>
        <v>0.65185119221244325</v>
      </c>
      <c r="Q301" s="69">
        <f t="shared" ca="1" si="62"/>
        <v>0.97149370372779376</v>
      </c>
      <c r="R301" s="69">
        <f t="shared" ca="1" si="63"/>
        <v>-0.74257891917276542</v>
      </c>
      <c r="S301" s="69">
        <f t="shared" ca="1" si="64"/>
        <v>0.81809258093532145</v>
      </c>
      <c r="T301" s="69">
        <f t="shared" ca="1" si="65"/>
        <v>-0.48536795929204535</v>
      </c>
      <c r="U301" s="69">
        <f t="shared" ca="1" si="66"/>
        <v>-1.0246883224965386</v>
      </c>
      <c r="V301" s="69">
        <f t="shared" ca="1" si="67"/>
        <v>1.0445665350026092</v>
      </c>
      <c r="W301" s="69">
        <f t="shared" ca="1" si="68"/>
        <v>1.3956732339249764</v>
      </c>
      <c r="X301" s="69">
        <f t="shared" ca="1" si="69"/>
        <v>-2.2972687720159248</v>
      </c>
    </row>
    <row r="302" spans="2:24" x14ac:dyDescent="0.2">
      <c r="B302" s="69">
        <f t="shared" ca="1" si="58"/>
        <v>-0.29649290750635171</v>
      </c>
      <c r="C302" s="69">
        <f t="shared" ca="1" si="71"/>
        <v>0.68872592370312169</v>
      </c>
      <c r="D302" s="69">
        <f t="shared" ca="1" si="71"/>
        <v>-0.2940714646395492</v>
      </c>
      <c r="E302" s="69">
        <f t="shared" ca="1" si="71"/>
        <v>0.79687225215607416</v>
      </c>
      <c r="F302" s="69">
        <f t="shared" ca="1" si="71"/>
        <v>-0.94391360373323274</v>
      </c>
      <c r="G302" s="69">
        <f t="shared" ca="1" si="71"/>
        <v>-1.2720527988253174</v>
      </c>
      <c r="H302" s="69">
        <f t="shared" ca="1" si="71"/>
        <v>-7.4091966313685045E-2</v>
      </c>
      <c r="I302" s="69">
        <f t="shared" ca="1" si="71"/>
        <v>-1.734104966696705</v>
      </c>
      <c r="J302" s="69">
        <f t="shared" ca="1" si="71"/>
        <v>-5.3931272207155052E-2</v>
      </c>
      <c r="K302" s="69">
        <f t="shared" ca="1" si="71"/>
        <v>-0.25388264080483602</v>
      </c>
      <c r="L302" s="69">
        <f t="shared" ca="1" si="71"/>
        <v>-0.20343664292028826</v>
      </c>
      <c r="N302" s="69">
        <f t="shared" ca="1" si="59"/>
        <v>-0.25872486366824288</v>
      </c>
      <c r="O302" s="69">
        <f t="shared" ca="1" si="60"/>
        <v>0.66223236062023505</v>
      </c>
      <c r="P302" s="69">
        <f t="shared" ca="1" si="61"/>
        <v>-0.35181352947663924</v>
      </c>
      <c r="Q302" s="69">
        <f t="shared" ca="1" si="62"/>
        <v>0.84598093101783312</v>
      </c>
      <c r="R302" s="69">
        <f t="shared" ca="1" si="63"/>
        <v>-0.95020828914088162</v>
      </c>
      <c r="S302" s="69">
        <f t="shared" ca="1" si="64"/>
        <v>-1.239225826568509</v>
      </c>
      <c r="T302" s="69">
        <f t="shared" ca="1" si="65"/>
        <v>-7.8923004028874894E-2</v>
      </c>
      <c r="U302" s="69">
        <f t="shared" ca="1" si="66"/>
        <v>-1.7110648398189954</v>
      </c>
      <c r="V302" s="69">
        <f t="shared" ca="1" si="67"/>
        <v>-6.0040865780752385E-2</v>
      </c>
      <c r="W302" s="69">
        <f t="shared" ca="1" si="68"/>
        <v>-0.25290128398073708</v>
      </c>
      <c r="X302" s="69">
        <f t="shared" ca="1" si="69"/>
        <v>-0.17626815254585279</v>
      </c>
    </row>
    <row r="303" spans="2:24" x14ac:dyDescent="0.2">
      <c r="B303" s="69">
        <f t="shared" ca="1" si="58"/>
        <v>2.1106755239357258E-2</v>
      </c>
      <c r="C303" s="69">
        <f t="shared" ca="1" si="71"/>
        <v>-0.75034523436316214</v>
      </c>
      <c r="D303" s="69">
        <f t="shared" ca="1" si="71"/>
        <v>-0.67683746082522778</v>
      </c>
      <c r="E303" s="69">
        <f t="shared" ca="1" si="71"/>
        <v>0.11422407554736837</v>
      </c>
      <c r="F303" s="69">
        <f t="shared" ca="1" si="71"/>
        <v>-0.27005359617123931</v>
      </c>
      <c r="G303" s="69">
        <f t="shared" ca="1" si="71"/>
        <v>0.37438206779527267</v>
      </c>
      <c r="H303" s="69">
        <f t="shared" ca="1" si="71"/>
        <v>3.1981042296184189E-2</v>
      </c>
      <c r="I303" s="69">
        <f t="shared" ca="1" si="71"/>
        <v>-0.35419085620959911</v>
      </c>
      <c r="J303" s="69">
        <f t="shared" ca="1" si="71"/>
        <v>-1.9448775763658703</v>
      </c>
      <c r="K303" s="69">
        <f t="shared" ca="1" si="71"/>
        <v>0.86726190410847226</v>
      </c>
      <c r="L303" s="69">
        <f t="shared" ca="1" si="71"/>
        <v>-0.1865674381012756</v>
      </c>
      <c r="N303" s="69">
        <f t="shared" ca="1" si="59"/>
        <v>5.8874799077466081E-2</v>
      </c>
      <c r="O303" s="69">
        <f t="shared" ca="1" si="60"/>
        <v>-0.77683879744604878</v>
      </c>
      <c r="P303" s="69">
        <f t="shared" ca="1" si="61"/>
        <v>-0.73457952566231777</v>
      </c>
      <c r="Q303" s="69">
        <f t="shared" ca="1" si="62"/>
        <v>0.16333275440912731</v>
      </c>
      <c r="R303" s="69">
        <f t="shared" ca="1" si="63"/>
        <v>-0.27634828157888819</v>
      </c>
      <c r="S303" s="69">
        <f t="shared" ca="1" si="64"/>
        <v>0.40720904005208114</v>
      </c>
      <c r="T303" s="69">
        <f t="shared" ca="1" si="65"/>
        <v>2.7150004580994345E-2</v>
      </c>
      <c r="U303" s="69">
        <f t="shared" ca="1" si="66"/>
        <v>-0.33115072933188944</v>
      </c>
      <c r="V303" s="69">
        <f t="shared" ca="1" si="67"/>
        <v>-1.9509871699394676</v>
      </c>
      <c r="W303" s="69">
        <f t="shared" ca="1" si="68"/>
        <v>0.8682432609325712</v>
      </c>
      <c r="X303" s="69">
        <f t="shared" ca="1" si="69"/>
        <v>-0.15939894772684013</v>
      </c>
    </row>
    <row r="304" spans="2:24" x14ac:dyDescent="0.2">
      <c r="B304" s="69">
        <f t="shared" ca="1" si="58"/>
        <v>-0.23718101309380146</v>
      </c>
      <c r="C304" s="69">
        <f t="shared" ca="1" si="71"/>
        <v>-0.60953321463216781</v>
      </c>
      <c r="D304" s="69">
        <f t="shared" ca="1" si="71"/>
        <v>0.99272677783886254</v>
      </c>
      <c r="E304" s="69">
        <f t="shared" ca="1" si="71"/>
        <v>-0.31340543165695067</v>
      </c>
      <c r="F304" s="69">
        <f t="shared" ca="1" si="71"/>
        <v>0.36846690267664761</v>
      </c>
      <c r="G304" s="69">
        <f t="shared" ca="1" si="71"/>
        <v>0.1237123340785269</v>
      </c>
      <c r="H304" s="69">
        <f t="shared" ca="1" si="71"/>
        <v>0.84057730913798601</v>
      </c>
      <c r="I304" s="69">
        <f t="shared" ca="1" si="71"/>
        <v>1.2014936935731195</v>
      </c>
      <c r="J304" s="69">
        <f t="shared" ca="1" si="71"/>
        <v>1.1484552347641663</v>
      </c>
      <c r="K304" s="69">
        <f t="shared" ca="1" si="71"/>
        <v>-1.5845842855251318</v>
      </c>
      <c r="L304" s="69">
        <f t="shared" ca="1" si="71"/>
        <v>0.57199344040507638</v>
      </c>
      <c r="N304" s="69">
        <f t="shared" ca="1" si="59"/>
        <v>-0.19941296925569263</v>
      </c>
      <c r="O304" s="69">
        <f t="shared" ca="1" si="60"/>
        <v>-0.63602677771505445</v>
      </c>
      <c r="P304" s="69">
        <f t="shared" ca="1" si="61"/>
        <v>0.93498471300177255</v>
      </c>
      <c r="Q304" s="69">
        <f t="shared" ca="1" si="62"/>
        <v>-0.26429675279519171</v>
      </c>
      <c r="R304" s="69">
        <f t="shared" ca="1" si="63"/>
        <v>0.36217221726899873</v>
      </c>
      <c r="S304" s="69">
        <f t="shared" ca="1" si="64"/>
        <v>0.15653930633533539</v>
      </c>
      <c r="T304" s="69">
        <f t="shared" ca="1" si="65"/>
        <v>0.83574627142279612</v>
      </c>
      <c r="U304" s="69">
        <f t="shared" ca="1" si="66"/>
        <v>1.2245338204508291</v>
      </c>
      <c r="V304" s="69">
        <f t="shared" ca="1" si="67"/>
        <v>1.142345641190569</v>
      </c>
      <c r="W304" s="69">
        <f t="shared" ca="1" si="68"/>
        <v>-1.5836029287010327</v>
      </c>
      <c r="X304" s="69">
        <f t="shared" ca="1" si="69"/>
        <v>0.59916193077951185</v>
      </c>
    </row>
    <row r="305" spans="2:24" x14ac:dyDescent="0.2">
      <c r="B305" s="69">
        <f t="shared" ca="1" si="58"/>
        <v>0.71761829854019799</v>
      </c>
      <c r="C305" s="69">
        <f t="shared" ca="1" si="71"/>
        <v>0.16875517221966477</v>
      </c>
      <c r="D305" s="69">
        <f t="shared" ca="1" si="71"/>
        <v>2.5550503462485E-2</v>
      </c>
      <c r="E305" s="69">
        <f t="shared" ca="1" si="71"/>
        <v>1.9811202634669114</v>
      </c>
      <c r="F305" s="69">
        <f t="shared" ca="1" si="71"/>
        <v>-4.7809493001102321E-2</v>
      </c>
      <c r="G305" s="69">
        <f t="shared" ca="1" si="71"/>
        <v>-0.22166332597833319</v>
      </c>
      <c r="H305" s="69">
        <f t="shared" ca="1" si="71"/>
        <v>-0.48528275764446488</v>
      </c>
      <c r="I305" s="69">
        <f t="shared" ca="1" si="71"/>
        <v>-1.0068592889118155</v>
      </c>
      <c r="J305" s="69">
        <f t="shared" ca="1" si="71"/>
        <v>-0.77996025099617161</v>
      </c>
      <c r="K305" s="69">
        <f t="shared" ca="1" si="71"/>
        <v>0.46726782295356023</v>
      </c>
      <c r="L305" s="69">
        <f t="shared" ca="1" si="71"/>
        <v>4.6788230688854827E-2</v>
      </c>
      <c r="N305" s="69">
        <f t="shared" ca="1" si="59"/>
        <v>0.75538634237830682</v>
      </c>
      <c r="O305" s="69">
        <f t="shared" ca="1" si="60"/>
        <v>0.14226160913677807</v>
      </c>
      <c r="P305" s="69">
        <f t="shared" ca="1" si="61"/>
        <v>-3.2191561374605035E-2</v>
      </c>
      <c r="Q305" s="69">
        <f t="shared" ca="1" si="62"/>
        <v>2.0302289423286703</v>
      </c>
      <c r="R305" s="69">
        <f t="shared" ca="1" si="63"/>
        <v>-5.4104178408751216E-2</v>
      </c>
      <c r="S305" s="69">
        <f t="shared" ca="1" si="64"/>
        <v>-0.18883635372152471</v>
      </c>
      <c r="T305" s="69">
        <f t="shared" ca="1" si="65"/>
        <v>-0.49011379535965471</v>
      </c>
      <c r="U305" s="69">
        <f t="shared" ca="1" si="66"/>
        <v>-0.98381916203410591</v>
      </c>
      <c r="V305" s="69">
        <f t="shared" ca="1" si="67"/>
        <v>-0.78606984456976892</v>
      </c>
      <c r="W305" s="69">
        <f t="shared" ca="1" si="68"/>
        <v>0.46824917977765917</v>
      </c>
      <c r="X305" s="69">
        <f t="shared" ca="1" si="69"/>
        <v>7.3956721063290307E-2</v>
      </c>
    </row>
    <row r="306" spans="2:24" x14ac:dyDescent="0.2">
      <c r="B306" s="69">
        <f t="shared" ca="1" si="58"/>
        <v>-0.51995459633736674</v>
      </c>
      <c r="C306" s="69">
        <f t="shared" ca="1" si="71"/>
        <v>-0.76381567774271697</v>
      </c>
      <c r="D306" s="69">
        <f t="shared" ca="1" si="71"/>
        <v>-0.80271301393597416</v>
      </c>
      <c r="E306" s="69">
        <f t="shared" ca="1" si="71"/>
        <v>0.13800334506847858</v>
      </c>
      <c r="F306" s="69">
        <f t="shared" ca="1" si="71"/>
        <v>-0.92361468728372031</v>
      </c>
      <c r="G306" s="69">
        <f t="shared" ca="1" si="71"/>
        <v>0.35806318752072119</v>
      </c>
      <c r="H306" s="69">
        <f t="shared" ca="1" si="71"/>
        <v>0.67705701344008296</v>
      </c>
      <c r="I306" s="69">
        <f t="shared" ca="1" si="71"/>
        <v>1.2124452990336145</v>
      </c>
      <c r="J306" s="69">
        <f t="shared" ca="1" si="71"/>
        <v>1.4861555416242318</v>
      </c>
      <c r="K306" s="69">
        <f t="shared" ca="1" si="71"/>
        <v>-0.65228461772183022</v>
      </c>
      <c r="L306" s="69">
        <f t="shared" ca="1" si="71"/>
        <v>-1.2203507118384</v>
      </c>
      <c r="N306" s="69">
        <f t="shared" ca="1" si="59"/>
        <v>-0.4821865524992579</v>
      </c>
      <c r="O306" s="69">
        <f t="shared" ca="1" si="60"/>
        <v>-0.79030924082560361</v>
      </c>
      <c r="P306" s="69">
        <f t="shared" ca="1" si="61"/>
        <v>-0.86045507877306415</v>
      </c>
      <c r="Q306" s="69">
        <f t="shared" ca="1" si="62"/>
        <v>0.18711202393023751</v>
      </c>
      <c r="R306" s="69">
        <f t="shared" ca="1" si="63"/>
        <v>-0.9299093726913692</v>
      </c>
      <c r="S306" s="69">
        <f t="shared" ca="1" si="64"/>
        <v>0.39089015977752967</v>
      </c>
      <c r="T306" s="69">
        <f t="shared" ca="1" si="65"/>
        <v>0.67222597572489307</v>
      </c>
      <c r="U306" s="69">
        <f t="shared" ca="1" si="66"/>
        <v>1.2354854259113242</v>
      </c>
      <c r="V306" s="69">
        <f t="shared" ca="1" si="67"/>
        <v>1.4800459480506345</v>
      </c>
      <c r="W306" s="69">
        <f t="shared" ca="1" si="68"/>
        <v>-0.65130326089773127</v>
      </c>
      <c r="X306" s="69">
        <f t="shared" ca="1" si="69"/>
        <v>-1.1931822214639645</v>
      </c>
    </row>
    <row r="307" spans="2:24" x14ac:dyDescent="0.2">
      <c r="B307" s="69">
        <f t="shared" ca="1" si="58"/>
        <v>-0.40309579708829851</v>
      </c>
      <c r="C307" s="69">
        <f t="shared" ca="1" si="71"/>
        <v>-1.218585535932188</v>
      </c>
      <c r="D307" s="69">
        <f t="shared" ca="1" si="71"/>
        <v>1.6628449019306077</v>
      </c>
      <c r="E307" s="69">
        <f t="shared" ca="1" si="71"/>
        <v>0.1388645625500384</v>
      </c>
      <c r="F307" s="69">
        <f t="shared" ca="1" si="71"/>
        <v>-0.52869928751985551</v>
      </c>
      <c r="G307" s="69">
        <f t="shared" ca="1" si="71"/>
        <v>-9.3810483043173562E-2</v>
      </c>
      <c r="H307" s="69">
        <f t="shared" ca="1" si="71"/>
        <v>0.94400418087675642</v>
      </c>
      <c r="I307" s="69">
        <f t="shared" ca="1" si="71"/>
        <v>-1.8015808142171263</v>
      </c>
      <c r="J307" s="69">
        <f t="shared" ca="1" si="71"/>
        <v>0.43657022527375916</v>
      </c>
      <c r="K307" s="69">
        <f t="shared" ca="1" si="71"/>
        <v>0.41375430397615576</v>
      </c>
      <c r="L307" s="69">
        <f t="shared" ca="1" si="71"/>
        <v>-0.21024853395385001</v>
      </c>
      <c r="N307" s="69">
        <f t="shared" ca="1" si="59"/>
        <v>-0.36532775325018968</v>
      </c>
      <c r="O307" s="69">
        <f t="shared" ca="1" si="60"/>
        <v>-1.2450790990150746</v>
      </c>
      <c r="P307" s="69">
        <f t="shared" ca="1" si="61"/>
        <v>1.6051028370935176</v>
      </c>
      <c r="Q307" s="69">
        <f t="shared" ca="1" si="62"/>
        <v>0.18797324141179733</v>
      </c>
      <c r="R307" s="69">
        <f t="shared" ca="1" si="63"/>
        <v>-0.53499397292750439</v>
      </c>
      <c r="S307" s="69">
        <f t="shared" ca="1" si="64"/>
        <v>-6.0983510786365082E-2</v>
      </c>
      <c r="T307" s="69">
        <f t="shared" ca="1" si="65"/>
        <v>0.93917314316156653</v>
      </c>
      <c r="U307" s="69">
        <f t="shared" ca="1" si="66"/>
        <v>-1.7785406873394167</v>
      </c>
      <c r="V307" s="69">
        <f t="shared" ca="1" si="67"/>
        <v>0.43046063170016186</v>
      </c>
      <c r="W307" s="69">
        <f t="shared" ca="1" si="68"/>
        <v>0.4147356608002547</v>
      </c>
      <c r="X307" s="69">
        <f t="shared" ca="1" si="69"/>
        <v>-0.18308004357941454</v>
      </c>
    </row>
    <row r="308" spans="2:24" x14ac:dyDescent="0.2">
      <c r="B308" s="69">
        <f t="shared" ca="1" si="58"/>
        <v>-0.39969585168637317</v>
      </c>
      <c r="C308" s="69">
        <f t="shared" ca="1" si="71"/>
        <v>0.7524277562463666</v>
      </c>
      <c r="D308" s="69">
        <f t="shared" ca="1" si="71"/>
        <v>1.0969910437657713</v>
      </c>
      <c r="E308" s="69">
        <f t="shared" ca="1" si="71"/>
        <v>2.3213755458233034E-2</v>
      </c>
      <c r="F308" s="69">
        <f t="shared" ca="1" si="71"/>
        <v>-0.55718482739198971</v>
      </c>
      <c r="G308" s="69">
        <f t="shared" ca="1" si="71"/>
        <v>0.75193289457158397</v>
      </c>
      <c r="H308" s="69">
        <f t="shared" ca="1" si="71"/>
        <v>-0.40611996096657033</v>
      </c>
      <c r="I308" s="69">
        <f t="shared" ca="1" si="71"/>
        <v>-0.73199612523519608</v>
      </c>
      <c r="J308" s="69">
        <f t="shared" ca="1" si="71"/>
        <v>-0.42532043867551389</v>
      </c>
      <c r="K308" s="69">
        <f t="shared" ca="1" si="71"/>
        <v>0.6597700212005253</v>
      </c>
      <c r="L308" s="69">
        <f t="shared" ca="1" si="71"/>
        <v>-0.50658668911517302</v>
      </c>
      <c r="N308" s="69">
        <f t="shared" ca="1" si="59"/>
        <v>-0.36192780784826434</v>
      </c>
      <c r="O308" s="69">
        <f t="shared" ca="1" si="60"/>
        <v>0.72593419316347996</v>
      </c>
      <c r="P308" s="69">
        <f t="shared" ca="1" si="61"/>
        <v>1.0392489789286812</v>
      </c>
      <c r="Q308" s="69">
        <f t="shared" ca="1" si="62"/>
        <v>7.2322434319991982E-2</v>
      </c>
      <c r="R308" s="69">
        <f t="shared" ca="1" si="63"/>
        <v>-0.56347951279963859</v>
      </c>
      <c r="S308" s="69">
        <f t="shared" ca="1" si="64"/>
        <v>0.78475986682839249</v>
      </c>
      <c r="T308" s="69">
        <f t="shared" ca="1" si="65"/>
        <v>-0.41095099868176016</v>
      </c>
      <c r="U308" s="69">
        <f t="shared" ca="1" si="66"/>
        <v>-0.70895599835748646</v>
      </c>
      <c r="V308" s="69">
        <f t="shared" ca="1" si="67"/>
        <v>-0.43143003224911119</v>
      </c>
      <c r="W308" s="69">
        <f t="shared" ca="1" si="68"/>
        <v>0.66075137802462425</v>
      </c>
      <c r="X308" s="69">
        <f t="shared" ca="1" si="69"/>
        <v>-0.47941819874073754</v>
      </c>
    </row>
    <row r="309" spans="2:24" x14ac:dyDescent="0.2">
      <c r="B309" s="69">
        <f t="shared" ca="1" si="58"/>
        <v>7.3538997790784127E-2</v>
      </c>
      <c r="C309" s="69">
        <f t="shared" ca="1" si="71"/>
        <v>0.75763427036702946</v>
      </c>
      <c r="D309" s="69">
        <f t="shared" ca="1" si="71"/>
        <v>-0.58829320301719989</v>
      </c>
      <c r="E309" s="69">
        <f t="shared" ca="1" si="71"/>
        <v>-0.39111742784584874</v>
      </c>
      <c r="F309" s="69">
        <f t="shared" ca="1" si="71"/>
        <v>-0.17174853339160043</v>
      </c>
      <c r="G309" s="69">
        <f t="shared" ca="1" si="71"/>
        <v>-0.64161705814757708</v>
      </c>
      <c r="H309" s="69">
        <f t="shared" ca="1" si="71"/>
        <v>0.4929122578620167</v>
      </c>
      <c r="I309" s="69">
        <f t="shared" ca="1" si="71"/>
        <v>-0.82959639760574233</v>
      </c>
      <c r="J309" s="69">
        <f t="shared" ca="1" si="71"/>
        <v>1.5928101498430796</v>
      </c>
      <c r="K309" s="69">
        <f t="shared" ca="1" si="71"/>
        <v>-0.23939591246409872</v>
      </c>
      <c r="L309" s="69">
        <f t="shared" ca="1" si="71"/>
        <v>-0.90833980902312728</v>
      </c>
      <c r="N309" s="69">
        <f t="shared" ca="1" si="59"/>
        <v>0.11130704162889295</v>
      </c>
      <c r="O309" s="69">
        <f t="shared" ca="1" si="60"/>
        <v>0.73114070728414282</v>
      </c>
      <c r="P309" s="69">
        <f t="shared" ca="1" si="61"/>
        <v>-0.64603526785428989</v>
      </c>
      <c r="Q309" s="69">
        <f t="shared" ca="1" si="62"/>
        <v>-0.34200874898408978</v>
      </c>
      <c r="R309" s="69">
        <f t="shared" ca="1" si="63"/>
        <v>-0.17804321879924934</v>
      </c>
      <c r="S309" s="69">
        <f t="shared" ca="1" si="64"/>
        <v>-0.60879008589076855</v>
      </c>
      <c r="T309" s="69">
        <f t="shared" ca="1" si="65"/>
        <v>0.48808122014682687</v>
      </c>
      <c r="U309" s="69">
        <f t="shared" ca="1" si="66"/>
        <v>-0.80655627072803271</v>
      </c>
      <c r="V309" s="69">
        <f t="shared" ca="1" si="67"/>
        <v>1.5867005562694823</v>
      </c>
      <c r="W309" s="69">
        <f t="shared" ca="1" si="68"/>
        <v>-0.23841455563999978</v>
      </c>
      <c r="X309" s="69">
        <f t="shared" ca="1" si="69"/>
        <v>-0.8811713186486918</v>
      </c>
    </row>
    <row r="310" spans="2:24" x14ac:dyDescent="0.2">
      <c r="B310" s="69">
        <f t="shared" ca="1" si="58"/>
        <v>0.26438590111445942</v>
      </c>
      <c r="C310" s="69">
        <f t="shared" ca="1" si="71"/>
        <v>0.11171216768292838</v>
      </c>
      <c r="D310" s="69">
        <f t="shared" ca="1" si="71"/>
        <v>0.54858107626511154</v>
      </c>
      <c r="E310" s="69">
        <f t="shared" ca="1" si="71"/>
        <v>2.2342515879573273</v>
      </c>
      <c r="F310" s="69">
        <f t="shared" ca="1" si="71"/>
        <v>-0.63890329169943261</v>
      </c>
      <c r="G310" s="69">
        <f t="shared" ca="1" si="71"/>
        <v>1.094331798700886</v>
      </c>
      <c r="H310" s="69">
        <f t="shared" ca="1" si="71"/>
        <v>-0.20608655781441168</v>
      </c>
      <c r="I310" s="69">
        <f t="shared" ca="1" si="71"/>
        <v>0.49914814402696855</v>
      </c>
      <c r="J310" s="69">
        <f t="shared" ca="1" si="71"/>
        <v>0.98330487527298371</v>
      </c>
      <c r="K310" s="69">
        <f t="shared" ca="1" si="71"/>
        <v>-3.1644022773892591</v>
      </c>
      <c r="L310" s="69">
        <f t="shared" ca="1" si="71"/>
        <v>0.58692706308505505</v>
      </c>
      <c r="N310" s="69">
        <f t="shared" ca="1" si="59"/>
        <v>0.30215394495256825</v>
      </c>
      <c r="O310" s="69">
        <f t="shared" ca="1" si="60"/>
        <v>8.52186046000417E-2</v>
      </c>
      <c r="P310" s="69">
        <f t="shared" ca="1" si="61"/>
        <v>0.4908390114280215</v>
      </c>
      <c r="Q310" s="69">
        <f t="shared" ca="1" si="62"/>
        <v>2.283360266819086</v>
      </c>
      <c r="R310" s="69">
        <f t="shared" ca="1" si="63"/>
        <v>-0.64519797710708149</v>
      </c>
      <c r="S310" s="69">
        <f t="shared" ca="1" si="64"/>
        <v>1.1271587709576945</v>
      </c>
      <c r="T310" s="69">
        <f t="shared" ca="1" si="65"/>
        <v>-0.21091759552960151</v>
      </c>
      <c r="U310" s="69">
        <f t="shared" ca="1" si="66"/>
        <v>0.52218827090467823</v>
      </c>
      <c r="V310" s="69">
        <f t="shared" ca="1" si="67"/>
        <v>0.97719528169938641</v>
      </c>
      <c r="W310" s="69">
        <f t="shared" ca="1" si="68"/>
        <v>-3.16342092056516</v>
      </c>
      <c r="X310" s="69">
        <f t="shared" ca="1" si="69"/>
        <v>0.61409555345949052</v>
      </c>
    </row>
    <row r="311" spans="2:24" x14ac:dyDescent="0.2">
      <c r="B311" s="69">
        <f t="shared" ca="1" si="58"/>
        <v>-7.5815504630506916E-2</v>
      </c>
      <c r="C311" s="69">
        <f t="shared" ca="1" si="71"/>
        <v>-0.62110413286359178</v>
      </c>
      <c r="D311" s="69">
        <f t="shared" ca="1" si="71"/>
        <v>1.0615573213861123</v>
      </c>
      <c r="E311" s="69">
        <f t="shared" ca="1" si="71"/>
        <v>-1.7184969523960156</v>
      </c>
      <c r="F311" s="69">
        <f t="shared" ca="1" si="71"/>
        <v>-2.4956953143229406</v>
      </c>
      <c r="G311" s="69">
        <f t="shared" ca="1" si="71"/>
        <v>-0.10890290153649937</v>
      </c>
      <c r="H311" s="69">
        <f t="shared" ca="1" si="71"/>
        <v>1.2740769354783663</v>
      </c>
      <c r="I311" s="69">
        <f t="shared" ca="1" si="71"/>
        <v>-1.5804525102572107</v>
      </c>
      <c r="J311" s="69">
        <f t="shared" ca="1" si="71"/>
        <v>1.0067201891514279</v>
      </c>
      <c r="K311" s="69">
        <f t="shared" ca="1" si="71"/>
        <v>-0.79883252586367681</v>
      </c>
      <c r="L311" s="69">
        <f t="shared" ca="1" si="71"/>
        <v>0.39952067141220554</v>
      </c>
      <c r="N311" s="69">
        <f t="shared" ca="1" si="59"/>
        <v>-3.8047460792398097E-2</v>
      </c>
      <c r="O311" s="69">
        <f t="shared" ca="1" si="60"/>
        <v>-0.64759769594647842</v>
      </c>
      <c r="P311" s="69">
        <f t="shared" ca="1" si="61"/>
        <v>1.0038152565490222</v>
      </c>
      <c r="Q311" s="69">
        <f t="shared" ca="1" si="62"/>
        <v>-1.6693882735342567</v>
      </c>
      <c r="R311" s="69">
        <f t="shared" ca="1" si="63"/>
        <v>-2.5019899997305894</v>
      </c>
      <c r="S311" s="69">
        <f t="shared" ca="1" si="64"/>
        <v>-7.6075929279690896E-2</v>
      </c>
      <c r="T311" s="69">
        <f t="shared" ca="1" si="65"/>
        <v>1.2692458977631764</v>
      </c>
      <c r="U311" s="69">
        <f t="shared" ca="1" si="66"/>
        <v>-1.5574123833795011</v>
      </c>
      <c r="V311" s="69">
        <f t="shared" ca="1" si="67"/>
        <v>1.0006105955778306</v>
      </c>
      <c r="W311" s="69">
        <f t="shared" ca="1" si="68"/>
        <v>-0.79785116903957787</v>
      </c>
      <c r="X311" s="69">
        <f t="shared" ca="1" si="69"/>
        <v>0.42668916178664101</v>
      </c>
    </row>
    <row r="312" spans="2:24" x14ac:dyDescent="0.2">
      <c r="B312" s="69">
        <f t="shared" ca="1" si="58"/>
        <v>1.6465888838213147</v>
      </c>
      <c r="C312" s="69">
        <f t="shared" ca="1" si="71"/>
        <v>-1.4659750539126506</v>
      </c>
      <c r="D312" s="69">
        <f t="shared" ca="1" si="71"/>
        <v>-0.28211812744714609</v>
      </c>
      <c r="E312" s="69">
        <f t="shared" ca="1" si="71"/>
        <v>-0.61538337727256698</v>
      </c>
      <c r="F312" s="69">
        <f t="shared" ca="1" si="71"/>
        <v>0.3234016354895749</v>
      </c>
      <c r="G312" s="69">
        <f t="shared" ca="1" si="71"/>
        <v>-0.17369056235035579</v>
      </c>
      <c r="H312" s="69">
        <f t="shared" ca="1" si="71"/>
        <v>1.0077619369959201</v>
      </c>
      <c r="I312" s="69">
        <f t="shared" ca="1" si="71"/>
        <v>0.54901311088979265</v>
      </c>
      <c r="J312" s="69">
        <f t="shared" ca="1" si="71"/>
        <v>-1.5893238773072034</v>
      </c>
      <c r="K312" s="69">
        <f t="shared" ca="1" si="71"/>
        <v>3.9323114823546348E-2</v>
      </c>
      <c r="L312" s="69">
        <f t="shared" ca="1" si="71"/>
        <v>-0.47047083000153472</v>
      </c>
      <c r="N312" s="69">
        <f t="shared" ca="1" si="59"/>
        <v>1.6843569276594235</v>
      </c>
      <c r="O312" s="69">
        <f t="shared" ca="1" si="60"/>
        <v>-1.4924686169955372</v>
      </c>
      <c r="P312" s="69">
        <f t="shared" ca="1" si="61"/>
        <v>-0.33986019228423614</v>
      </c>
      <c r="Q312" s="69">
        <f t="shared" ca="1" si="62"/>
        <v>-0.56627469841080802</v>
      </c>
      <c r="R312" s="69">
        <f t="shared" ca="1" si="63"/>
        <v>0.31710695008192602</v>
      </c>
      <c r="S312" s="69">
        <f t="shared" ca="1" si="64"/>
        <v>-0.14086359009354732</v>
      </c>
      <c r="T312" s="69">
        <f t="shared" ca="1" si="65"/>
        <v>1.0029308992807302</v>
      </c>
      <c r="U312" s="69">
        <f t="shared" ca="1" si="66"/>
        <v>0.57205323776750228</v>
      </c>
      <c r="V312" s="69">
        <f t="shared" ca="1" si="67"/>
        <v>-1.5954334708808007</v>
      </c>
      <c r="W312" s="69">
        <f t="shared" ca="1" si="68"/>
        <v>4.03044716476453E-2</v>
      </c>
      <c r="X312" s="69">
        <f t="shared" ca="1" si="69"/>
        <v>-0.44330233962709925</v>
      </c>
    </row>
    <row r="313" spans="2:24" x14ac:dyDescent="0.2">
      <c r="B313" s="69">
        <f t="shared" ca="1" si="58"/>
        <v>1.9702441197132499</v>
      </c>
      <c r="C313" s="69">
        <f t="shared" ca="1" si="71"/>
        <v>-1.6141694687329822</v>
      </c>
      <c r="D313" s="69">
        <f t="shared" ca="1" si="71"/>
        <v>-0.44158778507165142</v>
      </c>
      <c r="E313" s="69">
        <f t="shared" ca="1" si="71"/>
        <v>-1.6973703516438332</v>
      </c>
      <c r="F313" s="69">
        <f t="shared" ca="1" si="71"/>
        <v>1.1370410115144889</v>
      </c>
      <c r="G313" s="69">
        <f t="shared" ca="1" si="71"/>
        <v>-1.1996172334449402</v>
      </c>
      <c r="H313" s="69">
        <f t="shared" ca="1" si="71"/>
        <v>6.391820939915098E-2</v>
      </c>
      <c r="I313" s="69">
        <f t="shared" ca="1" si="71"/>
        <v>1.7581402575169527</v>
      </c>
      <c r="J313" s="69">
        <f t="shared" ca="1" si="71"/>
        <v>-2.5869824243676998E-2</v>
      </c>
      <c r="K313" s="69">
        <f t="shared" ca="1" si="71"/>
        <v>-2.2998089810808309</v>
      </c>
      <c r="L313" s="69">
        <f t="shared" ca="1" si="71"/>
        <v>0.40920847941519339</v>
      </c>
      <c r="N313" s="69">
        <f t="shared" ca="1" si="59"/>
        <v>2.0080121635513586</v>
      </c>
      <c r="O313" s="69">
        <f t="shared" ca="1" si="60"/>
        <v>-1.6406630318158688</v>
      </c>
      <c r="P313" s="69">
        <f t="shared" ca="1" si="61"/>
        <v>-0.49932984990874146</v>
      </c>
      <c r="Q313" s="69">
        <f t="shared" ca="1" si="62"/>
        <v>-1.6482616727820742</v>
      </c>
      <c r="R313" s="69">
        <f t="shared" ca="1" si="63"/>
        <v>1.13074632610684</v>
      </c>
      <c r="S313" s="69">
        <f t="shared" ca="1" si="64"/>
        <v>-1.1667902611881318</v>
      </c>
      <c r="T313" s="69">
        <f t="shared" ca="1" si="65"/>
        <v>5.9087171683961132E-2</v>
      </c>
      <c r="U313" s="69">
        <f t="shared" ca="1" si="66"/>
        <v>1.7811803843946623</v>
      </c>
      <c r="V313" s="69">
        <f t="shared" ca="1" si="67"/>
        <v>-3.1979417817274328E-2</v>
      </c>
      <c r="W313" s="69">
        <f t="shared" ca="1" si="68"/>
        <v>-2.2988276242567318</v>
      </c>
      <c r="X313" s="69">
        <f t="shared" ca="1" si="69"/>
        <v>0.43637696978962887</v>
      </c>
    </row>
    <row r="314" spans="2:24" x14ac:dyDescent="0.2">
      <c r="B314" s="69">
        <f t="shared" ca="1" si="58"/>
        <v>0.30253170167925747</v>
      </c>
      <c r="C314" s="69">
        <f t="shared" ca="1" si="71"/>
        <v>-1.6704218564342608</v>
      </c>
      <c r="D314" s="69">
        <f t="shared" ca="1" si="71"/>
        <v>1.4439242124862741</v>
      </c>
      <c r="E314" s="69">
        <f t="shared" ca="1" si="71"/>
        <v>0.16311879818546737</v>
      </c>
      <c r="F314" s="69">
        <f t="shared" ca="1" si="71"/>
        <v>0.44099466556357408</v>
      </c>
      <c r="G314" s="69">
        <f t="shared" ca="1" si="71"/>
        <v>-0.73117987936163176</v>
      </c>
      <c r="H314" s="69">
        <f t="shared" ca="1" si="71"/>
        <v>-0.22801475393504436</v>
      </c>
      <c r="I314" s="69">
        <f t="shared" ca="1" si="71"/>
        <v>0.79359324647954166</v>
      </c>
      <c r="J314" s="69">
        <f t="shared" ca="1" si="71"/>
        <v>0.89802808857702232</v>
      </c>
      <c r="K314" s="69">
        <f t="shared" ca="1" si="71"/>
        <v>1.5345689576491315</v>
      </c>
      <c r="L314" s="69">
        <f t="shared" ca="1" si="71"/>
        <v>1.0333178564573355</v>
      </c>
      <c r="N314" s="69">
        <f t="shared" ca="1" si="59"/>
        <v>0.3402997455173663</v>
      </c>
      <c r="O314" s="69">
        <f t="shared" ca="1" si="60"/>
        <v>-1.6969154195171474</v>
      </c>
      <c r="P314" s="69">
        <f t="shared" ca="1" si="61"/>
        <v>1.386182147649184</v>
      </c>
      <c r="Q314" s="69">
        <f t="shared" ca="1" si="62"/>
        <v>0.21222747704722633</v>
      </c>
      <c r="R314" s="69">
        <f t="shared" ca="1" si="63"/>
        <v>0.4346999801559252</v>
      </c>
      <c r="S314" s="69">
        <f t="shared" ca="1" si="64"/>
        <v>-0.69835290710482323</v>
      </c>
      <c r="T314" s="69">
        <f t="shared" ca="1" si="65"/>
        <v>-0.2328457916502342</v>
      </c>
      <c r="U314" s="69">
        <f t="shared" ca="1" si="66"/>
        <v>0.81663337335725128</v>
      </c>
      <c r="V314" s="69">
        <f t="shared" ca="1" si="67"/>
        <v>0.89191849500342502</v>
      </c>
      <c r="W314" s="69">
        <f t="shared" ca="1" si="68"/>
        <v>1.5355503144732305</v>
      </c>
      <c r="X314" s="69">
        <f t="shared" ca="1" si="69"/>
        <v>1.0604863468317711</v>
      </c>
    </row>
    <row r="315" spans="2:24" x14ac:dyDescent="0.2">
      <c r="B315" s="69">
        <f t="shared" ca="1" si="58"/>
        <v>1.4422044926565851</v>
      </c>
      <c r="C315" s="69">
        <f t="shared" ca="1" si="71"/>
        <v>0.76783640878408355</v>
      </c>
      <c r="D315" s="69">
        <f t="shared" ca="1" si="71"/>
        <v>-1.1724802350407042</v>
      </c>
      <c r="E315" s="69">
        <f t="shared" ca="1" si="71"/>
        <v>-1.4861693559750575</v>
      </c>
      <c r="F315" s="69">
        <f t="shared" ca="1" si="71"/>
        <v>1.3376348466946646</v>
      </c>
      <c r="G315" s="69">
        <f t="shared" ca="1" si="71"/>
        <v>-2.1056467812224593</v>
      </c>
      <c r="H315" s="69">
        <f t="shared" ca="1" si="71"/>
        <v>-0.11538764115089641</v>
      </c>
      <c r="I315" s="69">
        <f t="shared" ca="1" si="71"/>
        <v>-0.32756409663661845</v>
      </c>
      <c r="J315" s="69">
        <f t="shared" ca="1" si="71"/>
        <v>-0.17476040075754443</v>
      </c>
      <c r="K315" s="69">
        <f t="shared" ca="1" si="71"/>
        <v>-0.19127509356632358</v>
      </c>
      <c r="L315" s="69">
        <f t="shared" ca="1" si="71"/>
        <v>-0.61636452092148974</v>
      </c>
      <c r="N315" s="69">
        <f t="shared" ca="1" si="59"/>
        <v>1.4799725364946938</v>
      </c>
      <c r="O315" s="69">
        <f t="shared" ca="1" si="60"/>
        <v>0.74134284570119691</v>
      </c>
      <c r="P315" s="69">
        <f t="shared" ca="1" si="61"/>
        <v>-1.2302222998777943</v>
      </c>
      <c r="Q315" s="69">
        <f t="shared" ca="1" si="62"/>
        <v>-1.4370606771132985</v>
      </c>
      <c r="R315" s="69">
        <f t="shared" ca="1" si="63"/>
        <v>1.3313401612870157</v>
      </c>
      <c r="S315" s="69">
        <f t="shared" ca="1" si="64"/>
        <v>-2.0728198089656509</v>
      </c>
      <c r="T315" s="69">
        <f t="shared" ca="1" si="65"/>
        <v>-0.12021867886608625</v>
      </c>
      <c r="U315" s="69">
        <f t="shared" ca="1" si="66"/>
        <v>-0.30452396975890877</v>
      </c>
      <c r="V315" s="69">
        <f t="shared" ca="1" si="67"/>
        <v>-0.18086999433114176</v>
      </c>
      <c r="W315" s="69">
        <f t="shared" ca="1" si="68"/>
        <v>-0.19029373674222463</v>
      </c>
      <c r="X315" s="69">
        <f t="shared" ca="1" si="69"/>
        <v>-0.58919603054705427</v>
      </c>
    </row>
    <row r="316" spans="2:24" x14ac:dyDescent="0.2">
      <c r="B316" s="69">
        <f t="shared" ca="1" si="58"/>
        <v>-0.72877412673803044</v>
      </c>
      <c r="C316" s="69">
        <f t="shared" ca="1" si="71"/>
        <v>0.42867970706281566</v>
      </c>
      <c r="D316" s="69">
        <f t="shared" ca="1" si="71"/>
        <v>-0.18144298734696257</v>
      </c>
      <c r="E316" s="69">
        <f t="shared" ca="1" si="71"/>
        <v>-1.1014969018306564</v>
      </c>
      <c r="F316" s="69">
        <f t="shared" ca="1" si="71"/>
        <v>-0.15988809723574418</v>
      </c>
      <c r="G316" s="69">
        <f t="shared" ca="1" si="71"/>
        <v>7.7259450331785958E-3</v>
      </c>
      <c r="H316" s="69">
        <f t="shared" ca="1" si="71"/>
        <v>-0.35282119831899744</v>
      </c>
      <c r="I316" s="69">
        <f t="shared" ca="1" si="71"/>
        <v>1.0940392059548274</v>
      </c>
      <c r="J316" s="69">
        <f t="shared" ca="1" si="71"/>
        <v>0.67084593832606765</v>
      </c>
      <c r="K316" s="69">
        <f t="shared" ca="1" si="71"/>
        <v>0.67152820449145845</v>
      </c>
      <c r="L316" s="69">
        <f t="shared" ca="1" si="71"/>
        <v>-1.274875333724963</v>
      </c>
      <c r="N316" s="69">
        <f t="shared" ca="1" si="59"/>
        <v>-0.6910060828999216</v>
      </c>
      <c r="O316" s="69">
        <f t="shared" ca="1" si="60"/>
        <v>0.40218614397992897</v>
      </c>
      <c r="P316" s="69">
        <f t="shared" ca="1" si="61"/>
        <v>-0.23918505218405262</v>
      </c>
      <c r="Q316" s="69">
        <f t="shared" ca="1" si="62"/>
        <v>-1.0523882229688974</v>
      </c>
      <c r="R316" s="69">
        <f t="shared" ca="1" si="63"/>
        <v>-0.16618278264339309</v>
      </c>
      <c r="S316" s="69">
        <f t="shared" ca="1" si="64"/>
        <v>4.0552917289987077E-2</v>
      </c>
      <c r="T316" s="69">
        <f t="shared" ca="1" si="65"/>
        <v>-0.35765223603418728</v>
      </c>
      <c r="U316" s="69">
        <f t="shared" ca="1" si="66"/>
        <v>1.117079332832537</v>
      </c>
      <c r="V316" s="69">
        <f t="shared" ca="1" si="67"/>
        <v>0.66473634475247034</v>
      </c>
      <c r="W316" s="69">
        <f t="shared" ca="1" si="68"/>
        <v>0.67250956131555739</v>
      </c>
      <c r="X316" s="69">
        <f t="shared" ca="1" si="69"/>
        <v>-1.2477068433505274</v>
      </c>
    </row>
    <row r="317" spans="2:24" x14ac:dyDescent="0.2">
      <c r="B317" s="69">
        <f t="shared" ca="1" si="58"/>
        <v>1.1012207483278746</v>
      </c>
      <c r="C317" s="69">
        <f t="shared" ca="1" si="71"/>
        <v>0.36988977450597399</v>
      </c>
      <c r="D317" s="69">
        <f t="shared" ca="1" si="71"/>
        <v>-0.18889143005227582</v>
      </c>
      <c r="E317" s="69">
        <f t="shared" ca="1" si="71"/>
        <v>-0.32010524408836477</v>
      </c>
      <c r="F317" s="69">
        <f t="shared" ca="1" si="71"/>
        <v>1.5205394837513162</v>
      </c>
      <c r="G317" s="69">
        <f t="shared" ca="1" si="71"/>
        <v>-0.46035994343151154</v>
      </c>
      <c r="H317" s="69">
        <f t="shared" ca="1" si="71"/>
        <v>2.0893197951722624</v>
      </c>
      <c r="I317" s="69">
        <f t="shared" ca="1" si="71"/>
        <v>-5.0264161920429748E-2</v>
      </c>
      <c r="J317" s="69">
        <f t="shared" ca="1" si="71"/>
        <v>0.53998491000402182</v>
      </c>
      <c r="K317" s="69">
        <f t="shared" ca="1" si="71"/>
        <v>0.39393221232559344</v>
      </c>
      <c r="L317" s="69">
        <f t="shared" ca="1" si="71"/>
        <v>0.77868281369982861</v>
      </c>
      <c r="N317" s="69">
        <f t="shared" ca="1" si="59"/>
        <v>1.1389887921659834</v>
      </c>
      <c r="O317" s="69">
        <f t="shared" ca="1" si="60"/>
        <v>0.34339621142308729</v>
      </c>
      <c r="P317" s="69">
        <f t="shared" ca="1" si="61"/>
        <v>-0.24663349488936587</v>
      </c>
      <c r="Q317" s="69">
        <f t="shared" ca="1" si="62"/>
        <v>-0.27099656522660581</v>
      </c>
      <c r="R317" s="69">
        <f t="shared" ca="1" si="63"/>
        <v>1.5142447983436673</v>
      </c>
      <c r="S317" s="69">
        <f t="shared" ca="1" si="64"/>
        <v>-0.42753297117470307</v>
      </c>
      <c r="T317" s="69">
        <f t="shared" ca="1" si="65"/>
        <v>2.0844887574570725</v>
      </c>
      <c r="U317" s="69">
        <f t="shared" ca="1" si="66"/>
        <v>-2.7224035042720092E-2</v>
      </c>
      <c r="V317" s="69">
        <f t="shared" ca="1" si="67"/>
        <v>0.53387531643042452</v>
      </c>
      <c r="W317" s="69">
        <f t="shared" ca="1" si="68"/>
        <v>0.39491356914969239</v>
      </c>
      <c r="X317" s="69">
        <f t="shared" ca="1" si="69"/>
        <v>0.80585130407426409</v>
      </c>
    </row>
    <row r="318" spans="2:24" x14ac:dyDescent="0.2">
      <c r="B318" s="69">
        <f t="shared" ca="1" si="58"/>
        <v>-1.8383648459132895</v>
      </c>
      <c r="C318" s="69">
        <f t="shared" ca="1" si="71"/>
        <v>1.2414821514617944</v>
      </c>
      <c r="D318" s="69">
        <f t="shared" ca="1" si="71"/>
        <v>-0.92266229129935562</v>
      </c>
      <c r="E318" s="69">
        <f t="shared" ca="1" si="71"/>
        <v>-0.50531579236692892</v>
      </c>
      <c r="F318" s="69">
        <f t="shared" ca="1" si="71"/>
        <v>-0.73384233607673344</v>
      </c>
      <c r="G318" s="69">
        <f t="shared" ca="1" si="71"/>
        <v>0.48669702519935776</v>
      </c>
      <c r="H318" s="69">
        <f t="shared" ca="1" si="71"/>
        <v>0.21635939001819918</v>
      </c>
      <c r="I318" s="69">
        <f t="shared" ca="1" si="71"/>
        <v>-6.2529087969396768E-2</v>
      </c>
      <c r="J318" s="69">
        <f t="shared" ca="1" si="71"/>
        <v>-0.15938654304730002</v>
      </c>
      <c r="K318" s="69">
        <f t="shared" ca="1" si="71"/>
        <v>-1.2622499572998884</v>
      </c>
      <c r="L318" s="69">
        <f t="shared" ca="1" si="71"/>
        <v>-0.54215440417675942</v>
      </c>
      <c r="N318" s="69">
        <f t="shared" ca="1" si="59"/>
        <v>-1.8005968020751808</v>
      </c>
      <c r="O318" s="69">
        <f t="shared" ca="1" si="60"/>
        <v>1.2149885883789078</v>
      </c>
      <c r="P318" s="69">
        <f t="shared" ca="1" si="61"/>
        <v>-0.98040435613644561</v>
      </c>
      <c r="Q318" s="69">
        <f t="shared" ca="1" si="62"/>
        <v>-0.45620711350516996</v>
      </c>
      <c r="R318" s="69">
        <f t="shared" ca="1" si="63"/>
        <v>-0.74013702148438232</v>
      </c>
      <c r="S318" s="69">
        <f t="shared" ca="1" si="64"/>
        <v>0.51952399745616629</v>
      </c>
      <c r="T318" s="69">
        <f t="shared" ca="1" si="65"/>
        <v>0.21152835230300934</v>
      </c>
      <c r="U318" s="69">
        <f t="shared" ca="1" si="66"/>
        <v>-3.9488961091687112E-2</v>
      </c>
      <c r="V318" s="69">
        <f t="shared" ca="1" si="67"/>
        <v>-0.16549613662089735</v>
      </c>
      <c r="W318" s="69">
        <f t="shared" ca="1" si="68"/>
        <v>-1.2612686004757894</v>
      </c>
      <c r="X318" s="69">
        <f t="shared" ca="1" si="69"/>
        <v>-0.51498591380232395</v>
      </c>
    </row>
    <row r="319" spans="2:24" x14ac:dyDescent="0.2">
      <c r="B319" s="69">
        <f t="shared" ca="1" si="58"/>
        <v>0.51375546568186492</v>
      </c>
      <c r="C319" s="69">
        <f t="shared" ca="1" si="71"/>
        <v>4.4633531775305255E-2</v>
      </c>
      <c r="D319" s="69">
        <f t="shared" ca="1" si="71"/>
        <v>-0.1408852525175559</v>
      </c>
      <c r="E319" s="69">
        <f t="shared" ca="1" si="71"/>
        <v>-0.62402187030168821</v>
      </c>
      <c r="F319" s="69">
        <f t="shared" ca="1" si="71"/>
        <v>-0.86270121491454255</v>
      </c>
      <c r="G319" s="69">
        <f t="shared" ca="1" si="71"/>
        <v>-0.46733659515158371</v>
      </c>
      <c r="H319" s="69">
        <f t="shared" ca="1" si="71"/>
        <v>0.4281784308010228</v>
      </c>
      <c r="I319" s="69">
        <f t="shared" ca="1" si="71"/>
        <v>-0.75426754408989305</v>
      </c>
      <c r="J319" s="69">
        <f t="shared" ca="1" si="71"/>
        <v>-1.0384976360985063</v>
      </c>
      <c r="K319" s="69">
        <f t="shared" ca="1" si="71"/>
        <v>0.24863975871153618</v>
      </c>
      <c r="L319" s="69">
        <f t="shared" ca="1" si="71"/>
        <v>-1.3127037790537837</v>
      </c>
      <c r="N319" s="69">
        <f t="shared" ca="1" si="59"/>
        <v>0.55152350951997375</v>
      </c>
      <c r="O319" s="69">
        <f t="shared" ca="1" si="60"/>
        <v>1.813996869241857E-2</v>
      </c>
      <c r="P319" s="69">
        <f t="shared" ca="1" si="61"/>
        <v>-0.19862731735464595</v>
      </c>
      <c r="Q319" s="69">
        <f t="shared" ca="1" si="62"/>
        <v>-0.57491319143992925</v>
      </c>
      <c r="R319" s="69">
        <f t="shared" ca="1" si="63"/>
        <v>-0.86899590032219143</v>
      </c>
      <c r="S319" s="69">
        <f t="shared" ca="1" si="64"/>
        <v>-0.43450962289477524</v>
      </c>
      <c r="T319" s="69">
        <f t="shared" ca="1" si="65"/>
        <v>0.42334739308583297</v>
      </c>
      <c r="U319" s="69">
        <f t="shared" ca="1" si="66"/>
        <v>-0.73122741721218343</v>
      </c>
      <c r="V319" s="69">
        <f t="shared" ca="1" si="67"/>
        <v>-1.0446072296721036</v>
      </c>
      <c r="W319" s="69">
        <f t="shared" ca="1" si="68"/>
        <v>0.24962111553563512</v>
      </c>
      <c r="X319" s="69">
        <f t="shared" ca="1" si="69"/>
        <v>-1.2855352886793481</v>
      </c>
    </row>
    <row r="320" spans="2:24" x14ac:dyDescent="0.2">
      <c r="B320" s="69">
        <f t="shared" ca="1" si="58"/>
        <v>-0.72081351868600296</v>
      </c>
      <c r="C320" s="69">
        <f t="shared" ca="1" si="71"/>
        <v>0.59679638122430823</v>
      </c>
      <c r="D320" s="69">
        <f t="shared" ca="1" si="71"/>
        <v>-0.4066028110447526</v>
      </c>
      <c r="E320" s="69">
        <f t="shared" ca="1" si="71"/>
        <v>-0.80325898483696467</v>
      </c>
      <c r="F320" s="69">
        <f t="shared" ca="1" si="71"/>
        <v>-0.21550227902954119</v>
      </c>
      <c r="G320" s="69">
        <f t="shared" ca="1" si="71"/>
        <v>-0.55286014999813982</v>
      </c>
      <c r="H320" s="69">
        <f t="shared" ca="1" si="71"/>
        <v>5.0937801701284452E-2</v>
      </c>
      <c r="I320" s="69">
        <f t="shared" ca="1" si="71"/>
        <v>-0.14622123879045454</v>
      </c>
      <c r="J320" s="69">
        <f t="shared" ca="1" si="71"/>
        <v>0.92232391925115231</v>
      </c>
      <c r="K320" s="69">
        <f t="shared" ca="1" si="71"/>
        <v>0.31647382581956679</v>
      </c>
      <c r="L320" s="69">
        <f t="shared" ca="1" si="71"/>
        <v>-1.5715917632657863</v>
      </c>
      <c r="N320" s="69">
        <f t="shared" ca="1" si="59"/>
        <v>-0.68304547484789413</v>
      </c>
      <c r="O320" s="69">
        <f t="shared" ca="1" si="60"/>
        <v>0.57030281814142159</v>
      </c>
      <c r="P320" s="69">
        <f t="shared" ca="1" si="61"/>
        <v>-0.46434487588184264</v>
      </c>
      <c r="Q320" s="69">
        <f t="shared" ca="1" si="62"/>
        <v>-0.75415030597520571</v>
      </c>
      <c r="R320" s="69">
        <f t="shared" ca="1" si="63"/>
        <v>-0.2217969644371901</v>
      </c>
      <c r="S320" s="69">
        <f t="shared" ca="1" si="64"/>
        <v>-0.52003317774133129</v>
      </c>
      <c r="T320" s="69">
        <f t="shared" ca="1" si="65"/>
        <v>4.6106763986094604E-2</v>
      </c>
      <c r="U320" s="69">
        <f t="shared" ca="1" si="66"/>
        <v>-0.12318111191274489</v>
      </c>
      <c r="V320" s="69">
        <f t="shared" ca="1" si="67"/>
        <v>0.91621432567755501</v>
      </c>
      <c r="W320" s="69">
        <f t="shared" ca="1" si="68"/>
        <v>0.31745518264366573</v>
      </c>
      <c r="X320" s="69">
        <f t="shared" ca="1" si="69"/>
        <v>-1.5444232728913507</v>
      </c>
    </row>
    <row r="321" spans="2:24" x14ac:dyDescent="0.2">
      <c r="B321" s="69">
        <f t="shared" ca="1" si="58"/>
        <v>0.25965432448674536</v>
      </c>
      <c r="C321" s="69">
        <f t="shared" ca="1" si="71"/>
        <v>0.13737764548820217</v>
      </c>
      <c r="D321" s="69">
        <f t="shared" ca="1" si="71"/>
        <v>-2.0486183419356534</v>
      </c>
      <c r="E321" s="69">
        <f t="shared" ca="1" si="71"/>
        <v>1.247466961599371</v>
      </c>
      <c r="F321" s="69">
        <f t="shared" ca="1" si="71"/>
        <v>1.9651283797806216</v>
      </c>
      <c r="G321" s="69">
        <f t="shared" ca="1" si="71"/>
        <v>6.7229604302235027E-2</v>
      </c>
      <c r="H321" s="69">
        <f t="shared" ca="1" si="71"/>
        <v>-0.91677919844804412</v>
      </c>
      <c r="I321" s="69">
        <f t="shared" ca="1" si="71"/>
        <v>8.686666931895673E-2</v>
      </c>
      <c r="J321" s="69">
        <f t="shared" ca="1" si="71"/>
        <v>0.96142818641895345</v>
      </c>
      <c r="K321" s="69">
        <f t="shared" ca="1" si="71"/>
        <v>2.4223476405937956</v>
      </c>
      <c r="L321" s="69">
        <f t="shared" ca="1" si="71"/>
        <v>-0.3421240557544043</v>
      </c>
      <c r="N321" s="69">
        <f t="shared" ca="1" si="59"/>
        <v>0.29742236832485419</v>
      </c>
      <c r="O321" s="69">
        <f t="shared" ca="1" si="60"/>
        <v>0.11088408240531548</v>
      </c>
      <c r="P321" s="69">
        <f t="shared" ca="1" si="61"/>
        <v>-2.1063604067727435</v>
      </c>
      <c r="Q321" s="69">
        <f t="shared" ca="1" si="62"/>
        <v>1.2965756404611299</v>
      </c>
      <c r="R321" s="69">
        <f t="shared" ca="1" si="63"/>
        <v>1.9588336943729727</v>
      </c>
      <c r="S321" s="69">
        <f t="shared" ca="1" si="64"/>
        <v>0.10005657655904351</v>
      </c>
      <c r="T321" s="69">
        <f t="shared" ca="1" si="65"/>
        <v>-0.92161023616323401</v>
      </c>
      <c r="U321" s="69">
        <f t="shared" ca="1" si="66"/>
        <v>0.10990679619666638</v>
      </c>
      <c r="V321" s="69">
        <f t="shared" ca="1" si="67"/>
        <v>0.95531859284535614</v>
      </c>
      <c r="W321" s="69">
        <f t="shared" ca="1" si="68"/>
        <v>2.4233289974178946</v>
      </c>
      <c r="X321" s="69">
        <f t="shared" ca="1" si="69"/>
        <v>-0.31495556537996883</v>
      </c>
    </row>
    <row r="322" spans="2:24" x14ac:dyDescent="0.2">
      <c r="B322" s="69">
        <f t="shared" ca="1" si="58"/>
        <v>0.61932448358684145</v>
      </c>
      <c r="C322" s="69">
        <f t="shared" ca="1" si="71"/>
        <v>-0.27584124549891509</v>
      </c>
      <c r="D322" s="69">
        <f t="shared" ca="1" si="71"/>
        <v>0.35482049702810847</v>
      </c>
      <c r="E322" s="69">
        <f t="shared" ca="1" si="71"/>
        <v>-4.7033739811079521E-2</v>
      </c>
      <c r="F322" s="69">
        <f t="shared" ca="1" si="71"/>
        <v>-1.1306339486556851</v>
      </c>
      <c r="G322" s="69">
        <f t="shared" ca="1" si="71"/>
        <v>-2.843773893175761</v>
      </c>
      <c r="H322" s="69">
        <f t="shared" ca="1" si="71"/>
        <v>0.75809043900468598</v>
      </c>
      <c r="I322" s="69">
        <f t="shared" ca="1" si="71"/>
        <v>-0.63197434958740362</v>
      </c>
      <c r="J322" s="69">
        <f t="shared" ca="1" si="71"/>
        <v>-0.23502197682621184</v>
      </c>
      <c r="K322" s="69">
        <f t="shared" ca="1" si="71"/>
        <v>-0.21033992857200368</v>
      </c>
      <c r="L322" s="69">
        <f t="shared" ca="1" si="71"/>
        <v>-0.67789441614280832</v>
      </c>
      <c r="N322" s="69">
        <f t="shared" ca="1" si="59"/>
        <v>0.65709252742495028</v>
      </c>
      <c r="O322" s="69">
        <f t="shared" ca="1" si="60"/>
        <v>-0.30233480858180178</v>
      </c>
      <c r="P322" s="69">
        <f t="shared" ca="1" si="61"/>
        <v>0.29707843219101843</v>
      </c>
      <c r="Q322" s="69">
        <f t="shared" ca="1" si="62"/>
        <v>2.0749390506794238E-3</v>
      </c>
      <c r="R322" s="69">
        <f t="shared" ca="1" si="63"/>
        <v>-1.136928634063334</v>
      </c>
      <c r="S322" s="69">
        <f t="shared" ca="1" si="64"/>
        <v>-2.8109469209189526</v>
      </c>
      <c r="T322" s="69">
        <f t="shared" ca="1" si="65"/>
        <v>0.75325940128949609</v>
      </c>
      <c r="U322" s="69">
        <f t="shared" ca="1" si="66"/>
        <v>-0.608934222709694</v>
      </c>
      <c r="V322" s="69">
        <f t="shared" ca="1" si="67"/>
        <v>-0.24113157039980918</v>
      </c>
      <c r="W322" s="69">
        <f t="shared" ca="1" si="68"/>
        <v>-0.20935857174790473</v>
      </c>
      <c r="X322" s="69">
        <f t="shared" ca="1" si="69"/>
        <v>-0.65072592576837285</v>
      </c>
    </row>
    <row r="323" spans="2:24" x14ac:dyDescent="0.2">
      <c r="B323" s="69">
        <f t="shared" ca="1" si="58"/>
        <v>-0.14048310948883447</v>
      </c>
      <c r="C323" s="69">
        <f t="shared" ca="1" si="71"/>
        <v>1.1561553137332166</v>
      </c>
      <c r="D323" s="69">
        <f t="shared" ca="1" si="71"/>
        <v>1.2179374577351227</v>
      </c>
      <c r="E323" s="69">
        <f t="shared" ca="1" si="71"/>
        <v>-0.45640005829057295</v>
      </c>
      <c r="F323" s="69">
        <f t="shared" ca="1" si="71"/>
        <v>-0.2223949191446194</v>
      </c>
      <c r="G323" s="69">
        <f t="shared" ca="1" si="71"/>
        <v>0.19234394809223293</v>
      </c>
      <c r="H323" s="69">
        <f t="shared" ca="1" si="71"/>
        <v>-0.10323639794202392</v>
      </c>
      <c r="I323" s="69">
        <f t="shared" ca="1" si="71"/>
        <v>0.11348475497198229</v>
      </c>
      <c r="J323" s="69">
        <f t="shared" ca="1" si="71"/>
        <v>-0.91747093401370561</v>
      </c>
      <c r="K323" s="69">
        <f t="shared" ca="1" si="71"/>
        <v>-1.4955362395227529</v>
      </c>
      <c r="L323" s="69">
        <f t="shared" ca="1" si="71"/>
        <v>0.76666019853229606</v>
      </c>
      <c r="N323" s="69">
        <f t="shared" ca="1" si="59"/>
        <v>-0.10271506565072565</v>
      </c>
      <c r="O323" s="69">
        <f t="shared" ca="1" si="60"/>
        <v>1.1296617506503299</v>
      </c>
      <c r="P323" s="69">
        <f t="shared" ca="1" si="61"/>
        <v>1.1601953928980326</v>
      </c>
      <c r="Q323" s="69">
        <f t="shared" ca="1" si="62"/>
        <v>-0.40729137942881399</v>
      </c>
      <c r="R323" s="69">
        <f t="shared" ca="1" si="63"/>
        <v>-0.22868960455226831</v>
      </c>
      <c r="S323" s="69">
        <f t="shared" ca="1" si="64"/>
        <v>0.2251709203490414</v>
      </c>
      <c r="T323" s="69">
        <f t="shared" ca="1" si="65"/>
        <v>-0.10806743565721377</v>
      </c>
      <c r="U323" s="69">
        <f t="shared" ca="1" si="66"/>
        <v>0.13652488184969194</v>
      </c>
      <c r="V323" s="69">
        <f t="shared" ca="1" si="67"/>
        <v>-0.92358052758730291</v>
      </c>
      <c r="W323" s="69">
        <f t="shared" ca="1" si="68"/>
        <v>-1.4945548826986539</v>
      </c>
      <c r="X323" s="69">
        <f t="shared" ca="1" si="69"/>
        <v>0.79382868890673153</v>
      </c>
    </row>
    <row r="324" spans="2:24" x14ac:dyDescent="0.2">
      <c r="B324" s="69">
        <f t="shared" ca="1" si="58"/>
        <v>-0.45015346390330296</v>
      </c>
      <c r="C324" s="69">
        <f t="shared" ca="1" si="71"/>
        <v>-0.52356937131407688</v>
      </c>
      <c r="D324" s="69">
        <f t="shared" ca="1" si="71"/>
        <v>0.75559890808071828</v>
      </c>
      <c r="E324" s="69">
        <f t="shared" ca="1" si="71"/>
        <v>-0.90307446810772152</v>
      </c>
      <c r="F324" s="69">
        <f t="shared" ca="1" si="71"/>
        <v>0.24973559209277332</v>
      </c>
      <c r="G324" s="69">
        <f t="shared" ca="1" si="71"/>
        <v>6.447309258998847E-2</v>
      </c>
      <c r="H324" s="69">
        <f t="shared" ca="1" si="71"/>
        <v>0.79683836377804085</v>
      </c>
      <c r="I324" s="69">
        <f t="shared" ref="C324:L387" ca="1" si="72">NORMINV(RAND(),$C$7,$F$7)</f>
        <v>0.56739590835361486</v>
      </c>
      <c r="J324" s="69">
        <f t="shared" ca="1" si="72"/>
        <v>0.42512332873067576</v>
      </c>
      <c r="K324" s="69">
        <f t="shared" ca="1" si="72"/>
        <v>0.11677853693201884</v>
      </c>
      <c r="L324" s="69">
        <f t="shared" ca="1" si="72"/>
        <v>-2.1793815489348818</v>
      </c>
      <c r="N324" s="69">
        <f t="shared" ca="1" si="59"/>
        <v>-0.41238542006519413</v>
      </c>
      <c r="O324" s="69">
        <f t="shared" ca="1" si="60"/>
        <v>-0.55006293439696352</v>
      </c>
      <c r="P324" s="69">
        <f t="shared" ca="1" si="61"/>
        <v>0.69785684324362829</v>
      </c>
      <c r="Q324" s="69">
        <f t="shared" ca="1" si="62"/>
        <v>-0.85396578924596256</v>
      </c>
      <c r="R324" s="69">
        <f t="shared" ca="1" si="63"/>
        <v>0.24344090668512441</v>
      </c>
      <c r="S324" s="69">
        <f t="shared" ca="1" si="64"/>
        <v>9.7300064846796958E-2</v>
      </c>
      <c r="T324" s="69">
        <f t="shared" ca="1" si="65"/>
        <v>0.79200732606285096</v>
      </c>
      <c r="U324" s="69">
        <f t="shared" ca="1" si="66"/>
        <v>0.59043603523132449</v>
      </c>
      <c r="V324" s="69">
        <f t="shared" ca="1" si="67"/>
        <v>0.41901373515707846</v>
      </c>
      <c r="W324" s="69">
        <f t="shared" ca="1" si="68"/>
        <v>0.11775989375611778</v>
      </c>
      <c r="X324" s="69">
        <f t="shared" ca="1" si="69"/>
        <v>-2.1522130585604464</v>
      </c>
    </row>
    <row r="325" spans="2:24" x14ac:dyDescent="0.2">
      <c r="B325" s="69">
        <f t="shared" ca="1" si="58"/>
        <v>-0.64542241340784789</v>
      </c>
      <c r="C325" s="69">
        <f t="shared" ca="1" si="72"/>
        <v>-3.2542907617792952E-2</v>
      </c>
      <c r="D325" s="69">
        <f t="shared" ca="1" si="72"/>
        <v>-0.92414097056026046</v>
      </c>
      <c r="E325" s="69">
        <f t="shared" ca="1" si="72"/>
        <v>0.31847064455968016</v>
      </c>
      <c r="F325" s="69">
        <f t="shared" ca="1" si="72"/>
        <v>1.617499234971596</v>
      </c>
      <c r="G325" s="69">
        <f t="shared" ca="1" si="72"/>
        <v>-0.75499478034795364</v>
      </c>
      <c r="H325" s="69">
        <f t="shared" ca="1" si="72"/>
        <v>1.0981131009549421</v>
      </c>
      <c r="I325" s="69">
        <f t="shared" ca="1" si="72"/>
        <v>-0.17113323541854927</v>
      </c>
      <c r="J325" s="69">
        <f t="shared" ca="1" si="72"/>
        <v>-0.13948544834960724</v>
      </c>
      <c r="K325" s="69">
        <f t="shared" ca="1" si="72"/>
        <v>-0.75813361705663962</v>
      </c>
      <c r="L325" s="69">
        <f t="shared" ca="1" si="72"/>
        <v>1.3517725406747989</v>
      </c>
      <c r="N325" s="69">
        <f t="shared" ca="1" si="59"/>
        <v>-0.60765436956973906</v>
      </c>
      <c r="O325" s="69">
        <f t="shared" ca="1" si="60"/>
        <v>-5.9036470700679633E-2</v>
      </c>
      <c r="P325" s="69">
        <f t="shared" ca="1" si="61"/>
        <v>-0.98188303539735045</v>
      </c>
      <c r="Q325" s="69">
        <f t="shared" ca="1" si="62"/>
        <v>0.36757932342143912</v>
      </c>
      <c r="R325" s="69">
        <f t="shared" ca="1" si="63"/>
        <v>1.6112045495639471</v>
      </c>
      <c r="S325" s="69">
        <f t="shared" ca="1" si="64"/>
        <v>-0.72216780809114511</v>
      </c>
      <c r="T325" s="69">
        <f t="shared" ca="1" si="65"/>
        <v>1.0932820632397522</v>
      </c>
      <c r="U325" s="69">
        <f t="shared" ca="1" si="66"/>
        <v>-0.14809310854083962</v>
      </c>
      <c r="V325" s="69">
        <f t="shared" ca="1" si="67"/>
        <v>-0.14559504192320458</v>
      </c>
      <c r="W325" s="69">
        <f t="shared" ca="1" si="68"/>
        <v>-0.75715226023254067</v>
      </c>
      <c r="X325" s="69">
        <f t="shared" ca="1" si="69"/>
        <v>1.3789410310492345</v>
      </c>
    </row>
    <row r="326" spans="2:24" x14ac:dyDescent="0.2">
      <c r="B326" s="69">
        <f t="shared" ca="1" si="58"/>
        <v>-1.0468313991269325</v>
      </c>
      <c r="C326" s="69">
        <f t="shared" ca="1" si="72"/>
        <v>1.3602270678909514</v>
      </c>
      <c r="D326" s="69">
        <f t="shared" ca="1" si="72"/>
        <v>1.7829963810128973</v>
      </c>
      <c r="E326" s="69">
        <f t="shared" ca="1" si="72"/>
        <v>-0.24933550757596815</v>
      </c>
      <c r="F326" s="69">
        <f t="shared" ca="1" si="72"/>
        <v>0.60120987223350908</v>
      </c>
      <c r="G326" s="69">
        <f t="shared" ca="1" si="72"/>
        <v>0.75001039632587008</v>
      </c>
      <c r="H326" s="69">
        <f t="shared" ca="1" si="72"/>
        <v>0.52951357437023638</v>
      </c>
      <c r="I326" s="69">
        <f t="shared" ca="1" si="72"/>
        <v>-0.79575591521056788</v>
      </c>
      <c r="J326" s="69">
        <f t="shared" ca="1" si="72"/>
        <v>-0.46384402808636871</v>
      </c>
      <c r="K326" s="69">
        <f t="shared" ca="1" si="72"/>
        <v>-1.0246719883331414</v>
      </c>
      <c r="L326" s="69">
        <f t="shared" ca="1" si="72"/>
        <v>-7.2247679257494216E-2</v>
      </c>
      <c r="N326" s="69">
        <f t="shared" ca="1" si="59"/>
        <v>-1.0090633552888237</v>
      </c>
      <c r="O326" s="69">
        <f t="shared" ca="1" si="60"/>
        <v>1.3337335048080647</v>
      </c>
      <c r="P326" s="69">
        <f t="shared" ca="1" si="61"/>
        <v>1.7252543161758072</v>
      </c>
      <c r="Q326" s="69">
        <f t="shared" ca="1" si="62"/>
        <v>-0.20022682871420922</v>
      </c>
      <c r="R326" s="69">
        <f t="shared" ca="1" si="63"/>
        <v>0.5949151868258602</v>
      </c>
      <c r="S326" s="69">
        <f t="shared" ca="1" si="64"/>
        <v>0.78283736858267861</v>
      </c>
      <c r="T326" s="69">
        <f t="shared" ca="1" si="65"/>
        <v>0.52468253665504649</v>
      </c>
      <c r="U326" s="69">
        <f t="shared" ca="1" si="66"/>
        <v>-0.77271578833285826</v>
      </c>
      <c r="V326" s="69">
        <f t="shared" ca="1" si="67"/>
        <v>-0.46995362165996601</v>
      </c>
      <c r="W326" s="69">
        <f t="shared" ca="1" si="68"/>
        <v>-1.0236906315090424</v>
      </c>
      <c r="X326" s="69">
        <f t="shared" ca="1" si="69"/>
        <v>-4.5079188883058736E-2</v>
      </c>
    </row>
    <row r="327" spans="2:24" x14ac:dyDescent="0.2">
      <c r="B327" s="69">
        <f t="shared" ca="1" si="58"/>
        <v>0.49015910772242788</v>
      </c>
      <c r="C327" s="69">
        <f t="shared" ca="1" si="72"/>
        <v>0.39294350260356575</v>
      </c>
      <c r="D327" s="69">
        <f t="shared" ca="1" si="72"/>
        <v>7.8060308586322097E-2</v>
      </c>
      <c r="E327" s="69">
        <f t="shared" ca="1" si="72"/>
        <v>-1.7641114672316442</v>
      </c>
      <c r="F327" s="69">
        <f t="shared" ca="1" si="72"/>
        <v>0.56076203977222527</v>
      </c>
      <c r="G327" s="69">
        <f t="shared" ca="1" si="72"/>
        <v>1.5161090322734483</v>
      </c>
      <c r="H327" s="69">
        <f t="shared" ca="1" si="72"/>
        <v>2.1926776313758412</v>
      </c>
      <c r="I327" s="69">
        <f t="shared" ca="1" si="72"/>
        <v>-0.51290800373654277</v>
      </c>
      <c r="J327" s="69">
        <f t="shared" ca="1" si="72"/>
        <v>-0.30627441053294369</v>
      </c>
      <c r="K327" s="69">
        <f t="shared" ca="1" si="72"/>
        <v>5.0724789606800831E-2</v>
      </c>
      <c r="L327" s="69">
        <f t="shared" ca="1" si="72"/>
        <v>1.7675750780805204</v>
      </c>
      <c r="N327" s="69">
        <f t="shared" ca="1" si="59"/>
        <v>0.52792715156053671</v>
      </c>
      <c r="O327" s="69">
        <f t="shared" ca="1" si="60"/>
        <v>0.36644993952067906</v>
      </c>
      <c r="P327" s="69">
        <f t="shared" ca="1" si="61"/>
        <v>2.0318243749232065E-2</v>
      </c>
      <c r="Q327" s="69">
        <f t="shared" ca="1" si="62"/>
        <v>-1.7150027883698853</v>
      </c>
      <c r="R327" s="69">
        <f t="shared" ca="1" si="63"/>
        <v>0.55446735436457639</v>
      </c>
      <c r="S327" s="69">
        <f t="shared" ca="1" si="64"/>
        <v>1.5489360045302567</v>
      </c>
      <c r="T327" s="69">
        <f t="shared" ca="1" si="65"/>
        <v>2.1878465936606513</v>
      </c>
      <c r="U327" s="69">
        <f t="shared" ca="1" si="66"/>
        <v>-0.4898678768588331</v>
      </c>
      <c r="V327" s="69">
        <f t="shared" ca="1" si="67"/>
        <v>-0.31238400410654099</v>
      </c>
      <c r="W327" s="69">
        <f t="shared" ca="1" si="68"/>
        <v>5.1706146430899783E-2</v>
      </c>
      <c r="X327" s="69">
        <f t="shared" ca="1" si="69"/>
        <v>1.794743568454956</v>
      </c>
    </row>
    <row r="328" spans="2:24" x14ac:dyDescent="0.2">
      <c r="B328" s="69">
        <f t="shared" ca="1" si="58"/>
        <v>-1.5609443381462187</v>
      </c>
      <c r="C328" s="69">
        <f t="shared" ca="1" si="72"/>
        <v>-1.0294296909152969</v>
      </c>
      <c r="D328" s="69">
        <f t="shared" ca="1" si="72"/>
        <v>0.15325459993231064</v>
      </c>
      <c r="E328" s="69">
        <f t="shared" ca="1" si="72"/>
        <v>-0.32600201031718545</v>
      </c>
      <c r="F328" s="69">
        <f t="shared" ca="1" si="72"/>
        <v>0.85933255232210903</v>
      </c>
      <c r="G328" s="69">
        <f t="shared" ca="1" si="72"/>
        <v>-0.77548005950894983</v>
      </c>
      <c r="H328" s="69">
        <f t="shared" ca="1" si="72"/>
        <v>-1.4195441749670819</v>
      </c>
      <c r="I328" s="69">
        <f t="shared" ca="1" si="72"/>
        <v>-0.23815877951827913</v>
      </c>
      <c r="J328" s="69">
        <f t="shared" ca="1" si="72"/>
        <v>-0.31246122031055024</v>
      </c>
      <c r="K328" s="69">
        <f t="shared" ca="1" si="72"/>
        <v>-0.97350766821180612</v>
      </c>
      <c r="L328" s="69">
        <f t="shared" ca="1" si="72"/>
        <v>0.12556171586409681</v>
      </c>
      <c r="N328" s="69">
        <f t="shared" ca="1" si="59"/>
        <v>-1.52317629430811</v>
      </c>
      <c r="O328" s="69">
        <f t="shared" ca="1" si="60"/>
        <v>-1.0559232539981835</v>
      </c>
      <c r="P328" s="69">
        <f t="shared" ca="1" si="61"/>
        <v>9.5512535095220605E-2</v>
      </c>
      <c r="Q328" s="69">
        <f t="shared" ca="1" si="62"/>
        <v>-0.27689333145542649</v>
      </c>
      <c r="R328" s="69">
        <f t="shared" ca="1" si="63"/>
        <v>0.85303786691446015</v>
      </c>
      <c r="S328" s="69">
        <f t="shared" ca="1" si="64"/>
        <v>-0.7426530872521413</v>
      </c>
      <c r="T328" s="69">
        <f t="shared" ca="1" si="65"/>
        <v>-1.4243752126822717</v>
      </c>
      <c r="U328" s="69">
        <f t="shared" ca="1" si="66"/>
        <v>-0.21511865264056948</v>
      </c>
      <c r="V328" s="69">
        <f t="shared" ca="1" si="67"/>
        <v>-0.31857081388414754</v>
      </c>
      <c r="W328" s="69">
        <f t="shared" ca="1" si="68"/>
        <v>-0.97252631138770718</v>
      </c>
      <c r="X328" s="69">
        <f t="shared" ca="1" si="69"/>
        <v>0.15273020623853228</v>
      </c>
    </row>
    <row r="329" spans="2:24" x14ac:dyDescent="0.2">
      <c r="B329" s="69">
        <f t="shared" ca="1" si="58"/>
        <v>-0.43883411567192776</v>
      </c>
      <c r="C329" s="69">
        <f t="shared" ca="1" si="72"/>
        <v>-0.85160429731302367</v>
      </c>
      <c r="D329" s="69">
        <f t="shared" ca="1" si="72"/>
        <v>1.488897500060147</v>
      </c>
      <c r="E329" s="69">
        <f t="shared" ca="1" si="72"/>
        <v>-2.9627962730716</v>
      </c>
      <c r="F329" s="69">
        <f t="shared" ca="1" si="72"/>
        <v>-0.7017649181071387</v>
      </c>
      <c r="G329" s="69">
        <f t="shared" ca="1" si="72"/>
        <v>0.20540974903513765</v>
      </c>
      <c r="H329" s="69">
        <f t="shared" ca="1" si="72"/>
        <v>0.97540527007516831</v>
      </c>
      <c r="I329" s="69">
        <f t="shared" ca="1" si="72"/>
        <v>0.34191945593083567</v>
      </c>
      <c r="J329" s="69">
        <f t="shared" ca="1" si="72"/>
        <v>5.2996173109460941E-2</v>
      </c>
      <c r="K329" s="69">
        <f t="shared" ca="1" si="72"/>
        <v>0.17070416131294983</v>
      </c>
      <c r="L329" s="69">
        <f t="shared" ca="1" si="72"/>
        <v>0.34184905425851347</v>
      </c>
      <c r="N329" s="69">
        <f t="shared" ca="1" si="59"/>
        <v>-0.40106607183381893</v>
      </c>
      <c r="O329" s="69">
        <f t="shared" ca="1" si="60"/>
        <v>-0.87809786039591031</v>
      </c>
      <c r="P329" s="69">
        <f t="shared" ca="1" si="61"/>
        <v>1.4311554352230569</v>
      </c>
      <c r="Q329" s="69">
        <f t="shared" ca="1" si="62"/>
        <v>-2.9136875942098412</v>
      </c>
      <c r="R329" s="69">
        <f t="shared" ca="1" si="63"/>
        <v>-0.70805960351478758</v>
      </c>
      <c r="S329" s="69">
        <f t="shared" ca="1" si="64"/>
        <v>0.23823672129194612</v>
      </c>
      <c r="T329" s="69">
        <f t="shared" ca="1" si="65"/>
        <v>0.97057423235997842</v>
      </c>
      <c r="U329" s="69">
        <f t="shared" ca="1" si="66"/>
        <v>0.36495958280854535</v>
      </c>
      <c r="V329" s="69">
        <f t="shared" ca="1" si="67"/>
        <v>4.6886579535863608E-2</v>
      </c>
      <c r="W329" s="69">
        <f t="shared" ca="1" si="68"/>
        <v>0.17168551813704877</v>
      </c>
      <c r="X329" s="69">
        <f t="shared" ca="1" si="69"/>
        <v>0.36901754463294895</v>
      </c>
    </row>
    <row r="330" spans="2:24" x14ac:dyDescent="0.2">
      <c r="B330" s="69">
        <f t="shared" ref="B330:B393" ca="1" si="73">NORMINV(RAND(),$C$7,$F$7)</f>
        <v>0.38520836451821266</v>
      </c>
      <c r="C330" s="69">
        <f t="shared" ca="1" si="72"/>
        <v>-2.0017373853478748</v>
      </c>
      <c r="D330" s="69">
        <f t="shared" ca="1" si="72"/>
        <v>-1.3247968742384084</v>
      </c>
      <c r="E330" s="69">
        <f t="shared" ca="1" si="72"/>
        <v>-1.016080742474083</v>
      </c>
      <c r="F330" s="69">
        <f t="shared" ca="1" si="72"/>
        <v>0.45714005702587274</v>
      </c>
      <c r="G330" s="69">
        <f t="shared" ca="1" si="72"/>
        <v>-0.27939501072223977</v>
      </c>
      <c r="H330" s="69">
        <f t="shared" ca="1" si="72"/>
        <v>1.0412139162162826</v>
      </c>
      <c r="I330" s="69">
        <f t="shared" ca="1" si="72"/>
        <v>1.3658348207961482</v>
      </c>
      <c r="J330" s="69">
        <f t="shared" ca="1" si="72"/>
        <v>0.63045738333977586</v>
      </c>
      <c r="K330" s="69">
        <f t="shared" ca="1" si="72"/>
        <v>-7.4601807384029106E-2</v>
      </c>
      <c r="L330" s="69">
        <f t="shared" ca="1" si="72"/>
        <v>0.6145645117629257</v>
      </c>
      <c r="N330" s="69">
        <f t="shared" ref="N330:N393" ca="1" si="74">B330-$B$1010</f>
        <v>0.4229764083563215</v>
      </c>
      <c r="O330" s="69">
        <f t="shared" ref="O330:O393" ca="1" si="75">C330-$C$1010</f>
        <v>-2.0282309484307617</v>
      </c>
      <c r="P330" s="69">
        <f t="shared" ref="P330:P393" ca="1" si="76">D330-$D$1010</f>
        <v>-1.3825389390754985</v>
      </c>
      <c r="Q330" s="69">
        <f t="shared" ref="Q330:Q393" ca="1" si="77">E330-$E$1010</f>
        <v>-0.96697206361232402</v>
      </c>
      <c r="R330" s="69">
        <f t="shared" ref="R330:R393" ca="1" si="78">F330-$F$1010</f>
        <v>0.45084537161822386</v>
      </c>
      <c r="S330" s="69">
        <f t="shared" ref="S330:S393" ca="1" si="79">G330-$G$1010</f>
        <v>-0.24656803846543129</v>
      </c>
      <c r="T330" s="69">
        <f t="shared" ref="T330:T393" ca="1" si="80">H330-$H$1010</f>
        <v>1.0363828785010927</v>
      </c>
      <c r="U330" s="69">
        <f t="shared" ref="U330:U393" ca="1" si="81">I330-$I$1010</f>
        <v>1.3888749476738578</v>
      </c>
      <c r="V330" s="69">
        <f t="shared" ref="V330:V393" ca="1" si="82">J330-$J$1010</f>
        <v>0.62434778976617855</v>
      </c>
      <c r="W330" s="69">
        <f t="shared" ref="W330:W393" ca="1" si="83">K330-$K$1010</f>
        <v>-7.3620450559930162E-2</v>
      </c>
      <c r="X330" s="69">
        <f t="shared" ref="X330:X393" ca="1" si="84">L330-$L$1010</f>
        <v>0.64173300213736117</v>
      </c>
    </row>
    <row r="331" spans="2:24" x14ac:dyDescent="0.2">
      <c r="B331" s="69">
        <f t="shared" ca="1" si="73"/>
        <v>1.0617485561506643</v>
      </c>
      <c r="C331" s="69">
        <f t="shared" ca="1" si="72"/>
        <v>1.7606725608193754</v>
      </c>
      <c r="D331" s="69">
        <f t="shared" ca="1" si="72"/>
        <v>0.91127138331472202</v>
      </c>
      <c r="E331" s="69">
        <f t="shared" ca="1" si="72"/>
        <v>1.1820943101618</v>
      </c>
      <c r="F331" s="69">
        <f t="shared" ca="1" si="72"/>
        <v>-0.38316266306834884</v>
      </c>
      <c r="G331" s="69">
        <f t="shared" ca="1" si="72"/>
        <v>8.4051073322737244E-2</v>
      </c>
      <c r="H331" s="69">
        <f t="shared" ca="1" si="72"/>
        <v>-1.4069522862318806</v>
      </c>
      <c r="I331" s="69">
        <f t="shared" ca="1" si="72"/>
        <v>0.19091259595221632</v>
      </c>
      <c r="J331" s="69">
        <f t="shared" ca="1" si="72"/>
        <v>-0.78729347442787145</v>
      </c>
      <c r="K331" s="69">
        <f t="shared" ca="1" si="72"/>
        <v>1.71275406398731</v>
      </c>
      <c r="L331" s="69">
        <f t="shared" ca="1" si="72"/>
        <v>0.80452795165897073</v>
      </c>
      <c r="N331" s="69">
        <f t="shared" ca="1" si="74"/>
        <v>1.099516599988773</v>
      </c>
      <c r="O331" s="69">
        <f t="shared" ca="1" si="75"/>
        <v>1.7341789977364888</v>
      </c>
      <c r="P331" s="69">
        <f t="shared" ca="1" si="76"/>
        <v>0.85352931847763203</v>
      </c>
      <c r="Q331" s="69">
        <f t="shared" ca="1" si="77"/>
        <v>1.231202989023559</v>
      </c>
      <c r="R331" s="69">
        <f t="shared" ca="1" si="78"/>
        <v>-0.38945734847599772</v>
      </c>
      <c r="S331" s="69">
        <f t="shared" ca="1" si="79"/>
        <v>0.11687804557954573</v>
      </c>
      <c r="T331" s="69">
        <f t="shared" ca="1" si="80"/>
        <v>-1.4117833239470705</v>
      </c>
      <c r="U331" s="69">
        <f t="shared" ca="1" si="81"/>
        <v>0.21395272282992597</v>
      </c>
      <c r="V331" s="69">
        <f t="shared" ca="1" si="82"/>
        <v>-0.79340306800146876</v>
      </c>
      <c r="W331" s="69">
        <f t="shared" ca="1" si="83"/>
        <v>1.7137354208114091</v>
      </c>
      <c r="X331" s="69">
        <f t="shared" ca="1" si="84"/>
        <v>0.8316964420334062</v>
      </c>
    </row>
    <row r="332" spans="2:24" x14ac:dyDescent="0.2">
      <c r="B332" s="69">
        <f t="shared" ca="1" si="73"/>
        <v>0.47435846995587755</v>
      </c>
      <c r="C332" s="69">
        <f t="shared" ca="1" si="72"/>
        <v>-0.43033320660820362</v>
      </c>
      <c r="D332" s="69">
        <f t="shared" ca="1" si="72"/>
        <v>9.0883657692168468E-2</v>
      </c>
      <c r="E332" s="69">
        <f t="shared" ca="1" si="72"/>
        <v>0.96431956105883321</v>
      </c>
      <c r="F332" s="69">
        <f t="shared" ca="1" si="72"/>
        <v>0.10211781207458803</v>
      </c>
      <c r="G332" s="69">
        <f t="shared" ca="1" si="72"/>
        <v>0.97092376128054048</v>
      </c>
      <c r="H332" s="69">
        <f t="shared" ca="1" si="72"/>
        <v>0.63700094287723774</v>
      </c>
      <c r="I332" s="69">
        <f t="shared" ca="1" si="72"/>
        <v>0.32098633623743822</v>
      </c>
      <c r="J332" s="69">
        <f t="shared" ca="1" si="72"/>
        <v>2.0073810379566988</v>
      </c>
      <c r="K332" s="69">
        <f t="shared" ca="1" si="72"/>
        <v>0.80550912813657805</v>
      </c>
      <c r="L332" s="69">
        <f t="shared" ca="1" si="72"/>
        <v>0.22707421973148187</v>
      </c>
      <c r="N332" s="69">
        <f t="shared" ca="1" si="74"/>
        <v>0.51212651379398633</v>
      </c>
      <c r="O332" s="69">
        <f t="shared" ca="1" si="75"/>
        <v>-0.45682676969109032</v>
      </c>
      <c r="P332" s="69">
        <f t="shared" ca="1" si="76"/>
        <v>3.3141592855078436E-2</v>
      </c>
      <c r="Q332" s="69">
        <f t="shared" ca="1" si="77"/>
        <v>1.0134282399205921</v>
      </c>
      <c r="R332" s="69">
        <f t="shared" ca="1" si="78"/>
        <v>9.5823126666939137E-2</v>
      </c>
      <c r="S332" s="69">
        <f t="shared" ca="1" si="79"/>
        <v>1.003750733537349</v>
      </c>
      <c r="T332" s="69">
        <f t="shared" ca="1" si="80"/>
        <v>0.63216990516204785</v>
      </c>
      <c r="U332" s="69">
        <f t="shared" ca="1" si="81"/>
        <v>0.3440264631151479</v>
      </c>
      <c r="V332" s="69">
        <f t="shared" ca="1" si="82"/>
        <v>2.0012714443831014</v>
      </c>
      <c r="W332" s="69">
        <f t="shared" ca="1" si="83"/>
        <v>0.80649048496067699</v>
      </c>
      <c r="X332" s="69">
        <f t="shared" ca="1" si="84"/>
        <v>0.25424271010591737</v>
      </c>
    </row>
    <row r="333" spans="2:24" x14ac:dyDescent="0.2">
      <c r="B333" s="69">
        <f t="shared" ca="1" si="73"/>
        <v>-1.549605188505685</v>
      </c>
      <c r="C333" s="69">
        <f t="shared" ca="1" si="72"/>
        <v>-0.29989841969747222</v>
      </c>
      <c r="D333" s="69">
        <f t="shared" ca="1" si="72"/>
        <v>0.53477100515027154</v>
      </c>
      <c r="E333" s="69">
        <f t="shared" ca="1" si="72"/>
        <v>-1.774438063136019</v>
      </c>
      <c r="F333" s="69">
        <f t="shared" ca="1" si="72"/>
        <v>-1.3520025721057984</v>
      </c>
      <c r="G333" s="69">
        <f t="shared" ca="1" si="72"/>
        <v>-2.2818971158563146</v>
      </c>
      <c r="H333" s="69">
        <f t="shared" ca="1" si="72"/>
        <v>1.1720135381685395</v>
      </c>
      <c r="I333" s="69">
        <f t="shared" ca="1" si="72"/>
        <v>0.11663166925271064</v>
      </c>
      <c r="J333" s="69">
        <f t="shared" ca="1" si="72"/>
        <v>0.20383888155511992</v>
      </c>
      <c r="K333" s="69">
        <f t="shared" ca="1" si="72"/>
        <v>-0.68891303769687184</v>
      </c>
      <c r="L333" s="69">
        <f t="shared" ca="1" si="72"/>
        <v>1.5074718522374475</v>
      </c>
      <c r="N333" s="69">
        <f t="shared" ca="1" si="74"/>
        <v>-1.5118371446675762</v>
      </c>
      <c r="O333" s="69">
        <f t="shared" ca="1" si="75"/>
        <v>-0.32639198278035891</v>
      </c>
      <c r="P333" s="69">
        <f t="shared" ca="1" si="76"/>
        <v>0.47702894031318149</v>
      </c>
      <c r="Q333" s="69">
        <f t="shared" ca="1" si="77"/>
        <v>-1.7253293842742601</v>
      </c>
      <c r="R333" s="69">
        <f t="shared" ca="1" si="78"/>
        <v>-1.3582972575134473</v>
      </c>
      <c r="S333" s="69">
        <f t="shared" ca="1" si="79"/>
        <v>-2.2490701435995062</v>
      </c>
      <c r="T333" s="69">
        <f t="shared" ca="1" si="80"/>
        <v>1.1671825004533496</v>
      </c>
      <c r="U333" s="69">
        <f t="shared" ca="1" si="81"/>
        <v>0.1396717961304203</v>
      </c>
      <c r="V333" s="69">
        <f t="shared" ca="1" si="82"/>
        <v>0.19772928798152259</v>
      </c>
      <c r="W333" s="69">
        <f t="shared" ca="1" si="83"/>
        <v>-0.6879316808727729</v>
      </c>
      <c r="X333" s="69">
        <f t="shared" ca="1" si="84"/>
        <v>1.5346403426118831</v>
      </c>
    </row>
    <row r="334" spans="2:24" x14ac:dyDescent="0.2">
      <c r="B334" s="69">
        <f t="shared" ca="1" si="73"/>
        <v>-0.39520889356413036</v>
      </c>
      <c r="C334" s="69">
        <f t="shared" ca="1" si="72"/>
        <v>2.3373137742240934E-2</v>
      </c>
      <c r="D334" s="69">
        <f t="shared" ca="1" si="72"/>
        <v>-0.28075368150962465</v>
      </c>
      <c r="E334" s="69">
        <f t="shared" ca="1" si="72"/>
        <v>-0.56937755128262657</v>
      </c>
      <c r="F334" s="69">
        <f t="shared" ca="1" si="72"/>
        <v>1.5759962448634817</v>
      </c>
      <c r="G334" s="69">
        <f t="shared" ca="1" si="72"/>
        <v>-0.90556046379174193</v>
      </c>
      <c r="H334" s="69">
        <f t="shared" ca="1" si="72"/>
        <v>-1.3401145028896284</v>
      </c>
      <c r="I334" s="69">
        <f t="shared" ca="1" si="72"/>
        <v>-2.1451150634823812</v>
      </c>
      <c r="J334" s="69">
        <f t="shared" ca="1" si="72"/>
        <v>-0.45296759688283389</v>
      </c>
      <c r="K334" s="69">
        <f t="shared" ca="1" si="72"/>
        <v>0.22165758974907679</v>
      </c>
      <c r="L334" s="69">
        <f t="shared" ca="1" si="72"/>
        <v>-0.46201698436815897</v>
      </c>
      <c r="N334" s="69">
        <f t="shared" ca="1" si="74"/>
        <v>-0.35744084972602153</v>
      </c>
      <c r="O334" s="69">
        <f t="shared" ca="1" si="75"/>
        <v>-3.1204253406457508E-3</v>
      </c>
      <c r="P334" s="69">
        <f t="shared" ca="1" si="76"/>
        <v>-0.3384957463467147</v>
      </c>
      <c r="Q334" s="69">
        <f t="shared" ca="1" si="77"/>
        <v>-0.52026887242086761</v>
      </c>
      <c r="R334" s="69">
        <f t="shared" ca="1" si="78"/>
        <v>1.5697015594558328</v>
      </c>
      <c r="S334" s="69">
        <f t="shared" ca="1" si="79"/>
        <v>-0.8727334915349334</v>
      </c>
      <c r="T334" s="69">
        <f t="shared" ca="1" si="80"/>
        <v>-1.3449455406048183</v>
      </c>
      <c r="U334" s="69">
        <f t="shared" ca="1" si="81"/>
        <v>-2.1220749366046716</v>
      </c>
      <c r="V334" s="69">
        <f t="shared" ca="1" si="82"/>
        <v>-0.45907719045643119</v>
      </c>
      <c r="W334" s="69">
        <f t="shared" ca="1" si="83"/>
        <v>0.22263894657317573</v>
      </c>
      <c r="X334" s="69">
        <f t="shared" ca="1" si="84"/>
        <v>-0.43484849399372349</v>
      </c>
    </row>
    <row r="335" spans="2:24" x14ac:dyDescent="0.2">
      <c r="B335" s="69">
        <f t="shared" ca="1" si="73"/>
        <v>1.9887473681671721</v>
      </c>
      <c r="C335" s="69">
        <f t="shared" ca="1" si="72"/>
        <v>-1.1377842281033446</v>
      </c>
      <c r="D335" s="69">
        <f t="shared" ca="1" si="72"/>
        <v>-0.51610187228155635</v>
      </c>
      <c r="E335" s="69">
        <f t="shared" ca="1" si="72"/>
        <v>-0.44176744198077067</v>
      </c>
      <c r="F335" s="69">
        <f t="shared" ca="1" si="72"/>
        <v>0.92208591647580163</v>
      </c>
      <c r="G335" s="69">
        <f t="shared" ca="1" si="72"/>
        <v>1.41303120550872</v>
      </c>
      <c r="H335" s="69">
        <f t="shared" ca="1" si="72"/>
        <v>0.38301841155451866</v>
      </c>
      <c r="I335" s="69">
        <f t="shared" ca="1" si="72"/>
        <v>-3.7314484930040692E-2</v>
      </c>
      <c r="J335" s="69">
        <f t="shared" ca="1" si="72"/>
        <v>-0.47895861251919913</v>
      </c>
      <c r="K335" s="69">
        <f t="shared" ca="1" si="72"/>
        <v>0.41700549751253624</v>
      </c>
      <c r="L335" s="69">
        <f t="shared" ca="1" si="72"/>
        <v>-0.3477791826078801</v>
      </c>
      <c r="N335" s="69">
        <f t="shared" ca="1" si="74"/>
        <v>2.0265154120052808</v>
      </c>
      <c r="O335" s="69">
        <f t="shared" ca="1" si="75"/>
        <v>-1.1642777911862312</v>
      </c>
      <c r="P335" s="69">
        <f t="shared" ca="1" si="76"/>
        <v>-0.57384393711864634</v>
      </c>
      <c r="Q335" s="69">
        <f t="shared" ca="1" si="77"/>
        <v>-0.39265876311901171</v>
      </c>
      <c r="R335" s="69">
        <f t="shared" ca="1" si="78"/>
        <v>0.91579123106815274</v>
      </c>
      <c r="S335" s="69">
        <f t="shared" ca="1" si="79"/>
        <v>1.4458581777655284</v>
      </c>
      <c r="T335" s="69">
        <f t="shared" ca="1" si="80"/>
        <v>0.37818737383932882</v>
      </c>
      <c r="U335" s="69">
        <f t="shared" ca="1" si="81"/>
        <v>-1.4274358052331036E-2</v>
      </c>
      <c r="V335" s="69">
        <f t="shared" ca="1" si="82"/>
        <v>-0.48506820609279644</v>
      </c>
      <c r="W335" s="69">
        <f t="shared" ca="1" si="83"/>
        <v>0.41798685433663518</v>
      </c>
      <c r="X335" s="69">
        <f t="shared" ca="1" si="84"/>
        <v>-0.32061069223344463</v>
      </c>
    </row>
    <row r="336" spans="2:24" x14ac:dyDescent="0.2">
      <c r="B336" s="69">
        <f t="shared" ca="1" si="73"/>
        <v>-0.97622359178113227</v>
      </c>
      <c r="C336" s="69">
        <f t="shared" ca="1" si="72"/>
        <v>0.5252787945235341</v>
      </c>
      <c r="D336" s="69">
        <f t="shared" ca="1" si="72"/>
        <v>-0.54015905202133385</v>
      </c>
      <c r="E336" s="69">
        <f t="shared" ca="1" si="72"/>
        <v>0.60670492171109391</v>
      </c>
      <c r="F336" s="69">
        <f t="shared" ca="1" si="72"/>
        <v>-0.56731548190518566</v>
      </c>
      <c r="G336" s="69">
        <f t="shared" ca="1" si="72"/>
        <v>-1.2364735169038361</v>
      </c>
      <c r="H336" s="69">
        <f t="shared" ca="1" si="72"/>
        <v>-1.4341428828304639</v>
      </c>
      <c r="I336" s="69">
        <f t="shared" ca="1" si="72"/>
        <v>0.9735193322438388</v>
      </c>
      <c r="J336" s="69">
        <f t="shared" ca="1" si="72"/>
        <v>1.0888002732709261</v>
      </c>
      <c r="K336" s="69">
        <f t="shared" ca="1" si="72"/>
        <v>-0.92278421259769172</v>
      </c>
      <c r="L336" s="69">
        <f t="shared" ca="1" si="72"/>
        <v>-0.43310574903899562</v>
      </c>
      <c r="N336" s="69">
        <f t="shared" ca="1" si="74"/>
        <v>-0.93845554794302344</v>
      </c>
      <c r="O336" s="69">
        <f t="shared" ca="1" si="75"/>
        <v>0.4987852314406474</v>
      </c>
      <c r="P336" s="69">
        <f t="shared" ca="1" si="76"/>
        <v>-0.59790111685842384</v>
      </c>
      <c r="Q336" s="69">
        <f t="shared" ca="1" si="77"/>
        <v>0.65581360057285287</v>
      </c>
      <c r="R336" s="69">
        <f t="shared" ca="1" si="78"/>
        <v>-0.57361016731283454</v>
      </c>
      <c r="S336" s="69">
        <f t="shared" ca="1" si="79"/>
        <v>-1.2036465446470277</v>
      </c>
      <c r="T336" s="69">
        <f t="shared" ca="1" si="80"/>
        <v>-1.4389739205456538</v>
      </c>
      <c r="U336" s="69">
        <f t="shared" ca="1" si="81"/>
        <v>0.99655945912154842</v>
      </c>
      <c r="V336" s="69">
        <f t="shared" ca="1" si="82"/>
        <v>1.0826906796973288</v>
      </c>
      <c r="W336" s="69">
        <f t="shared" ca="1" si="83"/>
        <v>-0.92180285577359278</v>
      </c>
      <c r="X336" s="69">
        <f t="shared" ca="1" si="84"/>
        <v>-0.40593725866456015</v>
      </c>
    </row>
    <row r="337" spans="2:24" x14ac:dyDescent="0.2">
      <c r="B337" s="69">
        <f t="shared" ca="1" si="73"/>
        <v>-0.65609714575089628</v>
      </c>
      <c r="C337" s="69">
        <f t="shared" ca="1" si="72"/>
        <v>1.7479029127603563</v>
      </c>
      <c r="D337" s="69">
        <f t="shared" ca="1" si="72"/>
        <v>0.7463688630813895</v>
      </c>
      <c r="E337" s="69">
        <f t="shared" ca="1" si="72"/>
        <v>-1.6919883333092556</v>
      </c>
      <c r="F337" s="69">
        <f t="shared" ca="1" si="72"/>
        <v>-9.5718548370648762E-2</v>
      </c>
      <c r="G337" s="69">
        <f t="shared" ca="1" si="72"/>
        <v>0.62204854399987941</v>
      </c>
      <c r="H337" s="69">
        <f t="shared" ca="1" si="72"/>
        <v>1.6846645376664342</v>
      </c>
      <c r="I337" s="69">
        <f t="shared" ca="1" si="72"/>
        <v>-1.4717209102767947</v>
      </c>
      <c r="J337" s="69">
        <f t="shared" ca="1" si="72"/>
        <v>0.9849236010748722</v>
      </c>
      <c r="K337" s="69">
        <f t="shared" ca="1" si="72"/>
        <v>-0.25167480745769977</v>
      </c>
      <c r="L337" s="69">
        <f t="shared" ca="1" si="72"/>
        <v>0.97273637394818802</v>
      </c>
      <c r="N337" s="69">
        <f t="shared" ca="1" si="74"/>
        <v>-0.61832910191278745</v>
      </c>
      <c r="O337" s="69">
        <f t="shared" ca="1" si="75"/>
        <v>1.7214093496774696</v>
      </c>
      <c r="P337" s="69">
        <f t="shared" ca="1" si="76"/>
        <v>0.68862679824429951</v>
      </c>
      <c r="Q337" s="69">
        <f t="shared" ca="1" si="77"/>
        <v>-1.6428796544474966</v>
      </c>
      <c r="R337" s="69">
        <f t="shared" ca="1" si="78"/>
        <v>-0.10201323377829766</v>
      </c>
      <c r="S337" s="69">
        <f t="shared" ca="1" si="79"/>
        <v>0.65487551625668794</v>
      </c>
      <c r="T337" s="69">
        <f t="shared" ca="1" si="80"/>
        <v>1.6798334999512443</v>
      </c>
      <c r="U337" s="69">
        <f t="shared" ca="1" si="81"/>
        <v>-1.4486807833990851</v>
      </c>
      <c r="V337" s="69">
        <f t="shared" ca="1" si="82"/>
        <v>0.9788140075012749</v>
      </c>
      <c r="W337" s="69">
        <f t="shared" ca="1" si="83"/>
        <v>-0.25069345063360082</v>
      </c>
      <c r="X337" s="69">
        <f t="shared" ca="1" si="84"/>
        <v>0.99990486432262349</v>
      </c>
    </row>
    <row r="338" spans="2:24" x14ac:dyDescent="0.2">
      <c r="B338" s="69">
        <f t="shared" ca="1" si="73"/>
        <v>-1.3734714394674032</v>
      </c>
      <c r="C338" s="69">
        <f t="shared" ca="1" si="72"/>
        <v>-0.16039195660930861</v>
      </c>
      <c r="D338" s="69">
        <f t="shared" ca="1" si="72"/>
        <v>-2.4685511747551061</v>
      </c>
      <c r="E338" s="69">
        <f t="shared" ca="1" si="72"/>
        <v>-1.1217748408973232</v>
      </c>
      <c r="F338" s="69">
        <f t="shared" ca="1" si="72"/>
        <v>-9.3178537398422065E-2</v>
      </c>
      <c r="G338" s="69">
        <f t="shared" ca="1" si="72"/>
        <v>-8.0167486894643536E-2</v>
      </c>
      <c r="H338" s="69">
        <f t="shared" ca="1" si="72"/>
        <v>-9.8704030964869904E-2</v>
      </c>
      <c r="I338" s="69">
        <f t="shared" ca="1" si="72"/>
        <v>0.30599231026713986</v>
      </c>
      <c r="J338" s="69">
        <f t="shared" ca="1" si="72"/>
        <v>-1.6728284651318102</v>
      </c>
      <c r="K338" s="69">
        <f t="shared" ca="1" si="72"/>
        <v>1.1245764224159609</v>
      </c>
      <c r="L338" s="69">
        <f t="shared" ca="1" si="72"/>
        <v>1.5598449645319681</v>
      </c>
      <c r="N338" s="69">
        <f t="shared" ca="1" si="74"/>
        <v>-1.3357033956292945</v>
      </c>
      <c r="O338" s="69">
        <f t="shared" ca="1" si="75"/>
        <v>-0.1868855196921953</v>
      </c>
      <c r="P338" s="69">
        <f t="shared" ca="1" si="76"/>
        <v>-2.5262932395921962</v>
      </c>
      <c r="Q338" s="69">
        <f t="shared" ca="1" si="77"/>
        <v>-1.0726661620355642</v>
      </c>
      <c r="R338" s="69">
        <f t="shared" ca="1" si="78"/>
        <v>-9.947322280607096E-2</v>
      </c>
      <c r="S338" s="69">
        <f t="shared" ca="1" si="79"/>
        <v>-4.7340514637835056E-2</v>
      </c>
      <c r="T338" s="69">
        <f t="shared" ca="1" si="80"/>
        <v>-0.10353506868005975</v>
      </c>
      <c r="U338" s="69">
        <f t="shared" ca="1" si="81"/>
        <v>0.32903243714484953</v>
      </c>
      <c r="V338" s="69">
        <f t="shared" ca="1" si="82"/>
        <v>-1.6789380587054075</v>
      </c>
      <c r="W338" s="69">
        <f t="shared" ca="1" si="83"/>
        <v>1.12555777924006</v>
      </c>
      <c r="X338" s="69">
        <f t="shared" ca="1" si="84"/>
        <v>1.5870134549064037</v>
      </c>
    </row>
    <row r="339" spans="2:24" x14ac:dyDescent="0.2">
      <c r="B339" s="69">
        <f t="shared" ca="1" si="73"/>
        <v>-8.6370181029929605E-2</v>
      </c>
      <c r="C339" s="69">
        <f t="shared" ca="1" si="72"/>
        <v>0.93318005239061985</v>
      </c>
      <c r="D339" s="69">
        <f t="shared" ca="1" si="72"/>
        <v>-0.79777262979677976</v>
      </c>
      <c r="E339" s="69">
        <f t="shared" ca="1" si="72"/>
        <v>-1.2407517151385366E-2</v>
      </c>
      <c r="F339" s="69">
        <f t="shared" ca="1" si="72"/>
        <v>-0.79082804335106427</v>
      </c>
      <c r="G339" s="69">
        <f t="shared" ca="1" si="72"/>
        <v>-0.6301906953531331</v>
      </c>
      <c r="H339" s="69">
        <f t="shared" ca="1" si="72"/>
        <v>-0.38323769404465202</v>
      </c>
      <c r="I339" s="69">
        <f t="shared" ca="1" si="72"/>
        <v>-0.68193575268708162</v>
      </c>
      <c r="J339" s="69">
        <f t="shared" ca="1" si="72"/>
        <v>1.3413318570892572</v>
      </c>
      <c r="K339" s="69">
        <f t="shared" ca="1" si="72"/>
        <v>0.30058762290045199</v>
      </c>
      <c r="L339" s="69">
        <f t="shared" ca="1" si="72"/>
        <v>-8.3103103873429424E-2</v>
      </c>
      <c r="N339" s="69">
        <f t="shared" ca="1" si="74"/>
        <v>-4.8602137191820785E-2</v>
      </c>
      <c r="O339" s="69">
        <f t="shared" ca="1" si="75"/>
        <v>0.90668648930773321</v>
      </c>
      <c r="P339" s="69">
        <f t="shared" ca="1" si="76"/>
        <v>-0.85551469463386975</v>
      </c>
      <c r="Q339" s="69">
        <f t="shared" ca="1" si="77"/>
        <v>3.6701161710373575E-2</v>
      </c>
      <c r="R339" s="69">
        <f t="shared" ca="1" si="78"/>
        <v>-0.79712272875871315</v>
      </c>
      <c r="S339" s="69">
        <f t="shared" ca="1" si="79"/>
        <v>-0.59736372309632457</v>
      </c>
      <c r="T339" s="69">
        <f t="shared" ca="1" si="80"/>
        <v>-0.38806873175984186</v>
      </c>
      <c r="U339" s="69">
        <f t="shared" ca="1" si="81"/>
        <v>-0.658895625809372</v>
      </c>
      <c r="V339" s="69">
        <f t="shared" ca="1" si="82"/>
        <v>1.3352222635156599</v>
      </c>
      <c r="W339" s="69">
        <f t="shared" ca="1" si="83"/>
        <v>0.30156897972455093</v>
      </c>
      <c r="X339" s="69">
        <f t="shared" ca="1" si="84"/>
        <v>-5.5934613498993944E-2</v>
      </c>
    </row>
    <row r="340" spans="2:24" x14ac:dyDescent="0.2">
      <c r="B340" s="69">
        <f t="shared" ca="1" si="73"/>
        <v>-0.75447932561608844</v>
      </c>
      <c r="C340" s="69">
        <f t="shared" ca="1" si="72"/>
        <v>1.1796365920940528</v>
      </c>
      <c r="D340" s="69">
        <f t="shared" ca="1" si="72"/>
        <v>-0.80413737792967166</v>
      </c>
      <c r="E340" s="69">
        <f t="shared" ca="1" si="72"/>
        <v>-0.8561689911632937</v>
      </c>
      <c r="F340" s="69">
        <f t="shared" ca="1" si="72"/>
        <v>0.20100093679619277</v>
      </c>
      <c r="G340" s="69">
        <f t="shared" ca="1" si="72"/>
        <v>0.34117902316712057</v>
      </c>
      <c r="H340" s="69">
        <f t="shared" ca="1" si="72"/>
        <v>1.0658600902551407</v>
      </c>
      <c r="I340" s="69">
        <f t="shared" ca="1" si="72"/>
        <v>-0.84439274614664139</v>
      </c>
      <c r="J340" s="69">
        <f t="shared" ca="1" si="72"/>
        <v>0.61486393031608677</v>
      </c>
      <c r="K340" s="69">
        <f t="shared" ca="1" si="72"/>
        <v>2.2775380553000177</v>
      </c>
      <c r="L340" s="69">
        <f t="shared" ca="1" si="72"/>
        <v>0.87651647755018358</v>
      </c>
      <c r="N340" s="69">
        <f t="shared" ca="1" si="74"/>
        <v>-0.7167112817779796</v>
      </c>
      <c r="O340" s="69">
        <f t="shared" ca="1" si="75"/>
        <v>1.1531430290111662</v>
      </c>
      <c r="P340" s="69">
        <f t="shared" ca="1" si="76"/>
        <v>-0.86187944276676165</v>
      </c>
      <c r="Q340" s="69">
        <f t="shared" ca="1" si="77"/>
        <v>-0.80706031230153474</v>
      </c>
      <c r="R340" s="69">
        <f t="shared" ca="1" si="78"/>
        <v>0.19470625138854386</v>
      </c>
      <c r="S340" s="69">
        <f t="shared" ca="1" si="79"/>
        <v>0.37400599542392904</v>
      </c>
      <c r="T340" s="69">
        <f t="shared" ca="1" si="80"/>
        <v>1.0610290525399508</v>
      </c>
      <c r="U340" s="69">
        <f t="shared" ca="1" si="81"/>
        <v>-0.82135261926893177</v>
      </c>
      <c r="V340" s="69">
        <f t="shared" ca="1" si="82"/>
        <v>0.60875433674248947</v>
      </c>
      <c r="W340" s="69">
        <f t="shared" ca="1" si="83"/>
        <v>2.2785194121241168</v>
      </c>
      <c r="X340" s="69">
        <f t="shared" ca="1" si="84"/>
        <v>0.90368496792461905</v>
      </c>
    </row>
    <row r="341" spans="2:24" x14ac:dyDescent="0.2">
      <c r="B341" s="69">
        <f t="shared" ca="1" si="73"/>
        <v>-0.22603382098256974</v>
      </c>
      <c r="C341" s="69">
        <f t="shared" ca="1" si="72"/>
        <v>1.2962989341611197</v>
      </c>
      <c r="D341" s="69">
        <f t="shared" ca="1" si="72"/>
        <v>1.3217107263736434</v>
      </c>
      <c r="E341" s="69">
        <f t="shared" ca="1" si="72"/>
        <v>0.36821169181883223</v>
      </c>
      <c r="F341" s="69">
        <f t="shared" ca="1" si="72"/>
        <v>-8.2362870468316363E-2</v>
      </c>
      <c r="G341" s="69">
        <f t="shared" ca="1" si="72"/>
        <v>2.1032254308560736</v>
      </c>
      <c r="H341" s="69">
        <f t="shared" ca="1" si="72"/>
        <v>-1.2724753749414559</v>
      </c>
      <c r="I341" s="69">
        <f t="shared" ca="1" si="72"/>
        <v>1.6632295797517764</v>
      </c>
      <c r="J341" s="69">
        <f t="shared" ca="1" si="72"/>
        <v>-2.0255287638228755E-2</v>
      </c>
      <c r="K341" s="69">
        <f t="shared" ca="1" si="72"/>
        <v>-0.18810726855390283</v>
      </c>
      <c r="L341" s="69">
        <f t="shared" ca="1" si="72"/>
        <v>1.3200957075288675</v>
      </c>
      <c r="N341" s="69">
        <f t="shared" ca="1" si="74"/>
        <v>-0.18826577714446091</v>
      </c>
      <c r="O341" s="69">
        <f t="shared" ca="1" si="75"/>
        <v>1.2698053710782331</v>
      </c>
      <c r="P341" s="69">
        <f t="shared" ca="1" si="76"/>
        <v>1.2639686615365533</v>
      </c>
      <c r="Q341" s="69">
        <f t="shared" ca="1" si="77"/>
        <v>0.41732037068059119</v>
      </c>
      <c r="R341" s="69">
        <f t="shared" ca="1" si="78"/>
        <v>-8.8657555875965258E-2</v>
      </c>
      <c r="S341" s="69">
        <f t="shared" ca="1" si="79"/>
        <v>2.136052403112882</v>
      </c>
      <c r="T341" s="69">
        <f t="shared" ca="1" si="80"/>
        <v>-1.2773064126566458</v>
      </c>
      <c r="U341" s="69">
        <f t="shared" ca="1" si="81"/>
        <v>1.6862697066294861</v>
      </c>
      <c r="V341" s="69">
        <f t="shared" ca="1" si="82"/>
        <v>-2.6364881211826084E-2</v>
      </c>
      <c r="W341" s="69">
        <f t="shared" ca="1" si="83"/>
        <v>-0.18712591172980389</v>
      </c>
      <c r="X341" s="69">
        <f t="shared" ca="1" si="84"/>
        <v>1.3472641979033031</v>
      </c>
    </row>
    <row r="342" spans="2:24" x14ac:dyDescent="0.2">
      <c r="B342" s="69">
        <f t="shared" ca="1" si="73"/>
        <v>-0.48963328826911634</v>
      </c>
      <c r="C342" s="69">
        <f t="shared" ca="1" si="72"/>
        <v>-1.2262769245443803</v>
      </c>
      <c r="D342" s="69">
        <f t="shared" ca="1" si="72"/>
        <v>-0.20172093256191845</v>
      </c>
      <c r="E342" s="69">
        <f t="shared" ca="1" si="72"/>
        <v>0.1028459585792183</v>
      </c>
      <c r="F342" s="69">
        <f t="shared" ca="1" si="72"/>
        <v>-0.67592938243749356</v>
      </c>
      <c r="G342" s="69">
        <f t="shared" ca="1" si="72"/>
        <v>-0.34222721710087456</v>
      </c>
      <c r="H342" s="69">
        <f t="shared" ca="1" si="72"/>
        <v>-0.15343447016622813</v>
      </c>
      <c r="I342" s="69">
        <f t="shared" ca="1" si="72"/>
        <v>-1.2886582544550638</v>
      </c>
      <c r="J342" s="69">
        <f t="shared" ca="1" si="72"/>
        <v>1.1742670976868832</v>
      </c>
      <c r="K342" s="69">
        <f t="shared" ca="1" si="72"/>
        <v>-1.1184804572994902</v>
      </c>
      <c r="L342" s="69">
        <f t="shared" ca="1" si="72"/>
        <v>-0.80835105867040602</v>
      </c>
      <c r="N342" s="69">
        <f t="shared" ca="1" si="74"/>
        <v>-0.45186524443100751</v>
      </c>
      <c r="O342" s="69">
        <f t="shared" ca="1" si="75"/>
        <v>-1.2527704876272669</v>
      </c>
      <c r="P342" s="69">
        <f t="shared" ca="1" si="76"/>
        <v>-0.25946299739900847</v>
      </c>
      <c r="Q342" s="69">
        <f t="shared" ca="1" si="77"/>
        <v>0.15195463744097726</v>
      </c>
      <c r="R342" s="69">
        <f t="shared" ca="1" si="78"/>
        <v>-0.68222406784514245</v>
      </c>
      <c r="S342" s="69">
        <f t="shared" ca="1" si="79"/>
        <v>-0.30940024484406609</v>
      </c>
      <c r="T342" s="69">
        <f t="shared" ca="1" si="80"/>
        <v>-0.15826550788141797</v>
      </c>
      <c r="U342" s="69">
        <f t="shared" ca="1" si="81"/>
        <v>-1.2656181275773541</v>
      </c>
      <c r="V342" s="69">
        <f t="shared" ca="1" si="82"/>
        <v>1.1681575041132859</v>
      </c>
      <c r="W342" s="69">
        <f t="shared" ca="1" si="83"/>
        <v>-1.1174991004753911</v>
      </c>
      <c r="X342" s="69">
        <f t="shared" ca="1" si="84"/>
        <v>-0.78118256829597055</v>
      </c>
    </row>
    <row r="343" spans="2:24" x14ac:dyDescent="0.2">
      <c r="B343" s="69">
        <f t="shared" ca="1" si="73"/>
        <v>-0.37490784387298343</v>
      </c>
      <c r="C343" s="69">
        <f t="shared" ca="1" si="72"/>
        <v>-0.33571900398116145</v>
      </c>
      <c r="D343" s="69">
        <f t="shared" ca="1" si="72"/>
        <v>-0.95938493094253174</v>
      </c>
      <c r="E343" s="69">
        <f t="shared" ca="1" si="72"/>
        <v>-0.17848945834440622</v>
      </c>
      <c r="F343" s="69">
        <f t="shared" ca="1" si="72"/>
        <v>0.92858524055724123</v>
      </c>
      <c r="G343" s="69">
        <f t="shared" ca="1" si="72"/>
        <v>2.2527679820211715</v>
      </c>
      <c r="H343" s="69">
        <f t="shared" ca="1" si="72"/>
        <v>0.46842513675409431</v>
      </c>
      <c r="I343" s="69">
        <f t="shared" ca="1" si="72"/>
        <v>0.3403242540249386</v>
      </c>
      <c r="J343" s="69">
        <f t="shared" ca="1" si="72"/>
        <v>0.34623031227012113</v>
      </c>
      <c r="K343" s="69">
        <f t="shared" ca="1" si="72"/>
        <v>-0.23383017811862242</v>
      </c>
      <c r="L343" s="69">
        <f t="shared" ca="1" si="72"/>
        <v>-0.10876900465145234</v>
      </c>
      <c r="N343" s="69">
        <f t="shared" ca="1" si="74"/>
        <v>-0.33713980003487459</v>
      </c>
      <c r="O343" s="69">
        <f t="shared" ca="1" si="75"/>
        <v>-0.36221256706404814</v>
      </c>
      <c r="P343" s="69">
        <f t="shared" ca="1" si="76"/>
        <v>-1.0171269957796218</v>
      </c>
      <c r="Q343" s="69">
        <f t="shared" ca="1" si="77"/>
        <v>-0.12938077948264726</v>
      </c>
      <c r="R343" s="69">
        <f t="shared" ca="1" si="78"/>
        <v>0.92229055514959235</v>
      </c>
      <c r="S343" s="69">
        <f t="shared" ca="1" si="79"/>
        <v>2.2855949542779799</v>
      </c>
      <c r="T343" s="69">
        <f t="shared" ca="1" si="80"/>
        <v>0.46359409903890447</v>
      </c>
      <c r="U343" s="69">
        <f t="shared" ca="1" si="81"/>
        <v>0.36336438090264828</v>
      </c>
      <c r="V343" s="69">
        <f t="shared" ca="1" si="82"/>
        <v>0.34012071869652383</v>
      </c>
      <c r="W343" s="69">
        <f t="shared" ca="1" si="83"/>
        <v>-0.23284882129452347</v>
      </c>
      <c r="X343" s="69">
        <f t="shared" ca="1" si="84"/>
        <v>-8.1600514277016867E-2</v>
      </c>
    </row>
    <row r="344" spans="2:24" x14ac:dyDescent="0.2">
      <c r="B344" s="69">
        <f t="shared" ca="1" si="73"/>
        <v>1.2424038079486741</v>
      </c>
      <c r="C344" s="69">
        <f t="shared" ca="1" si="72"/>
        <v>-0.92952158800558704</v>
      </c>
      <c r="D344" s="69">
        <f t="shared" ca="1" si="72"/>
        <v>-1.3397005309295775</v>
      </c>
      <c r="E344" s="69">
        <f t="shared" ca="1" si="72"/>
        <v>2.4203786332617736</v>
      </c>
      <c r="F344" s="69">
        <f t="shared" ca="1" si="72"/>
        <v>-0.23384739637905289</v>
      </c>
      <c r="G344" s="69">
        <f t="shared" ca="1" si="72"/>
        <v>-0.14634980959924787</v>
      </c>
      <c r="H344" s="69">
        <f t="shared" ca="1" si="72"/>
        <v>-0.76402423112457951</v>
      </c>
      <c r="I344" s="69">
        <f t="shared" ca="1" si="72"/>
        <v>1.1495356934869245</v>
      </c>
      <c r="J344" s="69">
        <f t="shared" ca="1" si="72"/>
        <v>-0.19017832476712462</v>
      </c>
      <c r="K344" s="69">
        <f t="shared" ca="1" si="72"/>
        <v>-0.33101550785535638</v>
      </c>
      <c r="L344" s="69">
        <f t="shared" ca="1" si="72"/>
        <v>-0.60264627268700932</v>
      </c>
      <c r="N344" s="69">
        <f t="shared" ca="1" si="74"/>
        <v>1.2801718517867828</v>
      </c>
      <c r="O344" s="69">
        <f t="shared" ca="1" si="75"/>
        <v>-0.95601515108847368</v>
      </c>
      <c r="P344" s="69">
        <f t="shared" ca="1" si="76"/>
        <v>-1.3974425957666676</v>
      </c>
      <c r="Q344" s="69">
        <f t="shared" ca="1" si="77"/>
        <v>2.4694873121235323</v>
      </c>
      <c r="R344" s="69">
        <f t="shared" ca="1" si="78"/>
        <v>-0.24014208178670179</v>
      </c>
      <c r="S344" s="69">
        <f t="shared" ca="1" si="79"/>
        <v>-0.1135228373424394</v>
      </c>
      <c r="T344" s="69">
        <f t="shared" ca="1" si="80"/>
        <v>-0.7688552688397694</v>
      </c>
      <c r="U344" s="69">
        <f t="shared" ca="1" si="81"/>
        <v>1.1725758203646341</v>
      </c>
      <c r="V344" s="69">
        <f t="shared" ca="1" si="82"/>
        <v>-0.19628791834072196</v>
      </c>
      <c r="W344" s="69">
        <f t="shared" ca="1" si="83"/>
        <v>-0.33003415103125744</v>
      </c>
      <c r="X344" s="69">
        <f t="shared" ca="1" si="84"/>
        <v>-0.57547778231257385</v>
      </c>
    </row>
    <row r="345" spans="2:24" x14ac:dyDescent="0.2">
      <c r="B345" s="69">
        <f t="shared" ca="1" si="73"/>
        <v>-0.5663401577387086</v>
      </c>
      <c r="C345" s="69">
        <f t="shared" ca="1" si="72"/>
        <v>-7.4183761042471374E-2</v>
      </c>
      <c r="D345" s="69">
        <f t="shared" ca="1" si="72"/>
        <v>-0.58378990136241504</v>
      </c>
      <c r="E345" s="69">
        <f t="shared" ca="1" si="72"/>
        <v>1.7366426477116168</v>
      </c>
      <c r="F345" s="69">
        <f t="shared" ca="1" si="72"/>
        <v>8.3188357521657902E-2</v>
      </c>
      <c r="G345" s="69">
        <f t="shared" ca="1" si="72"/>
        <v>-0.38784851188827763</v>
      </c>
      <c r="H345" s="69">
        <f t="shared" ca="1" si="72"/>
        <v>2.1138264641385973</v>
      </c>
      <c r="I345" s="69">
        <f t="shared" ca="1" si="72"/>
        <v>-0.40856175939851913</v>
      </c>
      <c r="J345" s="69">
        <f t="shared" ca="1" si="72"/>
        <v>-2.0821947617993981</v>
      </c>
      <c r="K345" s="69">
        <f t="shared" ca="1" si="72"/>
        <v>6.742146432940084E-2</v>
      </c>
      <c r="L345" s="69">
        <f t="shared" ca="1" si="72"/>
        <v>0.44296743814285283</v>
      </c>
      <c r="N345" s="69">
        <f t="shared" ca="1" si="74"/>
        <v>-0.52857211390059977</v>
      </c>
      <c r="O345" s="69">
        <f t="shared" ca="1" si="75"/>
        <v>-0.10067732412535806</v>
      </c>
      <c r="P345" s="69">
        <f t="shared" ca="1" si="76"/>
        <v>-0.64153196619950503</v>
      </c>
      <c r="Q345" s="69">
        <f t="shared" ca="1" si="77"/>
        <v>1.7857513265733758</v>
      </c>
      <c r="R345" s="69">
        <f t="shared" ca="1" si="78"/>
        <v>7.6893672114009007E-2</v>
      </c>
      <c r="S345" s="69">
        <f t="shared" ca="1" si="79"/>
        <v>-0.35502153963146915</v>
      </c>
      <c r="T345" s="69">
        <f t="shared" ca="1" si="80"/>
        <v>2.1089954264234074</v>
      </c>
      <c r="U345" s="69">
        <f t="shared" ca="1" si="81"/>
        <v>-0.38552163252080945</v>
      </c>
      <c r="V345" s="69">
        <f t="shared" ca="1" si="82"/>
        <v>-2.0883043553729954</v>
      </c>
      <c r="W345" s="69">
        <f t="shared" ca="1" si="83"/>
        <v>6.8402821153499799E-2</v>
      </c>
      <c r="X345" s="69">
        <f t="shared" ca="1" si="84"/>
        <v>0.4701359285172883</v>
      </c>
    </row>
    <row r="346" spans="2:24" x14ac:dyDescent="0.2">
      <c r="B346" s="69">
        <f t="shared" ca="1" si="73"/>
        <v>-0.68976747798012827</v>
      </c>
      <c r="C346" s="69">
        <f t="shared" ca="1" si="72"/>
        <v>0.94579662112965168</v>
      </c>
      <c r="D346" s="69">
        <f t="shared" ca="1" si="72"/>
        <v>0.59955626235078963</v>
      </c>
      <c r="E346" s="69">
        <f t="shared" ca="1" si="72"/>
        <v>-1.272894084327713</v>
      </c>
      <c r="F346" s="69">
        <f t="shared" ca="1" si="72"/>
        <v>-0.59077333545654842</v>
      </c>
      <c r="G346" s="69">
        <f t="shared" ca="1" si="72"/>
        <v>-5.8203955609391123E-2</v>
      </c>
      <c r="H346" s="69">
        <f t="shared" ca="1" si="72"/>
        <v>1.5576033862570815</v>
      </c>
      <c r="I346" s="69">
        <f t="shared" ca="1" si="72"/>
        <v>1.3883817836256718</v>
      </c>
      <c r="J346" s="69">
        <f t="shared" ca="1" si="72"/>
        <v>0.41671614716339567</v>
      </c>
      <c r="K346" s="69">
        <f t="shared" ca="1" si="72"/>
        <v>-0.72151022832622247</v>
      </c>
      <c r="L346" s="69">
        <f t="shared" ca="1" si="72"/>
        <v>0.10581080588072657</v>
      </c>
      <c r="N346" s="69">
        <f t="shared" ca="1" si="74"/>
        <v>-0.65199943414201944</v>
      </c>
      <c r="O346" s="69">
        <f t="shared" ca="1" si="75"/>
        <v>0.91930305804676504</v>
      </c>
      <c r="P346" s="69">
        <f t="shared" ca="1" si="76"/>
        <v>0.54181419751369964</v>
      </c>
      <c r="Q346" s="69">
        <f t="shared" ca="1" si="77"/>
        <v>-1.223785405465954</v>
      </c>
      <c r="R346" s="69">
        <f t="shared" ca="1" si="78"/>
        <v>-0.5970680208641973</v>
      </c>
      <c r="S346" s="69">
        <f t="shared" ca="1" si="79"/>
        <v>-2.5376983352582642E-2</v>
      </c>
      <c r="T346" s="69">
        <f t="shared" ca="1" si="80"/>
        <v>1.5527723485418916</v>
      </c>
      <c r="U346" s="69">
        <f t="shared" ca="1" si="81"/>
        <v>1.4114219105033814</v>
      </c>
      <c r="V346" s="69">
        <f t="shared" ca="1" si="82"/>
        <v>0.41060655358979836</v>
      </c>
      <c r="W346" s="69">
        <f t="shared" ca="1" si="83"/>
        <v>-0.72052887150212352</v>
      </c>
      <c r="X346" s="69">
        <f t="shared" ca="1" si="84"/>
        <v>0.13297929625516205</v>
      </c>
    </row>
    <row r="347" spans="2:24" x14ac:dyDescent="0.2">
      <c r="B347" s="69">
        <f t="shared" ca="1" si="73"/>
        <v>-0.85945304803796563</v>
      </c>
      <c r="C347" s="69">
        <f t="shared" ca="1" si="72"/>
        <v>-1.2351528981440105</v>
      </c>
      <c r="D347" s="69">
        <f t="shared" ca="1" si="72"/>
        <v>1.4312803987267853</v>
      </c>
      <c r="E347" s="69">
        <f t="shared" ca="1" si="72"/>
        <v>0.42010781801492991</v>
      </c>
      <c r="F347" s="69">
        <f t="shared" ca="1" si="72"/>
        <v>-0.3522325470466755</v>
      </c>
      <c r="G347" s="69">
        <f t="shared" ca="1" si="72"/>
        <v>5.4798961729367796E-2</v>
      </c>
      <c r="H347" s="69">
        <f t="shared" ca="1" si="72"/>
        <v>1.3047787195912712</v>
      </c>
      <c r="I347" s="69">
        <f t="shared" ca="1" si="72"/>
        <v>0.35942838542624317</v>
      </c>
      <c r="J347" s="69">
        <f t="shared" ca="1" si="72"/>
        <v>0.37551891277327409</v>
      </c>
      <c r="K347" s="69">
        <f t="shared" ca="1" si="72"/>
        <v>-0.27289303946042853</v>
      </c>
      <c r="L347" s="69">
        <f t="shared" ca="1" si="72"/>
        <v>-0.55727854199091231</v>
      </c>
      <c r="N347" s="69">
        <f t="shared" ca="1" si="74"/>
        <v>-0.82168500419985679</v>
      </c>
      <c r="O347" s="69">
        <f t="shared" ca="1" si="75"/>
        <v>-1.2616464612268972</v>
      </c>
      <c r="P347" s="69">
        <f t="shared" ca="1" si="76"/>
        <v>1.3735383338896952</v>
      </c>
      <c r="Q347" s="69">
        <f t="shared" ca="1" si="77"/>
        <v>0.46921649687668887</v>
      </c>
      <c r="R347" s="69">
        <f t="shared" ca="1" si="78"/>
        <v>-0.35852723245432438</v>
      </c>
      <c r="S347" s="69">
        <f t="shared" ca="1" si="79"/>
        <v>8.7625933986176269E-2</v>
      </c>
      <c r="T347" s="69">
        <f t="shared" ca="1" si="80"/>
        <v>1.2999476818760813</v>
      </c>
      <c r="U347" s="69">
        <f t="shared" ca="1" si="81"/>
        <v>0.38246851230395285</v>
      </c>
      <c r="V347" s="69">
        <f t="shared" ca="1" si="82"/>
        <v>0.36940931919967679</v>
      </c>
      <c r="W347" s="69">
        <f t="shared" ca="1" si="83"/>
        <v>-0.27191168263632959</v>
      </c>
      <c r="X347" s="69">
        <f t="shared" ca="1" si="84"/>
        <v>-0.53011005161647684</v>
      </c>
    </row>
    <row r="348" spans="2:24" x14ac:dyDescent="0.2">
      <c r="B348" s="69">
        <f t="shared" ca="1" si="73"/>
        <v>0.79511224968457206</v>
      </c>
      <c r="C348" s="69">
        <f t="shared" ca="1" si="72"/>
        <v>2.4631064250660022</v>
      </c>
      <c r="D348" s="69">
        <f t="shared" ca="1" si="72"/>
        <v>0.50861535795595547</v>
      </c>
      <c r="E348" s="69">
        <f t="shared" ca="1" si="72"/>
        <v>-0.90981583508351649</v>
      </c>
      <c r="F348" s="69">
        <f t="shared" ca="1" si="72"/>
        <v>1.2022358775170443</v>
      </c>
      <c r="G348" s="69">
        <f t="shared" ca="1" si="72"/>
        <v>0.11067113751366199</v>
      </c>
      <c r="H348" s="69">
        <f t="shared" ca="1" si="72"/>
        <v>-1.5989484453869187E-2</v>
      </c>
      <c r="I348" s="69">
        <f t="shared" ca="1" si="72"/>
        <v>0.71385057896272319</v>
      </c>
      <c r="J348" s="69">
        <f t="shared" ca="1" si="72"/>
        <v>-0.44521119184497282</v>
      </c>
      <c r="K348" s="69">
        <f t="shared" ca="1" si="72"/>
        <v>-0.21514778150855313</v>
      </c>
      <c r="L348" s="69">
        <f t="shared" ca="1" si="72"/>
        <v>1.7134259480241814</v>
      </c>
      <c r="N348" s="69">
        <f t="shared" ca="1" si="74"/>
        <v>0.83288029352268089</v>
      </c>
      <c r="O348" s="69">
        <f t="shared" ca="1" si="75"/>
        <v>2.4366128619831153</v>
      </c>
      <c r="P348" s="69">
        <f t="shared" ca="1" si="76"/>
        <v>0.45087329311886543</v>
      </c>
      <c r="Q348" s="69">
        <f t="shared" ca="1" si="77"/>
        <v>-0.86070715622175753</v>
      </c>
      <c r="R348" s="69">
        <f t="shared" ca="1" si="78"/>
        <v>1.1959411921093954</v>
      </c>
      <c r="S348" s="69">
        <f t="shared" ca="1" si="79"/>
        <v>0.14349810977047048</v>
      </c>
      <c r="T348" s="69">
        <f t="shared" ca="1" si="80"/>
        <v>-2.0820522169059032E-2</v>
      </c>
      <c r="U348" s="69">
        <f t="shared" ca="1" si="81"/>
        <v>0.73689070584043281</v>
      </c>
      <c r="V348" s="69">
        <f t="shared" ca="1" si="82"/>
        <v>-0.45132078541857013</v>
      </c>
      <c r="W348" s="69">
        <f t="shared" ca="1" si="83"/>
        <v>-0.21416642468445418</v>
      </c>
      <c r="X348" s="69">
        <f t="shared" ca="1" si="84"/>
        <v>1.7405944383986169</v>
      </c>
    </row>
    <row r="349" spans="2:24" x14ac:dyDescent="0.2">
      <c r="B349" s="69">
        <f t="shared" ca="1" si="73"/>
        <v>0.75085220775712713</v>
      </c>
      <c r="C349" s="69">
        <f t="shared" ca="1" si="72"/>
        <v>-0.79517483835633296</v>
      </c>
      <c r="D349" s="69">
        <f t="shared" ca="1" si="72"/>
        <v>1.0984057936364566</v>
      </c>
      <c r="E349" s="69">
        <f t="shared" ca="1" si="72"/>
        <v>0.35984009196847627</v>
      </c>
      <c r="F349" s="69">
        <f t="shared" ca="1" si="72"/>
        <v>-0.11970605719042236</v>
      </c>
      <c r="G349" s="69">
        <f t="shared" ca="1" si="72"/>
        <v>-0.39929291159214503</v>
      </c>
      <c r="H349" s="69">
        <f t="shared" ca="1" si="72"/>
        <v>0.40139917019172416</v>
      </c>
      <c r="I349" s="69">
        <f t="shared" ca="1" si="72"/>
        <v>-0.63276574557890386</v>
      </c>
      <c r="J349" s="69">
        <f t="shared" ca="1" si="72"/>
        <v>1.1106626587376112</v>
      </c>
      <c r="K349" s="69">
        <f t="shared" ca="1" si="72"/>
        <v>0.15186276430732873</v>
      </c>
      <c r="L349" s="69">
        <f t="shared" ca="1" si="72"/>
        <v>-0.28568720332586162</v>
      </c>
      <c r="N349" s="69">
        <f t="shared" ca="1" si="74"/>
        <v>0.78862025159523597</v>
      </c>
      <c r="O349" s="69">
        <f t="shared" ca="1" si="75"/>
        <v>-0.8216684014392196</v>
      </c>
      <c r="P349" s="69">
        <f t="shared" ca="1" si="76"/>
        <v>1.0406637287993665</v>
      </c>
      <c r="Q349" s="69">
        <f t="shared" ca="1" si="77"/>
        <v>0.40894877083023523</v>
      </c>
      <c r="R349" s="69">
        <f t="shared" ca="1" si="78"/>
        <v>-0.12600074259807126</v>
      </c>
      <c r="S349" s="69">
        <f t="shared" ca="1" si="79"/>
        <v>-0.36646593933533655</v>
      </c>
      <c r="T349" s="69">
        <f t="shared" ca="1" si="80"/>
        <v>0.39656813247653433</v>
      </c>
      <c r="U349" s="69">
        <f t="shared" ca="1" si="81"/>
        <v>-0.60972561870119424</v>
      </c>
      <c r="V349" s="69">
        <f t="shared" ca="1" si="82"/>
        <v>1.1045530651640139</v>
      </c>
      <c r="W349" s="69">
        <f t="shared" ca="1" si="83"/>
        <v>0.15284412113142767</v>
      </c>
      <c r="X349" s="69">
        <f t="shared" ca="1" si="84"/>
        <v>-0.25851871295142614</v>
      </c>
    </row>
    <row r="350" spans="2:24" x14ac:dyDescent="0.2">
      <c r="B350" s="69">
        <f t="shared" ca="1" si="73"/>
        <v>2.8658743098420061E-2</v>
      </c>
      <c r="C350" s="69">
        <f t="shared" ca="1" si="72"/>
        <v>-0.56420084089966394</v>
      </c>
      <c r="D350" s="69">
        <f t="shared" ref="C350:L413" ca="1" si="85">NORMINV(RAND(),$C$7,$F$7)</f>
        <v>-0.11625890558134908</v>
      </c>
      <c r="E350" s="69">
        <f t="shared" ca="1" si="85"/>
        <v>0.76130924070399419</v>
      </c>
      <c r="F350" s="69">
        <f t="shared" ca="1" si="85"/>
        <v>-2.5739285255014293E-3</v>
      </c>
      <c r="G350" s="69">
        <f t="shared" ca="1" si="85"/>
        <v>-0.43608799388693703</v>
      </c>
      <c r="H350" s="69">
        <f t="shared" ca="1" si="85"/>
        <v>-0.53308947922543271</v>
      </c>
      <c r="I350" s="69">
        <f t="shared" ca="1" si="85"/>
        <v>0.39375469519122142</v>
      </c>
      <c r="J350" s="69">
        <f t="shared" ca="1" si="85"/>
        <v>-1.4908597329771009</v>
      </c>
      <c r="K350" s="69">
        <f t="shared" ca="1" si="85"/>
        <v>-1.6614801807075481</v>
      </c>
      <c r="L350" s="69">
        <f t="shared" ca="1" si="85"/>
        <v>1.2795943539970833</v>
      </c>
      <c r="N350" s="69">
        <f t="shared" ca="1" si="74"/>
        <v>6.6426786936528884E-2</v>
      </c>
      <c r="O350" s="69">
        <f t="shared" ca="1" si="75"/>
        <v>-0.59069440398255058</v>
      </c>
      <c r="P350" s="69">
        <f t="shared" ca="1" si="76"/>
        <v>-0.17400097041843909</v>
      </c>
      <c r="Q350" s="69">
        <f t="shared" ca="1" si="77"/>
        <v>0.81041791956575315</v>
      </c>
      <c r="R350" s="69">
        <f t="shared" ca="1" si="78"/>
        <v>-8.8686139331503253E-3</v>
      </c>
      <c r="S350" s="69">
        <f t="shared" ca="1" si="79"/>
        <v>-0.40326102163012856</v>
      </c>
      <c r="T350" s="69">
        <f t="shared" ca="1" si="80"/>
        <v>-0.5379205169406226</v>
      </c>
      <c r="U350" s="69">
        <f t="shared" ca="1" si="81"/>
        <v>0.41679482206893109</v>
      </c>
      <c r="V350" s="69">
        <f t="shared" ca="1" si="82"/>
        <v>-1.4969693265506983</v>
      </c>
      <c r="W350" s="69">
        <f t="shared" ca="1" si="83"/>
        <v>-1.660498823883449</v>
      </c>
      <c r="X350" s="69">
        <f t="shared" ca="1" si="84"/>
        <v>1.3067628443715189</v>
      </c>
    </row>
    <row r="351" spans="2:24" x14ac:dyDescent="0.2">
      <c r="B351" s="69">
        <f t="shared" ca="1" si="73"/>
        <v>0.33231453358504165</v>
      </c>
      <c r="C351" s="69">
        <f t="shared" ca="1" si="85"/>
        <v>-1.5586557507367391</v>
      </c>
      <c r="D351" s="69">
        <f t="shared" ca="1" si="85"/>
        <v>-0.75982377979041271</v>
      </c>
      <c r="E351" s="69">
        <f t="shared" ca="1" si="85"/>
        <v>-0.14605038402457329</v>
      </c>
      <c r="F351" s="69">
        <f t="shared" ca="1" si="85"/>
        <v>6.4880097725101102E-2</v>
      </c>
      <c r="G351" s="69">
        <f t="shared" ca="1" si="85"/>
        <v>1.011225155580838</v>
      </c>
      <c r="H351" s="69">
        <f t="shared" ca="1" si="85"/>
        <v>0.60784263019914098</v>
      </c>
      <c r="I351" s="69">
        <f t="shared" ca="1" si="85"/>
        <v>0.12734734729474187</v>
      </c>
      <c r="J351" s="69">
        <f t="shared" ca="1" si="85"/>
        <v>-0.91775236470981336</v>
      </c>
      <c r="K351" s="69">
        <f t="shared" ca="1" si="85"/>
        <v>0.850156017240279</v>
      </c>
      <c r="L351" s="69">
        <f t="shared" ca="1" si="85"/>
        <v>0.99464424505592119</v>
      </c>
      <c r="N351" s="69">
        <f t="shared" ca="1" si="74"/>
        <v>0.37008257742315048</v>
      </c>
      <c r="O351" s="69">
        <f t="shared" ca="1" si="75"/>
        <v>-1.5851493138196258</v>
      </c>
      <c r="P351" s="69">
        <f t="shared" ca="1" si="76"/>
        <v>-0.8175658446275027</v>
      </c>
      <c r="Q351" s="69">
        <f t="shared" ca="1" si="77"/>
        <v>-9.6941705162814348E-2</v>
      </c>
      <c r="R351" s="69">
        <f t="shared" ca="1" si="78"/>
        <v>5.8585412317452207E-2</v>
      </c>
      <c r="S351" s="69">
        <f t="shared" ca="1" si="79"/>
        <v>1.0440521278376464</v>
      </c>
      <c r="T351" s="69">
        <f t="shared" ca="1" si="80"/>
        <v>0.60301159248395109</v>
      </c>
      <c r="U351" s="69">
        <f t="shared" ca="1" si="81"/>
        <v>0.15038747417245152</v>
      </c>
      <c r="V351" s="69">
        <f t="shared" ca="1" si="82"/>
        <v>-0.92386195828341067</v>
      </c>
      <c r="W351" s="69">
        <f t="shared" ca="1" si="83"/>
        <v>0.85113737406437795</v>
      </c>
      <c r="X351" s="69">
        <f t="shared" ca="1" si="84"/>
        <v>1.0218127354303568</v>
      </c>
    </row>
    <row r="352" spans="2:24" x14ac:dyDescent="0.2">
      <c r="B352" s="69">
        <f t="shared" ca="1" si="73"/>
        <v>-4.5266977821543118E-2</v>
      </c>
      <c r="C352" s="69">
        <f t="shared" ca="1" si="85"/>
        <v>-1.6510345362737309</v>
      </c>
      <c r="D352" s="69">
        <f t="shared" ca="1" si="85"/>
        <v>0.88168751794769173</v>
      </c>
      <c r="E352" s="69">
        <f t="shared" ca="1" si="85"/>
        <v>1.1795888523804194</v>
      </c>
      <c r="F352" s="69">
        <f t="shared" ca="1" si="85"/>
        <v>-1.8368860916461882</v>
      </c>
      <c r="G352" s="69">
        <f t="shared" ca="1" si="85"/>
        <v>-0.6273780508569109</v>
      </c>
      <c r="H352" s="69">
        <f t="shared" ca="1" si="85"/>
        <v>0.13538584392910505</v>
      </c>
      <c r="I352" s="69">
        <f t="shared" ca="1" si="85"/>
        <v>2.4059463860756134</v>
      </c>
      <c r="J352" s="69">
        <f t="shared" ca="1" si="85"/>
        <v>1.018362056111852</v>
      </c>
      <c r="K352" s="69">
        <f t="shared" ca="1" si="85"/>
        <v>-0.71819526467789785</v>
      </c>
      <c r="L352" s="69">
        <f t="shared" ca="1" si="85"/>
        <v>-0.45848610407667467</v>
      </c>
      <c r="N352" s="69">
        <f t="shared" ca="1" si="74"/>
        <v>-7.4989339834342986E-3</v>
      </c>
      <c r="O352" s="69">
        <f t="shared" ca="1" si="75"/>
        <v>-1.6775280993566175</v>
      </c>
      <c r="P352" s="69">
        <f t="shared" ca="1" si="76"/>
        <v>0.82394545311060174</v>
      </c>
      <c r="Q352" s="69">
        <f t="shared" ca="1" si="77"/>
        <v>1.2286975312421784</v>
      </c>
      <c r="R352" s="69">
        <f t="shared" ca="1" si="78"/>
        <v>-1.8431807770538371</v>
      </c>
      <c r="S352" s="69">
        <f t="shared" ca="1" si="79"/>
        <v>-0.59455107860010237</v>
      </c>
      <c r="T352" s="69">
        <f t="shared" ca="1" si="80"/>
        <v>0.13055480621391521</v>
      </c>
      <c r="U352" s="69">
        <f t="shared" ca="1" si="81"/>
        <v>2.428986512953323</v>
      </c>
      <c r="V352" s="69">
        <f t="shared" ca="1" si="82"/>
        <v>1.0122524625382547</v>
      </c>
      <c r="W352" s="69">
        <f t="shared" ca="1" si="83"/>
        <v>-0.7172139078537989</v>
      </c>
      <c r="X352" s="69">
        <f t="shared" ca="1" si="84"/>
        <v>-0.4313176137022392</v>
      </c>
    </row>
    <row r="353" spans="2:24" x14ac:dyDescent="0.2">
      <c r="B353" s="69">
        <f t="shared" ca="1" si="73"/>
        <v>0.40072595048063603</v>
      </c>
      <c r="C353" s="69">
        <f t="shared" ca="1" si="85"/>
        <v>-0.32215299831095118</v>
      </c>
      <c r="D353" s="69">
        <f t="shared" ca="1" si="85"/>
        <v>0.1036874822812502</v>
      </c>
      <c r="E353" s="69">
        <f t="shared" ca="1" si="85"/>
        <v>-0.43580138930329276</v>
      </c>
      <c r="F353" s="69">
        <f t="shared" ca="1" si="85"/>
        <v>-0.82698937915573911</v>
      </c>
      <c r="G353" s="69">
        <f t="shared" ca="1" si="85"/>
        <v>-0.58522187275153015</v>
      </c>
      <c r="H353" s="69">
        <f t="shared" ca="1" si="85"/>
        <v>1.3463569885329003</v>
      </c>
      <c r="I353" s="69">
        <f t="shared" ca="1" si="85"/>
        <v>0.79079250213961683</v>
      </c>
      <c r="J353" s="69">
        <f t="shared" ca="1" si="85"/>
        <v>2.3188495068513285E-2</v>
      </c>
      <c r="K353" s="69">
        <f t="shared" ca="1" si="85"/>
        <v>0.35929383078161997</v>
      </c>
      <c r="L353" s="69">
        <f t="shared" ca="1" si="85"/>
        <v>-0.30180032109102706</v>
      </c>
      <c r="N353" s="69">
        <f t="shared" ca="1" si="74"/>
        <v>0.43849399431874486</v>
      </c>
      <c r="O353" s="69">
        <f t="shared" ca="1" si="75"/>
        <v>-0.34864656139383787</v>
      </c>
      <c r="P353" s="69">
        <f t="shared" ca="1" si="76"/>
        <v>4.5945417444160169E-2</v>
      </c>
      <c r="Q353" s="69">
        <f t="shared" ca="1" si="77"/>
        <v>-0.3866927104415338</v>
      </c>
      <c r="R353" s="69">
        <f t="shared" ca="1" si="78"/>
        <v>-0.83328406456338799</v>
      </c>
      <c r="S353" s="69">
        <f t="shared" ca="1" si="79"/>
        <v>-0.55239490049472162</v>
      </c>
      <c r="T353" s="69">
        <f t="shared" ca="1" si="80"/>
        <v>1.3415259508177104</v>
      </c>
      <c r="U353" s="69">
        <f t="shared" ca="1" si="81"/>
        <v>0.81383262901732645</v>
      </c>
      <c r="V353" s="69">
        <f t="shared" ca="1" si="82"/>
        <v>1.7078901494915956E-2</v>
      </c>
      <c r="W353" s="69">
        <f t="shared" ca="1" si="83"/>
        <v>0.36027518760571892</v>
      </c>
      <c r="X353" s="69">
        <f t="shared" ca="1" si="84"/>
        <v>-0.27463183071659159</v>
      </c>
    </row>
    <row r="354" spans="2:24" x14ac:dyDescent="0.2">
      <c r="B354" s="69">
        <f t="shared" ca="1" si="73"/>
        <v>0.6634575308790247</v>
      </c>
      <c r="C354" s="69">
        <f t="shared" ca="1" si="85"/>
        <v>-7.7841867257447128E-2</v>
      </c>
      <c r="D354" s="69">
        <f t="shared" ca="1" si="85"/>
        <v>0.34376317997779221</v>
      </c>
      <c r="E354" s="69">
        <f t="shared" ca="1" si="85"/>
        <v>1.0862084260704454</v>
      </c>
      <c r="F354" s="69">
        <f t="shared" ca="1" si="85"/>
        <v>0.76898936886459224</v>
      </c>
      <c r="G354" s="69">
        <f t="shared" ca="1" si="85"/>
        <v>0.62229030058395074</v>
      </c>
      <c r="H354" s="69">
        <f t="shared" ca="1" si="85"/>
        <v>-0.62321928566997709</v>
      </c>
      <c r="I354" s="69">
        <f t="shared" ca="1" si="85"/>
        <v>0.24233269807104255</v>
      </c>
      <c r="J354" s="69">
        <f t="shared" ca="1" si="85"/>
        <v>1.7326975723514335</v>
      </c>
      <c r="K354" s="69">
        <f t="shared" ca="1" si="85"/>
        <v>1.5909138544941286</v>
      </c>
      <c r="L354" s="69">
        <f t="shared" ca="1" si="85"/>
        <v>-0.6283482985254758</v>
      </c>
      <c r="N354" s="69">
        <f t="shared" ca="1" si="74"/>
        <v>0.70122557471713354</v>
      </c>
      <c r="O354" s="69">
        <f t="shared" ca="1" si="75"/>
        <v>-0.10433543034033381</v>
      </c>
      <c r="P354" s="69">
        <f t="shared" ca="1" si="76"/>
        <v>0.28602111514070216</v>
      </c>
      <c r="Q354" s="69">
        <f t="shared" ca="1" si="77"/>
        <v>1.1353171049322044</v>
      </c>
      <c r="R354" s="69">
        <f t="shared" ca="1" si="78"/>
        <v>0.76269468345694336</v>
      </c>
      <c r="S354" s="69">
        <f t="shared" ca="1" si="79"/>
        <v>0.65511727284075927</v>
      </c>
      <c r="T354" s="69">
        <f t="shared" ca="1" si="80"/>
        <v>-0.62805032338516698</v>
      </c>
      <c r="U354" s="69">
        <f t="shared" ca="1" si="81"/>
        <v>0.2653728249487522</v>
      </c>
      <c r="V354" s="69">
        <f t="shared" ca="1" si="82"/>
        <v>1.7265879787778362</v>
      </c>
      <c r="W354" s="69">
        <f t="shared" ca="1" si="83"/>
        <v>1.5918952113182276</v>
      </c>
      <c r="X354" s="69">
        <f t="shared" ca="1" si="84"/>
        <v>-0.60117980815104033</v>
      </c>
    </row>
    <row r="355" spans="2:24" x14ac:dyDescent="0.2">
      <c r="B355" s="69">
        <f t="shared" ca="1" si="73"/>
        <v>-1.7868554565555288</v>
      </c>
      <c r="C355" s="69">
        <f t="shared" ca="1" si="85"/>
        <v>-0.2388811513051351</v>
      </c>
      <c r="D355" s="69">
        <f t="shared" ca="1" si="85"/>
        <v>1.8724432284425307</v>
      </c>
      <c r="E355" s="69">
        <f t="shared" ca="1" si="85"/>
        <v>0.29570056482604379</v>
      </c>
      <c r="F355" s="69">
        <f t="shared" ca="1" si="85"/>
        <v>-1.2048165498837962</v>
      </c>
      <c r="G355" s="69">
        <f t="shared" ca="1" si="85"/>
        <v>-0.5276716774922694</v>
      </c>
      <c r="H355" s="69">
        <f t="shared" ca="1" si="85"/>
        <v>0.49528953071335924</v>
      </c>
      <c r="I355" s="69">
        <f t="shared" ca="1" si="85"/>
        <v>0.13571288211242818</v>
      </c>
      <c r="J355" s="69">
        <f t="shared" ca="1" si="85"/>
        <v>-0.44432449170463961</v>
      </c>
      <c r="K355" s="69">
        <f t="shared" ca="1" si="85"/>
        <v>-2.3439020867984142</v>
      </c>
      <c r="L355" s="69">
        <f t="shared" ca="1" si="85"/>
        <v>0.65601275374718715</v>
      </c>
      <c r="N355" s="69">
        <f t="shared" ca="1" si="74"/>
        <v>-1.7490874127174201</v>
      </c>
      <c r="O355" s="69">
        <f t="shared" ca="1" si="75"/>
        <v>-0.26537471438802179</v>
      </c>
      <c r="P355" s="69">
        <f t="shared" ca="1" si="76"/>
        <v>1.8147011636054406</v>
      </c>
      <c r="Q355" s="69">
        <f t="shared" ca="1" si="77"/>
        <v>0.34480924368780275</v>
      </c>
      <c r="R355" s="69">
        <f t="shared" ca="1" si="78"/>
        <v>-1.211111235291445</v>
      </c>
      <c r="S355" s="69">
        <f t="shared" ca="1" si="79"/>
        <v>-0.49484470523546092</v>
      </c>
      <c r="T355" s="69">
        <f t="shared" ca="1" si="80"/>
        <v>0.4904584929981694</v>
      </c>
      <c r="U355" s="69">
        <f t="shared" ca="1" si="81"/>
        <v>0.15875300899013783</v>
      </c>
      <c r="V355" s="69">
        <f t="shared" ca="1" si="82"/>
        <v>-0.45043408527823692</v>
      </c>
      <c r="W355" s="69">
        <f t="shared" ca="1" si="83"/>
        <v>-2.3429207299743151</v>
      </c>
      <c r="X355" s="69">
        <f t="shared" ca="1" si="84"/>
        <v>0.68318124412162262</v>
      </c>
    </row>
    <row r="356" spans="2:24" x14ac:dyDescent="0.2">
      <c r="B356" s="69">
        <f t="shared" ca="1" si="73"/>
        <v>1.4423825640299259</v>
      </c>
      <c r="C356" s="69">
        <f t="shared" ca="1" si="85"/>
        <v>5.6635935704543831E-2</v>
      </c>
      <c r="D356" s="69">
        <f t="shared" ca="1" si="85"/>
        <v>-1.4241539399571468</v>
      </c>
      <c r="E356" s="69">
        <f t="shared" ca="1" si="85"/>
        <v>1.145370069019418</v>
      </c>
      <c r="F356" s="69">
        <f t="shared" ca="1" si="85"/>
        <v>0.68271288881305581</v>
      </c>
      <c r="G356" s="69">
        <f t="shared" ca="1" si="85"/>
        <v>-0.53202338252818926</v>
      </c>
      <c r="H356" s="69">
        <f t="shared" ca="1" si="85"/>
        <v>0.27999862061824338</v>
      </c>
      <c r="I356" s="69">
        <f t="shared" ca="1" si="85"/>
        <v>-7.3827438164028356E-2</v>
      </c>
      <c r="J356" s="69">
        <f t="shared" ca="1" si="85"/>
        <v>-1.5234592664666655</v>
      </c>
      <c r="K356" s="69">
        <f t="shared" ca="1" si="85"/>
        <v>-1.5704086130513732</v>
      </c>
      <c r="L356" s="69">
        <f t="shared" ca="1" si="85"/>
        <v>0.2998156901186888</v>
      </c>
      <c r="N356" s="69">
        <f t="shared" ca="1" si="74"/>
        <v>1.4801506078680347</v>
      </c>
      <c r="O356" s="69">
        <f t="shared" ca="1" si="75"/>
        <v>3.0142372621657147E-2</v>
      </c>
      <c r="P356" s="69">
        <f t="shared" ca="1" si="76"/>
        <v>-1.4818960047942369</v>
      </c>
      <c r="Q356" s="69">
        <f t="shared" ca="1" si="77"/>
        <v>1.1944787478811769</v>
      </c>
      <c r="R356" s="69">
        <f t="shared" ca="1" si="78"/>
        <v>0.67641820340540693</v>
      </c>
      <c r="S356" s="69">
        <f t="shared" ca="1" si="79"/>
        <v>-0.49919641027138079</v>
      </c>
      <c r="T356" s="69">
        <f t="shared" ca="1" si="80"/>
        <v>0.27516758290305354</v>
      </c>
      <c r="U356" s="69">
        <f t="shared" ca="1" si="81"/>
        <v>-5.07873112863187E-2</v>
      </c>
      <c r="V356" s="69">
        <f t="shared" ca="1" si="82"/>
        <v>-1.5295688600402628</v>
      </c>
      <c r="W356" s="69">
        <f t="shared" ca="1" si="83"/>
        <v>-1.5694272562272742</v>
      </c>
      <c r="X356" s="69">
        <f t="shared" ca="1" si="84"/>
        <v>0.32698418049312428</v>
      </c>
    </row>
    <row r="357" spans="2:24" x14ac:dyDescent="0.2">
      <c r="B357" s="69">
        <f t="shared" ca="1" si="73"/>
        <v>9.5496554281288643E-2</v>
      </c>
      <c r="C357" s="69">
        <f t="shared" ca="1" si="85"/>
        <v>-1.4228510496172424</v>
      </c>
      <c r="D357" s="69">
        <f t="shared" ca="1" si="85"/>
        <v>-1.4030873412517659</v>
      </c>
      <c r="E357" s="69">
        <f t="shared" ca="1" si="85"/>
        <v>-1.7744077141007175</v>
      </c>
      <c r="F357" s="69">
        <f t="shared" ca="1" si="85"/>
        <v>0.21599266180318585</v>
      </c>
      <c r="G357" s="69">
        <f t="shared" ca="1" si="85"/>
        <v>-0.67701822217263041</v>
      </c>
      <c r="H357" s="69">
        <f t="shared" ca="1" si="85"/>
        <v>2.149551480246616</v>
      </c>
      <c r="I357" s="69">
        <f t="shared" ca="1" si="85"/>
        <v>0.5095371708118378</v>
      </c>
      <c r="J357" s="69">
        <f t="shared" ca="1" si="85"/>
        <v>0.47820753421986489</v>
      </c>
      <c r="K357" s="69">
        <f t="shared" ca="1" si="85"/>
        <v>-0.59774212205252952</v>
      </c>
      <c r="L357" s="69">
        <f t="shared" ca="1" si="85"/>
        <v>-0.68967122676742854</v>
      </c>
      <c r="N357" s="69">
        <f t="shared" ca="1" si="74"/>
        <v>0.13326459811939745</v>
      </c>
      <c r="O357" s="69">
        <f t="shared" ca="1" si="75"/>
        <v>-1.449344612700129</v>
      </c>
      <c r="P357" s="69">
        <f t="shared" ca="1" si="76"/>
        <v>-1.460829406088856</v>
      </c>
      <c r="Q357" s="69">
        <f t="shared" ca="1" si="77"/>
        <v>-1.7252990352389586</v>
      </c>
      <c r="R357" s="69">
        <f t="shared" ca="1" si="78"/>
        <v>0.20969797639553694</v>
      </c>
      <c r="S357" s="69">
        <f t="shared" ca="1" si="79"/>
        <v>-0.64419124991582188</v>
      </c>
      <c r="T357" s="69">
        <f t="shared" ca="1" si="80"/>
        <v>2.1447204425314261</v>
      </c>
      <c r="U357" s="69">
        <f t="shared" ca="1" si="81"/>
        <v>0.53257729768954742</v>
      </c>
      <c r="V357" s="69">
        <f t="shared" ca="1" si="82"/>
        <v>0.47209794064626759</v>
      </c>
      <c r="W357" s="69">
        <f t="shared" ca="1" si="83"/>
        <v>-0.59676076522843058</v>
      </c>
      <c r="X357" s="69">
        <f t="shared" ca="1" si="84"/>
        <v>-0.66250273639299306</v>
      </c>
    </row>
    <row r="358" spans="2:24" x14ac:dyDescent="0.2">
      <c r="B358" s="69">
        <f t="shared" ca="1" si="73"/>
        <v>-0.26490332812036044</v>
      </c>
      <c r="C358" s="69">
        <f t="shared" ca="1" si="85"/>
        <v>1.2824833236890081</v>
      </c>
      <c r="D358" s="69">
        <f t="shared" ca="1" si="85"/>
        <v>1.1835702395153627</v>
      </c>
      <c r="E358" s="69">
        <f t="shared" ca="1" si="85"/>
        <v>1.5695424689263469</v>
      </c>
      <c r="F358" s="69">
        <f t="shared" ca="1" si="85"/>
        <v>0.57214350053111118</v>
      </c>
      <c r="G358" s="69">
        <f t="shared" ca="1" si="85"/>
        <v>-0.14375919145224306</v>
      </c>
      <c r="H358" s="69">
        <f t="shared" ca="1" si="85"/>
        <v>-0.12222313476934096</v>
      </c>
      <c r="I358" s="69">
        <f t="shared" ca="1" si="85"/>
        <v>0.36243870174697712</v>
      </c>
      <c r="J358" s="69">
        <f t="shared" ca="1" si="85"/>
        <v>-9.5804546771098176E-2</v>
      </c>
      <c r="K358" s="69">
        <f t="shared" ca="1" si="85"/>
        <v>1.8549576383425921</v>
      </c>
      <c r="L358" s="69">
        <f t="shared" ca="1" si="85"/>
        <v>1.2129248043423291</v>
      </c>
      <c r="N358" s="69">
        <f t="shared" ca="1" si="74"/>
        <v>-0.2271352842822516</v>
      </c>
      <c r="O358" s="69">
        <f t="shared" ca="1" si="75"/>
        <v>1.2559897606061214</v>
      </c>
      <c r="P358" s="69">
        <f t="shared" ca="1" si="76"/>
        <v>1.1258281746782726</v>
      </c>
      <c r="Q358" s="69">
        <f t="shared" ca="1" si="77"/>
        <v>1.6186511477881058</v>
      </c>
      <c r="R358" s="69">
        <f t="shared" ca="1" si="78"/>
        <v>0.5658488151234623</v>
      </c>
      <c r="S358" s="69">
        <f t="shared" ca="1" si="79"/>
        <v>-0.11093221919543458</v>
      </c>
      <c r="T358" s="69">
        <f t="shared" ca="1" si="80"/>
        <v>-0.1270541724845308</v>
      </c>
      <c r="U358" s="69">
        <f t="shared" ca="1" si="81"/>
        <v>0.3854788286246868</v>
      </c>
      <c r="V358" s="69">
        <f t="shared" ca="1" si="82"/>
        <v>-0.10191414034469551</v>
      </c>
      <c r="W358" s="69">
        <f t="shared" ca="1" si="83"/>
        <v>1.8559389951666911</v>
      </c>
      <c r="X358" s="69">
        <f t="shared" ca="1" si="84"/>
        <v>1.2400932947167647</v>
      </c>
    </row>
    <row r="359" spans="2:24" x14ac:dyDescent="0.2">
      <c r="B359" s="69">
        <f t="shared" ca="1" si="73"/>
        <v>-1.3422217173781914</v>
      </c>
      <c r="C359" s="69">
        <f t="shared" ca="1" si="85"/>
        <v>-0.29122815294674159</v>
      </c>
      <c r="D359" s="69">
        <f t="shared" ca="1" si="85"/>
        <v>-4.2742252816155756E-2</v>
      </c>
      <c r="E359" s="69">
        <f t="shared" ca="1" si="85"/>
        <v>0.35370239045480639</v>
      </c>
      <c r="F359" s="69">
        <f t="shared" ca="1" si="85"/>
        <v>0.70158053598868275</v>
      </c>
      <c r="G359" s="69">
        <f t="shared" ca="1" si="85"/>
        <v>4.4064205186173551E-2</v>
      </c>
      <c r="H359" s="69">
        <f t="shared" ca="1" si="85"/>
        <v>0.10054442190783286</v>
      </c>
      <c r="I359" s="69">
        <f t="shared" ca="1" si="85"/>
        <v>1.973839193111812</v>
      </c>
      <c r="J359" s="69">
        <f t="shared" ca="1" si="85"/>
        <v>-0.76641103997268978</v>
      </c>
      <c r="K359" s="69">
        <f t="shared" ca="1" si="85"/>
        <v>0.53901326483135692</v>
      </c>
      <c r="L359" s="69">
        <f t="shared" ca="1" si="85"/>
        <v>-0.4626159470120294</v>
      </c>
      <c r="N359" s="69">
        <f t="shared" ca="1" si="74"/>
        <v>-1.3044536735400827</v>
      </c>
      <c r="O359" s="69">
        <f t="shared" ca="1" si="75"/>
        <v>-0.31772171602962829</v>
      </c>
      <c r="P359" s="69">
        <f t="shared" ca="1" si="76"/>
        <v>-0.10048431765324578</v>
      </c>
      <c r="Q359" s="69">
        <f t="shared" ca="1" si="77"/>
        <v>0.40281106931656535</v>
      </c>
      <c r="R359" s="69">
        <f t="shared" ca="1" si="78"/>
        <v>0.69528585058103387</v>
      </c>
      <c r="S359" s="69">
        <f t="shared" ca="1" si="79"/>
        <v>7.6891177442982031E-2</v>
      </c>
      <c r="T359" s="69">
        <f t="shared" ca="1" si="80"/>
        <v>9.5713384192643011E-2</v>
      </c>
      <c r="U359" s="69">
        <f t="shared" ca="1" si="81"/>
        <v>1.9968793199895216</v>
      </c>
      <c r="V359" s="69">
        <f t="shared" ca="1" si="82"/>
        <v>-0.77252063354628708</v>
      </c>
      <c r="W359" s="69">
        <f t="shared" ca="1" si="83"/>
        <v>0.53999462165545586</v>
      </c>
      <c r="X359" s="69">
        <f t="shared" ca="1" si="84"/>
        <v>-0.43544745663759393</v>
      </c>
    </row>
    <row r="360" spans="2:24" x14ac:dyDescent="0.2">
      <c r="B360" s="69">
        <f t="shared" ca="1" si="73"/>
        <v>1.1860969625449471</v>
      </c>
      <c r="C360" s="69">
        <f t="shared" ca="1" si="85"/>
        <v>-0.83636656818331834</v>
      </c>
      <c r="D360" s="69">
        <f t="shared" ca="1" si="85"/>
        <v>-2.4255291806251531</v>
      </c>
      <c r="E360" s="69">
        <f t="shared" ca="1" si="85"/>
        <v>-9.2976842178620456E-2</v>
      </c>
      <c r="F360" s="69">
        <f t="shared" ca="1" si="85"/>
        <v>-1.133350506559841</v>
      </c>
      <c r="G360" s="69">
        <f t="shared" ca="1" si="85"/>
        <v>-1.2960986153541594</v>
      </c>
      <c r="H360" s="69">
        <f t="shared" ca="1" si="85"/>
        <v>-0.4698836094396967</v>
      </c>
      <c r="I360" s="69">
        <f t="shared" ca="1" si="85"/>
        <v>-0.44686968385495607</v>
      </c>
      <c r="J360" s="69">
        <f t="shared" ca="1" si="85"/>
        <v>-0.71937439151523608</v>
      </c>
      <c r="K360" s="69">
        <f t="shared" ca="1" si="85"/>
        <v>-1.5594713058502057</v>
      </c>
      <c r="L360" s="69">
        <f t="shared" ca="1" si="85"/>
        <v>0.19841871156887056</v>
      </c>
      <c r="N360" s="69">
        <f t="shared" ca="1" si="74"/>
        <v>1.2238650063830558</v>
      </c>
      <c r="O360" s="69">
        <f t="shared" ca="1" si="75"/>
        <v>-0.86286013126620498</v>
      </c>
      <c r="P360" s="69">
        <f t="shared" ca="1" si="76"/>
        <v>-2.4832712454622432</v>
      </c>
      <c r="Q360" s="69">
        <f t="shared" ca="1" si="77"/>
        <v>-4.3868163316861511E-2</v>
      </c>
      <c r="R360" s="69">
        <f t="shared" ca="1" si="78"/>
        <v>-1.1396451919674899</v>
      </c>
      <c r="S360" s="69">
        <f t="shared" ca="1" si="79"/>
        <v>-1.263271643097351</v>
      </c>
      <c r="T360" s="69">
        <f t="shared" ca="1" si="80"/>
        <v>-0.47471464715488654</v>
      </c>
      <c r="U360" s="69">
        <f t="shared" ca="1" si="81"/>
        <v>-0.42382955697724639</v>
      </c>
      <c r="V360" s="69">
        <f t="shared" ca="1" si="82"/>
        <v>-0.72548398508883338</v>
      </c>
      <c r="W360" s="69">
        <f t="shared" ca="1" si="83"/>
        <v>-1.5584899490261066</v>
      </c>
      <c r="X360" s="69">
        <f t="shared" ca="1" si="84"/>
        <v>0.22558720194330603</v>
      </c>
    </row>
    <row r="361" spans="2:24" x14ac:dyDescent="0.2">
      <c r="B361" s="69">
        <f t="shared" ca="1" si="73"/>
        <v>-0.33762871012467527</v>
      </c>
      <c r="C361" s="69">
        <f t="shared" ca="1" si="85"/>
        <v>2.0472269066631834</v>
      </c>
      <c r="D361" s="69">
        <f t="shared" ca="1" si="85"/>
        <v>0.4685675262789149</v>
      </c>
      <c r="E361" s="69">
        <f t="shared" ca="1" si="85"/>
        <v>-1.6478545767702621</v>
      </c>
      <c r="F361" s="69">
        <f t="shared" ca="1" si="85"/>
        <v>-1.3868605004106056</v>
      </c>
      <c r="G361" s="69">
        <f t="shared" ca="1" si="85"/>
        <v>-1.7121269646366761</v>
      </c>
      <c r="H361" s="69">
        <f t="shared" ca="1" si="85"/>
        <v>-0.57859610138231654</v>
      </c>
      <c r="I361" s="69">
        <f t="shared" ca="1" si="85"/>
        <v>1.4814519473245891</v>
      </c>
      <c r="J361" s="69">
        <f t="shared" ca="1" si="85"/>
        <v>0.79641266701740687</v>
      </c>
      <c r="K361" s="69">
        <f t="shared" ca="1" si="85"/>
        <v>-0.76586078306736494</v>
      </c>
      <c r="L361" s="69">
        <f t="shared" ca="1" si="85"/>
        <v>-2.3973627468602805</v>
      </c>
      <c r="N361" s="69">
        <f t="shared" ca="1" si="74"/>
        <v>-0.29986066628656644</v>
      </c>
      <c r="O361" s="69">
        <f t="shared" ca="1" si="75"/>
        <v>2.0207333435802965</v>
      </c>
      <c r="P361" s="69">
        <f t="shared" ca="1" si="76"/>
        <v>0.41082546144182486</v>
      </c>
      <c r="Q361" s="69">
        <f t="shared" ca="1" si="77"/>
        <v>-1.5987458979085032</v>
      </c>
      <c r="R361" s="69">
        <f t="shared" ca="1" si="78"/>
        <v>-1.3931551858182545</v>
      </c>
      <c r="S361" s="69">
        <f t="shared" ca="1" si="79"/>
        <v>-1.6792999923798677</v>
      </c>
      <c r="T361" s="69">
        <f t="shared" ca="1" si="80"/>
        <v>-0.58342713909750643</v>
      </c>
      <c r="U361" s="69">
        <f t="shared" ca="1" si="81"/>
        <v>1.5044920742022987</v>
      </c>
      <c r="V361" s="69">
        <f t="shared" ca="1" si="82"/>
        <v>0.79030307344380957</v>
      </c>
      <c r="W361" s="69">
        <f t="shared" ca="1" si="83"/>
        <v>-0.76487942624326599</v>
      </c>
      <c r="X361" s="69">
        <f t="shared" ca="1" si="84"/>
        <v>-2.3701942564858451</v>
      </c>
    </row>
    <row r="362" spans="2:24" x14ac:dyDescent="0.2">
      <c r="B362" s="69">
        <f t="shared" ca="1" si="73"/>
        <v>-0.37102468964097274</v>
      </c>
      <c r="C362" s="69">
        <f t="shared" ca="1" si="85"/>
        <v>-2.0018271966689554</v>
      </c>
      <c r="D362" s="69">
        <f t="shared" ca="1" si="85"/>
        <v>0.21273365064803204</v>
      </c>
      <c r="E362" s="69">
        <f t="shared" ca="1" si="85"/>
        <v>-0.43027023500899442</v>
      </c>
      <c r="F362" s="69">
        <f t="shared" ca="1" si="85"/>
        <v>-0.20129664259454808</v>
      </c>
      <c r="G362" s="69">
        <f t="shared" ca="1" si="85"/>
        <v>0.69552270555950568</v>
      </c>
      <c r="H362" s="69">
        <f t="shared" ca="1" si="85"/>
        <v>-0.81222064815757677</v>
      </c>
      <c r="I362" s="69">
        <f t="shared" ca="1" si="85"/>
        <v>-0.60025012809440403</v>
      </c>
      <c r="J362" s="69">
        <f t="shared" ca="1" si="85"/>
        <v>-1.8753728437089716</v>
      </c>
      <c r="K362" s="69">
        <f t="shared" ca="1" si="85"/>
        <v>-0.7197056615233508</v>
      </c>
      <c r="L362" s="69">
        <f t="shared" ca="1" si="85"/>
        <v>-1.5999116304263135</v>
      </c>
      <c r="N362" s="69">
        <f t="shared" ca="1" si="74"/>
        <v>-0.3332566458028639</v>
      </c>
      <c r="O362" s="69">
        <f t="shared" ca="1" si="75"/>
        <v>-2.0283207597518422</v>
      </c>
      <c r="P362" s="69">
        <f t="shared" ca="1" si="76"/>
        <v>0.15499158581094202</v>
      </c>
      <c r="Q362" s="69">
        <f t="shared" ca="1" si="77"/>
        <v>-0.38116155614723546</v>
      </c>
      <c r="R362" s="69">
        <f t="shared" ca="1" si="78"/>
        <v>-0.20759132800219698</v>
      </c>
      <c r="S362" s="69">
        <f t="shared" ca="1" si="79"/>
        <v>0.72834967781631421</v>
      </c>
      <c r="T362" s="69">
        <f t="shared" ca="1" si="80"/>
        <v>-0.81705168587276666</v>
      </c>
      <c r="U362" s="69">
        <f t="shared" ca="1" si="81"/>
        <v>-0.57721000121669441</v>
      </c>
      <c r="V362" s="69">
        <f t="shared" ca="1" si="82"/>
        <v>-1.8814824372825689</v>
      </c>
      <c r="W362" s="69">
        <f t="shared" ca="1" si="83"/>
        <v>-0.71872430469925186</v>
      </c>
      <c r="X362" s="69">
        <f t="shared" ca="1" si="84"/>
        <v>-1.5727431400518779</v>
      </c>
    </row>
    <row r="363" spans="2:24" x14ac:dyDescent="0.2">
      <c r="B363" s="69">
        <f t="shared" ca="1" si="73"/>
        <v>4.4230207236012141E-2</v>
      </c>
      <c r="C363" s="69">
        <f t="shared" ca="1" si="85"/>
        <v>7.9291547376573124E-2</v>
      </c>
      <c r="D363" s="69">
        <f t="shared" ca="1" si="85"/>
        <v>0.21655440336467299</v>
      </c>
      <c r="E363" s="69">
        <f t="shared" ca="1" si="85"/>
        <v>-0.6935005717939482</v>
      </c>
      <c r="F363" s="69">
        <f t="shared" ca="1" si="85"/>
        <v>0.40657767817717499</v>
      </c>
      <c r="G363" s="69">
        <f t="shared" ca="1" si="85"/>
        <v>-0.57813495435949824</v>
      </c>
      <c r="H363" s="69">
        <f t="shared" ca="1" si="85"/>
        <v>-1.7654348112989975E-2</v>
      </c>
      <c r="I363" s="69">
        <f t="shared" ca="1" si="85"/>
        <v>-1.3640431900719936</v>
      </c>
      <c r="J363" s="69">
        <f t="shared" ca="1" si="85"/>
        <v>3.1312238835094006</v>
      </c>
      <c r="K363" s="69">
        <f t="shared" ca="1" si="85"/>
        <v>-0.50259036540041346</v>
      </c>
      <c r="L363" s="69">
        <f t="shared" ca="1" si="85"/>
        <v>5.0489673638105317E-2</v>
      </c>
      <c r="N363" s="69">
        <f t="shared" ca="1" si="74"/>
        <v>8.1998251074120954E-2</v>
      </c>
      <c r="O363" s="69">
        <f t="shared" ca="1" si="75"/>
        <v>5.2797984293686442E-2</v>
      </c>
      <c r="P363" s="69">
        <f t="shared" ca="1" si="76"/>
        <v>0.15881233852758297</v>
      </c>
      <c r="Q363" s="69">
        <f t="shared" ca="1" si="77"/>
        <v>-0.64439189293218924</v>
      </c>
      <c r="R363" s="69">
        <f t="shared" ca="1" si="78"/>
        <v>0.40028299276952611</v>
      </c>
      <c r="S363" s="69">
        <f t="shared" ca="1" si="79"/>
        <v>-0.54530798210268971</v>
      </c>
      <c r="T363" s="69">
        <f t="shared" ca="1" si="80"/>
        <v>-2.248538582817982E-2</v>
      </c>
      <c r="U363" s="69">
        <f t="shared" ca="1" si="81"/>
        <v>-1.341003063194284</v>
      </c>
      <c r="V363" s="69">
        <f t="shared" ca="1" si="82"/>
        <v>3.1251142899358033</v>
      </c>
      <c r="W363" s="69">
        <f t="shared" ca="1" si="83"/>
        <v>-0.50160900857631452</v>
      </c>
      <c r="X363" s="69">
        <f t="shared" ca="1" si="84"/>
        <v>7.7658164012540803E-2</v>
      </c>
    </row>
    <row r="364" spans="2:24" x14ac:dyDescent="0.2">
      <c r="B364" s="69">
        <f t="shared" ca="1" si="73"/>
        <v>1.6191273331983298</v>
      </c>
      <c r="C364" s="69">
        <f t="shared" ca="1" si="85"/>
        <v>-0.49432972688220567</v>
      </c>
      <c r="D364" s="69">
        <f t="shared" ca="1" si="85"/>
        <v>-1.2967362115770573</v>
      </c>
      <c r="E364" s="69">
        <f t="shared" ca="1" si="85"/>
        <v>-0.79489919406596066</v>
      </c>
      <c r="F364" s="69">
        <f t="shared" ca="1" si="85"/>
        <v>0.76324555998225962</v>
      </c>
      <c r="G364" s="69">
        <f t="shared" ca="1" si="85"/>
        <v>-0.7882637458315358</v>
      </c>
      <c r="H364" s="69">
        <f t="shared" ca="1" si="85"/>
        <v>0.45103042240811025</v>
      </c>
      <c r="I364" s="69">
        <f t="shared" ca="1" si="85"/>
        <v>-1.0193433359631556</v>
      </c>
      <c r="J364" s="69">
        <f t="shared" ca="1" si="85"/>
        <v>-0.85455011253174029</v>
      </c>
      <c r="K364" s="69">
        <f t="shared" ca="1" si="85"/>
        <v>0.66943016280881174</v>
      </c>
      <c r="L364" s="69">
        <f t="shared" ca="1" si="85"/>
        <v>-0.12009740559685127</v>
      </c>
      <c r="N364" s="69">
        <f t="shared" ca="1" si="74"/>
        <v>1.6568953770364385</v>
      </c>
      <c r="O364" s="69">
        <f t="shared" ca="1" si="75"/>
        <v>-0.52082328996509231</v>
      </c>
      <c r="P364" s="69">
        <f t="shared" ca="1" si="76"/>
        <v>-1.3544782764141474</v>
      </c>
      <c r="Q364" s="69">
        <f t="shared" ca="1" si="77"/>
        <v>-0.7457905152042017</v>
      </c>
      <c r="R364" s="69">
        <f t="shared" ca="1" si="78"/>
        <v>0.75695087457461074</v>
      </c>
      <c r="S364" s="69">
        <f t="shared" ca="1" si="79"/>
        <v>-0.75543677357472727</v>
      </c>
      <c r="T364" s="69">
        <f t="shared" ca="1" si="80"/>
        <v>0.44619938469292042</v>
      </c>
      <c r="U364" s="69">
        <f t="shared" ca="1" si="81"/>
        <v>-0.99630320908544601</v>
      </c>
      <c r="V364" s="69">
        <f t="shared" ca="1" si="82"/>
        <v>-0.8606597061053376</v>
      </c>
      <c r="W364" s="69">
        <f t="shared" ca="1" si="83"/>
        <v>0.67041151963291068</v>
      </c>
      <c r="X364" s="69">
        <f t="shared" ca="1" si="84"/>
        <v>-9.2928915222415781E-2</v>
      </c>
    </row>
    <row r="365" spans="2:24" x14ac:dyDescent="0.2">
      <c r="B365" s="69">
        <f t="shared" ca="1" si="73"/>
        <v>-0.33708542288664478</v>
      </c>
      <c r="C365" s="69">
        <f t="shared" ca="1" si="85"/>
        <v>-1.7139197010565017</v>
      </c>
      <c r="D365" s="69">
        <f t="shared" ca="1" si="85"/>
        <v>0.80468002430032537</v>
      </c>
      <c r="E365" s="69">
        <f t="shared" ca="1" si="85"/>
        <v>0.3424952676398445</v>
      </c>
      <c r="F365" s="69">
        <f t="shared" ca="1" si="85"/>
        <v>0.58761382783391802</v>
      </c>
      <c r="G365" s="69">
        <f t="shared" ca="1" si="85"/>
        <v>0.80236998716690267</v>
      </c>
      <c r="H365" s="69">
        <f t="shared" ca="1" si="85"/>
        <v>-0.81825543139256107</v>
      </c>
      <c r="I365" s="69">
        <f t="shared" ca="1" si="85"/>
        <v>2.4669493968601928</v>
      </c>
      <c r="J365" s="69">
        <f t="shared" ca="1" si="85"/>
        <v>0.12682826703325595</v>
      </c>
      <c r="K365" s="69">
        <f t="shared" ca="1" si="85"/>
        <v>-1.2705309246717169</v>
      </c>
      <c r="L365" s="69">
        <f t="shared" ca="1" si="85"/>
        <v>1.3660775148213433</v>
      </c>
      <c r="N365" s="69">
        <f t="shared" ca="1" si="74"/>
        <v>-0.29931737904853595</v>
      </c>
      <c r="O365" s="69">
        <f t="shared" ca="1" si="75"/>
        <v>-1.7404132641393883</v>
      </c>
      <c r="P365" s="69">
        <f t="shared" ca="1" si="76"/>
        <v>0.74693795946323538</v>
      </c>
      <c r="Q365" s="69">
        <f t="shared" ca="1" si="77"/>
        <v>0.39160394650160346</v>
      </c>
      <c r="R365" s="69">
        <f t="shared" ca="1" si="78"/>
        <v>0.58131914242626914</v>
      </c>
      <c r="S365" s="69">
        <f t="shared" ca="1" si="79"/>
        <v>0.83519695942371119</v>
      </c>
      <c r="T365" s="69">
        <f t="shared" ca="1" si="80"/>
        <v>-0.82308646910775096</v>
      </c>
      <c r="U365" s="69">
        <f t="shared" ca="1" si="81"/>
        <v>2.4899895237379024</v>
      </c>
      <c r="V365" s="69">
        <f t="shared" ca="1" si="82"/>
        <v>0.12071867345965862</v>
      </c>
      <c r="W365" s="69">
        <f t="shared" ca="1" si="83"/>
        <v>-1.2695495678476179</v>
      </c>
      <c r="X365" s="69">
        <f t="shared" ca="1" si="84"/>
        <v>1.3932460051957789</v>
      </c>
    </row>
    <row r="366" spans="2:24" x14ac:dyDescent="0.2">
      <c r="B366" s="69">
        <f t="shared" ca="1" si="73"/>
        <v>0.64918365007094914</v>
      </c>
      <c r="C366" s="69">
        <f t="shared" ca="1" si="85"/>
        <v>0.64603794209403242</v>
      </c>
      <c r="D366" s="69">
        <f t="shared" ca="1" si="85"/>
        <v>0.1640205044049981</v>
      </c>
      <c r="E366" s="69">
        <f t="shared" ca="1" si="85"/>
        <v>-0.81847756006356742</v>
      </c>
      <c r="F366" s="69">
        <f t="shared" ca="1" si="85"/>
        <v>0.32987664622199508</v>
      </c>
      <c r="G366" s="69">
        <f t="shared" ca="1" si="85"/>
        <v>-0.53276783740526668</v>
      </c>
      <c r="H366" s="69">
        <f t="shared" ca="1" si="85"/>
        <v>1.0388879566942832</v>
      </c>
      <c r="I366" s="69">
        <f t="shared" ca="1" si="85"/>
        <v>0.46883010202848402</v>
      </c>
      <c r="J366" s="69">
        <f t="shared" ca="1" si="85"/>
        <v>1.4485330143154247</v>
      </c>
      <c r="K366" s="69">
        <f t="shared" ca="1" si="85"/>
        <v>0.67042655691130959</v>
      </c>
      <c r="L366" s="69">
        <f t="shared" ca="1" si="85"/>
        <v>-0.28629099702396416</v>
      </c>
      <c r="N366" s="69">
        <f t="shared" ca="1" si="74"/>
        <v>0.68695169390905797</v>
      </c>
      <c r="O366" s="69">
        <f t="shared" ca="1" si="75"/>
        <v>0.61954437901114578</v>
      </c>
      <c r="P366" s="69">
        <f t="shared" ca="1" si="76"/>
        <v>0.10627843956790807</v>
      </c>
      <c r="Q366" s="69">
        <f t="shared" ca="1" si="77"/>
        <v>-0.76936888120180846</v>
      </c>
      <c r="R366" s="69">
        <f t="shared" ca="1" si="78"/>
        <v>0.3235819608143462</v>
      </c>
      <c r="S366" s="69">
        <f t="shared" ca="1" si="79"/>
        <v>-0.4999408651484582</v>
      </c>
      <c r="T366" s="69">
        <f t="shared" ca="1" si="80"/>
        <v>1.0340569189790934</v>
      </c>
      <c r="U366" s="69">
        <f t="shared" ca="1" si="81"/>
        <v>0.4918702289061937</v>
      </c>
      <c r="V366" s="69">
        <f t="shared" ca="1" si="82"/>
        <v>1.4424234207418274</v>
      </c>
      <c r="W366" s="69">
        <f t="shared" ca="1" si="83"/>
        <v>0.67140791373540853</v>
      </c>
      <c r="X366" s="69">
        <f t="shared" ca="1" si="84"/>
        <v>-0.25912250664952868</v>
      </c>
    </row>
    <row r="367" spans="2:24" x14ac:dyDescent="0.2">
      <c r="B367" s="69">
        <f t="shared" ca="1" si="73"/>
        <v>-3.9406864255281295</v>
      </c>
      <c r="C367" s="69">
        <f t="shared" ca="1" si="85"/>
        <v>-0.48298769263475683</v>
      </c>
      <c r="D367" s="69">
        <f t="shared" ca="1" si="85"/>
        <v>-0.7690408127622691</v>
      </c>
      <c r="E367" s="69">
        <f t="shared" ca="1" si="85"/>
        <v>0.75501045821048529</v>
      </c>
      <c r="F367" s="69">
        <f t="shared" ca="1" si="85"/>
        <v>-0.35619542718845598</v>
      </c>
      <c r="G367" s="69">
        <f t="shared" ca="1" si="85"/>
        <v>0.43544623895017237</v>
      </c>
      <c r="H367" s="69">
        <f t="shared" ca="1" si="85"/>
        <v>1.5368375071906644</v>
      </c>
      <c r="I367" s="69">
        <f t="shared" ca="1" si="85"/>
        <v>-0.82611635652710702</v>
      </c>
      <c r="J367" s="69">
        <f t="shared" ca="1" si="85"/>
        <v>0.23369133909498407</v>
      </c>
      <c r="K367" s="69">
        <f t="shared" ca="1" si="85"/>
        <v>1.0006891005002261</v>
      </c>
      <c r="L367" s="69">
        <f t="shared" ca="1" si="85"/>
        <v>-1.6093643465677223</v>
      </c>
      <c r="N367" s="69">
        <f t="shared" ca="1" si="74"/>
        <v>-3.9029183816900206</v>
      </c>
      <c r="O367" s="69">
        <f t="shared" ca="1" si="75"/>
        <v>-0.50948125571764347</v>
      </c>
      <c r="P367" s="69">
        <f t="shared" ca="1" si="76"/>
        <v>-0.82678287759935909</v>
      </c>
      <c r="Q367" s="69">
        <f t="shared" ca="1" si="77"/>
        <v>0.80411913707224425</v>
      </c>
      <c r="R367" s="69">
        <f t="shared" ca="1" si="78"/>
        <v>-0.36249011259610486</v>
      </c>
      <c r="S367" s="69">
        <f t="shared" ca="1" si="79"/>
        <v>0.46827321120698084</v>
      </c>
      <c r="T367" s="69">
        <f t="shared" ca="1" si="80"/>
        <v>1.5320064694754745</v>
      </c>
      <c r="U367" s="69">
        <f t="shared" ca="1" si="81"/>
        <v>-0.8030762296493974</v>
      </c>
      <c r="V367" s="69">
        <f t="shared" ca="1" si="82"/>
        <v>0.22758174552138674</v>
      </c>
      <c r="W367" s="69">
        <f t="shared" ca="1" si="83"/>
        <v>1.0016704573243251</v>
      </c>
      <c r="X367" s="69">
        <f t="shared" ca="1" si="84"/>
        <v>-1.5821958561932867</v>
      </c>
    </row>
    <row r="368" spans="2:24" x14ac:dyDescent="0.2">
      <c r="B368" s="69">
        <f t="shared" ca="1" si="73"/>
        <v>-0.85124131131028791</v>
      </c>
      <c r="C368" s="69">
        <f t="shared" ca="1" si="85"/>
        <v>1.6698281384294654E-2</v>
      </c>
      <c r="D368" s="69">
        <f t="shared" ca="1" si="85"/>
        <v>-9.0984156218162811E-3</v>
      </c>
      <c r="E368" s="69">
        <f t="shared" ca="1" si="85"/>
        <v>-0.65592575724575919</v>
      </c>
      <c r="F368" s="69">
        <f t="shared" ca="1" si="85"/>
        <v>-0.71921773534873912</v>
      </c>
      <c r="G368" s="69">
        <f t="shared" ca="1" si="85"/>
        <v>-0.3092459384174634</v>
      </c>
      <c r="H368" s="69">
        <f t="shared" ca="1" si="85"/>
        <v>1.135785567312084</v>
      </c>
      <c r="I368" s="69">
        <f t="shared" ca="1" si="85"/>
        <v>7.3146079718144852E-2</v>
      </c>
      <c r="J368" s="69">
        <f t="shared" ca="1" si="85"/>
        <v>0.94746996311054632</v>
      </c>
      <c r="K368" s="69">
        <f t="shared" ca="1" si="85"/>
        <v>-1.8092661545075077</v>
      </c>
      <c r="L368" s="69">
        <f t="shared" ca="1" si="85"/>
        <v>0.28352649208145164</v>
      </c>
      <c r="N368" s="69">
        <f t="shared" ca="1" si="74"/>
        <v>-0.81347326747217907</v>
      </c>
      <c r="O368" s="69">
        <f t="shared" ca="1" si="75"/>
        <v>-9.7952816985920309E-3</v>
      </c>
      <c r="P368" s="69">
        <f t="shared" ca="1" si="76"/>
        <v>-6.684048045890631E-2</v>
      </c>
      <c r="Q368" s="69">
        <f t="shared" ca="1" si="77"/>
        <v>-0.60681707838400023</v>
      </c>
      <c r="R368" s="69">
        <f t="shared" ca="1" si="78"/>
        <v>-0.725512420756388</v>
      </c>
      <c r="S368" s="69">
        <f t="shared" ca="1" si="79"/>
        <v>-0.27641896616065492</v>
      </c>
      <c r="T368" s="69">
        <f t="shared" ca="1" si="80"/>
        <v>1.1309545295968941</v>
      </c>
      <c r="U368" s="69">
        <f t="shared" ca="1" si="81"/>
        <v>9.6186206595854501E-2</v>
      </c>
      <c r="V368" s="69">
        <f t="shared" ca="1" si="82"/>
        <v>0.94136036953694902</v>
      </c>
      <c r="W368" s="69">
        <f t="shared" ca="1" si="83"/>
        <v>-1.8082847976834087</v>
      </c>
      <c r="X368" s="69">
        <f t="shared" ca="1" si="84"/>
        <v>0.31069498245588711</v>
      </c>
    </row>
    <row r="369" spans="2:24" x14ac:dyDescent="0.2">
      <c r="B369" s="69">
        <f t="shared" ca="1" si="73"/>
        <v>-0.45417850518033143</v>
      </c>
      <c r="C369" s="69">
        <f t="shared" ca="1" si="85"/>
        <v>-4.5337478818548778E-2</v>
      </c>
      <c r="D369" s="69">
        <f t="shared" ca="1" si="85"/>
        <v>-0.2859982267033786</v>
      </c>
      <c r="E369" s="69">
        <f t="shared" ca="1" si="85"/>
        <v>-0.26063317015483528</v>
      </c>
      <c r="F369" s="69">
        <f t="shared" ca="1" si="85"/>
        <v>-0.50413343248748455</v>
      </c>
      <c r="G369" s="69">
        <f t="shared" ca="1" si="85"/>
        <v>-0.9646724814259714</v>
      </c>
      <c r="H369" s="69">
        <f t="shared" ca="1" si="85"/>
        <v>-1.2414821706920334</v>
      </c>
      <c r="I369" s="69">
        <f t="shared" ca="1" si="85"/>
        <v>2.1648636967237356</v>
      </c>
      <c r="J369" s="69">
        <f t="shared" ca="1" si="85"/>
        <v>-2.4477256768507084E-2</v>
      </c>
      <c r="K369" s="69">
        <f t="shared" ca="1" si="85"/>
        <v>0.76438438891490945</v>
      </c>
      <c r="L369" s="69">
        <f t="shared" ca="1" si="85"/>
        <v>0.39248021887921164</v>
      </c>
      <c r="N369" s="69">
        <f t="shared" ca="1" si="74"/>
        <v>-0.41641046134222259</v>
      </c>
      <c r="O369" s="69">
        <f t="shared" ca="1" si="75"/>
        <v>-7.1831041901435466E-2</v>
      </c>
      <c r="P369" s="69">
        <f t="shared" ca="1" si="76"/>
        <v>-0.34374029154046865</v>
      </c>
      <c r="Q369" s="69">
        <f t="shared" ca="1" si="77"/>
        <v>-0.21152449129307632</v>
      </c>
      <c r="R369" s="69">
        <f t="shared" ca="1" si="78"/>
        <v>-0.51042811789513343</v>
      </c>
      <c r="S369" s="69">
        <f t="shared" ca="1" si="79"/>
        <v>-0.93184550916916287</v>
      </c>
      <c r="T369" s="69">
        <f t="shared" ca="1" si="80"/>
        <v>-1.2463132084072233</v>
      </c>
      <c r="U369" s="69">
        <f t="shared" ca="1" si="81"/>
        <v>2.1879038236014452</v>
      </c>
      <c r="V369" s="69">
        <f t="shared" ca="1" si="82"/>
        <v>-3.0586850342104413E-2</v>
      </c>
      <c r="W369" s="69">
        <f t="shared" ca="1" si="83"/>
        <v>0.7653657457390084</v>
      </c>
      <c r="X369" s="69">
        <f t="shared" ca="1" si="84"/>
        <v>0.41964870925364711</v>
      </c>
    </row>
    <row r="370" spans="2:24" x14ac:dyDescent="0.2">
      <c r="B370" s="69">
        <f t="shared" ca="1" si="73"/>
        <v>-0.24312391562564531</v>
      </c>
      <c r="C370" s="69">
        <f t="shared" ca="1" si="85"/>
        <v>-1.2632467597686121</v>
      </c>
      <c r="D370" s="69">
        <f t="shared" ca="1" si="85"/>
        <v>1.4640050881273292</v>
      </c>
      <c r="E370" s="69">
        <f t="shared" ca="1" si="85"/>
        <v>-0.23117705622663137</v>
      </c>
      <c r="F370" s="69">
        <f t="shared" ca="1" si="85"/>
        <v>-0.11951591656632189</v>
      </c>
      <c r="G370" s="69">
        <f t="shared" ca="1" si="85"/>
        <v>2.0177133776583731</v>
      </c>
      <c r="H370" s="69">
        <f t="shared" ca="1" si="85"/>
        <v>-3.8218648756217236E-2</v>
      </c>
      <c r="I370" s="69">
        <f t="shared" ca="1" si="85"/>
        <v>-1.5173752852358668</v>
      </c>
      <c r="J370" s="69">
        <f t="shared" ca="1" si="85"/>
        <v>-1.4582249260172264</v>
      </c>
      <c r="K370" s="69">
        <f t="shared" ca="1" si="85"/>
        <v>-1.3251219591116719</v>
      </c>
      <c r="L370" s="69">
        <f t="shared" ca="1" si="85"/>
        <v>0.41803155038686041</v>
      </c>
      <c r="N370" s="69">
        <f t="shared" ca="1" si="74"/>
        <v>-0.2053558717875365</v>
      </c>
      <c r="O370" s="69">
        <f t="shared" ca="1" si="75"/>
        <v>-1.2897403228514988</v>
      </c>
      <c r="P370" s="69">
        <f t="shared" ca="1" si="76"/>
        <v>1.4062630232902391</v>
      </c>
      <c r="Q370" s="69">
        <f t="shared" ca="1" si="77"/>
        <v>-0.18206837736487241</v>
      </c>
      <c r="R370" s="69">
        <f t="shared" ca="1" si="78"/>
        <v>-0.12581060197397079</v>
      </c>
      <c r="S370" s="69">
        <f t="shared" ca="1" si="79"/>
        <v>2.0505403499151815</v>
      </c>
      <c r="T370" s="69">
        <f t="shared" ca="1" si="80"/>
        <v>-4.3049686471407084E-2</v>
      </c>
      <c r="U370" s="69">
        <f t="shared" ca="1" si="81"/>
        <v>-1.4943351583581572</v>
      </c>
      <c r="V370" s="69">
        <f t="shared" ca="1" si="82"/>
        <v>-1.4643345195908237</v>
      </c>
      <c r="W370" s="69">
        <f t="shared" ca="1" si="83"/>
        <v>-1.3241406022875728</v>
      </c>
      <c r="X370" s="69">
        <f t="shared" ca="1" si="84"/>
        <v>0.44520004076129588</v>
      </c>
    </row>
    <row r="371" spans="2:24" x14ac:dyDescent="0.2">
      <c r="B371" s="69">
        <f t="shared" ca="1" si="73"/>
        <v>-1.4668728502250494</v>
      </c>
      <c r="C371" s="69">
        <f t="shared" ca="1" si="85"/>
        <v>1.6761836412981379</v>
      </c>
      <c r="D371" s="69">
        <f t="shared" ca="1" si="85"/>
        <v>2.0622131148178897</v>
      </c>
      <c r="E371" s="69">
        <f t="shared" ca="1" si="85"/>
        <v>-0.41944626898662513</v>
      </c>
      <c r="F371" s="69">
        <f t="shared" ca="1" si="85"/>
        <v>-0.40027032657299721</v>
      </c>
      <c r="G371" s="69">
        <f t="shared" ca="1" si="85"/>
        <v>-2.6995706488793614</v>
      </c>
      <c r="H371" s="69">
        <f t="shared" ca="1" si="85"/>
        <v>5.7146487024550559E-2</v>
      </c>
      <c r="I371" s="69">
        <f t="shared" ca="1" si="85"/>
        <v>-1.556438432146986</v>
      </c>
      <c r="J371" s="69">
        <f t="shared" ca="1" si="85"/>
        <v>-0.52510564931177472</v>
      </c>
      <c r="K371" s="69">
        <f t="shared" ca="1" si="85"/>
        <v>0.34014162166718442</v>
      </c>
      <c r="L371" s="69">
        <f t="shared" ca="1" si="85"/>
        <v>0.43668291680947935</v>
      </c>
      <c r="N371" s="69">
        <f t="shared" ca="1" si="74"/>
        <v>-1.4291048063869407</v>
      </c>
      <c r="O371" s="69">
        <f t="shared" ca="1" si="75"/>
        <v>1.6496900782152513</v>
      </c>
      <c r="P371" s="69">
        <f t="shared" ca="1" si="76"/>
        <v>2.0044710499807996</v>
      </c>
      <c r="Q371" s="69">
        <f t="shared" ca="1" si="77"/>
        <v>-0.37033759012486617</v>
      </c>
      <c r="R371" s="69">
        <f t="shared" ca="1" si="78"/>
        <v>-0.4065650119806461</v>
      </c>
      <c r="S371" s="69">
        <f t="shared" ca="1" si="79"/>
        <v>-2.666743676622553</v>
      </c>
      <c r="T371" s="69">
        <f t="shared" ca="1" si="80"/>
        <v>5.2315449309360711E-2</v>
      </c>
      <c r="U371" s="69">
        <f t="shared" ca="1" si="81"/>
        <v>-1.5333983052692763</v>
      </c>
      <c r="V371" s="69">
        <f t="shared" ca="1" si="82"/>
        <v>-0.53121524288537203</v>
      </c>
      <c r="W371" s="69">
        <f t="shared" ca="1" si="83"/>
        <v>0.34112297849128337</v>
      </c>
      <c r="X371" s="69">
        <f t="shared" ca="1" si="84"/>
        <v>0.46385140718391482</v>
      </c>
    </row>
    <row r="372" spans="2:24" x14ac:dyDescent="0.2">
      <c r="B372" s="69">
        <f t="shared" ca="1" si="73"/>
        <v>0.68045285086641571</v>
      </c>
      <c r="C372" s="69">
        <f t="shared" ca="1" si="85"/>
        <v>0.77547442595467631</v>
      </c>
      <c r="D372" s="69">
        <f t="shared" ca="1" si="85"/>
        <v>0.814366262714878</v>
      </c>
      <c r="E372" s="69">
        <f t="shared" ca="1" si="85"/>
        <v>0.17717622089576468</v>
      </c>
      <c r="F372" s="69">
        <f t="shared" ca="1" si="85"/>
        <v>-1.0979347434847395</v>
      </c>
      <c r="G372" s="69">
        <f t="shared" ca="1" si="85"/>
        <v>0.74999111172964095</v>
      </c>
      <c r="H372" s="69">
        <f t="shared" ca="1" si="85"/>
        <v>-9.0051122203311157E-2</v>
      </c>
      <c r="I372" s="69">
        <f t="shared" ca="1" si="85"/>
        <v>-0.47858605393824699</v>
      </c>
      <c r="J372" s="69">
        <f t="shared" ca="1" si="85"/>
        <v>-0.3206465393651543</v>
      </c>
      <c r="K372" s="69">
        <f t="shared" ca="1" si="85"/>
        <v>1.8084590511449723</v>
      </c>
      <c r="L372" s="69">
        <f t="shared" ca="1" si="85"/>
        <v>-0.72063564569780114</v>
      </c>
      <c r="N372" s="69">
        <f t="shared" ca="1" si="74"/>
        <v>0.71822089470452455</v>
      </c>
      <c r="O372" s="69">
        <f t="shared" ca="1" si="75"/>
        <v>0.74898086287178967</v>
      </c>
      <c r="P372" s="69">
        <f t="shared" ca="1" si="76"/>
        <v>0.75662419787778801</v>
      </c>
      <c r="Q372" s="69">
        <f t="shared" ca="1" si="77"/>
        <v>0.22628489975752364</v>
      </c>
      <c r="R372" s="69">
        <f t="shared" ca="1" si="78"/>
        <v>-1.1042294288923884</v>
      </c>
      <c r="S372" s="69">
        <f t="shared" ca="1" si="79"/>
        <v>0.78281808398644948</v>
      </c>
      <c r="T372" s="69">
        <f t="shared" ca="1" si="80"/>
        <v>-9.4882159918501005E-2</v>
      </c>
      <c r="U372" s="69">
        <f t="shared" ca="1" si="81"/>
        <v>-0.45554592706053731</v>
      </c>
      <c r="V372" s="69">
        <f t="shared" ca="1" si="82"/>
        <v>-0.32675613293875161</v>
      </c>
      <c r="W372" s="69">
        <f t="shared" ca="1" si="83"/>
        <v>1.8094404079690714</v>
      </c>
      <c r="X372" s="69">
        <f t="shared" ca="1" si="84"/>
        <v>-0.69346715532336567</v>
      </c>
    </row>
    <row r="373" spans="2:24" x14ac:dyDescent="0.2">
      <c r="B373" s="69">
        <f t="shared" ca="1" si="73"/>
        <v>-0.22363986624213034</v>
      </c>
      <c r="C373" s="69">
        <f t="shared" ca="1" si="85"/>
        <v>-1.4489019723903385</v>
      </c>
      <c r="D373" s="69">
        <f t="shared" ca="1" si="85"/>
        <v>-0.94108940288374687</v>
      </c>
      <c r="E373" s="69">
        <f t="shared" ca="1" si="85"/>
        <v>0.81342967498025165</v>
      </c>
      <c r="F373" s="69">
        <f t="shared" ca="1" si="85"/>
        <v>1.4991872925095775</v>
      </c>
      <c r="G373" s="69">
        <f t="shared" ca="1" si="85"/>
        <v>-1.8330056583188985</v>
      </c>
      <c r="H373" s="69">
        <f t="shared" ca="1" si="85"/>
        <v>0.66911035483235171</v>
      </c>
      <c r="I373" s="69">
        <f t="shared" ca="1" si="85"/>
        <v>5.7372042386701926E-2</v>
      </c>
      <c r="J373" s="69">
        <f t="shared" ca="1" si="85"/>
        <v>-2.0043765293613047</v>
      </c>
      <c r="K373" s="69">
        <f t="shared" ca="1" si="85"/>
        <v>-1.071768619805699</v>
      </c>
      <c r="L373" s="69">
        <f t="shared" ca="1" si="85"/>
        <v>0.4776016118288065</v>
      </c>
      <c r="N373" s="69">
        <f t="shared" ca="1" si="74"/>
        <v>-0.1858718224040215</v>
      </c>
      <c r="O373" s="69">
        <f t="shared" ca="1" si="75"/>
        <v>-1.4753955354732251</v>
      </c>
      <c r="P373" s="69">
        <f t="shared" ca="1" si="76"/>
        <v>-0.99883146772083686</v>
      </c>
      <c r="Q373" s="69">
        <f t="shared" ca="1" si="77"/>
        <v>0.86253835384201061</v>
      </c>
      <c r="R373" s="69">
        <f t="shared" ca="1" si="78"/>
        <v>1.4928926071019286</v>
      </c>
      <c r="S373" s="69">
        <f t="shared" ca="1" si="79"/>
        <v>-1.8001786860620901</v>
      </c>
      <c r="T373" s="69">
        <f t="shared" ca="1" si="80"/>
        <v>0.66427931711716182</v>
      </c>
      <c r="U373" s="69">
        <f t="shared" ca="1" si="81"/>
        <v>8.0412169264411582E-2</v>
      </c>
      <c r="V373" s="69">
        <f t="shared" ca="1" si="82"/>
        <v>-2.010486122934902</v>
      </c>
      <c r="W373" s="69">
        <f t="shared" ca="1" si="83"/>
        <v>-1.0707872629816</v>
      </c>
      <c r="X373" s="69">
        <f t="shared" ca="1" si="84"/>
        <v>0.50477010220324203</v>
      </c>
    </row>
    <row r="374" spans="2:24" x14ac:dyDescent="0.2">
      <c r="B374" s="69">
        <f t="shared" ca="1" si="73"/>
        <v>-2.1319643830604131</v>
      </c>
      <c r="C374" s="69">
        <f t="shared" ca="1" si="85"/>
        <v>0.49861709615651661</v>
      </c>
      <c r="D374" s="69">
        <f t="shared" ca="1" si="85"/>
        <v>1.771154575263256</v>
      </c>
      <c r="E374" s="69">
        <f t="shared" ca="1" si="85"/>
        <v>0.60302105524200322</v>
      </c>
      <c r="F374" s="69">
        <f t="shared" ca="1" si="85"/>
        <v>0.58108902851253252</v>
      </c>
      <c r="G374" s="69">
        <f t="shared" ca="1" si="85"/>
        <v>1.1573493671154749</v>
      </c>
      <c r="H374" s="69">
        <f t="shared" ca="1" si="85"/>
        <v>1.4683458147960682</v>
      </c>
      <c r="I374" s="69">
        <f t="shared" ca="1" si="85"/>
        <v>0.429419309764693</v>
      </c>
      <c r="J374" s="69">
        <f t="shared" ca="1" si="85"/>
        <v>0.48828793632908407</v>
      </c>
      <c r="K374" s="69">
        <f t="shared" ca="1" si="85"/>
        <v>-0.5589079380760299</v>
      </c>
      <c r="L374" s="69">
        <f t="shared" ca="1" si="85"/>
        <v>0.77196954757116953</v>
      </c>
      <c r="N374" s="69">
        <f t="shared" ca="1" si="74"/>
        <v>-2.0941963392223042</v>
      </c>
      <c r="O374" s="69">
        <f t="shared" ca="1" si="75"/>
        <v>0.47212353307362992</v>
      </c>
      <c r="P374" s="69">
        <f t="shared" ca="1" si="76"/>
        <v>1.7134125104261659</v>
      </c>
      <c r="Q374" s="69">
        <f t="shared" ca="1" si="77"/>
        <v>0.65212973410376218</v>
      </c>
      <c r="R374" s="69">
        <f t="shared" ca="1" si="78"/>
        <v>0.57479434310488364</v>
      </c>
      <c r="S374" s="69">
        <f t="shared" ca="1" si="79"/>
        <v>1.1901763393722833</v>
      </c>
      <c r="T374" s="69">
        <f t="shared" ca="1" si="80"/>
        <v>1.4635147770808783</v>
      </c>
      <c r="U374" s="69">
        <f t="shared" ca="1" si="81"/>
        <v>0.45245943664240268</v>
      </c>
      <c r="V374" s="69">
        <f t="shared" ca="1" si="82"/>
        <v>0.48217834275548677</v>
      </c>
      <c r="W374" s="69">
        <f t="shared" ca="1" si="83"/>
        <v>-0.55792658125193095</v>
      </c>
      <c r="X374" s="69">
        <f t="shared" ca="1" si="84"/>
        <v>0.79913803794560501</v>
      </c>
    </row>
    <row r="375" spans="2:24" x14ac:dyDescent="0.2">
      <c r="B375" s="69">
        <f t="shared" ca="1" si="73"/>
        <v>-7.9208099704224752E-2</v>
      </c>
      <c r="C375" s="69">
        <f t="shared" ca="1" si="85"/>
        <v>-1.944515281561211</v>
      </c>
      <c r="D375" s="69">
        <f t="shared" ca="1" si="85"/>
        <v>-0.18749050463494873</v>
      </c>
      <c r="E375" s="69">
        <f t="shared" ca="1" si="85"/>
        <v>0.29381424975007103</v>
      </c>
      <c r="F375" s="69">
        <f t="shared" ca="1" si="85"/>
        <v>-1.2405945343925981</v>
      </c>
      <c r="G375" s="69">
        <f t="shared" ca="1" si="85"/>
        <v>-0.54741081312662554</v>
      </c>
      <c r="H375" s="69">
        <f t="shared" ca="1" si="85"/>
        <v>-0.14058329645483758</v>
      </c>
      <c r="I375" s="69">
        <f t="shared" ref="C375:L438" ca="1" si="86">NORMINV(RAND(),$C$7,$F$7)</f>
        <v>-0.24045384729373562</v>
      </c>
      <c r="J375" s="69">
        <f t="shared" ca="1" si="86"/>
        <v>0.64226849975714917</v>
      </c>
      <c r="K375" s="69">
        <f t="shared" ca="1" si="86"/>
        <v>-0.92975797510894698</v>
      </c>
      <c r="L375" s="69">
        <f t="shared" ca="1" si="86"/>
        <v>1.3567781705795676</v>
      </c>
      <c r="N375" s="69">
        <f t="shared" ca="1" si="74"/>
        <v>-4.1440055866115932E-2</v>
      </c>
      <c r="O375" s="69">
        <f t="shared" ca="1" si="75"/>
        <v>-1.9710088446440976</v>
      </c>
      <c r="P375" s="69">
        <f t="shared" ca="1" si="76"/>
        <v>-0.24523256947203875</v>
      </c>
      <c r="Q375" s="69">
        <f t="shared" ca="1" si="77"/>
        <v>0.34292292861182999</v>
      </c>
      <c r="R375" s="69">
        <f t="shared" ca="1" si="78"/>
        <v>-1.246889219800247</v>
      </c>
      <c r="S375" s="69">
        <f t="shared" ca="1" si="79"/>
        <v>-0.51458384086981701</v>
      </c>
      <c r="T375" s="69">
        <f t="shared" ca="1" si="80"/>
        <v>-0.14541433417002742</v>
      </c>
      <c r="U375" s="69">
        <f t="shared" ca="1" si="81"/>
        <v>-0.21741372041602597</v>
      </c>
      <c r="V375" s="69">
        <f t="shared" ca="1" si="82"/>
        <v>0.63615890618355186</v>
      </c>
      <c r="W375" s="69">
        <f t="shared" ca="1" si="83"/>
        <v>-0.92877661828484803</v>
      </c>
      <c r="X375" s="69">
        <f t="shared" ca="1" si="84"/>
        <v>1.3839466609540032</v>
      </c>
    </row>
    <row r="376" spans="2:24" x14ac:dyDescent="0.2">
      <c r="B376" s="69">
        <f t="shared" ca="1" si="73"/>
        <v>-0.93021989594000198</v>
      </c>
      <c r="C376" s="69">
        <f t="shared" ca="1" si="86"/>
        <v>2.4043704024262631</v>
      </c>
      <c r="D376" s="69">
        <f t="shared" ca="1" si="86"/>
        <v>-0.48629605471782605</v>
      </c>
      <c r="E376" s="69">
        <f t="shared" ca="1" si="86"/>
        <v>2.2020505142356277</v>
      </c>
      <c r="F376" s="69">
        <f t="shared" ca="1" si="86"/>
        <v>0.31690317156376879</v>
      </c>
      <c r="G376" s="69">
        <f t="shared" ca="1" si="86"/>
        <v>0.40086200824833629</v>
      </c>
      <c r="H376" s="69">
        <f t="shared" ca="1" si="86"/>
        <v>0.14320626742267706</v>
      </c>
      <c r="I376" s="69">
        <f t="shared" ca="1" si="86"/>
        <v>0.9238603350153668</v>
      </c>
      <c r="J376" s="69">
        <f t="shared" ca="1" si="86"/>
        <v>-0.63325546028856849</v>
      </c>
      <c r="K376" s="69">
        <f t="shared" ca="1" si="86"/>
        <v>-0.91043522933092436</v>
      </c>
      <c r="L376" s="69">
        <f t="shared" ca="1" si="86"/>
        <v>0.38231930387693142</v>
      </c>
      <c r="N376" s="69">
        <f t="shared" ca="1" si="74"/>
        <v>-0.89245185210189315</v>
      </c>
      <c r="O376" s="69">
        <f t="shared" ca="1" si="75"/>
        <v>2.3778768393433762</v>
      </c>
      <c r="P376" s="69">
        <f t="shared" ca="1" si="76"/>
        <v>-0.5440381195549161</v>
      </c>
      <c r="Q376" s="69">
        <f t="shared" ca="1" si="77"/>
        <v>2.2511591930973864</v>
      </c>
      <c r="R376" s="69">
        <f t="shared" ca="1" si="78"/>
        <v>0.31060848615611991</v>
      </c>
      <c r="S376" s="69">
        <f t="shared" ca="1" si="79"/>
        <v>0.43368898050514476</v>
      </c>
      <c r="T376" s="69">
        <f t="shared" ca="1" si="80"/>
        <v>0.13837522970748722</v>
      </c>
      <c r="U376" s="69">
        <f t="shared" ca="1" si="81"/>
        <v>0.94690046189307642</v>
      </c>
      <c r="V376" s="69">
        <f t="shared" ca="1" si="82"/>
        <v>-0.6393650538621658</v>
      </c>
      <c r="W376" s="69">
        <f t="shared" ca="1" si="83"/>
        <v>-0.90945387250682541</v>
      </c>
      <c r="X376" s="69">
        <f t="shared" ca="1" si="84"/>
        <v>0.40948779425136689</v>
      </c>
    </row>
    <row r="377" spans="2:24" x14ac:dyDescent="0.2">
      <c r="B377" s="69">
        <f t="shared" ca="1" si="73"/>
        <v>-1.3622097765277503</v>
      </c>
      <c r="C377" s="69">
        <f t="shared" ca="1" si="86"/>
        <v>-1.2314779090043091</v>
      </c>
      <c r="D377" s="69">
        <f t="shared" ca="1" si="86"/>
        <v>-0.62274819660989145</v>
      </c>
      <c r="E377" s="69">
        <f t="shared" ca="1" si="86"/>
        <v>0.27432885684151387</v>
      </c>
      <c r="F377" s="69">
        <f t="shared" ca="1" si="86"/>
        <v>-1.3658770503727352E-2</v>
      </c>
      <c r="G377" s="69">
        <f t="shared" ca="1" si="86"/>
        <v>-1.5484239144194001</v>
      </c>
      <c r="H377" s="69">
        <f t="shared" ca="1" si="86"/>
        <v>-1.383515041225001</v>
      </c>
      <c r="I377" s="69">
        <f t="shared" ca="1" si="86"/>
        <v>0.91472958126183923</v>
      </c>
      <c r="J377" s="69">
        <f t="shared" ca="1" si="86"/>
        <v>0.94723260541024157</v>
      </c>
      <c r="K377" s="69">
        <f t="shared" ca="1" si="86"/>
        <v>-0.5905733779986948</v>
      </c>
      <c r="L377" s="69">
        <f t="shared" ca="1" si="86"/>
        <v>1.2252335733219362</v>
      </c>
      <c r="N377" s="69">
        <f t="shared" ca="1" si="74"/>
        <v>-1.3244417326896416</v>
      </c>
      <c r="O377" s="69">
        <f t="shared" ca="1" si="75"/>
        <v>-1.2579714720871957</v>
      </c>
      <c r="P377" s="69">
        <f t="shared" ca="1" si="76"/>
        <v>-0.68049026144698144</v>
      </c>
      <c r="Q377" s="69">
        <f t="shared" ca="1" si="77"/>
        <v>0.32343753570327283</v>
      </c>
      <c r="R377" s="69">
        <f t="shared" ca="1" si="78"/>
        <v>-1.9953455911376247E-2</v>
      </c>
      <c r="S377" s="69">
        <f t="shared" ca="1" si="79"/>
        <v>-1.5155969421625917</v>
      </c>
      <c r="T377" s="69">
        <f t="shared" ca="1" si="80"/>
        <v>-1.3883460789401909</v>
      </c>
      <c r="U377" s="69">
        <f t="shared" ca="1" si="81"/>
        <v>0.93776970813954885</v>
      </c>
      <c r="V377" s="69">
        <f t="shared" ca="1" si="82"/>
        <v>0.94112301183664426</v>
      </c>
      <c r="W377" s="69">
        <f t="shared" ca="1" si="83"/>
        <v>-0.58959202117459586</v>
      </c>
      <c r="X377" s="69">
        <f t="shared" ca="1" si="84"/>
        <v>1.2524020636963717</v>
      </c>
    </row>
    <row r="378" spans="2:24" x14ac:dyDescent="0.2">
      <c r="B378" s="69">
        <f t="shared" ca="1" si="73"/>
        <v>-0.43398401340151227</v>
      </c>
      <c r="C378" s="69">
        <f t="shared" ca="1" si="86"/>
        <v>0.2216648216259198</v>
      </c>
      <c r="D378" s="69">
        <f t="shared" ca="1" si="86"/>
        <v>-0.54247968238560251</v>
      </c>
      <c r="E378" s="69">
        <f t="shared" ca="1" si="86"/>
        <v>0.6496702231574385</v>
      </c>
      <c r="F378" s="69">
        <f t="shared" ca="1" si="86"/>
        <v>0.2716295219365491</v>
      </c>
      <c r="G378" s="69">
        <f t="shared" ca="1" si="86"/>
        <v>0.44122384306750145</v>
      </c>
      <c r="H378" s="69">
        <f t="shared" ca="1" si="86"/>
        <v>0.13325646518559978</v>
      </c>
      <c r="I378" s="69">
        <f t="shared" ca="1" si="86"/>
        <v>0.51557277442272909</v>
      </c>
      <c r="J378" s="69">
        <f t="shared" ca="1" si="86"/>
        <v>0.87923803100132036</v>
      </c>
      <c r="K378" s="69">
        <f t="shared" ca="1" si="86"/>
        <v>0.67865516586714147</v>
      </c>
      <c r="L378" s="69">
        <f t="shared" ca="1" si="86"/>
        <v>0.78302412591389581</v>
      </c>
      <c r="N378" s="69">
        <f t="shared" ca="1" si="74"/>
        <v>-0.39621596956340344</v>
      </c>
      <c r="O378" s="69">
        <f t="shared" ca="1" si="75"/>
        <v>0.1951712585430331</v>
      </c>
      <c r="P378" s="69">
        <f t="shared" ca="1" si="76"/>
        <v>-0.6002217472226925</v>
      </c>
      <c r="Q378" s="69">
        <f t="shared" ca="1" si="77"/>
        <v>0.69877890201919746</v>
      </c>
      <c r="R378" s="69">
        <f t="shared" ca="1" si="78"/>
        <v>0.26533483652890022</v>
      </c>
      <c r="S378" s="69">
        <f t="shared" ca="1" si="79"/>
        <v>0.47405081532430993</v>
      </c>
      <c r="T378" s="69">
        <f t="shared" ca="1" si="80"/>
        <v>0.12842542747040994</v>
      </c>
      <c r="U378" s="69">
        <f t="shared" ca="1" si="81"/>
        <v>0.53861290130043871</v>
      </c>
      <c r="V378" s="69">
        <f t="shared" ca="1" si="82"/>
        <v>0.87312843742772306</v>
      </c>
      <c r="W378" s="69">
        <f t="shared" ca="1" si="83"/>
        <v>0.67963652269124042</v>
      </c>
      <c r="X378" s="69">
        <f t="shared" ca="1" si="84"/>
        <v>0.81019261628833128</v>
      </c>
    </row>
    <row r="379" spans="2:24" x14ac:dyDescent="0.2">
      <c r="B379" s="69">
        <f t="shared" ca="1" si="73"/>
        <v>0.6675397470611637</v>
      </c>
      <c r="C379" s="69">
        <f t="shared" ca="1" si="86"/>
        <v>0.83382092595369761</v>
      </c>
      <c r="D379" s="69">
        <f t="shared" ca="1" si="86"/>
        <v>0.3240814427317858</v>
      </c>
      <c r="E379" s="69">
        <f t="shared" ca="1" si="86"/>
        <v>-0.1207334702815174</v>
      </c>
      <c r="F379" s="69">
        <f t="shared" ca="1" si="86"/>
        <v>-0.28758006259497526</v>
      </c>
      <c r="G379" s="69">
        <f t="shared" ca="1" si="86"/>
        <v>-1.4375232831220622E-2</v>
      </c>
      <c r="H379" s="69">
        <f t="shared" ca="1" si="86"/>
        <v>-9.1187333965115441E-2</v>
      </c>
      <c r="I379" s="69">
        <f t="shared" ca="1" si="86"/>
        <v>-1.9852082050744908</v>
      </c>
      <c r="J379" s="69">
        <f t="shared" ca="1" si="86"/>
        <v>-0.21655005498179725</v>
      </c>
      <c r="K379" s="69">
        <f t="shared" ca="1" si="86"/>
        <v>0.23761827378359582</v>
      </c>
      <c r="L379" s="69">
        <f t="shared" ca="1" si="86"/>
        <v>-1.1376444870842255</v>
      </c>
      <c r="N379" s="69">
        <f t="shared" ca="1" si="74"/>
        <v>0.70530779089927254</v>
      </c>
      <c r="O379" s="69">
        <f t="shared" ca="1" si="75"/>
        <v>0.80732736287081097</v>
      </c>
      <c r="P379" s="69">
        <f t="shared" ca="1" si="76"/>
        <v>0.26633937789469575</v>
      </c>
      <c r="Q379" s="69">
        <f t="shared" ca="1" si="77"/>
        <v>-7.1624791419758457E-2</v>
      </c>
      <c r="R379" s="69">
        <f t="shared" ca="1" si="78"/>
        <v>-0.29387474800262414</v>
      </c>
      <c r="S379" s="69">
        <f t="shared" ca="1" si="79"/>
        <v>1.8451739425587858E-2</v>
      </c>
      <c r="T379" s="69">
        <f t="shared" ca="1" si="80"/>
        <v>-9.6018371680305289E-2</v>
      </c>
      <c r="U379" s="69">
        <f t="shared" ca="1" si="81"/>
        <v>-1.9621680781967812</v>
      </c>
      <c r="V379" s="69">
        <f t="shared" ca="1" si="82"/>
        <v>-0.22265964855539458</v>
      </c>
      <c r="W379" s="69">
        <f t="shared" ca="1" si="83"/>
        <v>0.23859963060769476</v>
      </c>
      <c r="X379" s="69">
        <f t="shared" ca="1" si="84"/>
        <v>-1.1104759967097899</v>
      </c>
    </row>
    <row r="380" spans="2:24" x14ac:dyDescent="0.2">
      <c r="B380" s="69">
        <f t="shared" ca="1" si="73"/>
        <v>0.54509869530091348</v>
      </c>
      <c r="C380" s="69">
        <f t="shared" ca="1" si="86"/>
        <v>1.0868086460120998</v>
      </c>
      <c r="D380" s="69">
        <f t="shared" ca="1" si="86"/>
        <v>0.38344824886050932</v>
      </c>
      <c r="E380" s="69">
        <f t="shared" ca="1" si="86"/>
        <v>-0.39605064910006299</v>
      </c>
      <c r="F380" s="69">
        <f t="shared" ca="1" si="86"/>
        <v>-1.1387404403125687</v>
      </c>
      <c r="G380" s="69">
        <f t="shared" ca="1" si="86"/>
        <v>-1.4362979064587162</v>
      </c>
      <c r="H380" s="69">
        <f t="shared" ca="1" si="86"/>
        <v>-0.69617906475175728</v>
      </c>
      <c r="I380" s="69">
        <f t="shared" ca="1" si="86"/>
        <v>-3.6748018557651758E-2</v>
      </c>
      <c r="J380" s="69">
        <f t="shared" ca="1" si="86"/>
        <v>1.2806483085185827</v>
      </c>
      <c r="K380" s="69">
        <f t="shared" ca="1" si="86"/>
        <v>-3.7851826898751322E-2</v>
      </c>
      <c r="L380" s="69">
        <f t="shared" ca="1" si="86"/>
        <v>1.3013650761469502</v>
      </c>
      <c r="N380" s="69">
        <f t="shared" ca="1" si="74"/>
        <v>0.58286673913902232</v>
      </c>
      <c r="O380" s="69">
        <f t="shared" ca="1" si="75"/>
        <v>1.0603150829292132</v>
      </c>
      <c r="P380" s="69">
        <f t="shared" ca="1" si="76"/>
        <v>0.32570618402341928</v>
      </c>
      <c r="Q380" s="69">
        <f t="shared" ca="1" si="77"/>
        <v>-0.34694197023830403</v>
      </c>
      <c r="R380" s="69">
        <f t="shared" ca="1" si="78"/>
        <v>-1.1450351257202176</v>
      </c>
      <c r="S380" s="69">
        <f t="shared" ca="1" si="79"/>
        <v>-1.4034709342019078</v>
      </c>
      <c r="T380" s="69">
        <f t="shared" ca="1" si="80"/>
        <v>-0.70101010246694717</v>
      </c>
      <c r="U380" s="69">
        <f t="shared" ca="1" si="81"/>
        <v>-1.3707891679942102E-2</v>
      </c>
      <c r="V380" s="69">
        <f t="shared" ca="1" si="82"/>
        <v>1.2745387149449854</v>
      </c>
      <c r="W380" s="69">
        <f t="shared" ca="1" si="83"/>
        <v>-3.687047007465237E-2</v>
      </c>
      <c r="X380" s="69">
        <f t="shared" ca="1" si="84"/>
        <v>1.3285335665213858</v>
      </c>
    </row>
    <row r="381" spans="2:24" x14ac:dyDescent="0.2">
      <c r="B381" s="69">
        <f t="shared" ca="1" si="73"/>
        <v>-1.7020439894803647</v>
      </c>
      <c r="C381" s="69">
        <f t="shared" ca="1" si="86"/>
        <v>-0.33097938677041006</v>
      </c>
      <c r="D381" s="69">
        <f t="shared" ca="1" si="86"/>
        <v>-1.0402068317578039</v>
      </c>
      <c r="E381" s="69">
        <f t="shared" ca="1" si="86"/>
        <v>-1.0643522833642702</v>
      </c>
      <c r="F381" s="69">
        <f t="shared" ca="1" si="86"/>
        <v>0.43282745937815537</v>
      </c>
      <c r="G381" s="69">
        <f t="shared" ca="1" si="86"/>
        <v>-0.49467093243101395</v>
      </c>
      <c r="H381" s="69">
        <f t="shared" ca="1" si="86"/>
        <v>0.69450349874043871</v>
      </c>
      <c r="I381" s="69">
        <f t="shared" ca="1" si="86"/>
        <v>1.7740668163016398</v>
      </c>
      <c r="J381" s="69">
        <f t="shared" ca="1" si="86"/>
        <v>-1.3586732178958896</v>
      </c>
      <c r="K381" s="69">
        <f t="shared" ca="1" si="86"/>
        <v>1.4034117628942848</v>
      </c>
      <c r="L381" s="69">
        <f t="shared" ca="1" si="86"/>
        <v>-0.5096527721174241</v>
      </c>
      <c r="N381" s="69">
        <f t="shared" ca="1" si="74"/>
        <v>-1.664275945642256</v>
      </c>
      <c r="O381" s="69">
        <f t="shared" ca="1" si="75"/>
        <v>-0.35747294985329675</v>
      </c>
      <c r="P381" s="69">
        <f t="shared" ca="1" si="76"/>
        <v>-1.097948896594894</v>
      </c>
      <c r="Q381" s="69">
        <f t="shared" ca="1" si="77"/>
        <v>-1.0152436045025113</v>
      </c>
      <c r="R381" s="69">
        <f t="shared" ca="1" si="78"/>
        <v>0.42653277397050648</v>
      </c>
      <c r="S381" s="69">
        <f t="shared" ca="1" si="79"/>
        <v>-0.46184396017420548</v>
      </c>
      <c r="T381" s="69">
        <f t="shared" ca="1" si="80"/>
        <v>0.68967246102524882</v>
      </c>
      <c r="U381" s="69">
        <f t="shared" ca="1" si="81"/>
        <v>1.7971069431793494</v>
      </c>
      <c r="V381" s="69">
        <f t="shared" ca="1" si="82"/>
        <v>-1.3647828114694869</v>
      </c>
      <c r="W381" s="69">
        <f t="shared" ca="1" si="83"/>
        <v>1.4043931197183839</v>
      </c>
      <c r="X381" s="69">
        <f t="shared" ca="1" si="84"/>
        <v>-0.48248428174298863</v>
      </c>
    </row>
    <row r="382" spans="2:24" x14ac:dyDescent="0.2">
      <c r="B382" s="69">
        <f t="shared" ca="1" si="73"/>
        <v>0.1609385044277562</v>
      </c>
      <c r="C382" s="69">
        <f t="shared" ca="1" si="86"/>
        <v>0.13806051024744712</v>
      </c>
      <c r="D382" s="69">
        <f t="shared" ca="1" si="86"/>
        <v>1.4201596704944905</v>
      </c>
      <c r="E382" s="69">
        <f t="shared" ca="1" si="86"/>
        <v>0.69390016157114409</v>
      </c>
      <c r="F382" s="69">
        <f t="shared" ca="1" si="86"/>
        <v>-0.59083189253499313</v>
      </c>
      <c r="G382" s="69">
        <f t="shared" ca="1" si="86"/>
        <v>0.30200394976842404</v>
      </c>
      <c r="H382" s="69">
        <f t="shared" ca="1" si="86"/>
        <v>0.28847895468747575</v>
      </c>
      <c r="I382" s="69">
        <f t="shared" ca="1" si="86"/>
        <v>1.3681726115797177</v>
      </c>
      <c r="J382" s="69">
        <f t="shared" ca="1" si="86"/>
        <v>-0.93923347959193104</v>
      </c>
      <c r="K382" s="69">
        <f t="shared" ca="1" si="86"/>
        <v>1.7035718617132241</v>
      </c>
      <c r="L382" s="69">
        <f t="shared" ca="1" si="86"/>
        <v>1.1946994494319771</v>
      </c>
      <c r="N382" s="69">
        <f t="shared" ca="1" si="74"/>
        <v>0.19870654826586504</v>
      </c>
      <c r="O382" s="69">
        <f t="shared" ca="1" si="75"/>
        <v>0.11156694716456043</v>
      </c>
      <c r="P382" s="69">
        <f t="shared" ca="1" si="76"/>
        <v>1.3624176056574004</v>
      </c>
      <c r="Q382" s="69">
        <f t="shared" ca="1" si="77"/>
        <v>0.74300884043290305</v>
      </c>
      <c r="R382" s="69">
        <f t="shared" ca="1" si="78"/>
        <v>-0.59712657794264201</v>
      </c>
      <c r="S382" s="69">
        <f t="shared" ca="1" si="79"/>
        <v>0.33483092202523251</v>
      </c>
      <c r="T382" s="69">
        <f t="shared" ca="1" si="80"/>
        <v>0.28364791697228592</v>
      </c>
      <c r="U382" s="69">
        <f t="shared" ca="1" si="81"/>
        <v>1.3912127384574273</v>
      </c>
      <c r="V382" s="69">
        <f t="shared" ca="1" si="82"/>
        <v>-0.94534307316552835</v>
      </c>
      <c r="W382" s="69">
        <f t="shared" ca="1" si="83"/>
        <v>1.7045532185373231</v>
      </c>
      <c r="X382" s="69">
        <f t="shared" ca="1" si="84"/>
        <v>1.2218679398064127</v>
      </c>
    </row>
    <row r="383" spans="2:24" x14ac:dyDescent="0.2">
      <c r="B383" s="69">
        <f t="shared" ca="1" si="73"/>
        <v>-1.1996449232178206</v>
      </c>
      <c r="C383" s="69">
        <f t="shared" ca="1" si="86"/>
        <v>8.611221014571295E-2</v>
      </c>
      <c r="D383" s="69">
        <f t="shared" ca="1" si="86"/>
        <v>-0.33304080289742793</v>
      </c>
      <c r="E383" s="69">
        <f t="shared" ca="1" si="86"/>
        <v>-1.8061100400140913E-3</v>
      </c>
      <c r="F383" s="69">
        <f t="shared" ca="1" si="86"/>
        <v>-1.5144568206609519</v>
      </c>
      <c r="G383" s="69">
        <f t="shared" ca="1" si="86"/>
        <v>-0.9341153505783043</v>
      </c>
      <c r="H383" s="69">
        <f t="shared" ca="1" si="86"/>
        <v>0.46508823941559696</v>
      </c>
      <c r="I383" s="69">
        <f t="shared" ca="1" si="86"/>
        <v>0.9953610718715894</v>
      </c>
      <c r="J383" s="69">
        <f t="shared" ca="1" si="86"/>
        <v>-0.77145872233023072</v>
      </c>
      <c r="K383" s="69">
        <f t="shared" ca="1" si="86"/>
        <v>0.14731522322984192</v>
      </c>
      <c r="L383" s="69">
        <f t="shared" ca="1" si="86"/>
        <v>-0.73010135862700964</v>
      </c>
      <c r="N383" s="69">
        <f t="shared" ca="1" si="74"/>
        <v>-1.1618768793797118</v>
      </c>
      <c r="O383" s="69">
        <f t="shared" ca="1" si="75"/>
        <v>5.9618647062826269E-2</v>
      </c>
      <c r="P383" s="69">
        <f t="shared" ca="1" si="76"/>
        <v>-0.39078286773451798</v>
      </c>
      <c r="Q383" s="69">
        <f t="shared" ca="1" si="77"/>
        <v>4.7302568821744856E-2</v>
      </c>
      <c r="R383" s="69">
        <f t="shared" ca="1" si="78"/>
        <v>-1.5207515060686008</v>
      </c>
      <c r="S383" s="69">
        <f t="shared" ca="1" si="79"/>
        <v>-0.90128837832149578</v>
      </c>
      <c r="T383" s="69">
        <f t="shared" ca="1" si="80"/>
        <v>0.46025720170040713</v>
      </c>
      <c r="U383" s="69">
        <f t="shared" ca="1" si="81"/>
        <v>1.0184011987492991</v>
      </c>
      <c r="V383" s="69">
        <f t="shared" ca="1" si="82"/>
        <v>-0.77756831590382802</v>
      </c>
      <c r="W383" s="69">
        <f t="shared" ca="1" si="83"/>
        <v>0.14829658005394086</v>
      </c>
      <c r="X383" s="69">
        <f t="shared" ca="1" si="84"/>
        <v>-0.70293286825257417</v>
      </c>
    </row>
    <row r="384" spans="2:24" x14ac:dyDescent="0.2">
      <c r="B384" s="69">
        <f t="shared" ca="1" si="73"/>
        <v>0.28602359826831786</v>
      </c>
      <c r="C384" s="69">
        <f t="shared" ca="1" si="86"/>
        <v>-2.2858413499129573</v>
      </c>
      <c r="D384" s="69">
        <f t="shared" ca="1" si="86"/>
        <v>-0.19174589704005782</v>
      </c>
      <c r="E384" s="69">
        <f t="shared" ca="1" si="86"/>
        <v>-0.41016529925208534</v>
      </c>
      <c r="F384" s="69">
        <f t="shared" ca="1" si="86"/>
        <v>9.016409452925174E-2</v>
      </c>
      <c r="G384" s="69">
        <f t="shared" ca="1" si="86"/>
        <v>-0.75119884288832028</v>
      </c>
      <c r="H384" s="69">
        <f t="shared" ca="1" si="86"/>
        <v>0.45705835102721448</v>
      </c>
      <c r="I384" s="69">
        <f t="shared" ca="1" si="86"/>
        <v>-0.45620607759334286</v>
      </c>
      <c r="J384" s="69">
        <f t="shared" ca="1" si="86"/>
        <v>-1.2364557062765313</v>
      </c>
      <c r="K384" s="69">
        <f t="shared" ca="1" si="86"/>
        <v>1.1065029173667811</v>
      </c>
      <c r="L384" s="69">
        <f t="shared" ca="1" si="86"/>
        <v>0.11239954762618609</v>
      </c>
      <c r="N384" s="69">
        <f t="shared" ca="1" si="74"/>
        <v>0.32379164210642669</v>
      </c>
      <c r="O384" s="69">
        <f t="shared" ca="1" si="75"/>
        <v>-2.3123349129958441</v>
      </c>
      <c r="P384" s="69">
        <f t="shared" ca="1" si="76"/>
        <v>-0.24948796187714783</v>
      </c>
      <c r="Q384" s="69">
        <f t="shared" ca="1" si="77"/>
        <v>-0.36105662039032638</v>
      </c>
      <c r="R384" s="69">
        <f t="shared" ca="1" si="78"/>
        <v>8.3869409121602845E-2</v>
      </c>
      <c r="S384" s="69">
        <f t="shared" ca="1" si="79"/>
        <v>-0.71837187063151176</v>
      </c>
      <c r="T384" s="69">
        <f t="shared" ca="1" si="80"/>
        <v>0.45222731331202465</v>
      </c>
      <c r="U384" s="69">
        <f t="shared" ca="1" si="81"/>
        <v>-0.43316595071563319</v>
      </c>
      <c r="V384" s="69">
        <f t="shared" ca="1" si="82"/>
        <v>-1.2425652998501286</v>
      </c>
      <c r="W384" s="69">
        <f t="shared" ca="1" si="83"/>
        <v>1.1074842741908801</v>
      </c>
      <c r="X384" s="69">
        <f t="shared" ca="1" si="84"/>
        <v>0.13956803800062156</v>
      </c>
    </row>
    <row r="385" spans="2:24" x14ac:dyDescent="0.2">
      <c r="B385" s="69">
        <f t="shared" ca="1" si="73"/>
        <v>-0.89571452545126051</v>
      </c>
      <c r="C385" s="69">
        <f t="shared" ca="1" si="86"/>
        <v>-1.0926587313616958</v>
      </c>
      <c r="D385" s="69">
        <f t="shared" ca="1" si="86"/>
        <v>1.2907655310952407E-2</v>
      </c>
      <c r="E385" s="69">
        <f t="shared" ca="1" si="86"/>
        <v>-1.1287131088856359</v>
      </c>
      <c r="F385" s="69">
        <f t="shared" ca="1" si="86"/>
        <v>1.1316679446641238</v>
      </c>
      <c r="G385" s="69">
        <f t="shared" ca="1" si="86"/>
        <v>0.92755065050845908</v>
      </c>
      <c r="H385" s="69">
        <f t="shared" ca="1" si="86"/>
        <v>7.6305352747627356E-2</v>
      </c>
      <c r="I385" s="69">
        <f t="shared" ca="1" si="86"/>
        <v>1.5802444364480228</v>
      </c>
      <c r="J385" s="69">
        <f t="shared" ca="1" si="86"/>
        <v>1.3162956419215552</v>
      </c>
      <c r="K385" s="69">
        <f t="shared" ca="1" si="86"/>
        <v>-1.3552735009384853</v>
      </c>
      <c r="L385" s="69">
        <f t="shared" ca="1" si="86"/>
        <v>1.4101531170400177</v>
      </c>
      <c r="N385" s="69">
        <f t="shared" ca="1" si="74"/>
        <v>-0.85794648161315168</v>
      </c>
      <c r="O385" s="69">
        <f t="shared" ca="1" si="75"/>
        <v>-1.1191522944445824</v>
      </c>
      <c r="P385" s="69">
        <f t="shared" ca="1" si="76"/>
        <v>-4.4834409526137625E-2</v>
      </c>
      <c r="Q385" s="69">
        <f t="shared" ca="1" si="77"/>
        <v>-1.079604430023877</v>
      </c>
      <c r="R385" s="69">
        <f t="shared" ca="1" si="78"/>
        <v>1.1253732592564749</v>
      </c>
      <c r="S385" s="69">
        <f t="shared" ca="1" si="79"/>
        <v>0.96037762276526761</v>
      </c>
      <c r="T385" s="69">
        <f t="shared" ca="1" si="80"/>
        <v>7.1474315032437508E-2</v>
      </c>
      <c r="U385" s="69">
        <f t="shared" ca="1" si="81"/>
        <v>1.6032845633257324</v>
      </c>
      <c r="V385" s="69">
        <f t="shared" ca="1" si="82"/>
        <v>1.3101860483479579</v>
      </c>
      <c r="W385" s="69">
        <f t="shared" ca="1" si="83"/>
        <v>-1.3542921441143863</v>
      </c>
      <c r="X385" s="69">
        <f t="shared" ca="1" si="84"/>
        <v>1.4373216074144533</v>
      </c>
    </row>
    <row r="386" spans="2:24" x14ac:dyDescent="0.2">
      <c r="B386" s="69">
        <f t="shared" ca="1" si="73"/>
        <v>-0.50566324181869837</v>
      </c>
      <c r="C386" s="69">
        <f t="shared" ca="1" si="86"/>
        <v>-1.6650006442386494</v>
      </c>
      <c r="D386" s="69">
        <f t="shared" ca="1" si="86"/>
        <v>0.24398721990231917</v>
      </c>
      <c r="E386" s="69">
        <f t="shared" ca="1" si="86"/>
        <v>0.20219296824672833</v>
      </c>
      <c r="F386" s="69">
        <f t="shared" ca="1" si="86"/>
        <v>0.31190973283849238</v>
      </c>
      <c r="G386" s="69">
        <f t="shared" ca="1" si="86"/>
        <v>-1.7259761217440288</v>
      </c>
      <c r="H386" s="69">
        <f t="shared" ca="1" si="86"/>
        <v>-0.5943788697704887</v>
      </c>
      <c r="I386" s="69">
        <f t="shared" ca="1" si="86"/>
        <v>-1.0258130474758729</v>
      </c>
      <c r="J386" s="69">
        <f t="shared" ca="1" si="86"/>
        <v>0.66081533995798025</v>
      </c>
      <c r="K386" s="69">
        <f t="shared" ca="1" si="86"/>
        <v>1.4830439851840735</v>
      </c>
      <c r="L386" s="69">
        <f t="shared" ca="1" si="86"/>
        <v>0.17464003417179039</v>
      </c>
      <c r="N386" s="69">
        <f t="shared" ca="1" si="74"/>
        <v>-0.46789519798058954</v>
      </c>
      <c r="O386" s="69">
        <f t="shared" ca="1" si="75"/>
        <v>-1.691494207321536</v>
      </c>
      <c r="P386" s="69">
        <f t="shared" ca="1" si="76"/>
        <v>0.18624515506522915</v>
      </c>
      <c r="Q386" s="69">
        <f t="shared" ca="1" si="77"/>
        <v>0.25130164710848729</v>
      </c>
      <c r="R386" s="69">
        <f t="shared" ca="1" si="78"/>
        <v>0.3056150474308435</v>
      </c>
      <c r="S386" s="69">
        <f t="shared" ca="1" si="79"/>
        <v>-1.6931491494872204</v>
      </c>
      <c r="T386" s="69">
        <f t="shared" ca="1" si="80"/>
        <v>-0.59920990748567859</v>
      </c>
      <c r="U386" s="69">
        <f t="shared" ca="1" si="81"/>
        <v>-1.0027729205981633</v>
      </c>
      <c r="V386" s="69">
        <f t="shared" ca="1" si="82"/>
        <v>0.65470574638438295</v>
      </c>
      <c r="W386" s="69">
        <f t="shared" ca="1" si="83"/>
        <v>1.4840253420081726</v>
      </c>
      <c r="X386" s="69">
        <f t="shared" ca="1" si="84"/>
        <v>0.20180852454622586</v>
      </c>
    </row>
    <row r="387" spans="2:24" x14ac:dyDescent="0.2">
      <c r="B387" s="69">
        <f t="shared" ca="1" si="73"/>
        <v>0.37978639570011952</v>
      </c>
      <c r="C387" s="69">
        <f t="shared" ca="1" si="86"/>
        <v>-0.36381125443170059</v>
      </c>
      <c r="D387" s="69">
        <f t="shared" ca="1" si="86"/>
        <v>1.2888295853054681</v>
      </c>
      <c r="E387" s="69">
        <f t="shared" ca="1" si="86"/>
        <v>0.69800472069244057</v>
      </c>
      <c r="F387" s="69">
        <f t="shared" ca="1" si="86"/>
        <v>1.7594191349585051</v>
      </c>
      <c r="G387" s="69">
        <f t="shared" ca="1" si="86"/>
        <v>1.916671466924079</v>
      </c>
      <c r="H387" s="69">
        <f t="shared" ca="1" si="86"/>
        <v>0.67214469174542257</v>
      </c>
      <c r="I387" s="69">
        <f t="shared" ca="1" si="86"/>
        <v>0.72473565500691706</v>
      </c>
      <c r="J387" s="69">
        <f t="shared" ca="1" si="86"/>
        <v>0.7442160646235032</v>
      </c>
      <c r="K387" s="69">
        <f t="shared" ca="1" si="86"/>
        <v>3.2604046963502582</v>
      </c>
      <c r="L387" s="69">
        <f t="shared" ca="1" si="86"/>
        <v>1.3644742278086488</v>
      </c>
      <c r="N387" s="69">
        <f t="shared" ca="1" si="74"/>
        <v>0.41755443953822835</v>
      </c>
      <c r="O387" s="69">
        <f t="shared" ca="1" si="75"/>
        <v>-0.39030481751458729</v>
      </c>
      <c r="P387" s="69">
        <f t="shared" ca="1" si="76"/>
        <v>1.231087520468378</v>
      </c>
      <c r="Q387" s="69">
        <f t="shared" ca="1" si="77"/>
        <v>0.74711339955419953</v>
      </c>
      <c r="R387" s="69">
        <f t="shared" ca="1" si="78"/>
        <v>1.7531244495508562</v>
      </c>
      <c r="S387" s="69">
        <f t="shared" ca="1" si="79"/>
        <v>1.9494984391808874</v>
      </c>
      <c r="T387" s="69">
        <f t="shared" ca="1" si="80"/>
        <v>0.66731365403023268</v>
      </c>
      <c r="U387" s="69">
        <f t="shared" ca="1" si="81"/>
        <v>0.74777578188462668</v>
      </c>
      <c r="V387" s="69">
        <f t="shared" ca="1" si="82"/>
        <v>0.7381064710499059</v>
      </c>
      <c r="W387" s="69">
        <f t="shared" ca="1" si="83"/>
        <v>3.2613860531743573</v>
      </c>
      <c r="X387" s="69">
        <f t="shared" ca="1" si="84"/>
        <v>1.3916427181830844</v>
      </c>
    </row>
    <row r="388" spans="2:24" x14ac:dyDescent="0.2">
      <c r="B388" s="69">
        <f t="shared" ca="1" si="73"/>
        <v>0.4103429885124244</v>
      </c>
      <c r="C388" s="69">
        <f t="shared" ca="1" si="86"/>
        <v>-0.78831160603427253</v>
      </c>
      <c r="D388" s="69">
        <f t="shared" ca="1" si="86"/>
        <v>0.80468340879441136</v>
      </c>
      <c r="E388" s="69">
        <f t="shared" ca="1" si="86"/>
        <v>-0.48220227283224731</v>
      </c>
      <c r="F388" s="69">
        <f t="shared" ca="1" si="86"/>
        <v>0.58776549108539633</v>
      </c>
      <c r="G388" s="69">
        <f t="shared" ca="1" si="86"/>
        <v>0.93182389687765321</v>
      </c>
      <c r="H388" s="69">
        <f t="shared" ca="1" si="86"/>
        <v>-1.3150610862671208</v>
      </c>
      <c r="I388" s="69">
        <f t="shared" ca="1" si="86"/>
        <v>-0.72871921492093428</v>
      </c>
      <c r="J388" s="69">
        <f t="shared" ca="1" si="86"/>
        <v>-2.5045313260478361E-2</v>
      </c>
      <c r="K388" s="69">
        <f t="shared" ca="1" si="86"/>
        <v>-0.43721948769925573</v>
      </c>
      <c r="L388" s="69">
        <f t="shared" ca="1" si="86"/>
        <v>-0.3453016811225148</v>
      </c>
      <c r="N388" s="69">
        <f t="shared" ca="1" si="74"/>
        <v>0.44811103235053323</v>
      </c>
      <c r="O388" s="69">
        <f t="shared" ca="1" si="75"/>
        <v>-0.81480516911715917</v>
      </c>
      <c r="P388" s="69">
        <f t="shared" ca="1" si="76"/>
        <v>0.74694134395732137</v>
      </c>
      <c r="Q388" s="69">
        <f t="shared" ca="1" si="77"/>
        <v>-0.43309359397048836</v>
      </c>
      <c r="R388" s="69">
        <f t="shared" ca="1" si="78"/>
        <v>0.58147080567774745</v>
      </c>
      <c r="S388" s="69">
        <f t="shared" ca="1" si="79"/>
        <v>0.96465086913446174</v>
      </c>
      <c r="T388" s="69">
        <f t="shared" ca="1" si="80"/>
        <v>-1.3198921239823107</v>
      </c>
      <c r="U388" s="69">
        <f t="shared" ca="1" si="81"/>
        <v>-0.70567908804322466</v>
      </c>
      <c r="V388" s="69">
        <f t="shared" ca="1" si="82"/>
        <v>-3.115490683407569E-2</v>
      </c>
      <c r="W388" s="69">
        <f t="shared" ca="1" si="83"/>
        <v>-0.43623813087515678</v>
      </c>
      <c r="X388" s="69">
        <f t="shared" ca="1" si="84"/>
        <v>-0.31813319074807933</v>
      </c>
    </row>
    <row r="389" spans="2:24" x14ac:dyDescent="0.2">
      <c r="B389" s="69">
        <f t="shared" ca="1" si="73"/>
        <v>0.17176081798337361</v>
      </c>
      <c r="C389" s="69">
        <f t="shared" ca="1" si="86"/>
        <v>-0.35350617017241409</v>
      </c>
      <c r="D389" s="69">
        <f t="shared" ca="1" si="86"/>
        <v>-1.4696648316916774</v>
      </c>
      <c r="E389" s="69">
        <f t="shared" ca="1" si="86"/>
        <v>0.48275935532730979</v>
      </c>
      <c r="F389" s="69">
        <f t="shared" ca="1" si="86"/>
        <v>-0.2729838745023731</v>
      </c>
      <c r="G389" s="69">
        <f t="shared" ca="1" si="86"/>
        <v>-6.1723149672693482E-2</v>
      </c>
      <c r="H389" s="69">
        <f t="shared" ca="1" si="86"/>
        <v>1.5916148405549901</v>
      </c>
      <c r="I389" s="69">
        <f t="shared" ca="1" si="86"/>
        <v>1.5851627366754086</v>
      </c>
      <c r="J389" s="69">
        <f t="shared" ca="1" si="86"/>
        <v>1.2986360720011112</v>
      </c>
      <c r="K389" s="69">
        <f t="shared" ca="1" si="86"/>
        <v>-2.1860217896385903</v>
      </c>
      <c r="L389" s="69">
        <f t="shared" ca="1" si="86"/>
        <v>-1.1855946061321527</v>
      </c>
      <c r="N389" s="69">
        <f t="shared" ca="1" si="74"/>
        <v>0.20952886182148245</v>
      </c>
      <c r="O389" s="69">
        <f t="shared" ca="1" si="75"/>
        <v>-0.37999973325530079</v>
      </c>
      <c r="P389" s="69">
        <f t="shared" ca="1" si="76"/>
        <v>-1.5274068965287675</v>
      </c>
      <c r="Q389" s="69">
        <f t="shared" ca="1" si="77"/>
        <v>0.53186803418906869</v>
      </c>
      <c r="R389" s="69">
        <f t="shared" ca="1" si="78"/>
        <v>-0.27927855991002198</v>
      </c>
      <c r="S389" s="69">
        <f t="shared" ca="1" si="79"/>
        <v>-2.8896177415885002E-2</v>
      </c>
      <c r="T389" s="69">
        <f t="shared" ca="1" si="80"/>
        <v>1.5867838028398003</v>
      </c>
      <c r="U389" s="69">
        <f t="shared" ca="1" si="81"/>
        <v>1.6082028635531183</v>
      </c>
      <c r="V389" s="69">
        <f t="shared" ca="1" si="82"/>
        <v>1.2925264784275139</v>
      </c>
      <c r="W389" s="69">
        <f t="shared" ca="1" si="83"/>
        <v>-2.1850404328144912</v>
      </c>
      <c r="X389" s="69">
        <f t="shared" ca="1" si="84"/>
        <v>-1.1584261157577171</v>
      </c>
    </row>
    <row r="390" spans="2:24" x14ac:dyDescent="0.2">
      <c r="B390" s="69">
        <f t="shared" ca="1" si="73"/>
        <v>-0.72544549883027998</v>
      </c>
      <c r="C390" s="69">
        <f t="shared" ca="1" si="86"/>
        <v>0.23311608927858865</v>
      </c>
      <c r="D390" s="69">
        <f t="shared" ca="1" si="86"/>
        <v>-0.10489323910121622</v>
      </c>
      <c r="E390" s="69">
        <f t="shared" ca="1" si="86"/>
        <v>-0.80762427239889156</v>
      </c>
      <c r="F390" s="69">
        <f t="shared" ca="1" si="86"/>
        <v>-1.2651629150346306</v>
      </c>
      <c r="G390" s="69">
        <f t="shared" ca="1" si="86"/>
        <v>8.7240569733582768E-2</v>
      </c>
      <c r="H390" s="69">
        <f t="shared" ca="1" si="86"/>
        <v>1.350823632132035</v>
      </c>
      <c r="I390" s="69">
        <f t="shared" ca="1" si="86"/>
        <v>-0.2158643526658833</v>
      </c>
      <c r="J390" s="69">
        <f t="shared" ca="1" si="86"/>
        <v>-1.4671679616454585</v>
      </c>
      <c r="K390" s="69">
        <f t="shared" ca="1" si="86"/>
        <v>-0.86614595494077073</v>
      </c>
      <c r="L390" s="69">
        <f t="shared" ca="1" si="86"/>
        <v>1.6134693001785263</v>
      </c>
      <c r="N390" s="69">
        <f t="shared" ca="1" si="74"/>
        <v>-0.68767745499217114</v>
      </c>
      <c r="O390" s="69">
        <f t="shared" ca="1" si="75"/>
        <v>0.20662252619570196</v>
      </c>
      <c r="P390" s="69">
        <f t="shared" ca="1" si="76"/>
        <v>-0.16263530393830625</v>
      </c>
      <c r="Q390" s="69">
        <f t="shared" ca="1" si="77"/>
        <v>-0.7585155935371326</v>
      </c>
      <c r="R390" s="69">
        <f t="shared" ca="1" si="78"/>
        <v>-1.2714576004422795</v>
      </c>
      <c r="S390" s="69">
        <f t="shared" ca="1" si="79"/>
        <v>0.12006754199039124</v>
      </c>
      <c r="T390" s="69">
        <f t="shared" ca="1" si="80"/>
        <v>1.3459925944168452</v>
      </c>
      <c r="U390" s="69">
        <f t="shared" ca="1" si="81"/>
        <v>-0.19282422578817365</v>
      </c>
      <c r="V390" s="69">
        <f t="shared" ca="1" si="82"/>
        <v>-1.4732775552190558</v>
      </c>
      <c r="W390" s="69">
        <f t="shared" ca="1" si="83"/>
        <v>-0.86516459811667179</v>
      </c>
      <c r="X390" s="69">
        <f t="shared" ca="1" si="84"/>
        <v>1.6406377905529619</v>
      </c>
    </row>
    <row r="391" spans="2:24" x14ac:dyDescent="0.2">
      <c r="B391" s="69">
        <f t="shared" ca="1" si="73"/>
        <v>0.26382290275295028</v>
      </c>
      <c r="C391" s="69">
        <f t="shared" ca="1" si="86"/>
        <v>-8.6911121806724015E-2</v>
      </c>
      <c r="D391" s="69">
        <f t="shared" ca="1" si="86"/>
        <v>-0.13856768556317153</v>
      </c>
      <c r="E391" s="69">
        <f t="shared" ca="1" si="86"/>
        <v>1.9320719197110157</v>
      </c>
      <c r="F391" s="69">
        <f t="shared" ca="1" si="86"/>
        <v>0.58328698776062182</v>
      </c>
      <c r="G391" s="69">
        <f t="shared" ca="1" si="86"/>
        <v>0.76899596491000211</v>
      </c>
      <c r="H391" s="69">
        <f t="shared" ca="1" si="86"/>
        <v>-0.33629963605488483</v>
      </c>
      <c r="I391" s="69">
        <f t="shared" ca="1" si="86"/>
        <v>-1.1951050962217267</v>
      </c>
      <c r="J391" s="69">
        <f t="shared" ca="1" si="86"/>
        <v>-1.1678204933838974</v>
      </c>
      <c r="K391" s="69">
        <f t="shared" ca="1" si="86"/>
        <v>0.66042792181998877</v>
      </c>
      <c r="L391" s="69">
        <f t="shared" ca="1" si="86"/>
        <v>0.59029461991426135</v>
      </c>
      <c r="N391" s="69">
        <f t="shared" ca="1" si="74"/>
        <v>0.30159094659105912</v>
      </c>
      <c r="O391" s="69">
        <f t="shared" ca="1" si="75"/>
        <v>-0.1134046848896107</v>
      </c>
      <c r="P391" s="69">
        <f t="shared" ca="1" si="76"/>
        <v>-0.19630975040026155</v>
      </c>
      <c r="Q391" s="69">
        <f t="shared" ca="1" si="77"/>
        <v>1.9811805985727746</v>
      </c>
      <c r="R391" s="69">
        <f t="shared" ca="1" si="78"/>
        <v>0.57699230235297294</v>
      </c>
      <c r="S391" s="69">
        <f t="shared" ca="1" si="79"/>
        <v>0.80182293716681063</v>
      </c>
      <c r="T391" s="69">
        <f t="shared" ca="1" si="80"/>
        <v>-0.34113067377007467</v>
      </c>
      <c r="U391" s="69">
        <f t="shared" ca="1" si="81"/>
        <v>-1.172064969344017</v>
      </c>
      <c r="V391" s="69">
        <f t="shared" ca="1" si="82"/>
        <v>-1.1739300869574947</v>
      </c>
      <c r="W391" s="69">
        <f t="shared" ca="1" si="83"/>
        <v>0.66140927864408772</v>
      </c>
      <c r="X391" s="69">
        <f t="shared" ca="1" si="84"/>
        <v>0.61746311028869683</v>
      </c>
    </row>
    <row r="392" spans="2:24" x14ac:dyDescent="0.2">
      <c r="B392" s="69">
        <f t="shared" ca="1" si="73"/>
        <v>1.4240247984235008</v>
      </c>
      <c r="C392" s="69">
        <f t="shared" ca="1" si="86"/>
        <v>0.13384553075259772</v>
      </c>
      <c r="D392" s="69">
        <f t="shared" ca="1" si="86"/>
        <v>0.14301854217691359</v>
      </c>
      <c r="E392" s="69">
        <f t="shared" ca="1" si="86"/>
        <v>0.27130432155900758</v>
      </c>
      <c r="F392" s="69">
        <f t="shared" ca="1" si="86"/>
        <v>1.1398716040572487</v>
      </c>
      <c r="G392" s="69">
        <f t="shared" ca="1" si="86"/>
        <v>0.23365504554794345</v>
      </c>
      <c r="H392" s="69">
        <f t="shared" ca="1" si="86"/>
        <v>0.59774861855974815</v>
      </c>
      <c r="I392" s="69">
        <f t="shared" ca="1" si="86"/>
        <v>1.3354612421519503</v>
      </c>
      <c r="J392" s="69">
        <f t="shared" ca="1" si="86"/>
        <v>0.7651977877366779</v>
      </c>
      <c r="K392" s="69">
        <f t="shared" ca="1" si="86"/>
        <v>-0.56020666234372829</v>
      </c>
      <c r="L392" s="69">
        <f t="shared" ca="1" si="86"/>
        <v>0.60362912436776739</v>
      </c>
      <c r="N392" s="69">
        <f t="shared" ca="1" si="74"/>
        <v>1.4617928422616095</v>
      </c>
      <c r="O392" s="69">
        <f t="shared" ca="1" si="75"/>
        <v>0.10735196766971104</v>
      </c>
      <c r="P392" s="69">
        <f t="shared" ca="1" si="76"/>
        <v>8.5276477339823561E-2</v>
      </c>
      <c r="Q392" s="69">
        <f t="shared" ca="1" si="77"/>
        <v>0.32041300042076654</v>
      </c>
      <c r="R392" s="69">
        <f t="shared" ca="1" si="78"/>
        <v>1.1335769186495999</v>
      </c>
      <c r="S392" s="69">
        <f t="shared" ca="1" si="79"/>
        <v>0.26648201780475195</v>
      </c>
      <c r="T392" s="69">
        <f t="shared" ca="1" si="80"/>
        <v>0.59291758084455826</v>
      </c>
      <c r="U392" s="69">
        <f t="shared" ca="1" si="81"/>
        <v>1.3585013690296599</v>
      </c>
      <c r="V392" s="69">
        <f t="shared" ca="1" si="82"/>
        <v>0.7590881941630806</v>
      </c>
      <c r="W392" s="69">
        <f t="shared" ca="1" si="83"/>
        <v>-0.55922530551962935</v>
      </c>
      <c r="X392" s="69">
        <f t="shared" ca="1" si="84"/>
        <v>0.63079761474220286</v>
      </c>
    </row>
    <row r="393" spans="2:24" x14ac:dyDescent="0.2">
      <c r="B393" s="69">
        <f t="shared" ca="1" si="73"/>
        <v>0.50462688596472516</v>
      </c>
      <c r="C393" s="69">
        <f t="shared" ca="1" si="86"/>
        <v>-0.2430179368832503</v>
      </c>
      <c r="D393" s="69">
        <f t="shared" ca="1" si="86"/>
        <v>2.1795649340860175</v>
      </c>
      <c r="E393" s="69">
        <f t="shared" ca="1" si="86"/>
        <v>-0.25708523815544143</v>
      </c>
      <c r="F393" s="69">
        <f t="shared" ca="1" si="86"/>
        <v>-0.90606665870395675</v>
      </c>
      <c r="G393" s="69">
        <f t="shared" ca="1" si="86"/>
        <v>1.9469789428736766</v>
      </c>
      <c r="H393" s="69">
        <f t="shared" ca="1" si="86"/>
        <v>-0.2317421540186162</v>
      </c>
      <c r="I393" s="69">
        <f t="shared" ca="1" si="86"/>
        <v>-8.1880644309931888E-2</v>
      </c>
      <c r="J393" s="69">
        <f t="shared" ca="1" si="86"/>
        <v>0.65965927744613062</v>
      </c>
      <c r="K393" s="69">
        <f t="shared" ca="1" si="86"/>
        <v>-0.27098571355674883</v>
      </c>
      <c r="L393" s="69">
        <f t="shared" ca="1" si="86"/>
        <v>-1.4550556027416313</v>
      </c>
      <c r="N393" s="69">
        <f t="shared" ca="1" si="74"/>
        <v>0.54239492980283399</v>
      </c>
      <c r="O393" s="69">
        <f t="shared" ca="1" si="75"/>
        <v>-0.26951149996613699</v>
      </c>
      <c r="P393" s="69">
        <f t="shared" ca="1" si="76"/>
        <v>2.1218228692489274</v>
      </c>
      <c r="Q393" s="69">
        <f t="shared" ca="1" si="77"/>
        <v>-0.20797655929368247</v>
      </c>
      <c r="R393" s="69">
        <f t="shared" ca="1" si="78"/>
        <v>-0.91236134411160563</v>
      </c>
      <c r="S393" s="69">
        <f t="shared" ca="1" si="79"/>
        <v>1.979805915130485</v>
      </c>
      <c r="T393" s="69">
        <f t="shared" ca="1" si="80"/>
        <v>-0.23657319173380603</v>
      </c>
      <c r="U393" s="69">
        <f t="shared" ca="1" si="81"/>
        <v>-5.8840517432222232E-2</v>
      </c>
      <c r="V393" s="69">
        <f t="shared" ca="1" si="82"/>
        <v>0.65354968387253332</v>
      </c>
      <c r="W393" s="69">
        <f t="shared" ca="1" si="83"/>
        <v>-0.27000435673264989</v>
      </c>
      <c r="X393" s="69">
        <f t="shared" ca="1" si="84"/>
        <v>-1.4278871123671957</v>
      </c>
    </row>
    <row r="394" spans="2:24" x14ac:dyDescent="0.2">
      <c r="B394" s="69">
        <f t="shared" ref="B394:B457" ca="1" si="87">NORMINV(RAND(),$C$7,$F$7)</f>
        <v>1.0880003168959307</v>
      </c>
      <c r="C394" s="69">
        <f t="shared" ca="1" si="86"/>
        <v>-1.3165384290650186</v>
      </c>
      <c r="D394" s="69">
        <f t="shared" ca="1" si="86"/>
        <v>-0.50662999721809143</v>
      </c>
      <c r="E394" s="69">
        <f t="shared" ca="1" si="86"/>
        <v>1.4706748817507842</v>
      </c>
      <c r="F394" s="69">
        <f t="shared" ca="1" si="86"/>
        <v>3.4033358902100189E-3</v>
      </c>
      <c r="G394" s="69">
        <f t="shared" ca="1" si="86"/>
        <v>-1.5059089793710307</v>
      </c>
      <c r="H394" s="69">
        <f t="shared" ca="1" si="86"/>
        <v>-0.2079118846937438</v>
      </c>
      <c r="I394" s="69">
        <f t="shared" ca="1" si="86"/>
        <v>0.55879135888850828</v>
      </c>
      <c r="J394" s="69">
        <f t="shared" ca="1" si="86"/>
        <v>0.6515604683738776</v>
      </c>
      <c r="K394" s="69">
        <f t="shared" ca="1" si="86"/>
        <v>-1.331634574464327</v>
      </c>
      <c r="L394" s="69">
        <f t="shared" ca="1" si="86"/>
        <v>0.67819930030731668</v>
      </c>
      <c r="N394" s="69">
        <f t="shared" ref="N394:N457" ca="1" si="88">B394-$B$1010</f>
        <v>1.1257683607340394</v>
      </c>
      <c r="O394" s="69">
        <f t="shared" ref="O394:O457" ca="1" si="89">C394-$C$1010</f>
        <v>-1.3430319921479053</v>
      </c>
      <c r="P394" s="69">
        <f t="shared" ref="P394:P457" ca="1" si="90">D394-$D$1010</f>
        <v>-0.56437206205518142</v>
      </c>
      <c r="Q394" s="69">
        <f t="shared" ref="Q394:Q457" ca="1" si="91">E394-$E$1010</f>
        <v>1.5197835606125432</v>
      </c>
      <c r="R394" s="69">
        <f t="shared" ref="R394:R457" ca="1" si="92">F394-$F$1010</f>
        <v>-2.891349517438877E-3</v>
      </c>
      <c r="S394" s="69">
        <f t="shared" ref="S394:S457" ca="1" si="93">G394-$G$1010</f>
        <v>-1.4730820071142223</v>
      </c>
      <c r="T394" s="69">
        <f t="shared" ref="T394:T457" ca="1" si="94">H394-$H$1010</f>
        <v>-0.21274292240893364</v>
      </c>
      <c r="U394" s="69">
        <f t="shared" ref="U394:U457" ca="1" si="95">I394-$I$1010</f>
        <v>0.5818314857662179</v>
      </c>
      <c r="V394" s="69">
        <f t="shared" ref="V394:V457" ca="1" si="96">J394-$J$1010</f>
        <v>0.64545087480028029</v>
      </c>
      <c r="W394" s="69">
        <f t="shared" ref="W394:W457" ca="1" si="97">K394-$K$1010</f>
        <v>-1.3306532176402279</v>
      </c>
      <c r="X394" s="69">
        <f t="shared" ref="X394:X457" ca="1" si="98">L394-$L$1010</f>
        <v>0.70536779068175215</v>
      </c>
    </row>
    <row r="395" spans="2:24" x14ac:dyDescent="0.2">
      <c r="B395" s="69">
        <f t="shared" ca="1" si="87"/>
        <v>-2.1495252030950294</v>
      </c>
      <c r="C395" s="69">
        <f t="shared" ca="1" si="86"/>
        <v>2.3437928039202107E-2</v>
      </c>
      <c r="D395" s="69">
        <f t="shared" ca="1" si="86"/>
        <v>0.61880426131064492</v>
      </c>
      <c r="E395" s="69">
        <f t="shared" ca="1" si="86"/>
        <v>-2.6257978526896313</v>
      </c>
      <c r="F395" s="69">
        <f t="shared" ca="1" si="86"/>
        <v>1.2338228468539534</v>
      </c>
      <c r="G395" s="69">
        <f t="shared" ca="1" si="86"/>
        <v>-1.8047592422885197</v>
      </c>
      <c r="H395" s="69">
        <f t="shared" ca="1" si="86"/>
        <v>-0.36359385513517861</v>
      </c>
      <c r="I395" s="69">
        <f t="shared" ca="1" si="86"/>
        <v>0.23058400384323488</v>
      </c>
      <c r="J395" s="69">
        <f t="shared" ca="1" si="86"/>
        <v>0.20388002896832494</v>
      </c>
      <c r="K395" s="69">
        <f t="shared" ca="1" si="86"/>
        <v>-1.3140445142603518</v>
      </c>
      <c r="L395" s="69">
        <f t="shared" ca="1" si="86"/>
        <v>1.3806950073775788</v>
      </c>
      <c r="N395" s="69">
        <f t="shared" ca="1" si="88"/>
        <v>-2.1117571592569204</v>
      </c>
      <c r="O395" s="69">
        <f t="shared" ca="1" si="89"/>
        <v>-3.0556350436845778E-3</v>
      </c>
      <c r="P395" s="69">
        <f t="shared" ca="1" si="90"/>
        <v>0.56106219647355493</v>
      </c>
      <c r="Q395" s="69">
        <f t="shared" ca="1" si="91"/>
        <v>-2.5766891738278725</v>
      </c>
      <c r="R395" s="69">
        <f t="shared" ca="1" si="92"/>
        <v>1.2275281614463045</v>
      </c>
      <c r="S395" s="69">
        <f t="shared" ca="1" si="93"/>
        <v>-1.7719322700317113</v>
      </c>
      <c r="T395" s="69">
        <f t="shared" ca="1" si="94"/>
        <v>-0.36842489285036845</v>
      </c>
      <c r="U395" s="69">
        <f t="shared" ca="1" si="95"/>
        <v>0.25362413072094453</v>
      </c>
      <c r="V395" s="69">
        <f t="shared" ca="1" si="96"/>
        <v>0.19777043539472761</v>
      </c>
      <c r="W395" s="69">
        <f t="shared" ca="1" si="97"/>
        <v>-1.3130631574362528</v>
      </c>
      <c r="X395" s="69">
        <f t="shared" ca="1" si="98"/>
        <v>1.4078634977520144</v>
      </c>
    </row>
    <row r="396" spans="2:24" x14ac:dyDescent="0.2">
      <c r="B396" s="69">
        <f t="shared" ca="1" si="87"/>
        <v>0.7421863024735148</v>
      </c>
      <c r="C396" s="69">
        <f t="shared" ca="1" si="86"/>
        <v>-1.4032465679775252</v>
      </c>
      <c r="D396" s="69">
        <f t="shared" ca="1" si="86"/>
        <v>0.16398776336392065</v>
      </c>
      <c r="E396" s="69">
        <f t="shared" ca="1" si="86"/>
        <v>0.41878908076896959</v>
      </c>
      <c r="F396" s="69">
        <f t="shared" ca="1" si="86"/>
        <v>1.0456363018637265</v>
      </c>
      <c r="G396" s="69">
        <f t="shared" ca="1" si="86"/>
        <v>1.270944410485606</v>
      </c>
      <c r="H396" s="69">
        <f t="shared" ca="1" si="86"/>
        <v>0.50257616437206321</v>
      </c>
      <c r="I396" s="69">
        <f t="shared" ca="1" si="86"/>
        <v>0.5029317426524198</v>
      </c>
      <c r="J396" s="69">
        <f t="shared" ca="1" si="86"/>
        <v>0.22051105152371747</v>
      </c>
      <c r="K396" s="69">
        <f t="shared" ca="1" si="86"/>
        <v>0.86111871801146256</v>
      </c>
      <c r="L396" s="69">
        <f t="shared" ca="1" si="86"/>
        <v>-0.75640132517492198</v>
      </c>
      <c r="N396" s="69">
        <f t="shared" ca="1" si="88"/>
        <v>0.77995434631162364</v>
      </c>
      <c r="O396" s="69">
        <f t="shared" ca="1" si="89"/>
        <v>-1.4297401310604119</v>
      </c>
      <c r="P396" s="69">
        <f t="shared" ca="1" si="90"/>
        <v>0.10624569852683062</v>
      </c>
      <c r="Q396" s="69">
        <f t="shared" ca="1" si="91"/>
        <v>0.46789775963072855</v>
      </c>
      <c r="R396" s="69">
        <f t="shared" ca="1" si="92"/>
        <v>1.0393416164560776</v>
      </c>
      <c r="S396" s="69">
        <f t="shared" ca="1" si="93"/>
        <v>1.3037713827424144</v>
      </c>
      <c r="T396" s="69">
        <f t="shared" ca="1" si="94"/>
        <v>0.49774512665687337</v>
      </c>
      <c r="U396" s="69">
        <f t="shared" ca="1" si="95"/>
        <v>0.52597186953012942</v>
      </c>
      <c r="V396" s="69">
        <f t="shared" ca="1" si="96"/>
        <v>0.21440145795012014</v>
      </c>
      <c r="W396" s="69">
        <f t="shared" ca="1" si="97"/>
        <v>0.8621000748355615</v>
      </c>
      <c r="X396" s="69">
        <f t="shared" ca="1" si="98"/>
        <v>-0.72923283480048651</v>
      </c>
    </row>
    <row r="397" spans="2:24" x14ac:dyDescent="0.2">
      <c r="B397" s="69">
        <f t="shared" ca="1" si="87"/>
        <v>1.6500228604373506</v>
      </c>
      <c r="C397" s="69">
        <f t="shared" ca="1" si="86"/>
        <v>0.9322265424043612</v>
      </c>
      <c r="D397" s="69">
        <f t="shared" ca="1" si="86"/>
        <v>1.5242048362757952</v>
      </c>
      <c r="E397" s="69">
        <f t="shared" ca="1" si="86"/>
        <v>-0.55395964233968908</v>
      </c>
      <c r="F397" s="69">
        <f t="shared" ca="1" si="86"/>
        <v>-0.89762155406343991</v>
      </c>
      <c r="G397" s="69">
        <f t="shared" ca="1" si="86"/>
        <v>0.3470614228577022</v>
      </c>
      <c r="H397" s="69">
        <f t="shared" ca="1" si="86"/>
        <v>1.0475607660208039</v>
      </c>
      <c r="I397" s="69">
        <f t="shared" ca="1" si="86"/>
        <v>8.1129114515582801E-2</v>
      </c>
      <c r="J397" s="69">
        <f t="shared" ca="1" si="86"/>
        <v>-0.25658075451411189</v>
      </c>
      <c r="K397" s="69">
        <f t="shared" ca="1" si="86"/>
        <v>-2.0002451600080118</v>
      </c>
      <c r="L397" s="69">
        <f t="shared" ca="1" si="86"/>
        <v>1.4685692498055734</v>
      </c>
      <c r="N397" s="69">
        <f t="shared" ca="1" si="88"/>
        <v>1.6877909042754593</v>
      </c>
      <c r="O397" s="69">
        <f t="shared" ca="1" si="89"/>
        <v>0.90573297932147456</v>
      </c>
      <c r="P397" s="69">
        <f t="shared" ca="1" si="90"/>
        <v>1.4664627714387051</v>
      </c>
      <c r="Q397" s="69">
        <f t="shared" ca="1" si="91"/>
        <v>-0.50485096347793013</v>
      </c>
      <c r="R397" s="69">
        <f t="shared" ca="1" si="92"/>
        <v>-0.90391623947108879</v>
      </c>
      <c r="S397" s="69">
        <f t="shared" ca="1" si="93"/>
        <v>0.37988839511451067</v>
      </c>
      <c r="T397" s="69">
        <f t="shared" ca="1" si="94"/>
        <v>1.0427297283056141</v>
      </c>
      <c r="U397" s="69">
        <f t="shared" ca="1" si="95"/>
        <v>0.10416924139329245</v>
      </c>
      <c r="V397" s="69">
        <f t="shared" ca="1" si="96"/>
        <v>-0.26269034808770919</v>
      </c>
      <c r="W397" s="69">
        <f t="shared" ca="1" si="97"/>
        <v>-1.9992638031839127</v>
      </c>
      <c r="X397" s="69">
        <f t="shared" ca="1" si="98"/>
        <v>1.4957377401800089</v>
      </c>
    </row>
    <row r="398" spans="2:24" x14ac:dyDescent="0.2">
      <c r="B398" s="69">
        <f t="shared" ca="1" si="87"/>
        <v>-0.60837279880856865</v>
      </c>
      <c r="C398" s="69">
        <f t="shared" ca="1" si="86"/>
        <v>-3.8724290073002487E-2</v>
      </c>
      <c r="D398" s="69">
        <f t="shared" ca="1" si="86"/>
        <v>1.8972731640435301</v>
      </c>
      <c r="E398" s="69">
        <f t="shared" ca="1" si="86"/>
        <v>6.453097301461741E-2</v>
      </c>
      <c r="F398" s="69">
        <f t="shared" ca="1" si="86"/>
        <v>0.86616074234936569</v>
      </c>
      <c r="G398" s="69">
        <f t="shared" ca="1" si="86"/>
        <v>1.3489341112054853</v>
      </c>
      <c r="H398" s="69">
        <f t="shared" ca="1" si="86"/>
        <v>0.39676175403173236</v>
      </c>
      <c r="I398" s="69">
        <f t="shared" ca="1" si="86"/>
        <v>-1.3441073384208222</v>
      </c>
      <c r="J398" s="69">
        <f t="shared" ca="1" si="86"/>
        <v>-0.90123146931666132</v>
      </c>
      <c r="K398" s="69">
        <f t="shared" ca="1" si="86"/>
        <v>0.87198995389506395</v>
      </c>
      <c r="L398" s="69">
        <f t="shared" ca="1" si="86"/>
        <v>-1.3067739603540716</v>
      </c>
      <c r="N398" s="69">
        <f t="shared" ca="1" si="88"/>
        <v>-0.57060475497045982</v>
      </c>
      <c r="O398" s="69">
        <f t="shared" ca="1" si="89"/>
        <v>-6.5217853155889169E-2</v>
      </c>
      <c r="P398" s="69">
        <f t="shared" ca="1" si="90"/>
        <v>1.83953109920644</v>
      </c>
      <c r="Q398" s="69">
        <f t="shared" ca="1" si="91"/>
        <v>0.11363965187637635</v>
      </c>
      <c r="R398" s="69">
        <f t="shared" ca="1" si="92"/>
        <v>0.85986605694171681</v>
      </c>
      <c r="S398" s="69">
        <f t="shared" ca="1" si="93"/>
        <v>1.3817610834622938</v>
      </c>
      <c r="T398" s="69">
        <f t="shared" ca="1" si="94"/>
        <v>0.39193071631654253</v>
      </c>
      <c r="U398" s="69">
        <f t="shared" ca="1" si="95"/>
        <v>-1.3210672115431126</v>
      </c>
      <c r="V398" s="69">
        <f t="shared" ca="1" si="96"/>
        <v>-0.90734106289025862</v>
      </c>
      <c r="W398" s="69">
        <f t="shared" ca="1" si="97"/>
        <v>0.8729713107191629</v>
      </c>
      <c r="X398" s="69">
        <f t="shared" ca="1" si="98"/>
        <v>-1.279605469979636</v>
      </c>
    </row>
    <row r="399" spans="2:24" x14ac:dyDescent="0.2">
      <c r="B399" s="69">
        <f t="shared" ca="1" si="87"/>
        <v>-0.11579287474718834</v>
      </c>
      <c r="C399" s="69">
        <f t="shared" ca="1" si="86"/>
        <v>1.8205241568745236</v>
      </c>
      <c r="D399" s="69">
        <f t="shared" ca="1" si="86"/>
        <v>-1.8495999096458937</v>
      </c>
      <c r="E399" s="69">
        <f t="shared" ca="1" si="86"/>
        <v>-2.060199312319595</v>
      </c>
      <c r="F399" s="69">
        <f t="shared" ca="1" si="86"/>
        <v>0.64129444284372716</v>
      </c>
      <c r="G399" s="69">
        <f t="shared" ca="1" si="86"/>
        <v>0.45755425542915479</v>
      </c>
      <c r="H399" s="69">
        <f t="shared" ca="1" si="86"/>
        <v>1.1201109913377298</v>
      </c>
      <c r="I399" s="69">
        <f t="shared" ca="1" si="86"/>
        <v>1.3713546434680017</v>
      </c>
      <c r="J399" s="69">
        <f t="shared" ca="1" si="86"/>
        <v>0.99155607590611339</v>
      </c>
      <c r="K399" s="69">
        <f t="shared" ca="1" si="86"/>
        <v>-1.1467313602036446</v>
      </c>
      <c r="L399" s="69">
        <f t="shared" ca="1" si="86"/>
        <v>-0.61215657161783099</v>
      </c>
      <c r="N399" s="69">
        <f t="shared" ca="1" si="88"/>
        <v>-7.8024830909079523E-2</v>
      </c>
      <c r="O399" s="69">
        <f t="shared" ca="1" si="89"/>
        <v>1.794030593791637</v>
      </c>
      <c r="P399" s="69">
        <f t="shared" ca="1" si="90"/>
        <v>-1.9073419744829838</v>
      </c>
      <c r="Q399" s="69">
        <f t="shared" ca="1" si="91"/>
        <v>-2.0110906334578362</v>
      </c>
      <c r="R399" s="69">
        <f t="shared" ca="1" si="92"/>
        <v>0.63499975743607828</v>
      </c>
      <c r="S399" s="69">
        <f t="shared" ca="1" si="93"/>
        <v>0.49038122768596326</v>
      </c>
      <c r="T399" s="69">
        <f t="shared" ca="1" si="94"/>
        <v>1.11527995362254</v>
      </c>
      <c r="U399" s="69">
        <f t="shared" ca="1" si="95"/>
        <v>1.3943947703457114</v>
      </c>
      <c r="V399" s="69">
        <f t="shared" ca="1" si="96"/>
        <v>0.98544648233251608</v>
      </c>
      <c r="W399" s="69">
        <f t="shared" ca="1" si="97"/>
        <v>-1.1457500033795456</v>
      </c>
      <c r="X399" s="69">
        <f t="shared" ca="1" si="98"/>
        <v>-0.58498808124339552</v>
      </c>
    </row>
    <row r="400" spans="2:24" x14ac:dyDescent="0.2">
      <c r="B400" s="69">
        <f t="shared" ca="1" si="87"/>
        <v>-1.6587669646558389</v>
      </c>
      <c r="C400" s="69">
        <f t="shared" ca="1" si="86"/>
        <v>-0.12313152490390009</v>
      </c>
      <c r="D400" s="69">
        <f t="shared" ca="1" si="86"/>
        <v>-1.8011214945060694</v>
      </c>
      <c r="E400" s="69">
        <f t="shared" ca="1" si="86"/>
        <v>0.3859455773381843</v>
      </c>
      <c r="F400" s="69">
        <f t="shared" ca="1" si="86"/>
        <v>-2.2173287595499143</v>
      </c>
      <c r="G400" s="69">
        <f t="shared" ca="1" si="86"/>
        <v>0.95574532038735271</v>
      </c>
      <c r="H400" s="69">
        <f t="shared" ca="1" si="86"/>
        <v>0.54150544082878238</v>
      </c>
      <c r="I400" s="69">
        <f t="shared" ca="1" si="86"/>
        <v>-0.86038821162178569</v>
      </c>
      <c r="J400" s="69">
        <f t="shared" ca="1" si="86"/>
        <v>-0.71313123174983162</v>
      </c>
      <c r="K400" s="69">
        <f t="shared" ca="1" si="86"/>
        <v>-0.57832778292339715</v>
      </c>
      <c r="L400" s="69">
        <f t="shared" ca="1" si="86"/>
        <v>1.527033081065486</v>
      </c>
      <c r="N400" s="69">
        <f t="shared" ca="1" si="88"/>
        <v>-1.6209989208177302</v>
      </c>
      <c r="O400" s="69">
        <f t="shared" ca="1" si="89"/>
        <v>-0.14962508798678678</v>
      </c>
      <c r="P400" s="69">
        <f t="shared" ca="1" si="90"/>
        <v>-1.8588635593431595</v>
      </c>
      <c r="Q400" s="69">
        <f t="shared" ca="1" si="91"/>
        <v>0.43505425619994326</v>
      </c>
      <c r="R400" s="69">
        <f t="shared" ca="1" si="92"/>
        <v>-2.2236234449575631</v>
      </c>
      <c r="S400" s="69">
        <f t="shared" ca="1" si="93"/>
        <v>0.98857229264416124</v>
      </c>
      <c r="T400" s="69">
        <f t="shared" ca="1" si="94"/>
        <v>0.53667440311359249</v>
      </c>
      <c r="U400" s="69">
        <f t="shared" ca="1" si="95"/>
        <v>-0.83734808474407607</v>
      </c>
      <c r="V400" s="69">
        <f t="shared" ca="1" si="96"/>
        <v>-0.71924082532342892</v>
      </c>
      <c r="W400" s="69">
        <f t="shared" ca="1" si="97"/>
        <v>-0.5773464260992982</v>
      </c>
      <c r="X400" s="69">
        <f t="shared" ca="1" si="98"/>
        <v>1.5542015714399215</v>
      </c>
    </row>
    <row r="401" spans="2:24" x14ac:dyDescent="0.2">
      <c r="B401" s="69">
        <f t="shared" ca="1" si="87"/>
        <v>1.438719464327296</v>
      </c>
      <c r="C401" s="69">
        <f t="shared" ca="1" si="86"/>
        <v>2.3215323930707177</v>
      </c>
      <c r="D401" s="69">
        <f t="shared" ref="C401:L464" ca="1" si="99">NORMINV(RAND(),$C$7,$F$7)</f>
        <v>-1.0832370740008097</v>
      </c>
      <c r="E401" s="69">
        <f t="shared" ca="1" si="99"/>
        <v>0.44433430242007776</v>
      </c>
      <c r="F401" s="69">
        <f t="shared" ca="1" si="99"/>
        <v>2.0775987748186588E-2</v>
      </c>
      <c r="G401" s="69">
        <f t="shared" ca="1" si="99"/>
        <v>1.343953084003503</v>
      </c>
      <c r="H401" s="69">
        <f t="shared" ca="1" si="99"/>
        <v>-0.32868900291210568</v>
      </c>
      <c r="I401" s="69">
        <f t="shared" ca="1" si="99"/>
        <v>-0.63535144294162327</v>
      </c>
      <c r="J401" s="69">
        <f t="shared" ca="1" si="99"/>
        <v>-0.24350688640955778</v>
      </c>
      <c r="K401" s="69">
        <f t="shared" ca="1" si="99"/>
        <v>0.12081230418441349</v>
      </c>
      <c r="L401" s="69">
        <f t="shared" ca="1" si="99"/>
        <v>-1.5811117670395742</v>
      </c>
      <c r="N401" s="69">
        <f t="shared" ca="1" si="88"/>
        <v>1.4764875081654047</v>
      </c>
      <c r="O401" s="69">
        <f t="shared" ca="1" si="89"/>
        <v>2.2950388299878308</v>
      </c>
      <c r="P401" s="69">
        <f t="shared" ca="1" si="90"/>
        <v>-1.1409791388378998</v>
      </c>
      <c r="Q401" s="69">
        <f t="shared" ca="1" si="91"/>
        <v>0.49344298128183672</v>
      </c>
      <c r="R401" s="69">
        <f t="shared" ca="1" si="92"/>
        <v>1.4481302340537693E-2</v>
      </c>
      <c r="S401" s="69">
        <f t="shared" ca="1" si="93"/>
        <v>1.3767800562603114</v>
      </c>
      <c r="T401" s="69">
        <f t="shared" ca="1" si="94"/>
        <v>-0.33352004062729551</v>
      </c>
      <c r="U401" s="69">
        <f t="shared" ca="1" si="95"/>
        <v>-0.61231131606391365</v>
      </c>
      <c r="V401" s="69">
        <f t="shared" ca="1" si="96"/>
        <v>-0.24961647998315512</v>
      </c>
      <c r="W401" s="69">
        <f t="shared" ca="1" si="97"/>
        <v>0.12179366100851244</v>
      </c>
      <c r="X401" s="69">
        <f t="shared" ca="1" si="98"/>
        <v>-1.5539432766651387</v>
      </c>
    </row>
    <row r="402" spans="2:24" x14ac:dyDescent="0.2">
      <c r="B402" s="69">
        <f t="shared" ca="1" si="87"/>
        <v>-3.8051084289795908E-2</v>
      </c>
      <c r="C402" s="69">
        <f t="shared" ca="1" si="99"/>
        <v>0.98633403775874906</v>
      </c>
      <c r="D402" s="69">
        <f t="shared" ca="1" si="99"/>
        <v>0.74106982121253751</v>
      </c>
      <c r="E402" s="69">
        <f t="shared" ca="1" si="99"/>
        <v>-0.1768809587526449</v>
      </c>
      <c r="F402" s="69">
        <f t="shared" ca="1" si="99"/>
        <v>0.488355013439358</v>
      </c>
      <c r="G402" s="69">
        <f t="shared" ca="1" si="99"/>
        <v>-0.50492630049789478</v>
      </c>
      <c r="H402" s="69">
        <f t="shared" ca="1" si="99"/>
        <v>-0.20115167390860655</v>
      </c>
      <c r="I402" s="69">
        <f t="shared" ca="1" si="99"/>
        <v>-0.94316430829945508</v>
      </c>
      <c r="J402" s="69">
        <f t="shared" ca="1" si="99"/>
        <v>1.4952803199490128</v>
      </c>
      <c r="K402" s="69">
        <f t="shared" ca="1" si="99"/>
        <v>0.97411914419257328</v>
      </c>
      <c r="L402" s="69">
        <f t="shared" ca="1" si="99"/>
        <v>0.4010934582119296</v>
      </c>
      <c r="N402" s="69">
        <f t="shared" ca="1" si="88"/>
        <v>-2.830404516870888E-4</v>
      </c>
      <c r="O402" s="69">
        <f t="shared" ca="1" si="89"/>
        <v>0.95984047467586242</v>
      </c>
      <c r="P402" s="69">
        <f t="shared" ca="1" si="90"/>
        <v>0.68332775637544751</v>
      </c>
      <c r="Q402" s="69">
        <f t="shared" ca="1" si="91"/>
        <v>-0.12777227989088596</v>
      </c>
      <c r="R402" s="69">
        <f t="shared" ca="1" si="92"/>
        <v>0.48206032803170912</v>
      </c>
      <c r="S402" s="69">
        <f t="shared" ca="1" si="93"/>
        <v>-0.4720993282410863</v>
      </c>
      <c r="T402" s="69">
        <f t="shared" ca="1" si="94"/>
        <v>-0.20598271162379639</v>
      </c>
      <c r="U402" s="69">
        <f t="shared" ca="1" si="95"/>
        <v>-0.92012418142174546</v>
      </c>
      <c r="V402" s="69">
        <f t="shared" ca="1" si="96"/>
        <v>1.4891707263754155</v>
      </c>
      <c r="W402" s="69">
        <f t="shared" ca="1" si="97"/>
        <v>0.97510050101667223</v>
      </c>
      <c r="X402" s="69">
        <f t="shared" ca="1" si="98"/>
        <v>0.42826194858636507</v>
      </c>
    </row>
    <row r="403" spans="2:24" x14ac:dyDescent="0.2">
      <c r="B403" s="69">
        <f t="shared" ca="1" si="87"/>
        <v>-2.6897023033875378</v>
      </c>
      <c r="C403" s="69">
        <f t="shared" ca="1" si="99"/>
        <v>0.53138852633264189</v>
      </c>
      <c r="D403" s="69">
        <f t="shared" ca="1" si="99"/>
        <v>0.44027315733795946</v>
      </c>
      <c r="E403" s="69">
        <f t="shared" ca="1" si="99"/>
        <v>2.4826305306719019</v>
      </c>
      <c r="F403" s="69">
        <f t="shared" ca="1" si="99"/>
        <v>0.93894500913460199</v>
      </c>
      <c r="G403" s="69">
        <f t="shared" ca="1" si="99"/>
        <v>-1.3646770038933247</v>
      </c>
      <c r="H403" s="69">
        <f t="shared" ca="1" si="99"/>
        <v>-1.0128932930309265</v>
      </c>
      <c r="I403" s="69">
        <f t="shared" ca="1" si="99"/>
        <v>0.69026973140610504</v>
      </c>
      <c r="J403" s="69">
        <f t="shared" ca="1" si="99"/>
        <v>-0.72593913648697983</v>
      </c>
      <c r="K403" s="69">
        <f t="shared" ca="1" si="99"/>
        <v>-0.4853993526606854</v>
      </c>
      <c r="L403" s="69">
        <f t="shared" ca="1" si="99"/>
        <v>0.14847576195584497</v>
      </c>
      <c r="N403" s="69">
        <f t="shared" ca="1" si="88"/>
        <v>-2.6519342595494289</v>
      </c>
      <c r="O403" s="69">
        <f t="shared" ca="1" si="89"/>
        <v>0.50489496324975525</v>
      </c>
      <c r="P403" s="69">
        <f t="shared" ca="1" si="90"/>
        <v>0.38253109250086942</v>
      </c>
      <c r="Q403" s="69">
        <f t="shared" ca="1" si="91"/>
        <v>2.5317392095336606</v>
      </c>
      <c r="R403" s="69">
        <f t="shared" ca="1" si="92"/>
        <v>0.93265032372695311</v>
      </c>
      <c r="S403" s="69">
        <f t="shared" ca="1" si="93"/>
        <v>-1.3318500316365163</v>
      </c>
      <c r="T403" s="69">
        <f t="shared" ca="1" si="94"/>
        <v>-1.0177243307461163</v>
      </c>
      <c r="U403" s="69">
        <f t="shared" ca="1" si="95"/>
        <v>0.71330985828381466</v>
      </c>
      <c r="V403" s="69">
        <f t="shared" ca="1" si="96"/>
        <v>-0.73204873006057714</v>
      </c>
      <c r="W403" s="69">
        <f t="shared" ca="1" si="97"/>
        <v>-0.48441799583658646</v>
      </c>
      <c r="X403" s="69">
        <f t="shared" ca="1" si="98"/>
        <v>0.17564425233028044</v>
      </c>
    </row>
    <row r="404" spans="2:24" x14ac:dyDescent="0.2">
      <c r="B404" s="69">
        <f t="shared" ca="1" si="87"/>
        <v>-1.5194931912344609</v>
      </c>
      <c r="C404" s="69">
        <f t="shared" ca="1" si="99"/>
        <v>0.41845522739891045</v>
      </c>
      <c r="D404" s="69">
        <f t="shared" ca="1" si="99"/>
        <v>0.7743619920644097</v>
      </c>
      <c r="E404" s="69">
        <f t="shared" ca="1" si="99"/>
        <v>0.36161686233922163</v>
      </c>
      <c r="F404" s="69">
        <f t="shared" ca="1" si="99"/>
        <v>0.668420808421341</v>
      </c>
      <c r="G404" s="69">
        <f t="shared" ca="1" si="99"/>
        <v>-0.45350003201354899</v>
      </c>
      <c r="H404" s="69">
        <f t="shared" ca="1" si="99"/>
        <v>1.2905327835987661</v>
      </c>
      <c r="I404" s="69">
        <f t="shared" ca="1" si="99"/>
        <v>1.0956411878744594</v>
      </c>
      <c r="J404" s="69">
        <f t="shared" ca="1" si="99"/>
        <v>-0.43988541565117961</v>
      </c>
      <c r="K404" s="69">
        <f t="shared" ca="1" si="99"/>
        <v>0.34996832879305312</v>
      </c>
      <c r="L404" s="69">
        <f t="shared" ca="1" si="99"/>
        <v>2.0079121994911113</v>
      </c>
      <c r="N404" s="69">
        <f t="shared" ca="1" si="88"/>
        <v>-1.4817251473963522</v>
      </c>
      <c r="O404" s="69">
        <f t="shared" ca="1" si="89"/>
        <v>0.39196166431602375</v>
      </c>
      <c r="P404" s="69">
        <f t="shared" ca="1" si="90"/>
        <v>0.71661992722731971</v>
      </c>
      <c r="Q404" s="69">
        <f t="shared" ca="1" si="91"/>
        <v>0.41072554120098059</v>
      </c>
      <c r="R404" s="69">
        <f t="shared" ca="1" si="92"/>
        <v>0.66212612301369211</v>
      </c>
      <c r="S404" s="69">
        <f t="shared" ca="1" si="93"/>
        <v>-0.42067305975674052</v>
      </c>
      <c r="T404" s="69">
        <f t="shared" ca="1" si="94"/>
        <v>1.2857017458835762</v>
      </c>
      <c r="U404" s="69">
        <f t="shared" ca="1" si="95"/>
        <v>1.118681314752169</v>
      </c>
      <c r="V404" s="69">
        <f t="shared" ca="1" si="96"/>
        <v>-0.44599500922477692</v>
      </c>
      <c r="W404" s="69">
        <f t="shared" ca="1" si="97"/>
        <v>0.35094968561715206</v>
      </c>
      <c r="X404" s="69">
        <f t="shared" ca="1" si="98"/>
        <v>2.0350806898655467</v>
      </c>
    </row>
    <row r="405" spans="2:24" x14ac:dyDescent="0.2">
      <c r="B405" s="69">
        <f t="shared" ca="1" si="87"/>
        <v>-0.49930968508588797</v>
      </c>
      <c r="C405" s="69">
        <f t="shared" ca="1" si="99"/>
        <v>0.78469524535852853</v>
      </c>
      <c r="D405" s="69">
        <f t="shared" ca="1" si="99"/>
        <v>-0.77855783414311663</v>
      </c>
      <c r="E405" s="69">
        <f t="shared" ca="1" si="99"/>
        <v>-0.8715750174837632</v>
      </c>
      <c r="F405" s="69">
        <f t="shared" ca="1" si="99"/>
        <v>1.3888455951094247</v>
      </c>
      <c r="G405" s="69">
        <f t="shared" ca="1" si="99"/>
        <v>0.19342962053201687</v>
      </c>
      <c r="H405" s="69">
        <f t="shared" ca="1" si="99"/>
        <v>-0.97539400894542594</v>
      </c>
      <c r="I405" s="69">
        <f t="shared" ca="1" si="99"/>
        <v>1.1213054295955596</v>
      </c>
      <c r="J405" s="69">
        <f t="shared" ca="1" si="99"/>
        <v>1.8035384422874703</v>
      </c>
      <c r="K405" s="69">
        <f t="shared" ca="1" si="99"/>
        <v>0.22885929595593743</v>
      </c>
      <c r="L405" s="69">
        <f t="shared" ca="1" si="99"/>
        <v>2.8533763269237296E-2</v>
      </c>
      <c r="N405" s="69">
        <f t="shared" ca="1" si="88"/>
        <v>-0.46154164124777913</v>
      </c>
      <c r="O405" s="69">
        <f t="shared" ca="1" si="89"/>
        <v>0.75820168227564189</v>
      </c>
      <c r="P405" s="69">
        <f t="shared" ca="1" si="90"/>
        <v>-0.83629989898020662</v>
      </c>
      <c r="Q405" s="69">
        <f t="shared" ca="1" si="91"/>
        <v>-0.82246633862200424</v>
      </c>
      <c r="R405" s="69">
        <f t="shared" ca="1" si="92"/>
        <v>1.3825509097017759</v>
      </c>
      <c r="S405" s="69">
        <f t="shared" ca="1" si="93"/>
        <v>0.22625659278882534</v>
      </c>
      <c r="T405" s="69">
        <f t="shared" ca="1" si="94"/>
        <v>-0.98022504666061583</v>
      </c>
      <c r="U405" s="69">
        <f t="shared" ca="1" si="95"/>
        <v>1.1443455564732692</v>
      </c>
      <c r="V405" s="69">
        <f t="shared" ca="1" si="96"/>
        <v>1.797428848713873</v>
      </c>
      <c r="W405" s="69">
        <f t="shared" ca="1" si="97"/>
        <v>0.22984065278003638</v>
      </c>
      <c r="X405" s="69">
        <f t="shared" ca="1" si="98"/>
        <v>5.5702253643672775E-2</v>
      </c>
    </row>
    <row r="406" spans="2:24" x14ac:dyDescent="0.2">
      <c r="B406" s="69">
        <f t="shared" ca="1" si="87"/>
        <v>0.41468093875216477</v>
      </c>
      <c r="C406" s="69">
        <f t="shared" ca="1" si="99"/>
        <v>0.29667495301980856</v>
      </c>
      <c r="D406" s="69">
        <f t="shared" ca="1" si="99"/>
        <v>-1.9997007060335299</v>
      </c>
      <c r="E406" s="69">
        <f t="shared" ca="1" si="99"/>
        <v>1.2679209472692881</v>
      </c>
      <c r="F406" s="69">
        <f t="shared" ca="1" si="99"/>
        <v>-0.58891481133875612</v>
      </c>
      <c r="G406" s="69">
        <f t="shared" ca="1" si="99"/>
        <v>0.88158076939158192</v>
      </c>
      <c r="H406" s="69">
        <f t="shared" ca="1" si="99"/>
        <v>-0.51884311771401992</v>
      </c>
      <c r="I406" s="69">
        <f t="shared" ca="1" si="99"/>
        <v>1.4593453854553358</v>
      </c>
      <c r="J406" s="69">
        <f t="shared" ca="1" si="99"/>
        <v>0.25554807866582163</v>
      </c>
      <c r="K406" s="69">
        <f t="shared" ca="1" si="99"/>
        <v>-0.1242354817347497</v>
      </c>
      <c r="L406" s="69">
        <f t="shared" ca="1" si="99"/>
        <v>0.51421069632976513</v>
      </c>
      <c r="N406" s="69">
        <f t="shared" ca="1" si="88"/>
        <v>0.45244898259027361</v>
      </c>
      <c r="O406" s="69">
        <f t="shared" ca="1" si="89"/>
        <v>0.27018138993692187</v>
      </c>
      <c r="P406" s="69">
        <f t="shared" ca="1" si="90"/>
        <v>-2.0574427708706198</v>
      </c>
      <c r="Q406" s="69">
        <f t="shared" ca="1" si="91"/>
        <v>1.317029626131047</v>
      </c>
      <c r="R406" s="69">
        <f t="shared" ca="1" si="92"/>
        <v>-0.595209496746405</v>
      </c>
      <c r="S406" s="69">
        <f t="shared" ca="1" si="93"/>
        <v>0.91440774164839045</v>
      </c>
      <c r="T406" s="69">
        <f t="shared" ca="1" si="94"/>
        <v>-0.52367415542920981</v>
      </c>
      <c r="U406" s="69">
        <f t="shared" ca="1" si="95"/>
        <v>1.4823855123330454</v>
      </c>
      <c r="V406" s="69">
        <f t="shared" ca="1" si="96"/>
        <v>0.2494384850922243</v>
      </c>
      <c r="W406" s="69">
        <f t="shared" ca="1" si="97"/>
        <v>-0.12325412491065074</v>
      </c>
      <c r="X406" s="69">
        <f t="shared" ca="1" si="98"/>
        <v>0.5413791867042006</v>
      </c>
    </row>
    <row r="407" spans="2:24" x14ac:dyDescent="0.2">
      <c r="B407" s="69">
        <f t="shared" ca="1" si="87"/>
        <v>2.6054585519551492</v>
      </c>
      <c r="C407" s="69">
        <f t="shared" ca="1" si="99"/>
        <v>-2.8364919918397962</v>
      </c>
      <c r="D407" s="69">
        <f t="shared" ca="1" si="99"/>
        <v>-0.39685270501428399</v>
      </c>
      <c r="E407" s="69">
        <f t="shared" ca="1" si="99"/>
        <v>-0.34962403138786902</v>
      </c>
      <c r="F407" s="69">
        <f t="shared" ca="1" si="99"/>
        <v>0.34329903493509734</v>
      </c>
      <c r="G407" s="69">
        <f t="shared" ca="1" si="99"/>
        <v>-0.43846505563989085</v>
      </c>
      <c r="H407" s="69">
        <f t="shared" ca="1" si="99"/>
        <v>-1.225118001526073</v>
      </c>
      <c r="I407" s="69">
        <f t="shared" ca="1" si="99"/>
        <v>-0.1087763897339241</v>
      </c>
      <c r="J407" s="69">
        <f t="shared" ca="1" si="99"/>
        <v>0.55914976134185979</v>
      </c>
      <c r="K407" s="69">
        <f t="shared" ca="1" si="99"/>
        <v>0.4721687079173893</v>
      </c>
      <c r="L407" s="69">
        <f t="shared" ca="1" si="99"/>
        <v>0.6700755243425125</v>
      </c>
      <c r="N407" s="69">
        <f t="shared" ca="1" si="88"/>
        <v>2.6432265957932581</v>
      </c>
      <c r="O407" s="69">
        <f t="shared" ca="1" si="89"/>
        <v>-2.862985554922683</v>
      </c>
      <c r="P407" s="69">
        <f t="shared" ca="1" si="90"/>
        <v>-0.45459476985137404</v>
      </c>
      <c r="Q407" s="69">
        <f t="shared" ca="1" si="91"/>
        <v>-0.30051535252611006</v>
      </c>
      <c r="R407" s="69">
        <f t="shared" ca="1" si="92"/>
        <v>0.33700434952744845</v>
      </c>
      <c r="S407" s="69">
        <f t="shared" ca="1" si="93"/>
        <v>-0.40563808338308238</v>
      </c>
      <c r="T407" s="69">
        <f t="shared" ca="1" si="94"/>
        <v>-1.2299490392412629</v>
      </c>
      <c r="U407" s="69">
        <f t="shared" ca="1" si="95"/>
        <v>-8.573626285621444E-2</v>
      </c>
      <c r="V407" s="69">
        <f t="shared" ca="1" si="96"/>
        <v>0.55304016776826248</v>
      </c>
      <c r="W407" s="69">
        <f t="shared" ca="1" si="97"/>
        <v>0.47315006474148824</v>
      </c>
      <c r="X407" s="69">
        <f t="shared" ca="1" si="98"/>
        <v>0.69724401471694797</v>
      </c>
    </row>
    <row r="408" spans="2:24" x14ac:dyDescent="0.2">
      <c r="B408" s="69">
        <f t="shared" ca="1" si="87"/>
        <v>-1.6332661693014801</v>
      </c>
      <c r="C408" s="69">
        <f t="shared" ca="1" si="99"/>
        <v>-0.85779302181240935</v>
      </c>
      <c r="D408" s="69">
        <f t="shared" ca="1" si="99"/>
        <v>1.0573476252284797</v>
      </c>
      <c r="E408" s="69">
        <f t="shared" ca="1" si="99"/>
        <v>1.0735649373489107</v>
      </c>
      <c r="F408" s="69">
        <f t="shared" ca="1" si="99"/>
        <v>-0.48579139004514421</v>
      </c>
      <c r="G408" s="69">
        <f t="shared" ca="1" si="99"/>
        <v>-2.0546455339002335E-2</v>
      </c>
      <c r="H408" s="69">
        <f t="shared" ca="1" si="99"/>
        <v>-1.1012997624058982</v>
      </c>
      <c r="I408" s="69">
        <f t="shared" ca="1" si="99"/>
        <v>1.808574544180451</v>
      </c>
      <c r="J408" s="69">
        <f t="shared" ca="1" si="99"/>
        <v>-0.4922637026909748</v>
      </c>
      <c r="K408" s="69">
        <f t="shared" ca="1" si="99"/>
        <v>-2.9330775797181854E-3</v>
      </c>
      <c r="L408" s="69">
        <f t="shared" ca="1" si="99"/>
        <v>0.3743775509873904</v>
      </c>
      <c r="N408" s="69">
        <f t="shared" ca="1" si="88"/>
        <v>-1.5954981254633713</v>
      </c>
      <c r="O408" s="69">
        <f t="shared" ca="1" si="89"/>
        <v>-0.88428658489529599</v>
      </c>
      <c r="P408" s="69">
        <f t="shared" ca="1" si="90"/>
        <v>0.9996055603913897</v>
      </c>
      <c r="Q408" s="69">
        <f t="shared" ca="1" si="91"/>
        <v>1.1226736162106696</v>
      </c>
      <c r="R408" s="69">
        <f t="shared" ca="1" si="92"/>
        <v>-0.49208607545279309</v>
      </c>
      <c r="S408" s="69">
        <f t="shared" ca="1" si="93"/>
        <v>1.2280516917806145E-2</v>
      </c>
      <c r="T408" s="69">
        <f t="shared" ca="1" si="94"/>
        <v>-1.1061308001210881</v>
      </c>
      <c r="U408" s="69">
        <f t="shared" ca="1" si="95"/>
        <v>1.8316146710581607</v>
      </c>
      <c r="V408" s="69">
        <f t="shared" ca="1" si="96"/>
        <v>-0.49837329626457211</v>
      </c>
      <c r="W408" s="69">
        <f t="shared" ca="1" si="97"/>
        <v>-1.951720755619234E-3</v>
      </c>
      <c r="X408" s="69">
        <f t="shared" ca="1" si="98"/>
        <v>0.40154604136182587</v>
      </c>
    </row>
    <row r="409" spans="2:24" x14ac:dyDescent="0.2">
      <c r="B409" s="69">
        <f t="shared" ca="1" si="87"/>
        <v>-0.81778571023501234</v>
      </c>
      <c r="C409" s="69">
        <f t="shared" ca="1" si="99"/>
        <v>4.2402944231972302E-3</v>
      </c>
      <c r="D409" s="69">
        <f t="shared" ca="1" si="99"/>
        <v>-0.96583656659386841</v>
      </c>
      <c r="E409" s="69">
        <f t="shared" ca="1" si="99"/>
        <v>1.4860241655807493</v>
      </c>
      <c r="F409" s="69">
        <f t="shared" ca="1" si="99"/>
        <v>-1.2310854122353987</v>
      </c>
      <c r="G409" s="69">
        <f t="shared" ca="1" si="99"/>
        <v>-0.5877176824274577</v>
      </c>
      <c r="H409" s="69">
        <f t="shared" ca="1" si="99"/>
        <v>-0.20129436137638096</v>
      </c>
      <c r="I409" s="69">
        <f t="shared" ca="1" si="99"/>
        <v>-0.24461178352618865</v>
      </c>
      <c r="J409" s="69">
        <f t="shared" ca="1" si="99"/>
        <v>-1.6887482172403676</v>
      </c>
      <c r="K409" s="69">
        <f t="shared" ca="1" si="99"/>
        <v>1.0136565501018262</v>
      </c>
      <c r="L409" s="69">
        <f t="shared" ca="1" si="99"/>
        <v>-2.1479778828121753E-2</v>
      </c>
      <c r="N409" s="69">
        <f t="shared" ca="1" si="88"/>
        <v>-0.78001766639690351</v>
      </c>
      <c r="O409" s="69">
        <f t="shared" ca="1" si="89"/>
        <v>-2.2253268659689455E-2</v>
      </c>
      <c r="P409" s="69">
        <f t="shared" ca="1" si="90"/>
        <v>-1.0235786314309585</v>
      </c>
      <c r="Q409" s="69">
        <f t="shared" ca="1" si="91"/>
        <v>1.5351328444425083</v>
      </c>
      <c r="R409" s="69">
        <f t="shared" ca="1" si="92"/>
        <v>-1.2373800976430476</v>
      </c>
      <c r="S409" s="69">
        <f t="shared" ca="1" si="93"/>
        <v>-0.55489071017064917</v>
      </c>
      <c r="T409" s="69">
        <f t="shared" ca="1" si="94"/>
        <v>-0.20612539909157079</v>
      </c>
      <c r="U409" s="69">
        <f t="shared" ca="1" si="95"/>
        <v>-0.221571656648479</v>
      </c>
      <c r="V409" s="69">
        <f t="shared" ca="1" si="96"/>
        <v>-1.6948578108139649</v>
      </c>
      <c r="W409" s="69">
        <f t="shared" ca="1" si="97"/>
        <v>1.0146379069259253</v>
      </c>
      <c r="X409" s="69">
        <f t="shared" ca="1" si="98"/>
        <v>5.688711546313726E-3</v>
      </c>
    </row>
    <row r="410" spans="2:24" x14ac:dyDescent="0.2">
      <c r="B410" s="69">
        <f t="shared" ca="1" si="87"/>
        <v>-8.491551614142713E-2</v>
      </c>
      <c r="C410" s="69">
        <f t="shared" ca="1" si="99"/>
        <v>0.10833984607778596</v>
      </c>
      <c r="D410" s="69">
        <f t="shared" ca="1" si="99"/>
        <v>1.8125642966577942</v>
      </c>
      <c r="E410" s="69">
        <f t="shared" ca="1" si="99"/>
        <v>-1.6239495531831434</v>
      </c>
      <c r="F410" s="69">
        <f t="shared" ca="1" si="99"/>
        <v>0.6889193776278596</v>
      </c>
      <c r="G410" s="69">
        <f t="shared" ca="1" si="99"/>
        <v>-0.67867521657211893</v>
      </c>
      <c r="H410" s="69">
        <f t="shared" ca="1" si="99"/>
        <v>-0.74290194059524262</v>
      </c>
      <c r="I410" s="69">
        <f t="shared" ca="1" si="99"/>
        <v>-1.8396537421661237</v>
      </c>
      <c r="J410" s="69">
        <f t="shared" ca="1" si="99"/>
        <v>-0.3947082345328784</v>
      </c>
      <c r="K410" s="69">
        <f t="shared" ca="1" si="99"/>
        <v>-1.1081061915510206</v>
      </c>
      <c r="L410" s="69">
        <f t="shared" ca="1" si="99"/>
        <v>-0.3862479241850873</v>
      </c>
      <c r="N410" s="69">
        <f t="shared" ca="1" si="88"/>
        <v>-4.7147472303318311E-2</v>
      </c>
      <c r="O410" s="69">
        <f t="shared" ca="1" si="89"/>
        <v>8.184628299489928E-2</v>
      </c>
      <c r="P410" s="69">
        <f t="shared" ca="1" si="90"/>
        <v>1.7548222318207041</v>
      </c>
      <c r="Q410" s="69">
        <f t="shared" ca="1" si="91"/>
        <v>-1.5748408743213844</v>
      </c>
      <c r="R410" s="69">
        <f t="shared" ca="1" si="92"/>
        <v>0.68262469222021072</v>
      </c>
      <c r="S410" s="69">
        <f t="shared" ca="1" si="93"/>
        <v>-0.6458482443153104</v>
      </c>
      <c r="T410" s="69">
        <f t="shared" ca="1" si="94"/>
        <v>-0.74773297831043251</v>
      </c>
      <c r="U410" s="69">
        <f t="shared" ca="1" si="95"/>
        <v>-1.816613615288414</v>
      </c>
      <c r="V410" s="69">
        <f t="shared" ca="1" si="96"/>
        <v>-0.4008178281064757</v>
      </c>
      <c r="W410" s="69">
        <f t="shared" ca="1" si="97"/>
        <v>-1.1071248347269216</v>
      </c>
      <c r="X410" s="69">
        <f t="shared" ca="1" si="98"/>
        <v>-0.35907943381065183</v>
      </c>
    </row>
    <row r="411" spans="2:24" x14ac:dyDescent="0.2">
      <c r="B411" s="69">
        <f t="shared" ca="1" si="87"/>
        <v>-0.39052954353142921</v>
      </c>
      <c r="C411" s="69">
        <f t="shared" ca="1" si="99"/>
        <v>0.55035765485279509</v>
      </c>
      <c r="D411" s="69">
        <f t="shared" ca="1" si="99"/>
        <v>-1.9085693017131193E-2</v>
      </c>
      <c r="E411" s="69">
        <f t="shared" ca="1" si="99"/>
        <v>-1.5419721381344811</v>
      </c>
      <c r="F411" s="69">
        <f t="shared" ca="1" si="99"/>
        <v>-3.8590603665509954E-2</v>
      </c>
      <c r="G411" s="69">
        <f t="shared" ca="1" si="99"/>
        <v>-0.18446840778530163</v>
      </c>
      <c r="H411" s="69">
        <f t="shared" ca="1" si="99"/>
        <v>0.50351463915095684</v>
      </c>
      <c r="I411" s="69">
        <f t="shared" ca="1" si="99"/>
        <v>-0.4988572798384302</v>
      </c>
      <c r="J411" s="69">
        <f t="shared" ca="1" si="99"/>
        <v>-1.1921287219775252</v>
      </c>
      <c r="K411" s="69">
        <f t="shared" ca="1" si="99"/>
        <v>-0.83923861945160771</v>
      </c>
      <c r="L411" s="69">
        <f t="shared" ca="1" si="99"/>
        <v>1.3405301506187082</v>
      </c>
      <c r="N411" s="69">
        <f t="shared" ca="1" si="88"/>
        <v>-0.35276149969332038</v>
      </c>
      <c r="O411" s="69">
        <f t="shared" ca="1" si="89"/>
        <v>0.52386409176990845</v>
      </c>
      <c r="P411" s="69">
        <f t="shared" ca="1" si="90"/>
        <v>-7.6827757854221218E-2</v>
      </c>
      <c r="Q411" s="69">
        <f t="shared" ca="1" si="91"/>
        <v>-1.4928634592727221</v>
      </c>
      <c r="R411" s="69">
        <f t="shared" ca="1" si="92"/>
        <v>-4.4885289073158849E-2</v>
      </c>
      <c r="S411" s="69">
        <f t="shared" ca="1" si="93"/>
        <v>-0.15164143552849316</v>
      </c>
      <c r="T411" s="69">
        <f t="shared" ca="1" si="94"/>
        <v>0.49868360143576701</v>
      </c>
      <c r="U411" s="69">
        <f t="shared" ca="1" si="95"/>
        <v>-0.47581715296072052</v>
      </c>
      <c r="V411" s="69">
        <f t="shared" ca="1" si="96"/>
        <v>-1.1982383155511225</v>
      </c>
      <c r="W411" s="69">
        <f t="shared" ca="1" si="97"/>
        <v>-0.83825726262750877</v>
      </c>
      <c r="X411" s="69">
        <f t="shared" ca="1" si="98"/>
        <v>1.3676986409931438</v>
      </c>
    </row>
    <row r="412" spans="2:24" x14ac:dyDescent="0.2">
      <c r="B412" s="69">
        <f t="shared" ca="1" si="87"/>
        <v>-0.55721615587174766</v>
      </c>
      <c r="C412" s="69">
        <f t="shared" ca="1" si="99"/>
        <v>0.76925270885637764</v>
      </c>
      <c r="D412" s="69">
        <f t="shared" ca="1" si="99"/>
        <v>1.0168257581261064</v>
      </c>
      <c r="E412" s="69">
        <f t="shared" ca="1" si="99"/>
        <v>1.3067558954531493</v>
      </c>
      <c r="F412" s="69">
        <f t="shared" ca="1" si="99"/>
        <v>-0.37673024565669211</v>
      </c>
      <c r="G412" s="69">
        <f t="shared" ca="1" si="99"/>
        <v>-0.34461477585768852</v>
      </c>
      <c r="H412" s="69">
        <f t="shared" ca="1" si="99"/>
        <v>-1.1339733692282579</v>
      </c>
      <c r="I412" s="69">
        <f t="shared" ca="1" si="99"/>
        <v>0.79291249417485477</v>
      </c>
      <c r="J412" s="69">
        <f t="shared" ca="1" si="99"/>
        <v>0.25422614005567007</v>
      </c>
      <c r="K412" s="69">
        <f t="shared" ca="1" si="99"/>
        <v>0.43757619323644736</v>
      </c>
      <c r="L412" s="69">
        <f t="shared" ca="1" si="99"/>
        <v>-0.77698918237692782</v>
      </c>
      <c r="N412" s="69">
        <f t="shared" ca="1" si="88"/>
        <v>-0.51944811203363883</v>
      </c>
      <c r="O412" s="69">
        <f t="shared" ca="1" si="89"/>
        <v>0.742759145773491</v>
      </c>
      <c r="P412" s="69">
        <f t="shared" ca="1" si="90"/>
        <v>0.95908369328901644</v>
      </c>
      <c r="Q412" s="69">
        <f t="shared" ca="1" si="91"/>
        <v>1.3558645743149083</v>
      </c>
      <c r="R412" s="69">
        <f t="shared" ca="1" si="92"/>
        <v>-0.38302493106434099</v>
      </c>
      <c r="S412" s="69">
        <f t="shared" ca="1" si="93"/>
        <v>-0.31178780360088004</v>
      </c>
      <c r="T412" s="69">
        <f t="shared" ca="1" si="94"/>
        <v>-1.1388044069434478</v>
      </c>
      <c r="U412" s="69">
        <f t="shared" ca="1" si="95"/>
        <v>0.81595262105256439</v>
      </c>
      <c r="V412" s="69">
        <f t="shared" ca="1" si="96"/>
        <v>0.24811654648207274</v>
      </c>
      <c r="W412" s="69">
        <f t="shared" ca="1" si="97"/>
        <v>0.43855755006054631</v>
      </c>
      <c r="X412" s="69">
        <f t="shared" ca="1" si="98"/>
        <v>-0.74982069200249235</v>
      </c>
    </row>
    <row r="413" spans="2:24" x14ac:dyDescent="0.2">
      <c r="B413" s="69">
        <f t="shared" ca="1" si="87"/>
        <v>-0.774306949659055</v>
      </c>
      <c r="C413" s="69">
        <f t="shared" ca="1" si="99"/>
        <v>1.5844244193281771</v>
      </c>
      <c r="D413" s="69">
        <f t="shared" ca="1" si="99"/>
        <v>-5.8891052790386443E-2</v>
      </c>
      <c r="E413" s="69">
        <f t="shared" ca="1" si="99"/>
        <v>2.3613940291532911</v>
      </c>
      <c r="F413" s="69">
        <f t="shared" ca="1" si="99"/>
        <v>0.82658762826020193</v>
      </c>
      <c r="G413" s="69">
        <f t="shared" ca="1" si="99"/>
        <v>-0.91052707937094035</v>
      </c>
      <c r="H413" s="69">
        <f t="shared" ca="1" si="99"/>
        <v>-1.2927440930796434</v>
      </c>
      <c r="I413" s="69">
        <f t="shared" ca="1" si="99"/>
        <v>0.51383519186909155</v>
      </c>
      <c r="J413" s="69">
        <f t="shared" ca="1" si="99"/>
        <v>0.10293548911998406</v>
      </c>
      <c r="K413" s="69">
        <f t="shared" ca="1" si="99"/>
        <v>0.36349683732812782</v>
      </c>
      <c r="L413" s="69">
        <f t="shared" ca="1" si="99"/>
        <v>-1.6761200827581477</v>
      </c>
      <c r="N413" s="69">
        <f t="shared" ca="1" si="88"/>
        <v>-0.73653890582094617</v>
      </c>
      <c r="O413" s="69">
        <f t="shared" ca="1" si="89"/>
        <v>1.5579308562452905</v>
      </c>
      <c r="P413" s="69">
        <f t="shared" ca="1" si="90"/>
        <v>-0.11663311762747647</v>
      </c>
      <c r="Q413" s="69">
        <f t="shared" ca="1" si="91"/>
        <v>2.4105027080150498</v>
      </c>
      <c r="R413" s="69">
        <f t="shared" ca="1" si="92"/>
        <v>0.82029294285255305</v>
      </c>
      <c r="S413" s="69">
        <f t="shared" ca="1" si="93"/>
        <v>-0.87770010711413182</v>
      </c>
      <c r="T413" s="69">
        <f t="shared" ca="1" si="94"/>
        <v>-1.2975751307948333</v>
      </c>
      <c r="U413" s="69">
        <f t="shared" ca="1" si="95"/>
        <v>0.53687531874680117</v>
      </c>
      <c r="V413" s="69">
        <f t="shared" ca="1" si="96"/>
        <v>9.6825895546386723E-2</v>
      </c>
      <c r="W413" s="69">
        <f t="shared" ca="1" si="97"/>
        <v>0.36447819415222676</v>
      </c>
      <c r="X413" s="69">
        <f t="shared" ca="1" si="98"/>
        <v>-1.6489515923837121</v>
      </c>
    </row>
    <row r="414" spans="2:24" x14ac:dyDescent="0.2">
      <c r="B414" s="69">
        <f t="shared" ca="1" si="87"/>
        <v>-6.7555877940424683E-2</v>
      </c>
      <c r="C414" s="69">
        <f t="shared" ca="1" si="99"/>
        <v>0.72989931758236948</v>
      </c>
      <c r="D414" s="69">
        <f t="shared" ca="1" si="99"/>
        <v>1.161217923985113</v>
      </c>
      <c r="E414" s="69">
        <f t="shared" ca="1" si="99"/>
        <v>0.26163009334138981</v>
      </c>
      <c r="F414" s="69">
        <f t="shared" ca="1" si="99"/>
        <v>0.75602355678392363</v>
      </c>
      <c r="G414" s="69">
        <f t="shared" ca="1" si="99"/>
        <v>-0.6432141538695807</v>
      </c>
      <c r="H414" s="69">
        <f t="shared" ca="1" si="99"/>
        <v>1.483308381452076</v>
      </c>
      <c r="I414" s="69">
        <f t="shared" ca="1" si="99"/>
        <v>-0.22327349392701287</v>
      </c>
      <c r="J414" s="69">
        <f t="shared" ca="1" si="99"/>
        <v>0.59832892755215994</v>
      </c>
      <c r="K414" s="69">
        <f t="shared" ca="1" si="99"/>
        <v>-0.6524300488075494</v>
      </c>
      <c r="L414" s="69">
        <f t="shared" ca="1" si="99"/>
        <v>0.93361785769375172</v>
      </c>
      <c r="N414" s="69">
        <f t="shared" ca="1" si="88"/>
        <v>-2.9787834102315863E-2</v>
      </c>
      <c r="O414" s="69">
        <f t="shared" ca="1" si="89"/>
        <v>0.70340575449948284</v>
      </c>
      <c r="P414" s="69">
        <f t="shared" ca="1" si="90"/>
        <v>1.1034758591480229</v>
      </c>
      <c r="Q414" s="69">
        <f t="shared" ca="1" si="91"/>
        <v>0.31073877220314877</v>
      </c>
      <c r="R414" s="69">
        <f t="shared" ca="1" si="92"/>
        <v>0.74972887137627475</v>
      </c>
      <c r="S414" s="69">
        <f t="shared" ca="1" si="93"/>
        <v>-0.61038718161277217</v>
      </c>
      <c r="T414" s="69">
        <f t="shared" ca="1" si="94"/>
        <v>1.4784773437368861</v>
      </c>
      <c r="U414" s="69">
        <f t="shared" ca="1" si="95"/>
        <v>-0.20023336704930322</v>
      </c>
      <c r="V414" s="69">
        <f t="shared" ca="1" si="96"/>
        <v>0.59221933397856263</v>
      </c>
      <c r="W414" s="69">
        <f t="shared" ca="1" si="97"/>
        <v>-0.65144869198345046</v>
      </c>
      <c r="X414" s="69">
        <f t="shared" ca="1" si="98"/>
        <v>0.96078634806818719</v>
      </c>
    </row>
    <row r="415" spans="2:24" x14ac:dyDescent="0.2">
      <c r="B415" s="69">
        <f t="shared" ca="1" si="87"/>
        <v>-0.91525573861920584</v>
      </c>
      <c r="C415" s="69">
        <f t="shared" ca="1" si="99"/>
        <v>1.1492820485280748</v>
      </c>
      <c r="D415" s="69">
        <f t="shared" ca="1" si="99"/>
        <v>-3.7174143421489322E-2</v>
      </c>
      <c r="E415" s="69">
        <f t="shared" ca="1" si="99"/>
        <v>1.0390960930890119</v>
      </c>
      <c r="F415" s="69">
        <f t="shared" ca="1" si="99"/>
        <v>1.5722122802634929E-2</v>
      </c>
      <c r="G415" s="69">
        <f t="shared" ca="1" si="99"/>
        <v>1.1302788060101834</v>
      </c>
      <c r="H415" s="69">
        <f t="shared" ca="1" si="99"/>
        <v>0.81587877360052974</v>
      </c>
      <c r="I415" s="69">
        <f t="shared" ca="1" si="99"/>
        <v>-0.88720828485603975</v>
      </c>
      <c r="J415" s="69">
        <f t="shared" ca="1" si="99"/>
        <v>0.80240103895968551</v>
      </c>
      <c r="K415" s="69">
        <f t="shared" ca="1" si="99"/>
        <v>0.64257567589875308</v>
      </c>
      <c r="L415" s="69">
        <f t="shared" ca="1" si="99"/>
        <v>-1.516556112674065</v>
      </c>
      <c r="N415" s="69">
        <f t="shared" ca="1" si="88"/>
        <v>-0.87748769478109701</v>
      </c>
      <c r="O415" s="69">
        <f t="shared" ca="1" si="89"/>
        <v>1.1227884854451882</v>
      </c>
      <c r="P415" s="69">
        <f t="shared" ca="1" si="90"/>
        <v>-9.4916208258579354E-2</v>
      </c>
      <c r="Q415" s="69">
        <f t="shared" ca="1" si="91"/>
        <v>1.0882047719507708</v>
      </c>
      <c r="R415" s="69">
        <f t="shared" ca="1" si="92"/>
        <v>9.4274373949860338E-3</v>
      </c>
      <c r="S415" s="69">
        <f t="shared" ca="1" si="93"/>
        <v>1.1631057782669918</v>
      </c>
      <c r="T415" s="69">
        <f t="shared" ca="1" si="94"/>
        <v>0.81104773588533985</v>
      </c>
      <c r="U415" s="69">
        <f t="shared" ca="1" si="95"/>
        <v>-0.86416815797833013</v>
      </c>
      <c r="V415" s="69">
        <f t="shared" ca="1" si="96"/>
        <v>0.7962914453860882</v>
      </c>
      <c r="W415" s="69">
        <f t="shared" ca="1" si="97"/>
        <v>0.64355703272285203</v>
      </c>
      <c r="X415" s="69">
        <f t="shared" ca="1" si="98"/>
        <v>-1.4893876222996294</v>
      </c>
    </row>
    <row r="416" spans="2:24" x14ac:dyDescent="0.2">
      <c r="B416" s="69">
        <f t="shared" ca="1" si="87"/>
        <v>-0.98158204359619261</v>
      </c>
      <c r="C416" s="69">
        <f t="shared" ca="1" si="99"/>
        <v>-0.13637642852683018</v>
      </c>
      <c r="D416" s="69">
        <f t="shared" ca="1" si="99"/>
        <v>-7.6818210306382237E-2</v>
      </c>
      <c r="E416" s="69">
        <f t="shared" ca="1" si="99"/>
        <v>0.72080934668583352</v>
      </c>
      <c r="F416" s="69">
        <f t="shared" ca="1" si="99"/>
        <v>-3.7012721800361532E-2</v>
      </c>
      <c r="G416" s="69">
        <f t="shared" ca="1" si="99"/>
        <v>3.0551610697801379E-2</v>
      </c>
      <c r="H416" s="69">
        <f t="shared" ca="1" si="99"/>
        <v>0.23942305754459811</v>
      </c>
      <c r="I416" s="69">
        <f t="shared" ca="1" si="99"/>
        <v>2.7250299987954558</v>
      </c>
      <c r="J416" s="69">
        <f t="shared" ca="1" si="99"/>
        <v>0.21504268688462955</v>
      </c>
      <c r="K416" s="69">
        <f t="shared" ca="1" si="99"/>
        <v>1.9257428274717148</v>
      </c>
      <c r="L416" s="69">
        <f t="shared" ca="1" si="99"/>
        <v>1.2481252682354078</v>
      </c>
      <c r="N416" s="69">
        <f t="shared" ca="1" si="88"/>
        <v>-0.94381399975808378</v>
      </c>
      <c r="O416" s="69">
        <f t="shared" ca="1" si="89"/>
        <v>-0.16286999160971688</v>
      </c>
      <c r="P416" s="69">
        <f t="shared" ca="1" si="90"/>
        <v>-0.13456027514347227</v>
      </c>
      <c r="Q416" s="69">
        <f t="shared" ca="1" si="91"/>
        <v>0.76991802554759248</v>
      </c>
      <c r="R416" s="69">
        <f t="shared" ca="1" si="92"/>
        <v>-4.3307407208010427E-2</v>
      </c>
      <c r="S416" s="69">
        <f t="shared" ca="1" si="93"/>
        <v>6.3378582954609852E-2</v>
      </c>
      <c r="T416" s="69">
        <f t="shared" ca="1" si="94"/>
        <v>0.23459201982940828</v>
      </c>
      <c r="U416" s="69">
        <f t="shared" ca="1" si="95"/>
        <v>2.7480701256731654</v>
      </c>
      <c r="V416" s="69">
        <f t="shared" ca="1" si="96"/>
        <v>0.20893309331103221</v>
      </c>
      <c r="W416" s="69">
        <f t="shared" ca="1" si="97"/>
        <v>1.9267241842958138</v>
      </c>
      <c r="X416" s="69">
        <f t="shared" ca="1" si="98"/>
        <v>1.2752937586098434</v>
      </c>
    </row>
    <row r="417" spans="2:24" x14ac:dyDescent="0.2">
      <c r="B417" s="69">
        <f t="shared" ca="1" si="87"/>
        <v>1.0612258348028918</v>
      </c>
      <c r="C417" s="69">
        <f t="shared" ca="1" si="99"/>
        <v>0.46763164858699569</v>
      </c>
      <c r="D417" s="69">
        <f t="shared" ca="1" si="99"/>
        <v>-0.16275249970595168</v>
      </c>
      <c r="E417" s="69">
        <f t="shared" ca="1" si="99"/>
        <v>2.2575520241221496</v>
      </c>
      <c r="F417" s="69">
        <f t="shared" ca="1" si="99"/>
        <v>-8.8164702148124788E-2</v>
      </c>
      <c r="G417" s="69">
        <f t="shared" ca="1" si="99"/>
        <v>0.77281136302200759</v>
      </c>
      <c r="H417" s="69">
        <f t="shared" ca="1" si="99"/>
        <v>-2.0729651283805226</v>
      </c>
      <c r="I417" s="69">
        <f t="shared" ca="1" si="99"/>
        <v>1.1935951734958861</v>
      </c>
      <c r="J417" s="69">
        <f t="shared" ca="1" si="99"/>
        <v>-1.1738653763409872</v>
      </c>
      <c r="K417" s="69">
        <f t="shared" ca="1" si="99"/>
        <v>-0.45818089040010362</v>
      </c>
      <c r="L417" s="69">
        <f t="shared" ca="1" si="99"/>
        <v>0.69149341141098775</v>
      </c>
      <c r="N417" s="69">
        <f t="shared" ca="1" si="88"/>
        <v>1.0989938786410005</v>
      </c>
      <c r="O417" s="69">
        <f t="shared" ca="1" si="89"/>
        <v>0.44113808550410899</v>
      </c>
      <c r="P417" s="69">
        <f t="shared" ca="1" si="90"/>
        <v>-0.22049456454304173</v>
      </c>
      <c r="Q417" s="69">
        <f t="shared" ca="1" si="91"/>
        <v>2.3066607029839084</v>
      </c>
      <c r="R417" s="69">
        <f t="shared" ca="1" si="92"/>
        <v>-9.4459387555773683E-2</v>
      </c>
      <c r="S417" s="69">
        <f t="shared" ca="1" si="93"/>
        <v>0.80563833527881612</v>
      </c>
      <c r="T417" s="69">
        <f t="shared" ca="1" si="94"/>
        <v>-2.0777961660957125</v>
      </c>
      <c r="U417" s="69">
        <f t="shared" ca="1" si="95"/>
        <v>1.2166353003735957</v>
      </c>
      <c r="V417" s="69">
        <f t="shared" ca="1" si="96"/>
        <v>-1.1799749699145845</v>
      </c>
      <c r="W417" s="69">
        <f t="shared" ca="1" si="97"/>
        <v>-0.45719953357600468</v>
      </c>
      <c r="X417" s="69">
        <f t="shared" ca="1" si="98"/>
        <v>0.71866190178542322</v>
      </c>
    </row>
    <row r="418" spans="2:24" x14ac:dyDescent="0.2">
      <c r="B418" s="69">
        <f t="shared" ca="1" si="87"/>
        <v>-1.1775367062797502</v>
      </c>
      <c r="C418" s="69">
        <f t="shared" ca="1" si="99"/>
        <v>0.17694403054972785</v>
      </c>
      <c r="D418" s="69">
        <f t="shared" ca="1" si="99"/>
        <v>-2.5835405254551942</v>
      </c>
      <c r="E418" s="69">
        <f t="shared" ca="1" si="99"/>
        <v>-1.4508055770425425</v>
      </c>
      <c r="F418" s="69">
        <f t="shared" ca="1" si="99"/>
        <v>3.0002322072675338</v>
      </c>
      <c r="G418" s="69">
        <f t="shared" ca="1" si="99"/>
        <v>0.97720815038839304</v>
      </c>
      <c r="H418" s="69">
        <f t="shared" ca="1" si="99"/>
        <v>-1.0791820820736897</v>
      </c>
      <c r="I418" s="69">
        <f t="shared" ca="1" si="99"/>
        <v>0.20158303603402503</v>
      </c>
      <c r="J418" s="69">
        <f t="shared" ca="1" si="99"/>
        <v>1.5864142627244768</v>
      </c>
      <c r="K418" s="69">
        <f t="shared" ca="1" si="99"/>
        <v>1.4276138666891258</v>
      </c>
      <c r="L418" s="69">
        <f t="shared" ca="1" si="99"/>
        <v>-2.9657720446319691</v>
      </c>
      <c r="N418" s="69">
        <f t="shared" ca="1" si="88"/>
        <v>-1.1397686624416414</v>
      </c>
      <c r="O418" s="69">
        <f t="shared" ca="1" si="89"/>
        <v>0.15045046746684115</v>
      </c>
      <c r="P418" s="69">
        <f t="shared" ca="1" si="90"/>
        <v>-2.6412825902922843</v>
      </c>
      <c r="Q418" s="69">
        <f t="shared" ca="1" si="91"/>
        <v>-1.4016968981807836</v>
      </c>
      <c r="R418" s="69">
        <f t="shared" ca="1" si="92"/>
        <v>2.9939375218598849</v>
      </c>
      <c r="S418" s="69">
        <f t="shared" ca="1" si="93"/>
        <v>1.0100351226452016</v>
      </c>
      <c r="T418" s="69">
        <f t="shared" ca="1" si="94"/>
        <v>-1.0840131197888796</v>
      </c>
      <c r="U418" s="69">
        <f t="shared" ca="1" si="95"/>
        <v>0.22462316291173468</v>
      </c>
      <c r="V418" s="69">
        <f t="shared" ca="1" si="96"/>
        <v>1.5803046691508795</v>
      </c>
      <c r="W418" s="69">
        <f t="shared" ca="1" si="97"/>
        <v>1.4285952235132249</v>
      </c>
      <c r="X418" s="69">
        <f t="shared" ca="1" si="98"/>
        <v>-2.9386035542575337</v>
      </c>
    </row>
    <row r="419" spans="2:24" x14ac:dyDescent="0.2">
      <c r="B419" s="69">
        <f t="shared" ca="1" si="87"/>
        <v>0.37566082454733779</v>
      </c>
      <c r="C419" s="69">
        <f t="shared" ca="1" si="99"/>
        <v>-0.40488476230073805</v>
      </c>
      <c r="D419" s="69">
        <f t="shared" ca="1" si="99"/>
        <v>-0.71011653218655979</v>
      </c>
      <c r="E419" s="69">
        <f t="shared" ca="1" si="99"/>
        <v>0.26757225127654183</v>
      </c>
      <c r="F419" s="69">
        <f t="shared" ca="1" si="99"/>
        <v>0.67077039029133989</v>
      </c>
      <c r="G419" s="69">
        <f t="shared" ca="1" si="99"/>
        <v>0.92490068277809379</v>
      </c>
      <c r="H419" s="69">
        <f t="shared" ca="1" si="99"/>
        <v>5.6088184980445377E-2</v>
      </c>
      <c r="I419" s="69">
        <f t="shared" ca="1" si="99"/>
        <v>0.58857803728388791</v>
      </c>
      <c r="J419" s="69">
        <f t="shared" ca="1" si="99"/>
        <v>0.75050145834636173</v>
      </c>
      <c r="K419" s="69">
        <f t="shared" ca="1" si="99"/>
        <v>0.47352798442635374</v>
      </c>
      <c r="L419" s="69">
        <f t="shared" ca="1" si="99"/>
        <v>-0.60898626096135144</v>
      </c>
      <c r="N419" s="69">
        <f t="shared" ca="1" si="88"/>
        <v>0.41342886838544662</v>
      </c>
      <c r="O419" s="69">
        <f t="shared" ca="1" si="89"/>
        <v>-0.43137832538362475</v>
      </c>
      <c r="P419" s="69">
        <f t="shared" ca="1" si="90"/>
        <v>-0.76785859702364978</v>
      </c>
      <c r="Q419" s="69">
        <f t="shared" ca="1" si="91"/>
        <v>0.31668093013830079</v>
      </c>
      <c r="R419" s="69">
        <f t="shared" ca="1" si="92"/>
        <v>0.66447570488369101</v>
      </c>
      <c r="S419" s="69">
        <f t="shared" ca="1" si="93"/>
        <v>0.95772765503490231</v>
      </c>
      <c r="T419" s="69">
        <f t="shared" ca="1" si="94"/>
        <v>5.1257147265255529E-2</v>
      </c>
      <c r="U419" s="69">
        <f t="shared" ca="1" si="95"/>
        <v>0.61161816416159753</v>
      </c>
      <c r="V419" s="69">
        <f t="shared" ca="1" si="96"/>
        <v>0.74439186477276442</v>
      </c>
      <c r="W419" s="69">
        <f t="shared" ca="1" si="97"/>
        <v>0.47450934125045269</v>
      </c>
      <c r="X419" s="69">
        <f t="shared" ca="1" si="98"/>
        <v>-0.58181777058691597</v>
      </c>
    </row>
    <row r="420" spans="2:24" x14ac:dyDescent="0.2">
      <c r="B420" s="69">
        <f t="shared" ca="1" si="87"/>
        <v>-0.37626737005643107</v>
      </c>
      <c r="C420" s="69">
        <f t="shared" ca="1" si="99"/>
        <v>9.340197034585794E-2</v>
      </c>
      <c r="D420" s="69">
        <f t="shared" ca="1" si="99"/>
        <v>-1.679148119494394</v>
      </c>
      <c r="E420" s="69">
        <f t="shared" ca="1" si="99"/>
        <v>-2.0977898120654168</v>
      </c>
      <c r="F420" s="69">
        <f t="shared" ca="1" si="99"/>
        <v>-0.94820247139811409</v>
      </c>
      <c r="G420" s="69">
        <f t="shared" ca="1" si="99"/>
        <v>2.2698739850663787</v>
      </c>
      <c r="H420" s="69">
        <f t="shared" ca="1" si="99"/>
        <v>-0.50280271205272575</v>
      </c>
      <c r="I420" s="69">
        <f t="shared" ca="1" si="99"/>
        <v>-1.1159687587644684</v>
      </c>
      <c r="J420" s="69">
        <f t="shared" ca="1" si="99"/>
        <v>1.0534665860928942</v>
      </c>
      <c r="K420" s="69">
        <f t="shared" ca="1" si="99"/>
        <v>1.8897225031378624</v>
      </c>
      <c r="L420" s="69">
        <f t="shared" ca="1" si="99"/>
        <v>1.3683748975750387</v>
      </c>
      <c r="N420" s="69">
        <f t="shared" ca="1" si="88"/>
        <v>-0.33849932621832224</v>
      </c>
      <c r="O420" s="69">
        <f t="shared" ca="1" si="89"/>
        <v>6.6908407262971259E-2</v>
      </c>
      <c r="P420" s="69">
        <f t="shared" ca="1" si="90"/>
        <v>-1.7368901843314841</v>
      </c>
      <c r="Q420" s="69">
        <f t="shared" ca="1" si="91"/>
        <v>-2.0486811332036581</v>
      </c>
      <c r="R420" s="69">
        <f t="shared" ca="1" si="92"/>
        <v>-0.95449715680576297</v>
      </c>
      <c r="S420" s="69">
        <f t="shared" ca="1" si="93"/>
        <v>2.3027009573231871</v>
      </c>
      <c r="T420" s="69">
        <f t="shared" ca="1" si="94"/>
        <v>-0.50763374976791564</v>
      </c>
      <c r="U420" s="69">
        <f t="shared" ca="1" si="95"/>
        <v>-1.0929286318867588</v>
      </c>
      <c r="V420" s="69">
        <f t="shared" ca="1" si="96"/>
        <v>1.0473569925192969</v>
      </c>
      <c r="W420" s="69">
        <f t="shared" ca="1" si="97"/>
        <v>1.8907038599619614</v>
      </c>
      <c r="X420" s="69">
        <f t="shared" ca="1" si="98"/>
        <v>1.3955433879494743</v>
      </c>
    </row>
    <row r="421" spans="2:24" x14ac:dyDescent="0.2">
      <c r="B421" s="69">
        <f t="shared" ca="1" si="87"/>
        <v>0.62871337891994727</v>
      </c>
      <c r="C421" s="69">
        <f t="shared" ca="1" si="99"/>
        <v>0.16172725909798358</v>
      </c>
      <c r="D421" s="69">
        <f t="shared" ca="1" si="99"/>
        <v>-1.2285185312804927</v>
      </c>
      <c r="E421" s="69">
        <f t="shared" ca="1" si="99"/>
        <v>0.6287643422889686</v>
      </c>
      <c r="F421" s="69">
        <f t="shared" ca="1" si="99"/>
        <v>-1.1297611165949615</v>
      </c>
      <c r="G421" s="69">
        <f t="shared" ca="1" si="99"/>
        <v>0.78487121721491449</v>
      </c>
      <c r="H421" s="69">
        <f t="shared" ca="1" si="99"/>
        <v>-1.1673041396501613</v>
      </c>
      <c r="I421" s="69">
        <f t="shared" ca="1" si="99"/>
        <v>0.28116857232273207</v>
      </c>
      <c r="J421" s="69">
        <f t="shared" ca="1" si="99"/>
        <v>-1.4056575258871127</v>
      </c>
      <c r="K421" s="69">
        <f t="shared" ca="1" si="99"/>
        <v>-0.34917499346801595</v>
      </c>
      <c r="L421" s="69">
        <f t="shared" ca="1" si="99"/>
        <v>-0.10231070743392358</v>
      </c>
      <c r="N421" s="69">
        <f t="shared" ca="1" si="88"/>
        <v>0.66648142275805611</v>
      </c>
      <c r="O421" s="69">
        <f t="shared" ca="1" si="89"/>
        <v>0.13523369601509688</v>
      </c>
      <c r="P421" s="69">
        <f t="shared" ca="1" si="90"/>
        <v>-1.2862605961175828</v>
      </c>
      <c r="Q421" s="69">
        <f t="shared" ca="1" si="91"/>
        <v>0.67787302115072756</v>
      </c>
      <c r="R421" s="69">
        <f t="shared" ca="1" si="92"/>
        <v>-1.1360558020026104</v>
      </c>
      <c r="S421" s="69">
        <f t="shared" ca="1" si="93"/>
        <v>0.81769818947172301</v>
      </c>
      <c r="T421" s="69">
        <f t="shared" ca="1" si="94"/>
        <v>-1.1721351773653512</v>
      </c>
      <c r="U421" s="69">
        <f t="shared" ca="1" si="95"/>
        <v>0.30420869920044175</v>
      </c>
      <c r="V421" s="69">
        <f t="shared" ca="1" si="96"/>
        <v>-1.41176711946071</v>
      </c>
      <c r="W421" s="69">
        <f t="shared" ca="1" si="97"/>
        <v>-0.348193636643917</v>
      </c>
      <c r="X421" s="69">
        <f t="shared" ca="1" si="98"/>
        <v>-7.5142217059488092E-2</v>
      </c>
    </row>
    <row r="422" spans="2:24" x14ac:dyDescent="0.2">
      <c r="B422" s="69">
        <f t="shared" ca="1" si="87"/>
        <v>0.77974188366471386</v>
      </c>
      <c r="C422" s="69">
        <f t="shared" ca="1" si="99"/>
        <v>0.80888752056321223</v>
      </c>
      <c r="D422" s="69">
        <f t="shared" ca="1" si="99"/>
        <v>1.1927764252473254</v>
      </c>
      <c r="E422" s="69">
        <f t="shared" ca="1" si="99"/>
        <v>-9.2213062132543988E-2</v>
      </c>
      <c r="F422" s="69">
        <f t="shared" ca="1" si="99"/>
        <v>2.8224009174906365E-3</v>
      </c>
      <c r="G422" s="69">
        <f t="shared" ca="1" si="99"/>
        <v>0.47339981676881199</v>
      </c>
      <c r="H422" s="69">
        <f t="shared" ca="1" si="99"/>
        <v>-0.79542957733678588</v>
      </c>
      <c r="I422" s="69">
        <f t="shared" ca="1" si="99"/>
        <v>0.92977767669977307</v>
      </c>
      <c r="J422" s="69">
        <f t="shared" ca="1" si="99"/>
        <v>0.55461798545179075</v>
      </c>
      <c r="K422" s="69">
        <f t="shared" ca="1" si="99"/>
        <v>0.513413245156221</v>
      </c>
      <c r="L422" s="69">
        <f t="shared" ca="1" si="99"/>
        <v>0.52059241708657034</v>
      </c>
      <c r="N422" s="69">
        <f t="shared" ca="1" si="88"/>
        <v>0.8175099275028227</v>
      </c>
      <c r="O422" s="69">
        <f t="shared" ca="1" si="89"/>
        <v>0.78239395748032559</v>
      </c>
      <c r="P422" s="69">
        <f t="shared" ca="1" si="90"/>
        <v>1.1350343604102353</v>
      </c>
      <c r="Q422" s="69">
        <f t="shared" ca="1" si="91"/>
        <v>-4.3104383270785043E-2</v>
      </c>
      <c r="R422" s="69">
        <f t="shared" ca="1" si="92"/>
        <v>-3.4722844901582594E-3</v>
      </c>
      <c r="S422" s="69">
        <f t="shared" ca="1" si="93"/>
        <v>0.50622678902562046</v>
      </c>
      <c r="T422" s="69">
        <f t="shared" ca="1" si="94"/>
        <v>-0.80026061505197577</v>
      </c>
      <c r="U422" s="69">
        <f t="shared" ca="1" si="95"/>
        <v>0.95281780357748269</v>
      </c>
      <c r="V422" s="69">
        <f t="shared" ca="1" si="96"/>
        <v>0.54850839187819345</v>
      </c>
      <c r="W422" s="69">
        <f t="shared" ca="1" si="97"/>
        <v>0.51439460198031994</v>
      </c>
      <c r="X422" s="69">
        <f t="shared" ca="1" si="98"/>
        <v>0.54776090746100581</v>
      </c>
    </row>
    <row r="423" spans="2:24" x14ac:dyDescent="0.2">
      <c r="B423" s="69">
        <f t="shared" ca="1" si="87"/>
        <v>-1.0153462389760959</v>
      </c>
      <c r="C423" s="69">
        <f t="shared" ca="1" si="99"/>
        <v>-0.56743769087900697</v>
      </c>
      <c r="D423" s="69">
        <f t="shared" ca="1" si="99"/>
        <v>7.5583423946176814E-2</v>
      </c>
      <c r="E423" s="69">
        <f t="shared" ca="1" si="99"/>
        <v>1.7313192091987926</v>
      </c>
      <c r="F423" s="69">
        <f t="shared" ca="1" si="99"/>
        <v>2.2713754304472324</v>
      </c>
      <c r="G423" s="69">
        <f t="shared" ca="1" si="99"/>
        <v>0.21929219675869605</v>
      </c>
      <c r="H423" s="69">
        <f t="shared" ca="1" si="99"/>
        <v>1.3117578686972002</v>
      </c>
      <c r="I423" s="69">
        <f t="shared" ca="1" si="99"/>
        <v>-1.3570516179430741</v>
      </c>
      <c r="J423" s="69">
        <f t="shared" ca="1" si="99"/>
        <v>-0.50096658707014718</v>
      </c>
      <c r="K423" s="69">
        <f t="shared" ca="1" si="99"/>
        <v>0.25667851307270972</v>
      </c>
      <c r="L423" s="69">
        <f t="shared" ca="1" si="99"/>
        <v>-1.1392622298251094</v>
      </c>
      <c r="N423" s="69">
        <f t="shared" ca="1" si="88"/>
        <v>-0.97757819513798705</v>
      </c>
      <c r="O423" s="69">
        <f t="shared" ca="1" si="89"/>
        <v>-0.59393125396189361</v>
      </c>
      <c r="P423" s="69">
        <f t="shared" ca="1" si="90"/>
        <v>1.7841359109086782E-2</v>
      </c>
      <c r="Q423" s="69">
        <f t="shared" ca="1" si="91"/>
        <v>1.7804278880605515</v>
      </c>
      <c r="R423" s="69">
        <f t="shared" ca="1" si="92"/>
        <v>2.2650807450395836</v>
      </c>
      <c r="S423" s="69">
        <f t="shared" ca="1" si="93"/>
        <v>0.25211916901550452</v>
      </c>
      <c r="T423" s="69">
        <f t="shared" ca="1" si="94"/>
        <v>1.3069268309820103</v>
      </c>
      <c r="U423" s="69">
        <f t="shared" ca="1" si="95"/>
        <v>-1.3340114910653644</v>
      </c>
      <c r="V423" s="69">
        <f t="shared" ca="1" si="96"/>
        <v>-0.50707618064374449</v>
      </c>
      <c r="W423" s="69">
        <f t="shared" ca="1" si="97"/>
        <v>0.25765986989680867</v>
      </c>
      <c r="X423" s="69">
        <f t="shared" ca="1" si="98"/>
        <v>-1.1120937394506738</v>
      </c>
    </row>
    <row r="424" spans="2:24" x14ac:dyDescent="0.2">
      <c r="B424" s="69">
        <f t="shared" ca="1" si="87"/>
        <v>-1.4945989251252461</v>
      </c>
      <c r="C424" s="69">
        <f t="shared" ca="1" si="99"/>
        <v>1.2243226954674877</v>
      </c>
      <c r="D424" s="69">
        <f t="shared" ca="1" si="99"/>
        <v>-0.90612373720555539</v>
      </c>
      <c r="E424" s="69">
        <f t="shared" ca="1" si="99"/>
        <v>1.0298664237451753</v>
      </c>
      <c r="F424" s="69">
        <f t="shared" ca="1" si="99"/>
        <v>-8.1223508810333273E-2</v>
      </c>
      <c r="G424" s="69">
        <f t="shared" ca="1" si="99"/>
        <v>0.37207531523394866</v>
      </c>
      <c r="H424" s="69">
        <f t="shared" ca="1" si="99"/>
        <v>-0.25571802055643755</v>
      </c>
      <c r="I424" s="69">
        <f t="shared" ca="1" si="99"/>
        <v>-0.88605743106749424</v>
      </c>
      <c r="J424" s="69">
        <f t="shared" ca="1" si="99"/>
        <v>1.2793336169155933</v>
      </c>
      <c r="K424" s="69">
        <f t="shared" ca="1" si="99"/>
        <v>-0.92470362388466343</v>
      </c>
      <c r="L424" s="69">
        <f t="shared" ca="1" si="99"/>
        <v>-6.3601724970135332E-2</v>
      </c>
      <c r="N424" s="69">
        <f t="shared" ca="1" si="88"/>
        <v>-1.4568308812871373</v>
      </c>
      <c r="O424" s="69">
        <f t="shared" ca="1" si="89"/>
        <v>1.1978291323846011</v>
      </c>
      <c r="P424" s="69">
        <f t="shared" ca="1" si="90"/>
        <v>-0.96386580204264538</v>
      </c>
      <c r="Q424" s="69">
        <f t="shared" ca="1" si="91"/>
        <v>1.0789751026069343</v>
      </c>
      <c r="R424" s="69">
        <f t="shared" ca="1" si="92"/>
        <v>-8.7518194217982168E-2</v>
      </c>
      <c r="S424" s="69">
        <f t="shared" ca="1" si="93"/>
        <v>0.40490228749075713</v>
      </c>
      <c r="T424" s="69">
        <f t="shared" ca="1" si="94"/>
        <v>-0.26054905827162739</v>
      </c>
      <c r="U424" s="69">
        <f t="shared" ca="1" si="95"/>
        <v>-0.86301730418978462</v>
      </c>
      <c r="V424" s="69">
        <f t="shared" ca="1" si="96"/>
        <v>1.273224023341996</v>
      </c>
      <c r="W424" s="69">
        <f t="shared" ca="1" si="97"/>
        <v>-0.92372226706056448</v>
      </c>
      <c r="X424" s="69">
        <f t="shared" ca="1" si="98"/>
        <v>-3.6433234595699852E-2</v>
      </c>
    </row>
    <row r="425" spans="2:24" x14ac:dyDescent="0.2">
      <c r="B425" s="69">
        <f t="shared" ca="1" si="87"/>
        <v>-1.0746363100829457</v>
      </c>
      <c r="C425" s="69">
        <f t="shared" ca="1" si="99"/>
        <v>-1.6029386929897764</v>
      </c>
      <c r="D425" s="69">
        <f t="shared" ca="1" si="99"/>
        <v>-1.7102184108361003</v>
      </c>
      <c r="E425" s="69">
        <f t="shared" ca="1" si="99"/>
        <v>1.7212025169686513</v>
      </c>
      <c r="F425" s="69">
        <f t="shared" ca="1" si="99"/>
        <v>-1.5924118875419846</v>
      </c>
      <c r="G425" s="69">
        <f t="shared" ca="1" si="99"/>
        <v>0.753056853969443</v>
      </c>
      <c r="H425" s="69">
        <f t="shared" ca="1" si="99"/>
        <v>-0.81842268208059121</v>
      </c>
      <c r="I425" s="69">
        <f t="shared" ca="1" si="99"/>
        <v>0.11477597411253931</v>
      </c>
      <c r="J425" s="69">
        <f t="shared" ca="1" si="99"/>
        <v>-0.23109775568107163</v>
      </c>
      <c r="K425" s="69">
        <f t="shared" ca="1" si="99"/>
        <v>-0.97542906202760282</v>
      </c>
      <c r="L425" s="69">
        <f t="shared" ca="1" si="99"/>
        <v>-0.47920691856101022</v>
      </c>
      <c r="N425" s="69">
        <f t="shared" ca="1" si="88"/>
        <v>-1.036868266244837</v>
      </c>
      <c r="O425" s="69">
        <f t="shared" ca="1" si="89"/>
        <v>-1.6294322560726631</v>
      </c>
      <c r="P425" s="69">
        <f t="shared" ca="1" si="90"/>
        <v>-1.7679604756731904</v>
      </c>
      <c r="Q425" s="69">
        <f t="shared" ca="1" si="91"/>
        <v>1.7703111958304103</v>
      </c>
      <c r="R425" s="69">
        <f t="shared" ca="1" si="92"/>
        <v>-1.5987065729496335</v>
      </c>
      <c r="S425" s="69">
        <f t="shared" ca="1" si="93"/>
        <v>0.78588382622625153</v>
      </c>
      <c r="T425" s="69">
        <f t="shared" ca="1" si="94"/>
        <v>-0.8232537197957811</v>
      </c>
      <c r="U425" s="69">
        <f t="shared" ca="1" si="95"/>
        <v>0.13781610099024896</v>
      </c>
      <c r="V425" s="69">
        <f t="shared" ca="1" si="96"/>
        <v>-0.23720734925466896</v>
      </c>
      <c r="W425" s="69">
        <f t="shared" ca="1" si="97"/>
        <v>-0.97444770520350388</v>
      </c>
      <c r="X425" s="69">
        <f t="shared" ca="1" si="98"/>
        <v>-0.45203842818657475</v>
      </c>
    </row>
    <row r="426" spans="2:24" x14ac:dyDescent="0.2">
      <c r="B426" s="69">
        <f t="shared" ca="1" si="87"/>
        <v>-8.5967801781630937E-3</v>
      </c>
      <c r="C426" s="69">
        <f t="shared" ca="1" si="99"/>
        <v>0.67389443729172849</v>
      </c>
      <c r="D426" s="69">
        <f t="shared" ca="1" si="99"/>
        <v>0.36146108878013022</v>
      </c>
      <c r="E426" s="69">
        <f t="shared" ca="1" si="99"/>
        <v>0.17627296662818451</v>
      </c>
      <c r="F426" s="69">
        <f t="shared" ca="1" si="99"/>
        <v>-0.5194448529609581</v>
      </c>
      <c r="G426" s="69">
        <f t="shared" ca="1" si="99"/>
        <v>-1.5938248224433078</v>
      </c>
      <c r="H426" s="69">
        <f t="shared" ca="1" si="99"/>
        <v>0.11255510019941158</v>
      </c>
      <c r="I426" s="69">
        <f t="shared" ref="C426:L489" ca="1" si="100">NORMINV(RAND(),$C$7,$F$7)</f>
        <v>-0.52349993780281046</v>
      </c>
      <c r="J426" s="69">
        <f t="shared" ca="1" si="100"/>
        <v>-0.25121170891133565</v>
      </c>
      <c r="K426" s="69">
        <f t="shared" ca="1" si="100"/>
        <v>-0.82979277234493143</v>
      </c>
      <c r="L426" s="69">
        <f t="shared" ca="1" si="100"/>
        <v>-1.4336010310975971</v>
      </c>
      <c r="N426" s="69">
        <f t="shared" ca="1" si="88"/>
        <v>2.9171263659945726E-2</v>
      </c>
      <c r="O426" s="69">
        <f t="shared" ca="1" si="89"/>
        <v>0.64740087420884185</v>
      </c>
      <c r="P426" s="69">
        <f t="shared" ca="1" si="90"/>
        <v>0.30371902394304018</v>
      </c>
      <c r="Q426" s="69">
        <f t="shared" ca="1" si="91"/>
        <v>0.22538164548994344</v>
      </c>
      <c r="R426" s="69">
        <f t="shared" ca="1" si="92"/>
        <v>-0.52573953836860698</v>
      </c>
      <c r="S426" s="69">
        <f t="shared" ca="1" si="93"/>
        <v>-1.5609978501864994</v>
      </c>
      <c r="T426" s="69">
        <f t="shared" ca="1" si="94"/>
        <v>0.10772406248422173</v>
      </c>
      <c r="U426" s="69">
        <f t="shared" ca="1" si="95"/>
        <v>-0.50045981092510083</v>
      </c>
      <c r="V426" s="69">
        <f t="shared" ca="1" si="96"/>
        <v>-0.25732130248493296</v>
      </c>
      <c r="W426" s="69">
        <f t="shared" ca="1" si="97"/>
        <v>-0.82881141552083248</v>
      </c>
      <c r="X426" s="69">
        <f t="shared" ca="1" si="98"/>
        <v>-1.4064325407231615</v>
      </c>
    </row>
    <row r="427" spans="2:24" x14ac:dyDescent="0.2">
      <c r="B427" s="69">
        <f t="shared" ca="1" si="87"/>
        <v>-0.69494215687892691</v>
      </c>
      <c r="C427" s="69">
        <f t="shared" ca="1" si="100"/>
        <v>0.63678057840139091</v>
      </c>
      <c r="D427" s="69">
        <f t="shared" ca="1" si="100"/>
        <v>1.9331107178764726</v>
      </c>
      <c r="E427" s="69">
        <f t="shared" ca="1" si="100"/>
        <v>1.7995884984768709</v>
      </c>
      <c r="F427" s="69">
        <f t="shared" ca="1" si="100"/>
        <v>-0.14307588385621381</v>
      </c>
      <c r="G427" s="69">
        <f t="shared" ca="1" si="100"/>
        <v>-0.58534601186750657</v>
      </c>
      <c r="H427" s="69">
        <f t="shared" ca="1" si="100"/>
        <v>1.5206622659203837</v>
      </c>
      <c r="I427" s="69">
        <f t="shared" ca="1" si="100"/>
        <v>0.61943426926891831</v>
      </c>
      <c r="J427" s="69">
        <f t="shared" ca="1" si="100"/>
        <v>-0.97005335995064434</v>
      </c>
      <c r="K427" s="69">
        <f t="shared" ca="1" si="100"/>
        <v>-0.50808864459472625</v>
      </c>
      <c r="L427" s="69">
        <f t="shared" ca="1" si="100"/>
        <v>0.15706289677781141</v>
      </c>
      <c r="N427" s="69">
        <f t="shared" ca="1" si="88"/>
        <v>-0.65717411304081808</v>
      </c>
      <c r="O427" s="69">
        <f t="shared" ca="1" si="89"/>
        <v>0.61028701531850427</v>
      </c>
      <c r="P427" s="69">
        <f t="shared" ca="1" si="90"/>
        <v>1.8753686530393825</v>
      </c>
      <c r="Q427" s="69">
        <f t="shared" ca="1" si="91"/>
        <v>1.8486971773386298</v>
      </c>
      <c r="R427" s="69">
        <f t="shared" ca="1" si="92"/>
        <v>-0.14937056926386272</v>
      </c>
      <c r="S427" s="69">
        <f t="shared" ca="1" si="93"/>
        <v>-0.55251903961069804</v>
      </c>
      <c r="T427" s="69">
        <f t="shared" ca="1" si="94"/>
        <v>1.5158312282051938</v>
      </c>
      <c r="U427" s="69">
        <f t="shared" ca="1" si="95"/>
        <v>0.64247439614662794</v>
      </c>
      <c r="V427" s="69">
        <f t="shared" ca="1" si="96"/>
        <v>-0.97616295352424165</v>
      </c>
      <c r="W427" s="69">
        <f t="shared" ca="1" si="97"/>
        <v>-0.5071072877706273</v>
      </c>
      <c r="X427" s="69">
        <f t="shared" ca="1" si="98"/>
        <v>0.18423138715224688</v>
      </c>
    </row>
    <row r="428" spans="2:24" x14ac:dyDescent="0.2">
      <c r="B428" s="69">
        <f t="shared" ca="1" si="87"/>
        <v>0.21504288041354772</v>
      </c>
      <c r="C428" s="69">
        <f t="shared" ca="1" si="100"/>
        <v>0.34513463314193654</v>
      </c>
      <c r="D428" s="69">
        <f t="shared" ca="1" si="100"/>
        <v>-1.0809395775585433</v>
      </c>
      <c r="E428" s="69">
        <f t="shared" ca="1" si="100"/>
        <v>-1.6469586494789628</v>
      </c>
      <c r="F428" s="69">
        <f t="shared" ca="1" si="100"/>
        <v>1.4428728879722532</v>
      </c>
      <c r="G428" s="69">
        <f t="shared" ca="1" si="100"/>
        <v>-0.19162266179196122</v>
      </c>
      <c r="H428" s="69">
        <f t="shared" ca="1" si="100"/>
        <v>0.40413320994830548</v>
      </c>
      <c r="I428" s="69">
        <f t="shared" ca="1" si="100"/>
        <v>7.4604753188414558E-2</v>
      </c>
      <c r="J428" s="69">
        <f t="shared" ca="1" si="100"/>
        <v>-0.8699261880853274</v>
      </c>
      <c r="K428" s="69">
        <f t="shared" ca="1" si="100"/>
        <v>0.22134598849309986</v>
      </c>
      <c r="L428" s="69">
        <f t="shared" ca="1" si="100"/>
        <v>-0.63279585180858622</v>
      </c>
      <c r="N428" s="69">
        <f t="shared" ca="1" si="88"/>
        <v>0.25281092425165652</v>
      </c>
      <c r="O428" s="69">
        <f t="shared" ca="1" si="89"/>
        <v>0.31864107005904985</v>
      </c>
      <c r="P428" s="69">
        <f t="shared" ca="1" si="90"/>
        <v>-1.1386816423956334</v>
      </c>
      <c r="Q428" s="69">
        <f t="shared" ca="1" si="91"/>
        <v>-1.5978499706172038</v>
      </c>
      <c r="R428" s="69">
        <f t="shared" ca="1" si="92"/>
        <v>1.4365782025646043</v>
      </c>
      <c r="S428" s="69">
        <f t="shared" ca="1" si="93"/>
        <v>-0.15879568953515275</v>
      </c>
      <c r="T428" s="69">
        <f t="shared" ca="1" si="94"/>
        <v>0.39930217223311565</v>
      </c>
      <c r="U428" s="69">
        <f t="shared" ca="1" si="95"/>
        <v>9.7644880066124207E-2</v>
      </c>
      <c r="V428" s="69">
        <f t="shared" ca="1" si="96"/>
        <v>-0.87603578165892471</v>
      </c>
      <c r="W428" s="69">
        <f t="shared" ca="1" si="97"/>
        <v>0.2223273453171988</v>
      </c>
      <c r="X428" s="69">
        <f t="shared" ca="1" si="98"/>
        <v>-0.60562736143415075</v>
      </c>
    </row>
    <row r="429" spans="2:24" x14ac:dyDescent="0.2">
      <c r="B429" s="69">
        <f t="shared" ca="1" si="87"/>
        <v>-1.6433489629615445</v>
      </c>
      <c r="C429" s="69">
        <f t="shared" ca="1" si="100"/>
        <v>1.3363886788642172</v>
      </c>
      <c r="D429" s="69">
        <f t="shared" ca="1" si="100"/>
        <v>-0.66399533385081289</v>
      </c>
      <c r="E429" s="69">
        <f t="shared" ca="1" si="100"/>
        <v>0.58352966460767386</v>
      </c>
      <c r="F429" s="69">
        <f t="shared" ca="1" si="100"/>
        <v>0.5204323201623331</v>
      </c>
      <c r="G429" s="69">
        <f t="shared" ca="1" si="100"/>
        <v>-0.84660811155329974</v>
      </c>
      <c r="H429" s="69">
        <f t="shared" ca="1" si="100"/>
        <v>-2.039024202115848</v>
      </c>
      <c r="I429" s="69">
        <f t="shared" ca="1" si="100"/>
        <v>-0.69708585852478211</v>
      </c>
      <c r="J429" s="69">
        <f t="shared" ca="1" si="100"/>
        <v>-0.58753758598876449</v>
      </c>
      <c r="K429" s="69">
        <f t="shared" ca="1" si="100"/>
        <v>-0.62737811715367198</v>
      </c>
      <c r="L429" s="69">
        <f t="shared" ca="1" si="100"/>
        <v>0.83582726578075117</v>
      </c>
      <c r="N429" s="69">
        <f t="shared" ca="1" si="88"/>
        <v>-1.6055809191234358</v>
      </c>
      <c r="O429" s="69">
        <f t="shared" ca="1" si="89"/>
        <v>1.3098951157813306</v>
      </c>
      <c r="P429" s="69">
        <f t="shared" ca="1" si="90"/>
        <v>-0.72173739868790288</v>
      </c>
      <c r="Q429" s="69">
        <f t="shared" ca="1" si="91"/>
        <v>0.63263834346943282</v>
      </c>
      <c r="R429" s="69">
        <f t="shared" ca="1" si="92"/>
        <v>0.51413763475468421</v>
      </c>
      <c r="S429" s="69">
        <f t="shared" ca="1" si="93"/>
        <v>-0.81378113929649121</v>
      </c>
      <c r="T429" s="69">
        <f t="shared" ca="1" si="94"/>
        <v>-2.0438552398310379</v>
      </c>
      <c r="U429" s="69">
        <f t="shared" ca="1" si="95"/>
        <v>-0.67404573164707249</v>
      </c>
      <c r="V429" s="69">
        <f t="shared" ca="1" si="96"/>
        <v>-0.59364717956236179</v>
      </c>
      <c r="W429" s="69">
        <f t="shared" ca="1" si="97"/>
        <v>-0.62639676032957303</v>
      </c>
      <c r="X429" s="69">
        <f t="shared" ca="1" si="98"/>
        <v>0.86299575615518664</v>
      </c>
    </row>
    <row r="430" spans="2:24" x14ac:dyDescent="0.2">
      <c r="B430" s="69">
        <f t="shared" ca="1" si="87"/>
        <v>2.3157023083658181</v>
      </c>
      <c r="C430" s="69">
        <f t="shared" ca="1" si="100"/>
        <v>-0.96683649583030806</v>
      </c>
      <c r="D430" s="69">
        <f t="shared" ca="1" si="100"/>
        <v>3.107143506876528E-2</v>
      </c>
      <c r="E430" s="69">
        <f t="shared" ca="1" si="100"/>
        <v>-0.97805274498182548</v>
      </c>
      <c r="F430" s="69">
        <f t="shared" ca="1" si="100"/>
        <v>0.47293576696911965</v>
      </c>
      <c r="G430" s="69">
        <f t="shared" ca="1" si="100"/>
        <v>-4.065231090682251E-2</v>
      </c>
      <c r="H430" s="69">
        <f t="shared" ca="1" si="100"/>
        <v>1.937858681909965</v>
      </c>
      <c r="I430" s="69">
        <f t="shared" ca="1" si="100"/>
        <v>-0.26161852700639215</v>
      </c>
      <c r="J430" s="69">
        <f t="shared" ca="1" si="100"/>
        <v>-0.35121485306137235</v>
      </c>
      <c r="K430" s="69">
        <f t="shared" ca="1" si="100"/>
        <v>-1.0419575413702191</v>
      </c>
      <c r="L430" s="69">
        <f t="shared" ca="1" si="100"/>
        <v>0.23073695012848161</v>
      </c>
      <c r="N430" s="69">
        <f t="shared" ca="1" si="88"/>
        <v>2.3534703522039271</v>
      </c>
      <c r="O430" s="69">
        <f t="shared" ca="1" si="89"/>
        <v>-0.9933300589131947</v>
      </c>
      <c r="P430" s="69">
        <f t="shared" ca="1" si="90"/>
        <v>-2.6670629768324752E-2</v>
      </c>
      <c r="Q430" s="69">
        <f t="shared" ca="1" si="91"/>
        <v>-0.92894406612006653</v>
      </c>
      <c r="R430" s="69">
        <f t="shared" ca="1" si="92"/>
        <v>0.46664108156147077</v>
      </c>
      <c r="S430" s="69">
        <f t="shared" ca="1" si="93"/>
        <v>-7.8253386500140298E-3</v>
      </c>
      <c r="T430" s="69">
        <f t="shared" ca="1" si="94"/>
        <v>1.9330276441947751</v>
      </c>
      <c r="U430" s="69">
        <f t="shared" ca="1" si="95"/>
        <v>-0.23857840012868251</v>
      </c>
      <c r="V430" s="69">
        <f t="shared" ca="1" si="96"/>
        <v>-0.35732444663496965</v>
      </c>
      <c r="W430" s="69">
        <f t="shared" ca="1" si="97"/>
        <v>-1.0409761845461201</v>
      </c>
      <c r="X430" s="69">
        <f t="shared" ca="1" si="98"/>
        <v>0.25790544050291708</v>
      </c>
    </row>
    <row r="431" spans="2:24" x14ac:dyDescent="0.2">
      <c r="B431" s="69">
        <f t="shared" ca="1" si="87"/>
        <v>1.4578174866917468</v>
      </c>
      <c r="C431" s="69">
        <f t="shared" ca="1" si="100"/>
        <v>-0.86987104018067374</v>
      </c>
      <c r="D431" s="69">
        <f t="shared" ca="1" si="100"/>
        <v>-1.0976837132139654</v>
      </c>
      <c r="E431" s="69">
        <f t="shared" ca="1" si="100"/>
        <v>1.3122310215045396</v>
      </c>
      <c r="F431" s="69">
        <f t="shared" ca="1" si="100"/>
        <v>-4.2466774889696822E-2</v>
      </c>
      <c r="G431" s="69">
        <f t="shared" ca="1" si="100"/>
        <v>-9.0326567341019404E-2</v>
      </c>
      <c r="H431" s="69">
        <f t="shared" ca="1" si="100"/>
        <v>-0.25514789158473489</v>
      </c>
      <c r="I431" s="69">
        <f t="shared" ca="1" si="100"/>
        <v>-1.585637505200953</v>
      </c>
      <c r="J431" s="69">
        <f t="shared" ca="1" si="100"/>
        <v>2.3563569574817222</v>
      </c>
      <c r="K431" s="69">
        <f t="shared" ca="1" si="100"/>
        <v>-8.5792210637040955E-2</v>
      </c>
      <c r="L431" s="69">
        <f t="shared" ca="1" si="100"/>
        <v>2.5044665213128408</v>
      </c>
      <c r="N431" s="69">
        <f t="shared" ca="1" si="88"/>
        <v>1.4955855305298555</v>
      </c>
      <c r="O431" s="69">
        <f t="shared" ca="1" si="89"/>
        <v>-0.89636460326356038</v>
      </c>
      <c r="P431" s="69">
        <f t="shared" ca="1" si="90"/>
        <v>-1.1554257780510555</v>
      </c>
      <c r="Q431" s="69">
        <f t="shared" ca="1" si="91"/>
        <v>1.3613397003662986</v>
      </c>
      <c r="R431" s="69">
        <f t="shared" ca="1" si="92"/>
        <v>-4.8761460297345717E-2</v>
      </c>
      <c r="S431" s="69">
        <f t="shared" ca="1" si="93"/>
        <v>-5.7499595084210924E-2</v>
      </c>
      <c r="T431" s="69">
        <f t="shared" ca="1" si="94"/>
        <v>-0.25997892929992472</v>
      </c>
      <c r="U431" s="69">
        <f t="shared" ca="1" si="95"/>
        <v>-1.5625973783232434</v>
      </c>
      <c r="V431" s="69">
        <f t="shared" ca="1" si="96"/>
        <v>2.3502473639081249</v>
      </c>
      <c r="W431" s="69">
        <f t="shared" ca="1" si="97"/>
        <v>-8.4810853812942011E-2</v>
      </c>
      <c r="X431" s="69">
        <f t="shared" ca="1" si="98"/>
        <v>2.5316350116872761</v>
      </c>
    </row>
    <row r="432" spans="2:24" x14ac:dyDescent="0.2">
      <c r="B432" s="69">
        <f t="shared" ca="1" si="87"/>
        <v>-0.24857309383489826</v>
      </c>
      <c r="C432" s="69">
        <f t="shared" ca="1" si="100"/>
        <v>-1.6229884637348357</v>
      </c>
      <c r="D432" s="69">
        <f t="shared" ca="1" si="100"/>
        <v>0.25430207547498163</v>
      </c>
      <c r="E432" s="69">
        <f t="shared" ca="1" si="100"/>
        <v>-0.53645600405227278</v>
      </c>
      <c r="F432" s="69">
        <f t="shared" ca="1" si="100"/>
        <v>-2.8691518092804738</v>
      </c>
      <c r="G432" s="69">
        <f t="shared" ca="1" si="100"/>
        <v>0.36307234974266783</v>
      </c>
      <c r="H432" s="69">
        <f t="shared" ca="1" si="100"/>
        <v>-1.3624242949724668</v>
      </c>
      <c r="I432" s="69">
        <f t="shared" ca="1" si="100"/>
        <v>-2.3839883976255054</v>
      </c>
      <c r="J432" s="69">
        <f t="shared" ca="1" si="100"/>
        <v>-0.43388879939123109</v>
      </c>
      <c r="K432" s="69">
        <f t="shared" ca="1" si="100"/>
        <v>0.3395447902865909</v>
      </c>
      <c r="L432" s="69">
        <f t="shared" ca="1" si="100"/>
        <v>-0.59908614015959183</v>
      </c>
      <c r="N432" s="69">
        <f t="shared" ca="1" si="88"/>
        <v>-0.21080504999678945</v>
      </c>
      <c r="O432" s="69">
        <f t="shared" ca="1" si="89"/>
        <v>-1.6494820268177224</v>
      </c>
      <c r="P432" s="69">
        <f t="shared" ca="1" si="90"/>
        <v>0.19656001063789158</v>
      </c>
      <c r="Q432" s="69">
        <f t="shared" ca="1" si="91"/>
        <v>-0.48734732519051382</v>
      </c>
      <c r="R432" s="69">
        <f t="shared" ca="1" si="92"/>
        <v>-2.8754464946881226</v>
      </c>
      <c r="S432" s="69">
        <f t="shared" ca="1" si="93"/>
        <v>0.39589932199947631</v>
      </c>
      <c r="T432" s="69">
        <f t="shared" ca="1" si="94"/>
        <v>-1.3672553326876566</v>
      </c>
      <c r="U432" s="69">
        <f t="shared" ca="1" si="95"/>
        <v>-2.3609482707477958</v>
      </c>
      <c r="V432" s="69">
        <f t="shared" ca="1" si="96"/>
        <v>-0.4399983929648284</v>
      </c>
      <c r="W432" s="69">
        <f t="shared" ca="1" si="97"/>
        <v>0.34052614711068985</v>
      </c>
      <c r="X432" s="69">
        <f t="shared" ca="1" si="98"/>
        <v>-0.57191764978515636</v>
      </c>
    </row>
    <row r="433" spans="2:24" x14ac:dyDescent="0.2">
      <c r="B433" s="69">
        <f t="shared" ca="1" si="87"/>
        <v>-0.34094783430525605</v>
      </c>
      <c r="C433" s="69">
        <f t="shared" ca="1" si="100"/>
        <v>-1.5946233531310818</v>
      </c>
      <c r="D433" s="69">
        <f t="shared" ca="1" si="100"/>
        <v>0.1313900229449293</v>
      </c>
      <c r="E433" s="69">
        <f t="shared" ca="1" si="100"/>
        <v>1.5974203495056103</v>
      </c>
      <c r="F433" s="69">
        <f t="shared" ca="1" si="100"/>
        <v>-1.5841118358686643</v>
      </c>
      <c r="G433" s="69">
        <f t="shared" ca="1" si="100"/>
        <v>0.39766980341125724</v>
      </c>
      <c r="H433" s="69">
        <f t="shared" ca="1" si="100"/>
        <v>0.3212716791089601</v>
      </c>
      <c r="I433" s="69">
        <f t="shared" ca="1" si="100"/>
        <v>-2.0968186119957224</v>
      </c>
      <c r="J433" s="69">
        <f t="shared" ca="1" si="100"/>
        <v>-0.48279754206800618</v>
      </c>
      <c r="K433" s="69">
        <f t="shared" ca="1" si="100"/>
        <v>-0.59425609018293635</v>
      </c>
      <c r="L433" s="69">
        <f t="shared" ca="1" si="100"/>
        <v>-0.35655014766061027</v>
      </c>
      <c r="N433" s="69">
        <f t="shared" ca="1" si="88"/>
        <v>-0.30317979046714721</v>
      </c>
      <c r="O433" s="69">
        <f t="shared" ca="1" si="89"/>
        <v>-1.6211169162139685</v>
      </c>
      <c r="P433" s="69">
        <f t="shared" ca="1" si="90"/>
        <v>7.3647958107839265E-2</v>
      </c>
      <c r="Q433" s="69">
        <f t="shared" ca="1" si="91"/>
        <v>1.6465290283673693</v>
      </c>
      <c r="R433" s="69">
        <f t="shared" ca="1" si="92"/>
        <v>-1.5904065212763132</v>
      </c>
      <c r="S433" s="69">
        <f t="shared" ca="1" si="93"/>
        <v>0.43049677566806571</v>
      </c>
      <c r="T433" s="69">
        <f t="shared" ca="1" si="94"/>
        <v>0.31644064139377026</v>
      </c>
      <c r="U433" s="69">
        <f t="shared" ca="1" si="95"/>
        <v>-2.0737784851180128</v>
      </c>
      <c r="V433" s="69">
        <f t="shared" ca="1" si="96"/>
        <v>-0.48890713564160349</v>
      </c>
      <c r="W433" s="69">
        <f t="shared" ca="1" si="97"/>
        <v>-0.5932747333588374</v>
      </c>
      <c r="X433" s="69">
        <f t="shared" ca="1" si="98"/>
        <v>-0.3293816572861748</v>
      </c>
    </row>
    <row r="434" spans="2:24" x14ac:dyDescent="0.2">
      <c r="B434" s="69">
        <f t="shared" ca="1" si="87"/>
        <v>1.7398175734689008</v>
      </c>
      <c r="C434" s="69">
        <f t="shared" ca="1" si="100"/>
        <v>1.5462232112926129</v>
      </c>
      <c r="D434" s="69">
        <f t="shared" ca="1" si="100"/>
        <v>0.10662312207403461</v>
      </c>
      <c r="E434" s="69">
        <f t="shared" ca="1" si="100"/>
        <v>0.58701151591012157</v>
      </c>
      <c r="F434" s="69">
        <f t="shared" ca="1" si="100"/>
        <v>-0.34230071792420941</v>
      </c>
      <c r="G434" s="69">
        <f t="shared" ca="1" si="100"/>
        <v>1.9820313680536227E-2</v>
      </c>
      <c r="H434" s="69">
        <f t="shared" ca="1" si="100"/>
        <v>1.3062146456180008</v>
      </c>
      <c r="I434" s="69">
        <f t="shared" ca="1" si="100"/>
        <v>-0.4729321860656206</v>
      </c>
      <c r="J434" s="69">
        <f t="shared" ca="1" si="100"/>
        <v>-1.4722634596971018</v>
      </c>
      <c r="K434" s="69">
        <f t="shared" ca="1" si="100"/>
        <v>-0.79798719341891322</v>
      </c>
      <c r="L434" s="69">
        <f t="shared" ca="1" si="100"/>
        <v>-0.35625684042856914</v>
      </c>
      <c r="N434" s="69">
        <f t="shared" ca="1" si="88"/>
        <v>1.7775856173070095</v>
      </c>
      <c r="O434" s="69">
        <f t="shared" ca="1" si="89"/>
        <v>1.5197296482097262</v>
      </c>
      <c r="P434" s="69">
        <f t="shared" ca="1" si="90"/>
        <v>4.8881057236944581E-2</v>
      </c>
      <c r="Q434" s="69">
        <f t="shared" ca="1" si="91"/>
        <v>0.63612019477188053</v>
      </c>
      <c r="R434" s="69">
        <f t="shared" ca="1" si="92"/>
        <v>-0.34859540333185829</v>
      </c>
      <c r="S434" s="69">
        <f t="shared" ca="1" si="93"/>
        <v>5.2647285937344704E-2</v>
      </c>
      <c r="T434" s="69">
        <f t="shared" ca="1" si="94"/>
        <v>1.3013836079028109</v>
      </c>
      <c r="U434" s="69">
        <f t="shared" ca="1" si="95"/>
        <v>-0.44989205918791092</v>
      </c>
      <c r="V434" s="69">
        <f t="shared" ca="1" si="96"/>
        <v>-1.4783730532706991</v>
      </c>
      <c r="W434" s="69">
        <f t="shared" ca="1" si="97"/>
        <v>-0.79700583659481428</v>
      </c>
      <c r="X434" s="69">
        <f t="shared" ca="1" si="98"/>
        <v>-0.32908835005413367</v>
      </c>
    </row>
    <row r="435" spans="2:24" x14ac:dyDescent="0.2">
      <c r="B435" s="69">
        <f t="shared" ca="1" si="87"/>
        <v>-1.0404163894896541</v>
      </c>
      <c r="C435" s="69">
        <f t="shared" ca="1" si="100"/>
        <v>3.0070486774463029E-2</v>
      </c>
      <c r="D435" s="69">
        <f t="shared" ca="1" si="100"/>
        <v>-7.6783051840792108E-2</v>
      </c>
      <c r="E435" s="69">
        <f t="shared" ca="1" si="100"/>
        <v>-0.60173804824126498</v>
      </c>
      <c r="F435" s="69">
        <f t="shared" ca="1" si="100"/>
        <v>0.66318605732396685</v>
      </c>
      <c r="G435" s="69">
        <f t="shared" ca="1" si="100"/>
        <v>0.74109054768647409</v>
      </c>
      <c r="H435" s="69">
        <f t="shared" ca="1" si="100"/>
        <v>-1.3248865104317189</v>
      </c>
      <c r="I435" s="69">
        <f t="shared" ca="1" si="100"/>
        <v>1.5715713389553569</v>
      </c>
      <c r="J435" s="69">
        <f t="shared" ca="1" si="100"/>
        <v>0.28543418008207028</v>
      </c>
      <c r="K435" s="69">
        <f t="shared" ca="1" si="100"/>
        <v>1.3282565458044608</v>
      </c>
      <c r="L435" s="69">
        <f t="shared" ca="1" si="100"/>
        <v>0.42858986043123648</v>
      </c>
      <c r="N435" s="69">
        <f t="shared" ca="1" si="88"/>
        <v>-1.0026483456515454</v>
      </c>
      <c r="O435" s="69">
        <f t="shared" ca="1" si="89"/>
        <v>3.576923691576344E-3</v>
      </c>
      <c r="P435" s="69">
        <f t="shared" ca="1" si="90"/>
        <v>-0.13452511667788214</v>
      </c>
      <c r="Q435" s="69">
        <f t="shared" ca="1" si="91"/>
        <v>-0.55262936937950602</v>
      </c>
      <c r="R435" s="69">
        <f t="shared" ca="1" si="92"/>
        <v>0.65689137191631797</v>
      </c>
      <c r="S435" s="69">
        <f t="shared" ca="1" si="93"/>
        <v>0.77391751994328262</v>
      </c>
      <c r="T435" s="69">
        <f t="shared" ca="1" si="94"/>
        <v>-1.3297175481469088</v>
      </c>
      <c r="U435" s="69">
        <f t="shared" ca="1" si="95"/>
        <v>1.5946114658330666</v>
      </c>
      <c r="V435" s="69">
        <f t="shared" ca="1" si="96"/>
        <v>0.27932458650847297</v>
      </c>
      <c r="W435" s="69">
        <f t="shared" ca="1" si="97"/>
        <v>1.3292379026285599</v>
      </c>
      <c r="X435" s="69">
        <f t="shared" ca="1" si="98"/>
        <v>0.45575835080567195</v>
      </c>
    </row>
    <row r="436" spans="2:24" x14ac:dyDescent="0.2">
      <c r="B436" s="69">
        <f t="shared" ca="1" si="87"/>
        <v>2.3284651753410475</v>
      </c>
      <c r="C436" s="69">
        <f t="shared" ca="1" si="100"/>
        <v>0.89197109751961412</v>
      </c>
      <c r="D436" s="69">
        <f t="shared" ca="1" si="100"/>
        <v>-1.0265200382408595</v>
      </c>
      <c r="E436" s="69">
        <f t="shared" ca="1" si="100"/>
        <v>-1.2146928785515994</v>
      </c>
      <c r="F436" s="69">
        <f t="shared" ca="1" si="100"/>
        <v>-0.51186227895775183</v>
      </c>
      <c r="G436" s="69">
        <f t="shared" ca="1" si="100"/>
        <v>2.2174938251128147</v>
      </c>
      <c r="H436" s="69">
        <f t="shared" ca="1" si="100"/>
        <v>0.88328348457926331</v>
      </c>
      <c r="I436" s="69">
        <f t="shared" ca="1" si="100"/>
        <v>0.6515741566138592</v>
      </c>
      <c r="J436" s="69">
        <f t="shared" ca="1" si="100"/>
        <v>-1.1459874380596957</v>
      </c>
      <c r="K436" s="69">
        <f t="shared" ca="1" si="100"/>
        <v>-0.82386202700693667</v>
      </c>
      <c r="L436" s="69">
        <f t="shared" ca="1" si="100"/>
        <v>-0.23807477445182601</v>
      </c>
      <c r="N436" s="69">
        <f t="shared" ca="1" si="88"/>
        <v>2.3662332191791564</v>
      </c>
      <c r="O436" s="69">
        <f t="shared" ca="1" si="89"/>
        <v>0.86547753443672748</v>
      </c>
      <c r="P436" s="69">
        <f t="shared" ca="1" si="90"/>
        <v>-1.0842621030779496</v>
      </c>
      <c r="Q436" s="69">
        <f t="shared" ca="1" si="91"/>
        <v>-1.1655841996898404</v>
      </c>
      <c r="R436" s="69">
        <f t="shared" ca="1" si="92"/>
        <v>-0.51815696436540071</v>
      </c>
      <c r="S436" s="69">
        <f t="shared" ca="1" si="93"/>
        <v>2.2503207973696231</v>
      </c>
      <c r="T436" s="69">
        <f t="shared" ca="1" si="94"/>
        <v>0.87845244686407342</v>
      </c>
      <c r="U436" s="69">
        <f t="shared" ca="1" si="95"/>
        <v>0.67461428349156882</v>
      </c>
      <c r="V436" s="69">
        <f t="shared" ca="1" si="96"/>
        <v>-1.152097031633293</v>
      </c>
      <c r="W436" s="69">
        <f t="shared" ca="1" si="97"/>
        <v>-0.82288067018283773</v>
      </c>
      <c r="X436" s="69">
        <f t="shared" ca="1" si="98"/>
        <v>-0.21090628407739054</v>
      </c>
    </row>
    <row r="437" spans="2:24" x14ac:dyDescent="0.2">
      <c r="B437" s="69">
        <f t="shared" ca="1" si="87"/>
        <v>2.1856430420885649</v>
      </c>
      <c r="C437" s="69">
        <f t="shared" ca="1" si="100"/>
        <v>1.0128042245416677</v>
      </c>
      <c r="D437" s="69">
        <f t="shared" ca="1" si="100"/>
        <v>-0.83862874009142763</v>
      </c>
      <c r="E437" s="69">
        <f t="shared" ca="1" si="100"/>
        <v>1.616193069386737</v>
      </c>
      <c r="F437" s="69">
        <f t="shared" ca="1" si="100"/>
        <v>1.1727762603457894</v>
      </c>
      <c r="G437" s="69">
        <f t="shared" ca="1" si="100"/>
        <v>-1.7475676597045138</v>
      </c>
      <c r="H437" s="69">
        <f t="shared" ca="1" si="100"/>
        <v>-6.4933030277208245E-2</v>
      </c>
      <c r="I437" s="69">
        <f t="shared" ca="1" si="100"/>
        <v>0.43369200392304658</v>
      </c>
      <c r="J437" s="69">
        <f t="shared" ca="1" si="100"/>
        <v>0.86830157886719939</v>
      </c>
      <c r="K437" s="69">
        <f t="shared" ca="1" si="100"/>
        <v>0.70367371832464476</v>
      </c>
      <c r="L437" s="69">
        <f t="shared" ca="1" si="100"/>
        <v>-0.30304330702673554</v>
      </c>
      <c r="N437" s="69">
        <f t="shared" ca="1" si="88"/>
        <v>2.2234110859266738</v>
      </c>
      <c r="O437" s="69">
        <f t="shared" ca="1" si="89"/>
        <v>0.9863106614587811</v>
      </c>
      <c r="P437" s="69">
        <f t="shared" ca="1" si="90"/>
        <v>-0.89637080492851762</v>
      </c>
      <c r="Q437" s="69">
        <f t="shared" ca="1" si="91"/>
        <v>1.665301748248496</v>
      </c>
      <c r="R437" s="69">
        <f t="shared" ca="1" si="92"/>
        <v>1.1664815749381405</v>
      </c>
      <c r="S437" s="69">
        <f t="shared" ca="1" si="93"/>
        <v>-1.7147406874477054</v>
      </c>
      <c r="T437" s="69">
        <f t="shared" ca="1" si="94"/>
        <v>-6.9764067992398093E-2</v>
      </c>
      <c r="U437" s="69">
        <f t="shared" ca="1" si="95"/>
        <v>0.45673213080075625</v>
      </c>
      <c r="V437" s="69">
        <f t="shared" ca="1" si="96"/>
        <v>0.86219198529360208</v>
      </c>
      <c r="W437" s="69">
        <f t="shared" ca="1" si="97"/>
        <v>0.7046550751487437</v>
      </c>
      <c r="X437" s="69">
        <f t="shared" ca="1" si="98"/>
        <v>-0.27587481665230007</v>
      </c>
    </row>
    <row r="438" spans="2:24" x14ac:dyDescent="0.2">
      <c r="B438" s="69">
        <f t="shared" ca="1" si="87"/>
        <v>0.5577112418712622</v>
      </c>
      <c r="C438" s="69">
        <f t="shared" ca="1" si="100"/>
        <v>0.7001733494676371</v>
      </c>
      <c r="D438" s="69">
        <f t="shared" ca="1" si="100"/>
        <v>-0.42017373816995046</v>
      </c>
      <c r="E438" s="69">
        <f t="shared" ca="1" si="100"/>
        <v>-0.27052510923438938</v>
      </c>
      <c r="F438" s="69">
        <f t="shared" ca="1" si="100"/>
        <v>-0.47597339262612032</v>
      </c>
      <c r="G438" s="69">
        <f t="shared" ca="1" si="100"/>
        <v>-9.4383895346276434E-2</v>
      </c>
      <c r="H438" s="69">
        <f t="shared" ca="1" si="100"/>
        <v>-0.73188938275864091</v>
      </c>
      <c r="I438" s="69">
        <f t="shared" ca="1" si="100"/>
        <v>-0.17769102773896583</v>
      </c>
      <c r="J438" s="69">
        <f t="shared" ca="1" si="100"/>
        <v>-1.6273065241909337</v>
      </c>
      <c r="K438" s="69">
        <f t="shared" ca="1" si="100"/>
        <v>-0.44953491499616949</v>
      </c>
      <c r="L438" s="69">
        <f t="shared" ca="1" si="100"/>
        <v>1.9647002071811861</v>
      </c>
      <c r="N438" s="69">
        <f t="shared" ca="1" si="88"/>
        <v>0.59547928570937103</v>
      </c>
      <c r="O438" s="69">
        <f t="shared" ca="1" si="89"/>
        <v>0.67367978638475046</v>
      </c>
      <c r="P438" s="69">
        <f t="shared" ca="1" si="90"/>
        <v>-0.47791580300704051</v>
      </c>
      <c r="Q438" s="69">
        <f t="shared" ca="1" si="91"/>
        <v>-0.22141643037263042</v>
      </c>
      <c r="R438" s="69">
        <f t="shared" ca="1" si="92"/>
        <v>-0.4822680780337692</v>
      </c>
      <c r="S438" s="69">
        <f t="shared" ca="1" si="93"/>
        <v>-6.1556923089467953E-2</v>
      </c>
      <c r="T438" s="69">
        <f t="shared" ca="1" si="94"/>
        <v>-0.73672042047383079</v>
      </c>
      <c r="U438" s="69">
        <f t="shared" ca="1" si="95"/>
        <v>-0.15465090086125619</v>
      </c>
      <c r="V438" s="69">
        <f t="shared" ca="1" si="96"/>
        <v>-1.633416117764531</v>
      </c>
      <c r="W438" s="69">
        <f t="shared" ca="1" si="97"/>
        <v>-0.44855355817207054</v>
      </c>
      <c r="X438" s="69">
        <f t="shared" ca="1" si="98"/>
        <v>1.9918686975556217</v>
      </c>
    </row>
    <row r="439" spans="2:24" x14ac:dyDescent="0.2">
      <c r="B439" s="69">
        <f t="shared" ca="1" si="87"/>
        <v>-0.82634015898826096</v>
      </c>
      <c r="C439" s="69">
        <f t="shared" ca="1" si="100"/>
        <v>-0.24199702017519925</v>
      </c>
      <c r="D439" s="69">
        <f t="shared" ca="1" si="100"/>
        <v>0.45233880349381639</v>
      </c>
      <c r="E439" s="69">
        <f t="shared" ca="1" si="100"/>
        <v>0.43613081049547481</v>
      </c>
      <c r="F439" s="69">
        <f t="shared" ca="1" si="100"/>
        <v>-1.1121937874167136</v>
      </c>
      <c r="G439" s="69">
        <f t="shared" ca="1" si="100"/>
        <v>0.11808788982540416</v>
      </c>
      <c r="H439" s="69">
        <f t="shared" ca="1" si="100"/>
        <v>-1.9191272938923352</v>
      </c>
      <c r="I439" s="69">
        <f t="shared" ca="1" si="100"/>
        <v>-0.39227620942183072</v>
      </c>
      <c r="J439" s="69">
        <f t="shared" ca="1" si="100"/>
        <v>0.56061176044520389</v>
      </c>
      <c r="K439" s="69">
        <f t="shared" ca="1" si="100"/>
        <v>-0.88070726072655592</v>
      </c>
      <c r="L439" s="69">
        <f t="shared" ca="1" si="100"/>
        <v>0.33213023383140761</v>
      </c>
      <c r="N439" s="69">
        <f t="shared" ca="1" si="88"/>
        <v>-0.78857211515015213</v>
      </c>
      <c r="O439" s="69">
        <f t="shared" ca="1" si="89"/>
        <v>-0.26849058325808595</v>
      </c>
      <c r="P439" s="69">
        <f t="shared" ca="1" si="90"/>
        <v>0.39459673865672634</v>
      </c>
      <c r="Q439" s="69">
        <f t="shared" ca="1" si="91"/>
        <v>0.48523948935723377</v>
      </c>
      <c r="R439" s="69">
        <f t="shared" ca="1" si="92"/>
        <v>-1.1184884728243625</v>
      </c>
      <c r="S439" s="69">
        <f t="shared" ca="1" si="93"/>
        <v>0.15091486208221264</v>
      </c>
      <c r="T439" s="69">
        <f t="shared" ca="1" si="94"/>
        <v>-1.9239583316075251</v>
      </c>
      <c r="U439" s="69">
        <f t="shared" ca="1" si="95"/>
        <v>-0.36923608254412105</v>
      </c>
      <c r="V439" s="69">
        <f t="shared" ca="1" si="96"/>
        <v>0.55450216687160658</v>
      </c>
      <c r="W439" s="69">
        <f t="shared" ca="1" si="97"/>
        <v>-0.87972590390245697</v>
      </c>
      <c r="X439" s="69">
        <f t="shared" ca="1" si="98"/>
        <v>0.35929872420584308</v>
      </c>
    </row>
    <row r="440" spans="2:24" x14ac:dyDescent="0.2">
      <c r="B440" s="69">
        <f t="shared" ca="1" si="87"/>
        <v>1.5976905478101133</v>
      </c>
      <c r="C440" s="69">
        <f t="shared" ca="1" si="100"/>
        <v>-0.58305185445544683</v>
      </c>
      <c r="D440" s="69">
        <f t="shared" ca="1" si="100"/>
        <v>-0.29232841618041394</v>
      </c>
      <c r="E440" s="69">
        <f t="shared" ca="1" si="100"/>
        <v>-0.45154752297775369</v>
      </c>
      <c r="F440" s="69">
        <f t="shared" ca="1" si="100"/>
        <v>1.1871886636845561</v>
      </c>
      <c r="G440" s="69">
        <f t="shared" ca="1" si="100"/>
        <v>0.4717120741038508</v>
      </c>
      <c r="H440" s="69">
        <f t="shared" ca="1" si="100"/>
        <v>-0.45981187381367428</v>
      </c>
      <c r="I440" s="69">
        <f t="shared" ca="1" si="100"/>
        <v>-0.22379073906339619</v>
      </c>
      <c r="J440" s="69">
        <f t="shared" ca="1" si="100"/>
        <v>0.80667834504849201</v>
      </c>
      <c r="K440" s="69">
        <f t="shared" ca="1" si="100"/>
        <v>-1.2033510363078799</v>
      </c>
      <c r="L440" s="69">
        <f t="shared" ca="1" si="100"/>
        <v>-0.21295322548826831</v>
      </c>
      <c r="N440" s="69">
        <f t="shared" ca="1" si="88"/>
        <v>1.635458591648222</v>
      </c>
      <c r="O440" s="69">
        <f t="shared" ca="1" si="89"/>
        <v>-0.60954541753833347</v>
      </c>
      <c r="P440" s="69">
        <f t="shared" ca="1" si="90"/>
        <v>-0.35007048101750399</v>
      </c>
      <c r="Q440" s="69">
        <f t="shared" ca="1" si="91"/>
        <v>-0.40243884411599473</v>
      </c>
      <c r="R440" s="69">
        <f t="shared" ca="1" si="92"/>
        <v>1.1808939782769072</v>
      </c>
      <c r="S440" s="69">
        <f t="shared" ca="1" si="93"/>
        <v>0.50453904636065927</v>
      </c>
      <c r="T440" s="69">
        <f t="shared" ca="1" si="94"/>
        <v>-0.46464291152886411</v>
      </c>
      <c r="U440" s="69">
        <f t="shared" ca="1" si="95"/>
        <v>-0.20075061218568654</v>
      </c>
      <c r="V440" s="69">
        <f t="shared" ca="1" si="96"/>
        <v>0.8005687514748947</v>
      </c>
      <c r="W440" s="69">
        <f t="shared" ca="1" si="97"/>
        <v>-1.2023696794837808</v>
      </c>
      <c r="X440" s="69">
        <f t="shared" ca="1" si="98"/>
        <v>-0.18578473511383284</v>
      </c>
    </row>
    <row r="441" spans="2:24" x14ac:dyDescent="0.2">
      <c r="B441" s="69">
        <f t="shared" ca="1" si="87"/>
        <v>-3.8945100886426198</v>
      </c>
      <c r="C441" s="69">
        <f t="shared" ca="1" si="100"/>
        <v>1.2393470425615034</v>
      </c>
      <c r="D441" s="69">
        <f t="shared" ca="1" si="100"/>
        <v>-1.6961964384522235</v>
      </c>
      <c r="E441" s="69">
        <f t="shared" ca="1" si="100"/>
        <v>-0.88481964463094109</v>
      </c>
      <c r="F441" s="69">
        <f t="shared" ca="1" si="100"/>
        <v>1.8998509753154682</v>
      </c>
      <c r="G441" s="69">
        <f t="shared" ca="1" si="100"/>
        <v>0.37931728946617599</v>
      </c>
      <c r="H441" s="69">
        <f t="shared" ca="1" si="100"/>
        <v>1.1064977243055139</v>
      </c>
      <c r="I441" s="69">
        <f t="shared" ca="1" si="100"/>
        <v>0.79412984913728701</v>
      </c>
      <c r="J441" s="69">
        <f t="shared" ca="1" si="100"/>
        <v>-0.1741011017437552</v>
      </c>
      <c r="K441" s="69">
        <f t="shared" ca="1" si="100"/>
        <v>-1.2371860825021814</v>
      </c>
      <c r="L441" s="69">
        <f t="shared" ca="1" si="100"/>
        <v>0.37722214885923067</v>
      </c>
      <c r="N441" s="69">
        <f t="shared" ca="1" si="88"/>
        <v>-3.8567420448045109</v>
      </c>
      <c r="O441" s="69">
        <f t="shared" ca="1" si="89"/>
        <v>1.2128534794786168</v>
      </c>
      <c r="P441" s="69">
        <f t="shared" ca="1" si="90"/>
        <v>-1.7539385032893136</v>
      </c>
      <c r="Q441" s="69">
        <f t="shared" ca="1" si="91"/>
        <v>-0.83571096576918213</v>
      </c>
      <c r="R441" s="69">
        <f t="shared" ca="1" si="92"/>
        <v>1.8935562899078193</v>
      </c>
      <c r="S441" s="69">
        <f t="shared" ca="1" si="93"/>
        <v>0.41214426172298446</v>
      </c>
      <c r="T441" s="69">
        <f t="shared" ca="1" si="94"/>
        <v>1.101666686590324</v>
      </c>
      <c r="U441" s="69">
        <f t="shared" ca="1" si="95"/>
        <v>0.81716997601499664</v>
      </c>
      <c r="V441" s="69">
        <f t="shared" ca="1" si="96"/>
        <v>-0.18021069531735254</v>
      </c>
      <c r="W441" s="69">
        <f t="shared" ca="1" si="97"/>
        <v>-1.2362047256780824</v>
      </c>
      <c r="X441" s="69">
        <f t="shared" ca="1" si="98"/>
        <v>0.40439063923366614</v>
      </c>
    </row>
    <row r="442" spans="2:24" x14ac:dyDescent="0.2">
      <c r="B442" s="69">
        <f t="shared" ca="1" si="87"/>
        <v>0.62922261974206195</v>
      </c>
      <c r="C442" s="69">
        <f t="shared" ca="1" si="100"/>
        <v>1.5787424494932745</v>
      </c>
      <c r="D442" s="69">
        <f t="shared" ca="1" si="100"/>
        <v>-0.40721742698898949</v>
      </c>
      <c r="E442" s="69">
        <f t="shared" ca="1" si="100"/>
        <v>-1.9725111427431146</v>
      </c>
      <c r="F442" s="69">
        <f t="shared" ca="1" si="100"/>
        <v>2.077807418021163</v>
      </c>
      <c r="G442" s="69">
        <f t="shared" ca="1" si="100"/>
        <v>-9.4495826064627156E-2</v>
      </c>
      <c r="H442" s="69">
        <f t="shared" ca="1" si="100"/>
        <v>0.97653173475708954</v>
      </c>
      <c r="I442" s="69">
        <f t="shared" ca="1" si="100"/>
        <v>-0.21552722374787067</v>
      </c>
      <c r="J442" s="69">
        <f t="shared" ca="1" si="100"/>
        <v>1.3028260893480068</v>
      </c>
      <c r="K442" s="69">
        <f t="shared" ca="1" si="100"/>
        <v>0.24594111535455354</v>
      </c>
      <c r="L442" s="69">
        <f t="shared" ca="1" si="100"/>
        <v>0.60988011280960719</v>
      </c>
      <c r="N442" s="69">
        <f t="shared" ca="1" si="88"/>
        <v>0.66699066358017078</v>
      </c>
      <c r="O442" s="69">
        <f t="shared" ca="1" si="89"/>
        <v>1.5522488864103878</v>
      </c>
      <c r="P442" s="69">
        <f t="shared" ca="1" si="90"/>
        <v>-0.46495949182607954</v>
      </c>
      <c r="Q442" s="69">
        <f t="shared" ca="1" si="91"/>
        <v>-1.9234024638813556</v>
      </c>
      <c r="R442" s="69">
        <f t="shared" ca="1" si="92"/>
        <v>2.0715127326135141</v>
      </c>
      <c r="S442" s="69">
        <f t="shared" ca="1" si="93"/>
        <v>-6.1668853807818676E-2</v>
      </c>
      <c r="T442" s="69">
        <f t="shared" ca="1" si="94"/>
        <v>0.97170069704189965</v>
      </c>
      <c r="U442" s="69">
        <f t="shared" ca="1" si="95"/>
        <v>-0.19248709687016102</v>
      </c>
      <c r="V442" s="69">
        <f t="shared" ca="1" si="96"/>
        <v>1.2967164957744095</v>
      </c>
      <c r="W442" s="69">
        <f t="shared" ca="1" si="97"/>
        <v>0.24692247217865249</v>
      </c>
      <c r="X442" s="69">
        <f t="shared" ca="1" si="98"/>
        <v>0.63704860318404266</v>
      </c>
    </row>
    <row r="443" spans="2:24" x14ac:dyDescent="0.2">
      <c r="B443" s="69">
        <f t="shared" ca="1" si="87"/>
        <v>1.3481245790998124</v>
      </c>
      <c r="C443" s="69">
        <f t="shared" ca="1" si="100"/>
        <v>1.8474444804894843</v>
      </c>
      <c r="D443" s="69">
        <f t="shared" ca="1" si="100"/>
        <v>-7.4124176984408624E-2</v>
      </c>
      <c r="E443" s="69">
        <f t="shared" ca="1" si="100"/>
        <v>-0.64940529734436159</v>
      </c>
      <c r="F443" s="69">
        <f t="shared" ca="1" si="100"/>
        <v>0.82550413995280525</v>
      </c>
      <c r="G443" s="69">
        <f t="shared" ca="1" si="100"/>
        <v>-0.45928568300963712</v>
      </c>
      <c r="H443" s="69">
        <f t="shared" ca="1" si="100"/>
        <v>7.3723732062050587E-2</v>
      </c>
      <c r="I443" s="69">
        <f t="shared" ca="1" si="100"/>
        <v>0.76235821774555379</v>
      </c>
      <c r="J443" s="69">
        <f t="shared" ca="1" si="100"/>
        <v>1.0151266057630324</v>
      </c>
      <c r="K443" s="69">
        <f t="shared" ca="1" si="100"/>
        <v>-0.46443829470013137</v>
      </c>
      <c r="L443" s="69">
        <f t="shared" ca="1" si="100"/>
        <v>1.1528247757194399</v>
      </c>
      <c r="N443" s="69">
        <f t="shared" ca="1" si="88"/>
        <v>1.3858926229379211</v>
      </c>
      <c r="O443" s="69">
        <f t="shared" ca="1" si="89"/>
        <v>1.8209509174065976</v>
      </c>
      <c r="P443" s="69">
        <f t="shared" ca="1" si="90"/>
        <v>-0.13186624182149864</v>
      </c>
      <c r="Q443" s="69">
        <f t="shared" ca="1" si="91"/>
        <v>-0.60029661848260263</v>
      </c>
      <c r="R443" s="69">
        <f t="shared" ca="1" si="92"/>
        <v>0.81920945454515637</v>
      </c>
      <c r="S443" s="69">
        <f t="shared" ca="1" si="93"/>
        <v>-0.42645871075282865</v>
      </c>
      <c r="T443" s="69">
        <f t="shared" ca="1" si="94"/>
        <v>6.8892694346860739E-2</v>
      </c>
      <c r="U443" s="69">
        <f t="shared" ca="1" si="95"/>
        <v>0.78539834462326341</v>
      </c>
      <c r="V443" s="69">
        <f t="shared" ca="1" si="96"/>
        <v>1.0090170121894351</v>
      </c>
      <c r="W443" s="69">
        <f t="shared" ca="1" si="97"/>
        <v>-0.46345693787603243</v>
      </c>
      <c r="X443" s="69">
        <f t="shared" ca="1" si="98"/>
        <v>1.1799932660938754</v>
      </c>
    </row>
    <row r="444" spans="2:24" x14ac:dyDescent="0.2">
      <c r="B444" s="69">
        <f t="shared" ca="1" si="87"/>
        <v>-0.73550861249854316</v>
      </c>
      <c r="C444" s="69">
        <f t="shared" ca="1" si="100"/>
        <v>0.90763982133835763</v>
      </c>
      <c r="D444" s="69">
        <f t="shared" ca="1" si="100"/>
        <v>0.30626000875216713</v>
      </c>
      <c r="E444" s="69">
        <f t="shared" ca="1" si="100"/>
        <v>1.7633005486601896</v>
      </c>
      <c r="F444" s="69">
        <f t="shared" ca="1" si="100"/>
        <v>-1.5577515140457145</v>
      </c>
      <c r="G444" s="69">
        <f t="shared" ca="1" si="100"/>
        <v>-0.11711452864121624</v>
      </c>
      <c r="H444" s="69">
        <f t="shared" ca="1" si="100"/>
        <v>-0.59719098907829571</v>
      </c>
      <c r="I444" s="69">
        <f t="shared" ca="1" si="100"/>
        <v>-0.60150425077775127</v>
      </c>
      <c r="J444" s="69">
        <f t="shared" ca="1" si="100"/>
        <v>9.3854596013112288E-2</v>
      </c>
      <c r="K444" s="69">
        <f t="shared" ca="1" si="100"/>
        <v>-1.4248177695172242</v>
      </c>
      <c r="L444" s="69">
        <f t="shared" ca="1" si="100"/>
        <v>0.10156477634359445</v>
      </c>
      <c r="N444" s="69">
        <f t="shared" ca="1" si="88"/>
        <v>-0.69774056866043432</v>
      </c>
      <c r="O444" s="69">
        <f t="shared" ca="1" si="89"/>
        <v>0.88114625825547099</v>
      </c>
      <c r="P444" s="69">
        <f t="shared" ca="1" si="90"/>
        <v>0.24851794391507709</v>
      </c>
      <c r="Q444" s="69">
        <f t="shared" ca="1" si="91"/>
        <v>1.8124092275219486</v>
      </c>
      <c r="R444" s="69">
        <f t="shared" ca="1" si="92"/>
        <v>-1.5640461994533634</v>
      </c>
      <c r="S444" s="69">
        <f t="shared" ca="1" si="93"/>
        <v>-8.4287556384407769E-2</v>
      </c>
      <c r="T444" s="69">
        <f t="shared" ca="1" si="94"/>
        <v>-0.6020220267934856</v>
      </c>
      <c r="U444" s="69">
        <f t="shared" ca="1" si="95"/>
        <v>-0.57846412390004165</v>
      </c>
      <c r="V444" s="69">
        <f t="shared" ca="1" si="96"/>
        <v>8.7745002439514955E-2</v>
      </c>
      <c r="W444" s="69">
        <f t="shared" ca="1" si="97"/>
        <v>-1.4238364126931251</v>
      </c>
      <c r="X444" s="69">
        <f t="shared" ca="1" si="98"/>
        <v>0.12873326671802993</v>
      </c>
    </row>
    <row r="445" spans="2:24" x14ac:dyDescent="0.2">
      <c r="B445" s="69">
        <f t="shared" ca="1" si="87"/>
        <v>-0.83307050486903833</v>
      </c>
      <c r="C445" s="69">
        <f t="shared" ca="1" si="100"/>
        <v>-1.3286856839195071</v>
      </c>
      <c r="D445" s="69">
        <f t="shared" ca="1" si="100"/>
        <v>1.1246767107609508</v>
      </c>
      <c r="E445" s="69">
        <f t="shared" ca="1" si="100"/>
        <v>-1.2538452081407914</v>
      </c>
      <c r="F445" s="69">
        <f t="shared" ca="1" si="100"/>
        <v>0.30405867458944907</v>
      </c>
      <c r="G445" s="69">
        <f t="shared" ca="1" si="100"/>
        <v>9.2784108786026845E-2</v>
      </c>
      <c r="H445" s="69">
        <f t="shared" ca="1" si="100"/>
        <v>0.12487071532899693</v>
      </c>
      <c r="I445" s="69">
        <f t="shared" ca="1" si="100"/>
        <v>1.1230695855733781</v>
      </c>
      <c r="J445" s="69">
        <f t="shared" ca="1" si="100"/>
        <v>0.1499482093687883</v>
      </c>
      <c r="K445" s="69">
        <f t="shared" ca="1" si="100"/>
        <v>0.74586805747256235</v>
      </c>
      <c r="L445" s="69">
        <f t="shared" ca="1" si="100"/>
        <v>-0.33118517658080349</v>
      </c>
      <c r="N445" s="69">
        <f t="shared" ca="1" si="88"/>
        <v>-0.7953024610309295</v>
      </c>
      <c r="O445" s="69">
        <f t="shared" ca="1" si="89"/>
        <v>-1.3551792470023938</v>
      </c>
      <c r="P445" s="69">
        <f t="shared" ca="1" si="90"/>
        <v>1.0669346459238607</v>
      </c>
      <c r="Q445" s="69">
        <f t="shared" ca="1" si="91"/>
        <v>-1.2047365292790324</v>
      </c>
      <c r="R445" s="69">
        <f t="shared" ca="1" si="92"/>
        <v>0.29776398918180019</v>
      </c>
      <c r="S445" s="69">
        <f t="shared" ca="1" si="93"/>
        <v>0.12561108104283533</v>
      </c>
      <c r="T445" s="69">
        <f t="shared" ca="1" si="94"/>
        <v>0.12003967761380709</v>
      </c>
      <c r="U445" s="69">
        <f t="shared" ca="1" si="95"/>
        <v>1.1461097124510877</v>
      </c>
      <c r="V445" s="69">
        <f t="shared" ca="1" si="96"/>
        <v>0.14383861579519097</v>
      </c>
      <c r="W445" s="69">
        <f t="shared" ca="1" si="97"/>
        <v>0.7468494142966613</v>
      </c>
      <c r="X445" s="69">
        <f t="shared" ca="1" si="98"/>
        <v>-0.30401668620636801</v>
      </c>
    </row>
    <row r="446" spans="2:24" x14ac:dyDescent="0.2">
      <c r="B446" s="69">
        <f t="shared" ca="1" si="87"/>
        <v>1.092544052238692</v>
      </c>
      <c r="C446" s="69">
        <f t="shared" ca="1" si="100"/>
        <v>0.74882229520543542</v>
      </c>
      <c r="D446" s="69">
        <f t="shared" ca="1" si="100"/>
        <v>-1.6651809140394584</v>
      </c>
      <c r="E446" s="69">
        <f t="shared" ca="1" si="100"/>
        <v>0.34620915872163438</v>
      </c>
      <c r="F446" s="69">
        <f t="shared" ca="1" si="100"/>
        <v>0.66088305037944828</v>
      </c>
      <c r="G446" s="69">
        <f t="shared" ca="1" si="100"/>
        <v>-0.23283228923961793</v>
      </c>
      <c r="H446" s="69">
        <f t="shared" ca="1" si="100"/>
        <v>-0.22815405846762071</v>
      </c>
      <c r="I446" s="69">
        <f t="shared" ca="1" si="100"/>
        <v>-0.53010112950183963</v>
      </c>
      <c r="J446" s="69">
        <f t="shared" ca="1" si="100"/>
        <v>0.77809282183790984</v>
      </c>
      <c r="K446" s="69">
        <f t="shared" ca="1" si="100"/>
        <v>-0.7348963776155143</v>
      </c>
      <c r="L446" s="69">
        <f t="shared" ca="1" si="100"/>
        <v>1.0556190050937833</v>
      </c>
      <c r="N446" s="69">
        <f t="shared" ca="1" si="88"/>
        <v>1.1303120960768007</v>
      </c>
      <c r="O446" s="69">
        <f t="shared" ca="1" si="89"/>
        <v>0.72232873212254878</v>
      </c>
      <c r="P446" s="69">
        <f t="shared" ca="1" si="90"/>
        <v>-1.7229229788765485</v>
      </c>
      <c r="Q446" s="69">
        <f t="shared" ca="1" si="91"/>
        <v>0.39531783758339334</v>
      </c>
      <c r="R446" s="69">
        <f t="shared" ca="1" si="92"/>
        <v>0.6545883649717994</v>
      </c>
      <c r="S446" s="69">
        <f t="shared" ca="1" si="93"/>
        <v>-0.20000531698280946</v>
      </c>
      <c r="T446" s="69">
        <f t="shared" ca="1" si="94"/>
        <v>-0.23298509618281055</v>
      </c>
      <c r="U446" s="69">
        <f t="shared" ca="1" si="95"/>
        <v>-0.50706100262413001</v>
      </c>
      <c r="V446" s="69">
        <f t="shared" ca="1" si="96"/>
        <v>0.77198322826431254</v>
      </c>
      <c r="W446" s="69">
        <f t="shared" ca="1" si="97"/>
        <v>-0.73391502079141535</v>
      </c>
      <c r="X446" s="69">
        <f t="shared" ca="1" si="98"/>
        <v>1.0827874954682188</v>
      </c>
    </row>
    <row r="447" spans="2:24" x14ac:dyDescent="0.2">
      <c r="B447" s="69">
        <f t="shared" ca="1" si="87"/>
        <v>1.8055567409855546</v>
      </c>
      <c r="C447" s="69">
        <f t="shared" ca="1" si="100"/>
        <v>-0.7561355034272198</v>
      </c>
      <c r="D447" s="69">
        <f t="shared" ca="1" si="100"/>
        <v>1.3941891277614926</v>
      </c>
      <c r="E447" s="69">
        <f t="shared" ca="1" si="100"/>
        <v>0.11495342650916035</v>
      </c>
      <c r="F447" s="69">
        <f t="shared" ca="1" si="100"/>
        <v>-0.52967178505750623</v>
      </c>
      <c r="G447" s="69">
        <f t="shared" ca="1" si="100"/>
        <v>-1.9899430921661838</v>
      </c>
      <c r="H447" s="69">
        <f t="shared" ca="1" si="100"/>
        <v>0.26802277952012471</v>
      </c>
      <c r="I447" s="69">
        <f t="shared" ca="1" si="100"/>
        <v>0.38624850138919814</v>
      </c>
      <c r="J447" s="69">
        <f t="shared" ca="1" si="100"/>
        <v>-0.28776742202693717</v>
      </c>
      <c r="K447" s="69">
        <f t="shared" ca="1" si="100"/>
        <v>-7.6086963498163754E-2</v>
      </c>
      <c r="L447" s="69">
        <f t="shared" ca="1" si="100"/>
        <v>0.15158796215924888</v>
      </c>
      <c r="N447" s="69">
        <f t="shared" ca="1" si="88"/>
        <v>1.8433247848236634</v>
      </c>
      <c r="O447" s="69">
        <f t="shared" ca="1" si="89"/>
        <v>-0.78262906651010644</v>
      </c>
      <c r="P447" s="69">
        <f t="shared" ca="1" si="90"/>
        <v>1.3364470629244025</v>
      </c>
      <c r="Q447" s="69">
        <f t="shared" ca="1" si="91"/>
        <v>0.16406210537091931</v>
      </c>
      <c r="R447" s="69">
        <f t="shared" ca="1" si="92"/>
        <v>-0.53596647046515511</v>
      </c>
      <c r="S447" s="69">
        <f t="shared" ca="1" si="93"/>
        <v>-1.9571161199093754</v>
      </c>
      <c r="T447" s="69">
        <f t="shared" ca="1" si="94"/>
        <v>0.26319174180493488</v>
      </c>
      <c r="U447" s="69">
        <f t="shared" ca="1" si="95"/>
        <v>0.40928862826690782</v>
      </c>
      <c r="V447" s="69">
        <f t="shared" ca="1" si="96"/>
        <v>-0.29387701560053447</v>
      </c>
      <c r="W447" s="69">
        <f t="shared" ca="1" si="97"/>
        <v>-7.5105606674064795E-2</v>
      </c>
      <c r="X447" s="69">
        <f t="shared" ca="1" si="98"/>
        <v>0.17875645253368436</v>
      </c>
    </row>
    <row r="448" spans="2:24" x14ac:dyDescent="0.2">
      <c r="B448" s="69">
        <f t="shared" ca="1" si="87"/>
        <v>2.4548998076193027</v>
      </c>
      <c r="C448" s="69">
        <f t="shared" ca="1" si="100"/>
        <v>8.1840262834503241E-2</v>
      </c>
      <c r="D448" s="69">
        <f t="shared" ca="1" si="100"/>
        <v>0.4646250996829468</v>
      </c>
      <c r="E448" s="69">
        <f t="shared" ca="1" si="100"/>
        <v>-1.3586889371327289</v>
      </c>
      <c r="F448" s="69">
        <f t="shared" ca="1" si="100"/>
        <v>1.5662227984158021</v>
      </c>
      <c r="G448" s="69">
        <f t="shared" ca="1" si="100"/>
        <v>-0.51247245384234219</v>
      </c>
      <c r="H448" s="69">
        <f t="shared" ca="1" si="100"/>
        <v>-1.9499698898369624</v>
      </c>
      <c r="I448" s="69">
        <f t="shared" ca="1" si="100"/>
        <v>-0.32858257720815237</v>
      </c>
      <c r="J448" s="69">
        <f t="shared" ca="1" si="100"/>
        <v>0.19953592138267048</v>
      </c>
      <c r="K448" s="69">
        <f t="shared" ca="1" si="100"/>
        <v>-0.21403737645561069</v>
      </c>
      <c r="L448" s="69">
        <f t="shared" ca="1" si="100"/>
        <v>0.28120313323128932</v>
      </c>
      <c r="N448" s="69">
        <f t="shared" ca="1" si="88"/>
        <v>2.4926678514574117</v>
      </c>
      <c r="O448" s="69">
        <f t="shared" ca="1" si="89"/>
        <v>5.534669975161656E-2</v>
      </c>
      <c r="P448" s="69">
        <f t="shared" ca="1" si="90"/>
        <v>0.40688303484585675</v>
      </c>
      <c r="Q448" s="69">
        <f t="shared" ca="1" si="91"/>
        <v>-1.3095802582709699</v>
      </c>
      <c r="R448" s="69">
        <f t="shared" ca="1" si="92"/>
        <v>1.5599281130081533</v>
      </c>
      <c r="S448" s="69">
        <f t="shared" ca="1" si="93"/>
        <v>-0.47964548158553372</v>
      </c>
      <c r="T448" s="69">
        <f t="shared" ca="1" si="94"/>
        <v>-1.9548009275521523</v>
      </c>
      <c r="U448" s="69">
        <f t="shared" ca="1" si="95"/>
        <v>-0.30554245033044269</v>
      </c>
      <c r="V448" s="69">
        <f t="shared" ca="1" si="96"/>
        <v>0.19342632780907315</v>
      </c>
      <c r="W448" s="69">
        <f t="shared" ca="1" si="97"/>
        <v>-0.21305601963151174</v>
      </c>
      <c r="X448" s="69">
        <f t="shared" ca="1" si="98"/>
        <v>0.30837162360572479</v>
      </c>
    </row>
    <row r="449" spans="2:24" x14ac:dyDescent="0.2">
      <c r="B449" s="69">
        <f t="shared" ca="1" si="87"/>
        <v>-2.4031627299229336E-2</v>
      </c>
      <c r="C449" s="69">
        <f t="shared" ca="1" si="100"/>
        <v>1.8792403030205256</v>
      </c>
      <c r="D449" s="69">
        <f t="shared" ca="1" si="100"/>
        <v>0.33866649150461792</v>
      </c>
      <c r="E449" s="69">
        <f t="shared" ca="1" si="100"/>
        <v>3.6750991211984094E-2</v>
      </c>
      <c r="F449" s="69">
        <f t="shared" ca="1" si="100"/>
        <v>0.14377108495336527</v>
      </c>
      <c r="G449" s="69">
        <f t="shared" ca="1" si="100"/>
        <v>-1.6623523830894693</v>
      </c>
      <c r="H449" s="69">
        <f t="shared" ca="1" si="100"/>
        <v>-1.1252103613214872</v>
      </c>
      <c r="I449" s="69">
        <f t="shared" ca="1" si="100"/>
        <v>1.0570214802648561</v>
      </c>
      <c r="J449" s="69">
        <f t="shared" ca="1" si="100"/>
        <v>-0.63937460226690268</v>
      </c>
      <c r="K449" s="69">
        <f t="shared" ca="1" si="100"/>
        <v>0.48486503223469907</v>
      </c>
      <c r="L449" s="69">
        <f t="shared" ca="1" si="100"/>
        <v>-0.21441481411266983</v>
      </c>
      <c r="N449" s="69">
        <f t="shared" ca="1" si="88"/>
        <v>1.3736416538879484E-2</v>
      </c>
      <c r="O449" s="69">
        <f t="shared" ca="1" si="89"/>
        <v>1.8527467399376389</v>
      </c>
      <c r="P449" s="69">
        <f t="shared" ca="1" si="90"/>
        <v>0.28092442666752787</v>
      </c>
      <c r="Q449" s="69">
        <f t="shared" ca="1" si="91"/>
        <v>8.5859670073743038E-2</v>
      </c>
      <c r="R449" s="69">
        <f t="shared" ca="1" si="92"/>
        <v>0.13747639954571636</v>
      </c>
      <c r="S449" s="69">
        <f t="shared" ca="1" si="93"/>
        <v>-1.6295254108326609</v>
      </c>
      <c r="T449" s="69">
        <f t="shared" ca="1" si="94"/>
        <v>-1.1300413990366771</v>
      </c>
      <c r="U449" s="69">
        <f t="shared" ca="1" si="95"/>
        <v>1.0800616071425657</v>
      </c>
      <c r="V449" s="69">
        <f t="shared" ca="1" si="96"/>
        <v>-0.64548419584049999</v>
      </c>
      <c r="W449" s="69">
        <f t="shared" ca="1" si="97"/>
        <v>0.48584638905879801</v>
      </c>
      <c r="X449" s="69">
        <f t="shared" ca="1" si="98"/>
        <v>-0.18724632373823435</v>
      </c>
    </row>
    <row r="450" spans="2:24" x14ac:dyDescent="0.2">
      <c r="B450" s="69">
        <f t="shared" ca="1" si="87"/>
        <v>0.12478627006948426</v>
      </c>
      <c r="C450" s="69">
        <f t="shared" ca="1" si="100"/>
        <v>-0.56309000618850913</v>
      </c>
      <c r="D450" s="69">
        <f t="shared" ca="1" si="100"/>
        <v>1.1548479214450036</v>
      </c>
      <c r="E450" s="69">
        <f t="shared" ca="1" si="100"/>
        <v>-1.4284818030434041</v>
      </c>
      <c r="F450" s="69">
        <f t="shared" ca="1" si="100"/>
        <v>0.70722468301789732</v>
      </c>
      <c r="G450" s="69">
        <f t="shared" ca="1" si="100"/>
        <v>1.7021722699301138</v>
      </c>
      <c r="H450" s="69">
        <f t="shared" ca="1" si="100"/>
        <v>0.73507199084124586</v>
      </c>
      <c r="I450" s="69">
        <f t="shared" ca="1" si="100"/>
        <v>0.505673393614537</v>
      </c>
      <c r="J450" s="69">
        <f t="shared" ca="1" si="100"/>
        <v>-0.17083360689124247</v>
      </c>
      <c r="K450" s="69">
        <f t="shared" ca="1" si="100"/>
        <v>-0.91559201424436809</v>
      </c>
      <c r="L450" s="69">
        <f t="shared" ca="1" si="100"/>
        <v>1.6673953824690853</v>
      </c>
      <c r="N450" s="69">
        <f t="shared" ca="1" si="88"/>
        <v>0.16255431390759306</v>
      </c>
      <c r="O450" s="69">
        <f t="shared" ca="1" si="89"/>
        <v>-0.58958356927139577</v>
      </c>
      <c r="P450" s="69">
        <f t="shared" ca="1" si="90"/>
        <v>1.0971058566079135</v>
      </c>
      <c r="Q450" s="69">
        <f t="shared" ca="1" si="91"/>
        <v>-1.3793731241816451</v>
      </c>
      <c r="R450" s="69">
        <f t="shared" ca="1" si="92"/>
        <v>0.70092999761024843</v>
      </c>
      <c r="S450" s="69">
        <f t="shared" ca="1" si="93"/>
        <v>1.7349992421869223</v>
      </c>
      <c r="T450" s="69">
        <f t="shared" ca="1" si="94"/>
        <v>0.73024095312605597</v>
      </c>
      <c r="U450" s="69">
        <f t="shared" ca="1" si="95"/>
        <v>0.52871352049224662</v>
      </c>
      <c r="V450" s="69">
        <f t="shared" ca="1" si="96"/>
        <v>-0.1769432004648398</v>
      </c>
      <c r="W450" s="69">
        <f t="shared" ca="1" si="97"/>
        <v>-0.91461065742026915</v>
      </c>
      <c r="X450" s="69">
        <f t="shared" ca="1" si="98"/>
        <v>1.6945638728435208</v>
      </c>
    </row>
    <row r="451" spans="2:24" x14ac:dyDescent="0.2">
      <c r="B451" s="69">
        <f t="shared" ca="1" si="87"/>
        <v>-0.10582129066131801</v>
      </c>
      <c r="C451" s="69">
        <f t="shared" ca="1" si="100"/>
        <v>1.4745117152995273</v>
      </c>
      <c r="D451" s="69">
        <f t="shared" ca="1" si="100"/>
        <v>-1.0092051007705105</v>
      </c>
      <c r="E451" s="69">
        <f t="shared" ca="1" si="100"/>
        <v>-0.89111597637517237</v>
      </c>
      <c r="F451" s="69">
        <f t="shared" ca="1" si="100"/>
        <v>0.13289380184925342</v>
      </c>
      <c r="G451" s="69">
        <f t="shared" ca="1" si="100"/>
        <v>-0.59470974644713659</v>
      </c>
      <c r="H451" s="69">
        <f t="shared" ca="1" si="100"/>
        <v>1.0275080786753787</v>
      </c>
      <c r="I451" s="69">
        <f t="shared" ca="1" si="100"/>
        <v>-0.69708684202195537</v>
      </c>
      <c r="J451" s="69">
        <f t="shared" ca="1" si="100"/>
        <v>-0.31418649769619278</v>
      </c>
      <c r="K451" s="69">
        <f t="shared" ca="1" si="100"/>
        <v>1.8016156710971287</v>
      </c>
      <c r="L451" s="69">
        <f t="shared" ca="1" si="100"/>
        <v>-0.87575327305728179</v>
      </c>
      <c r="N451" s="69">
        <f t="shared" ca="1" si="88"/>
        <v>-6.8053246823209193E-2</v>
      </c>
      <c r="O451" s="69">
        <f t="shared" ca="1" si="89"/>
        <v>1.4480181522166407</v>
      </c>
      <c r="P451" s="69">
        <f t="shared" ca="1" si="90"/>
        <v>-1.0669471656076006</v>
      </c>
      <c r="Q451" s="69">
        <f t="shared" ca="1" si="91"/>
        <v>-0.84200729751341341</v>
      </c>
      <c r="R451" s="69">
        <f t="shared" ca="1" si="92"/>
        <v>0.12659911644160451</v>
      </c>
      <c r="S451" s="69">
        <f t="shared" ca="1" si="93"/>
        <v>-0.56188277419032806</v>
      </c>
      <c r="T451" s="69">
        <f t="shared" ca="1" si="94"/>
        <v>1.0226770409601889</v>
      </c>
      <c r="U451" s="69">
        <f t="shared" ca="1" si="95"/>
        <v>-0.67404671514424574</v>
      </c>
      <c r="V451" s="69">
        <f t="shared" ca="1" si="96"/>
        <v>-0.32029609126979008</v>
      </c>
      <c r="W451" s="69">
        <f t="shared" ca="1" si="97"/>
        <v>1.8025970279212278</v>
      </c>
      <c r="X451" s="69">
        <f t="shared" ca="1" si="98"/>
        <v>-0.84858478268284632</v>
      </c>
    </row>
    <row r="452" spans="2:24" x14ac:dyDescent="0.2">
      <c r="B452" s="69">
        <f t="shared" ca="1" si="87"/>
        <v>-1.746046520692552</v>
      </c>
      <c r="C452" s="69">
        <f t="shared" ca="1" si="100"/>
        <v>-0.39518724787474124</v>
      </c>
      <c r="D452" s="69">
        <f t="shared" ref="C452:L515" ca="1" si="101">NORMINV(RAND(),$C$7,$F$7)</f>
        <v>-0.40413538699598578</v>
      </c>
      <c r="E452" s="69">
        <f t="shared" ca="1" si="101"/>
        <v>-8.5918849917646631E-2</v>
      </c>
      <c r="F452" s="69">
        <f t="shared" ca="1" si="101"/>
        <v>-1.7249101473514643</v>
      </c>
      <c r="G452" s="69">
        <f t="shared" ca="1" si="101"/>
        <v>-1.0001088359362245</v>
      </c>
      <c r="H452" s="69">
        <f t="shared" ca="1" si="101"/>
        <v>-1.0809294005175558</v>
      </c>
      <c r="I452" s="69">
        <f t="shared" ca="1" si="101"/>
        <v>-2.9787222015015928E-2</v>
      </c>
      <c r="J452" s="69">
        <f t="shared" ca="1" si="101"/>
        <v>0.72631387366546341</v>
      </c>
      <c r="K452" s="69">
        <f t="shared" ca="1" si="101"/>
        <v>-0.72681961713925969</v>
      </c>
      <c r="L452" s="69">
        <f t="shared" ca="1" si="101"/>
        <v>-0.20439990414777631</v>
      </c>
      <c r="N452" s="69">
        <f t="shared" ca="1" si="88"/>
        <v>-1.7082784768544432</v>
      </c>
      <c r="O452" s="69">
        <f t="shared" ca="1" si="89"/>
        <v>-0.42168081095762794</v>
      </c>
      <c r="P452" s="69">
        <f t="shared" ca="1" si="90"/>
        <v>-0.46187745183307582</v>
      </c>
      <c r="Q452" s="69">
        <f t="shared" ca="1" si="91"/>
        <v>-3.6810171055887686E-2</v>
      </c>
      <c r="R452" s="69">
        <f t="shared" ca="1" si="92"/>
        <v>-1.7312048327591132</v>
      </c>
      <c r="S452" s="69">
        <f t="shared" ca="1" si="93"/>
        <v>-0.96728186367941593</v>
      </c>
      <c r="T452" s="69">
        <f t="shared" ca="1" si="94"/>
        <v>-1.0857604382327457</v>
      </c>
      <c r="U452" s="69">
        <f t="shared" ca="1" si="95"/>
        <v>-6.7470951373062721E-3</v>
      </c>
      <c r="V452" s="69">
        <f t="shared" ca="1" si="96"/>
        <v>0.7202042800918661</v>
      </c>
      <c r="W452" s="69">
        <f t="shared" ca="1" si="97"/>
        <v>-0.72583826031516074</v>
      </c>
      <c r="X452" s="69">
        <f t="shared" ca="1" si="98"/>
        <v>-0.17723141377334084</v>
      </c>
    </row>
    <row r="453" spans="2:24" x14ac:dyDescent="0.2">
      <c r="B453" s="69">
        <f t="shared" ca="1" si="87"/>
        <v>0.91880388836047389</v>
      </c>
      <c r="C453" s="69">
        <f t="shared" ca="1" si="101"/>
        <v>-0.42797647680206219</v>
      </c>
      <c r="D453" s="69">
        <f t="shared" ca="1" si="101"/>
        <v>0.77569824191608627</v>
      </c>
      <c r="E453" s="69">
        <f t="shared" ca="1" si="101"/>
        <v>-1.4658261318984365</v>
      </c>
      <c r="F453" s="69">
        <f t="shared" ca="1" si="101"/>
        <v>1.6685401615113729</v>
      </c>
      <c r="G453" s="69">
        <f t="shared" ca="1" si="101"/>
        <v>-5.6964738162171881E-3</v>
      </c>
      <c r="H453" s="69">
        <f t="shared" ca="1" si="101"/>
        <v>-1.4496712730321435</v>
      </c>
      <c r="I453" s="69">
        <f t="shared" ca="1" si="101"/>
        <v>1.7086599910187708</v>
      </c>
      <c r="J453" s="69">
        <f t="shared" ca="1" si="101"/>
        <v>0.14478097152662908</v>
      </c>
      <c r="K453" s="69">
        <f t="shared" ca="1" si="101"/>
        <v>-0.77562391210445636</v>
      </c>
      <c r="L453" s="69">
        <f t="shared" ca="1" si="101"/>
        <v>-0.14300257968537314</v>
      </c>
      <c r="N453" s="69">
        <f t="shared" ca="1" si="88"/>
        <v>0.95657193219858272</v>
      </c>
      <c r="O453" s="69">
        <f t="shared" ca="1" si="89"/>
        <v>-0.45447003988494888</v>
      </c>
      <c r="P453" s="69">
        <f t="shared" ca="1" si="90"/>
        <v>0.71795617707899628</v>
      </c>
      <c r="Q453" s="69">
        <f t="shared" ca="1" si="91"/>
        <v>-1.4167174530366775</v>
      </c>
      <c r="R453" s="69">
        <f t="shared" ca="1" si="92"/>
        <v>1.662245476103724</v>
      </c>
      <c r="S453" s="69">
        <f t="shared" ca="1" si="93"/>
        <v>2.7130498440591292E-2</v>
      </c>
      <c r="T453" s="69">
        <f t="shared" ca="1" si="94"/>
        <v>-1.4545023107473334</v>
      </c>
      <c r="U453" s="69">
        <f t="shared" ca="1" si="95"/>
        <v>1.7317001178964804</v>
      </c>
      <c r="V453" s="69">
        <f t="shared" ca="1" si="96"/>
        <v>0.13867137795303175</v>
      </c>
      <c r="W453" s="69">
        <f t="shared" ca="1" si="97"/>
        <v>-0.77464255528035741</v>
      </c>
      <c r="X453" s="69">
        <f t="shared" ca="1" si="98"/>
        <v>-0.11583408931093767</v>
      </c>
    </row>
    <row r="454" spans="2:24" x14ac:dyDescent="0.2">
      <c r="B454" s="69">
        <f t="shared" ca="1" si="87"/>
        <v>-0.17755643137306262</v>
      </c>
      <c r="C454" s="69">
        <f t="shared" ca="1" si="101"/>
        <v>1.4222036172471291</v>
      </c>
      <c r="D454" s="69">
        <f t="shared" ca="1" si="101"/>
        <v>-0.13782713194351426</v>
      </c>
      <c r="E454" s="69">
        <f t="shared" ca="1" si="101"/>
        <v>-3.0438462847522288E-2</v>
      </c>
      <c r="F454" s="69">
        <f t="shared" ca="1" si="101"/>
        <v>-0.76174696821986709</v>
      </c>
      <c r="G454" s="69">
        <f t="shared" ca="1" si="101"/>
        <v>1.5036602627597384</v>
      </c>
      <c r="H454" s="69">
        <f t="shared" ca="1" si="101"/>
        <v>0.19930137138844886</v>
      </c>
      <c r="I454" s="69">
        <f t="shared" ca="1" si="101"/>
        <v>2.977064642918657E-2</v>
      </c>
      <c r="J454" s="69">
        <f t="shared" ca="1" si="101"/>
        <v>1.0345911215490904</v>
      </c>
      <c r="K454" s="69">
        <f t="shared" ca="1" si="101"/>
        <v>-1.3032996874247316</v>
      </c>
      <c r="L454" s="69">
        <f t="shared" ca="1" si="101"/>
        <v>2.5652752405577108E-2</v>
      </c>
      <c r="N454" s="69">
        <f t="shared" ca="1" si="88"/>
        <v>-0.13978838753495382</v>
      </c>
      <c r="O454" s="69">
        <f t="shared" ca="1" si="89"/>
        <v>1.3957100541642424</v>
      </c>
      <c r="P454" s="69">
        <f t="shared" ca="1" si="90"/>
        <v>-0.1955691967806043</v>
      </c>
      <c r="Q454" s="69">
        <f t="shared" ca="1" si="91"/>
        <v>1.8670216014236657E-2</v>
      </c>
      <c r="R454" s="69">
        <f t="shared" ca="1" si="92"/>
        <v>-0.76804165362751597</v>
      </c>
      <c r="S454" s="69">
        <f t="shared" ca="1" si="93"/>
        <v>1.5364872350165468</v>
      </c>
      <c r="T454" s="69">
        <f t="shared" ca="1" si="94"/>
        <v>0.19447033367325903</v>
      </c>
      <c r="U454" s="69">
        <f t="shared" ca="1" si="95"/>
        <v>5.2810773306896222E-2</v>
      </c>
      <c r="V454" s="69">
        <f t="shared" ca="1" si="96"/>
        <v>1.0284815279754931</v>
      </c>
      <c r="W454" s="69">
        <f t="shared" ca="1" si="97"/>
        <v>-1.3023183306006325</v>
      </c>
      <c r="X454" s="69">
        <f t="shared" ca="1" si="98"/>
        <v>5.2821242780012587E-2</v>
      </c>
    </row>
    <row r="455" spans="2:24" x14ac:dyDescent="0.2">
      <c r="B455" s="69">
        <f t="shared" ca="1" si="87"/>
        <v>8.1858592101385158E-2</v>
      </c>
      <c r="C455" s="69">
        <f t="shared" ca="1" si="101"/>
        <v>-1.5084564776735414</v>
      </c>
      <c r="D455" s="69">
        <f t="shared" ca="1" si="101"/>
        <v>-1.2402186768923251</v>
      </c>
      <c r="E455" s="69">
        <f t="shared" ca="1" si="101"/>
        <v>0.1646360174669014</v>
      </c>
      <c r="F455" s="69">
        <f t="shared" ca="1" si="101"/>
        <v>-1.6336109556509861</v>
      </c>
      <c r="G455" s="69">
        <f t="shared" ca="1" si="101"/>
        <v>-0.14360606841272613</v>
      </c>
      <c r="H455" s="69">
        <f t="shared" ca="1" si="101"/>
        <v>1.1119273016981999</v>
      </c>
      <c r="I455" s="69">
        <f t="shared" ca="1" si="101"/>
        <v>-0.60775545103130257</v>
      </c>
      <c r="J455" s="69">
        <f t="shared" ca="1" si="101"/>
        <v>0.91012433303589169</v>
      </c>
      <c r="K455" s="69">
        <f t="shared" ca="1" si="101"/>
        <v>1.6226187807039458</v>
      </c>
      <c r="L455" s="69">
        <f t="shared" ca="1" si="101"/>
        <v>-1.3853683951655926</v>
      </c>
      <c r="N455" s="69">
        <f t="shared" ca="1" si="88"/>
        <v>0.11962663593949398</v>
      </c>
      <c r="O455" s="69">
        <f t="shared" ca="1" si="89"/>
        <v>-1.534950040756428</v>
      </c>
      <c r="P455" s="69">
        <f t="shared" ca="1" si="90"/>
        <v>-1.2979607417294152</v>
      </c>
      <c r="Q455" s="69">
        <f t="shared" ca="1" si="91"/>
        <v>0.21374469632866033</v>
      </c>
      <c r="R455" s="69">
        <f t="shared" ca="1" si="92"/>
        <v>-1.639905641058635</v>
      </c>
      <c r="S455" s="69">
        <f t="shared" ca="1" si="93"/>
        <v>-0.11077909615591766</v>
      </c>
      <c r="T455" s="69">
        <f t="shared" ca="1" si="94"/>
        <v>1.10709626398301</v>
      </c>
      <c r="U455" s="69">
        <f t="shared" ca="1" si="95"/>
        <v>-0.58471532415359295</v>
      </c>
      <c r="V455" s="69">
        <f t="shared" ca="1" si="96"/>
        <v>0.90401473946229438</v>
      </c>
      <c r="W455" s="69">
        <f t="shared" ca="1" si="97"/>
        <v>1.6236001375280449</v>
      </c>
      <c r="X455" s="69">
        <f t="shared" ca="1" si="98"/>
        <v>-1.358199904791157</v>
      </c>
    </row>
    <row r="456" spans="2:24" x14ac:dyDescent="0.2">
      <c r="B456" s="69">
        <f t="shared" ca="1" si="87"/>
        <v>1.3680694024885962</v>
      </c>
      <c r="C456" s="69">
        <f t="shared" ca="1" si="101"/>
        <v>-0.52025467677093806</v>
      </c>
      <c r="D456" s="69">
        <f t="shared" ca="1" si="101"/>
        <v>2.3396822235467165</v>
      </c>
      <c r="E456" s="69">
        <f t="shared" ca="1" si="101"/>
        <v>-0.61152826693417783</v>
      </c>
      <c r="F456" s="69">
        <f t="shared" ca="1" si="101"/>
        <v>1.1638454306044326</v>
      </c>
      <c r="G456" s="69">
        <f t="shared" ca="1" si="101"/>
        <v>-0.88352517866028268</v>
      </c>
      <c r="H456" s="69">
        <f t="shared" ca="1" si="101"/>
        <v>-0.36829205323531983</v>
      </c>
      <c r="I456" s="69">
        <f t="shared" ca="1" si="101"/>
        <v>1.4320949831000944</v>
      </c>
      <c r="J456" s="69">
        <f t="shared" ca="1" si="101"/>
        <v>0.45189664946114616</v>
      </c>
      <c r="K456" s="69">
        <f t="shared" ca="1" si="101"/>
        <v>1.1183380207706439</v>
      </c>
      <c r="L456" s="69">
        <f t="shared" ca="1" si="101"/>
        <v>-1.2951460957085901</v>
      </c>
      <c r="N456" s="69">
        <f t="shared" ca="1" si="88"/>
        <v>1.4058374463267049</v>
      </c>
      <c r="O456" s="69">
        <f t="shared" ca="1" si="89"/>
        <v>-0.5467482398538247</v>
      </c>
      <c r="P456" s="69">
        <f t="shared" ca="1" si="90"/>
        <v>2.2819401587096264</v>
      </c>
      <c r="Q456" s="69">
        <f t="shared" ca="1" si="91"/>
        <v>-0.56241958807241887</v>
      </c>
      <c r="R456" s="69">
        <f t="shared" ca="1" si="92"/>
        <v>1.1575507451967837</v>
      </c>
      <c r="S456" s="69">
        <f t="shared" ca="1" si="93"/>
        <v>-0.85069820640347416</v>
      </c>
      <c r="T456" s="69">
        <f t="shared" ca="1" si="94"/>
        <v>-0.37312309095050966</v>
      </c>
      <c r="U456" s="69">
        <f t="shared" ca="1" si="95"/>
        <v>1.455135109977804</v>
      </c>
      <c r="V456" s="69">
        <f t="shared" ca="1" si="96"/>
        <v>0.44578705588754886</v>
      </c>
      <c r="W456" s="69">
        <f t="shared" ca="1" si="97"/>
        <v>1.119319377594743</v>
      </c>
      <c r="X456" s="69">
        <f t="shared" ca="1" si="98"/>
        <v>-1.2679776053341545</v>
      </c>
    </row>
    <row r="457" spans="2:24" x14ac:dyDescent="0.2">
      <c r="B457" s="69">
        <f t="shared" ca="1" si="87"/>
        <v>0.81480091251491515</v>
      </c>
      <c r="C457" s="69">
        <f t="shared" ca="1" si="101"/>
        <v>0.44892312286124064</v>
      </c>
      <c r="D457" s="69">
        <f t="shared" ca="1" si="101"/>
        <v>-1.5287034998958438</v>
      </c>
      <c r="E457" s="69">
        <f t="shared" ca="1" si="101"/>
        <v>0.17484523606012209</v>
      </c>
      <c r="F457" s="69">
        <f t="shared" ca="1" si="101"/>
        <v>-0.83984986168388864</v>
      </c>
      <c r="G457" s="69">
        <f t="shared" ca="1" si="101"/>
        <v>-0.19174180532947874</v>
      </c>
      <c r="H457" s="69">
        <f t="shared" ca="1" si="101"/>
        <v>0.44331833518323377</v>
      </c>
      <c r="I457" s="69">
        <f t="shared" ca="1" si="101"/>
        <v>1.5352046532952345E-2</v>
      </c>
      <c r="J457" s="69">
        <f t="shared" ca="1" si="101"/>
        <v>-0.11580839300865048</v>
      </c>
      <c r="K457" s="69">
        <f t="shared" ca="1" si="101"/>
        <v>-0.52304230194005097</v>
      </c>
      <c r="L457" s="69">
        <f t="shared" ca="1" si="101"/>
        <v>0.54337437566858582</v>
      </c>
      <c r="N457" s="69">
        <f t="shared" ca="1" si="88"/>
        <v>0.85256895635302399</v>
      </c>
      <c r="O457" s="69">
        <f t="shared" ca="1" si="89"/>
        <v>0.42242955977835395</v>
      </c>
      <c r="P457" s="69">
        <f t="shared" ca="1" si="90"/>
        <v>-1.5864455647329339</v>
      </c>
      <c r="Q457" s="69">
        <f t="shared" ca="1" si="91"/>
        <v>0.22395391492188105</v>
      </c>
      <c r="R457" s="69">
        <f t="shared" ca="1" si="92"/>
        <v>-0.84614454709153752</v>
      </c>
      <c r="S457" s="69">
        <f t="shared" ca="1" si="93"/>
        <v>-0.15891483307267026</v>
      </c>
      <c r="T457" s="69">
        <f t="shared" ca="1" si="94"/>
        <v>0.43848729746804394</v>
      </c>
      <c r="U457" s="69">
        <f t="shared" ca="1" si="95"/>
        <v>3.8392173410661999E-2</v>
      </c>
      <c r="V457" s="69">
        <f t="shared" ca="1" si="96"/>
        <v>-0.12191798658224781</v>
      </c>
      <c r="W457" s="69">
        <f t="shared" ca="1" si="97"/>
        <v>-0.52206094511595202</v>
      </c>
      <c r="X457" s="69">
        <f t="shared" ca="1" si="98"/>
        <v>0.57054286604302129</v>
      </c>
    </row>
    <row r="458" spans="2:24" x14ac:dyDescent="0.2">
      <c r="B458" s="69">
        <f t="shared" ref="B458:B521" ca="1" si="102">NORMINV(RAND(),$C$7,$F$7)</f>
        <v>-6.9498639243100485E-2</v>
      </c>
      <c r="C458" s="69">
        <f t="shared" ca="1" si="101"/>
        <v>-0.35860236441848897</v>
      </c>
      <c r="D458" s="69">
        <f t="shared" ca="1" si="101"/>
        <v>0.83593900538629506</v>
      </c>
      <c r="E458" s="69">
        <f t="shared" ca="1" si="101"/>
        <v>-1.6191558159596504</v>
      </c>
      <c r="F458" s="69">
        <f t="shared" ca="1" si="101"/>
        <v>0.59093875257975981</v>
      </c>
      <c r="G458" s="69">
        <f t="shared" ca="1" si="101"/>
        <v>0.23483508151444668</v>
      </c>
      <c r="H458" s="69">
        <f t="shared" ca="1" si="101"/>
        <v>-1.560385431932388</v>
      </c>
      <c r="I458" s="69">
        <f t="shared" ca="1" si="101"/>
        <v>-1.1880816896989099</v>
      </c>
      <c r="J458" s="69">
        <f t="shared" ca="1" si="101"/>
        <v>0.72619774921329894</v>
      </c>
      <c r="K458" s="69">
        <f t="shared" ca="1" si="101"/>
        <v>-0.68293457724019746</v>
      </c>
      <c r="L458" s="69">
        <f t="shared" ca="1" si="101"/>
        <v>-0.23203738281168598</v>
      </c>
      <c r="N458" s="69">
        <f t="shared" ref="N458:N521" ca="1" si="103">B458-$B$1010</f>
        <v>-3.1730595404991666E-2</v>
      </c>
      <c r="O458" s="69">
        <f t="shared" ref="O458:O521" ca="1" si="104">C458-$C$1010</f>
        <v>-0.38509592750137567</v>
      </c>
      <c r="P458" s="69">
        <f t="shared" ref="P458:P521" ca="1" si="105">D458-$D$1010</f>
        <v>0.77819694054920507</v>
      </c>
      <c r="Q458" s="69">
        <f t="shared" ref="Q458:Q521" ca="1" si="106">E458-$E$1010</f>
        <v>-1.5700471370978915</v>
      </c>
      <c r="R458" s="69">
        <f t="shared" ref="R458:R521" ca="1" si="107">F458-$F$1010</f>
        <v>0.58464406717211093</v>
      </c>
      <c r="S458" s="69">
        <f t="shared" ref="S458:S521" ca="1" si="108">G458-$G$1010</f>
        <v>0.26766205377125518</v>
      </c>
      <c r="T458" s="69">
        <f t="shared" ref="T458:T521" ca="1" si="109">H458-$H$1010</f>
        <v>-1.5652164696475779</v>
      </c>
      <c r="U458" s="69">
        <f t="shared" ref="U458:U521" ca="1" si="110">I458-$I$1010</f>
        <v>-1.1650415628212003</v>
      </c>
      <c r="V458" s="69">
        <f t="shared" ref="V458:V521" ca="1" si="111">J458-$J$1010</f>
        <v>0.72008815563970163</v>
      </c>
      <c r="W458" s="69">
        <f t="shared" ref="W458:W521" ca="1" si="112">K458-$K$1010</f>
        <v>-0.68195322041609852</v>
      </c>
      <c r="X458" s="69">
        <f t="shared" ref="X458:X521" ca="1" si="113">L458-$L$1010</f>
        <v>-0.20486889243725051</v>
      </c>
    </row>
    <row r="459" spans="2:24" x14ac:dyDescent="0.2">
      <c r="B459" s="69">
        <f t="shared" ca="1" si="102"/>
        <v>-0.25359315028720869</v>
      </c>
      <c r="C459" s="69">
        <f t="shared" ca="1" si="101"/>
        <v>-0.49458456175345744</v>
      </c>
      <c r="D459" s="69">
        <f t="shared" ca="1" si="101"/>
        <v>0.20791645912810072</v>
      </c>
      <c r="E459" s="69">
        <f t="shared" ca="1" si="101"/>
        <v>-1.0925419981690958</v>
      </c>
      <c r="F459" s="69">
        <f t="shared" ca="1" si="101"/>
        <v>-0.18500357221605765</v>
      </c>
      <c r="G459" s="69">
        <f t="shared" ca="1" si="101"/>
        <v>0.1913405894221363</v>
      </c>
      <c r="H459" s="69">
        <f t="shared" ca="1" si="101"/>
        <v>-0.45197882040624598</v>
      </c>
      <c r="I459" s="69">
        <f t="shared" ca="1" si="101"/>
        <v>0.26103903928771094</v>
      </c>
      <c r="J459" s="69">
        <f t="shared" ca="1" si="101"/>
        <v>1.1052439914294727</v>
      </c>
      <c r="K459" s="69">
        <f t="shared" ca="1" si="101"/>
        <v>0.97679791090127055</v>
      </c>
      <c r="L459" s="69">
        <f t="shared" ca="1" si="101"/>
        <v>2.5808274366993476E-2</v>
      </c>
      <c r="N459" s="69">
        <f t="shared" ca="1" si="103"/>
        <v>-0.21582510644909986</v>
      </c>
      <c r="O459" s="69">
        <f t="shared" ca="1" si="104"/>
        <v>-0.52107812483634408</v>
      </c>
      <c r="P459" s="69">
        <f t="shared" ca="1" si="105"/>
        <v>0.1501743942910107</v>
      </c>
      <c r="Q459" s="69">
        <f t="shared" ca="1" si="106"/>
        <v>-1.0434333193073368</v>
      </c>
      <c r="R459" s="69">
        <f t="shared" ca="1" si="107"/>
        <v>-0.19129825762370656</v>
      </c>
      <c r="S459" s="69">
        <f t="shared" ca="1" si="108"/>
        <v>0.22416756167894478</v>
      </c>
      <c r="T459" s="69">
        <f t="shared" ca="1" si="109"/>
        <v>-0.45680985812143582</v>
      </c>
      <c r="U459" s="69">
        <f t="shared" ca="1" si="110"/>
        <v>0.28407916616542062</v>
      </c>
      <c r="V459" s="69">
        <f t="shared" ca="1" si="111"/>
        <v>1.0991343978558754</v>
      </c>
      <c r="W459" s="69">
        <f t="shared" ca="1" si="112"/>
        <v>0.97777926772536949</v>
      </c>
      <c r="X459" s="69">
        <f t="shared" ca="1" si="113"/>
        <v>5.2976764741428956E-2</v>
      </c>
    </row>
    <row r="460" spans="2:24" x14ac:dyDescent="0.2">
      <c r="B460" s="69">
        <f t="shared" ca="1" si="102"/>
        <v>-1.0115270957121434</v>
      </c>
      <c r="C460" s="69">
        <f t="shared" ca="1" si="101"/>
        <v>1.0449949777696204</v>
      </c>
      <c r="D460" s="69">
        <f t="shared" ca="1" si="101"/>
        <v>-0.27996636662288726</v>
      </c>
      <c r="E460" s="69">
        <f t="shared" ca="1" si="101"/>
        <v>0.24941227748359948</v>
      </c>
      <c r="F460" s="69">
        <f t="shared" ca="1" si="101"/>
        <v>-0.16893152493252139</v>
      </c>
      <c r="G460" s="69">
        <f t="shared" ca="1" si="101"/>
        <v>1.2827621315593576</v>
      </c>
      <c r="H460" s="69">
        <f t="shared" ca="1" si="101"/>
        <v>-1.1324777278134923</v>
      </c>
      <c r="I460" s="69">
        <f t="shared" ca="1" si="101"/>
        <v>-0.15459672629203147</v>
      </c>
      <c r="J460" s="69">
        <f t="shared" ca="1" si="101"/>
        <v>-0.52194044295035635</v>
      </c>
      <c r="K460" s="69">
        <f t="shared" ca="1" si="101"/>
        <v>-0.83886106807703964</v>
      </c>
      <c r="L460" s="69">
        <f t="shared" ca="1" si="101"/>
        <v>-0.80286634589371253</v>
      </c>
      <c r="N460" s="69">
        <f t="shared" ca="1" si="103"/>
        <v>-0.97375905187403455</v>
      </c>
      <c r="O460" s="69">
        <f t="shared" ca="1" si="104"/>
        <v>1.0185014146867337</v>
      </c>
      <c r="P460" s="69">
        <f t="shared" ca="1" si="105"/>
        <v>-0.33770843145997731</v>
      </c>
      <c r="Q460" s="69">
        <f t="shared" ca="1" si="106"/>
        <v>0.29852095634535841</v>
      </c>
      <c r="R460" s="69">
        <f t="shared" ca="1" si="107"/>
        <v>-0.1752262103401703</v>
      </c>
      <c r="S460" s="69">
        <f t="shared" ca="1" si="108"/>
        <v>1.315589103816166</v>
      </c>
      <c r="T460" s="69">
        <f t="shared" ca="1" si="109"/>
        <v>-1.1373087655286822</v>
      </c>
      <c r="U460" s="69">
        <f t="shared" ca="1" si="110"/>
        <v>-0.13155659941432182</v>
      </c>
      <c r="V460" s="69">
        <f t="shared" ca="1" si="111"/>
        <v>-0.52805003652395366</v>
      </c>
      <c r="W460" s="69">
        <f t="shared" ca="1" si="112"/>
        <v>-0.8378797112529407</v>
      </c>
      <c r="X460" s="69">
        <f t="shared" ca="1" si="113"/>
        <v>-0.77569785551927706</v>
      </c>
    </row>
    <row r="461" spans="2:24" x14ac:dyDescent="0.2">
      <c r="B461" s="69">
        <f t="shared" ca="1" si="102"/>
        <v>0.32806404935699196</v>
      </c>
      <c r="C461" s="69">
        <f t="shared" ca="1" si="101"/>
        <v>7.607781028271654E-2</v>
      </c>
      <c r="D461" s="69">
        <f t="shared" ca="1" si="101"/>
        <v>1.1663660283669763</v>
      </c>
      <c r="E461" s="69">
        <f t="shared" ca="1" si="101"/>
        <v>1.9539736371456822</v>
      </c>
      <c r="F461" s="69">
        <f t="shared" ca="1" si="101"/>
        <v>-1.4574027524915469</v>
      </c>
      <c r="G461" s="69">
        <f t="shared" ca="1" si="101"/>
        <v>-1.5446210614218459</v>
      </c>
      <c r="H461" s="69">
        <f t="shared" ca="1" si="101"/>
        <v>-0.75579746714515361</v>
      </c>
      <c r="I461" s="69">
        <f t="shared" ca="1" si="101"/>
        <v>0.44987002874232168</v>
      </c>
      <c r="J461" s="69">
        <f t="shared" ca="1" si="101"/>
        <v>0.1151010186008051</v>
      </c>
      <c r="K461" s="69">
        <f t="shared" ca="1" si="101"/>
        <v>0.64418435487125736</v>
      </c>
      <c r="L461" s="69">
        <f t="shared" ca="1" si="101"/>
        <v>0.20544631085726403</v>
      </c>
      <c r="N461" s="69">
        <f t="shared" ca="1" si="103"/>
        <v>0.36583209319510079</v>
      </c>
      <c r="O461" s="69">
        <f t="shared" ca="1" si="104"/>
        <v>4.9584247199829859E-2</v>
      </c>
      <c r="P461" s="69">
        <f t="shared" ca="1" si="105"/>
        <v>1.1086239635298862</v>
      </c>
      <c r="Q461" s="69">
        <f t="shared" ca="1" si="106"/>
        <v>2.0030823160074411</v>
      </c>
      <c r="R461" s="69">
        <f t="shared" ca="1" si="107"/>
        <v>-1.4636974378991958</v>
      </c>
      <c r="S461" s="69">
        <f t="shared" ca="1" si="108"/>
        <v>-1.5117940891650374</v>
      </c>
      <c r="T461" s="69">
        <f t="shared" ca="1" si="109"/>
        <v>-0.7606285048603435</v>
      </c>
      <c r="U461" s="69">
        <f t="shared" ca="1" si="110"/>
        <v>0.47291015562003136</v>
      </c>
      <c r="V461" s="69">
        <f t="shared" ca="1" si="111"/>
        <v>0.10899142502720777</v>
      </c>
      <c r="W461" s="69">
        <f t="shared" ca="1" si="112"/>
        <v>0.6451657116953563</v>
      </c>
      <c r="X461" s="69">
        <f t="shared" ca="1" si="113"/>
        <v>0.2326148012316995</v>
      </c>
    </row>
    <row r="462" spans="2:24" x14ac:dyDescent="0.2">
      <c r="B462" s="69">
        <f t="shared" ca="1" si="102"/>
        <v>-9.0838046220021399E-3</v>
      </c>
      <c r="C462" s="69">
        <f t="shared" ca="1" si="101"/>
        <v>-0.8464815239978406</v>
      </c>
      <c r="D462" s="69">
        <f t="shared" ca="1" si="101"/>
        <v>0.87291156169529005</v>
      </c>
      <c r="E462" s="69">
        <f t="shared" ca="1" si="101"/>
        <v>1.0688732499440927</v>
      </c>
      <c r="F462" s="69">
        <f t="shared" ca="1" si="101"/>
        <v>-0.46355538652756872</v>
      </c>
      <c r="G462" s="69">
        <f t="shared" ca="1" si="101"/>
        <v>0.16626076917759933</v>
      </c>
      <c r="H462" s="69">
        <f t="shared" ca="1" si="101"/>
        <v>1.6531321446496119</v>
      </c>
      <c r="I462" s="69">
        <f t="shared" ca="1" si="101"/>
        <v>0.78864212890073382</v>
      </c>
      <c r="J462" s="69">
        <f t="shared" ca="1" si="101"/>
        <v>0.46262753396228817</v>
      </c>
      <c r="K462" s="69">
        <f t="shared" ca="1" si="101"/>
        <v>-0.14861988438941137</v>
      </c>
      <c r="L462" s="69">
        <f t="shared" ca="1" si="101"/>
        <v>0.13000066574522315</v>
      </c>
      <c r="N462" s="69">
        <f t="shared" ca="1" si="103"/>
        <v>2.8684239216106681E-2</v>
      </c>
      <c r="O462" s="69">
        <f t="shared" ca="1" si="104"/>
        <v>-0.87297508708072724</v>
      </c>
      <c r="P462" s="69">
        <f t="shared" ca="1" si="105"/>
        <v>0.81516949685820006</v>
      </c>
      <c r="Q462" s="69">
        <f t="shared" ca="1" si="106"/>
        <v>1.1179819288058517</v>
      </c>
      <c r="R462" s="69">
        <f t="shared" ca="1" si="107"/>
        <v>-0.46985007193521761</v>
      </c>
      <c r="S462" s="69">
        <f t="shared" ca="1" si="108"/>
        <v>0.1990877414344078</v>
      </c>
      <c r="T462" s="69">
        <f t="shared" ca="1" si="109"/>
        <v>1.648301106934422</v>
      </c>
      <c r="U462" s="69">
        <f t="shared" ca="1" si="110"/>
        <v>0.81168225577844344</v>
      </c>
      <c r="V462" s="69">
        <f t="shared" ca="1" si="111"/>
        <v>0.45651794038869087</v>
      </c>
      <c r="W462" s="69">
        <f t="shared" ca="1" si="112"/>
        <v>-0.14763852756531243</v>
      </c>
      <c r="X462" s="69">
        <f t="shared" ca="1" si="113"/>
        <v>0.15716915611965862</v>
      </c>
    </row>
    <row r="463" spans="2:24" x14ac:dyDescent="0.2">
      <c r="B463" s="69">
        <f t="shared" ca="1" si="102"/>
        <v>-0.70108905222691553</v>
      </c>
      <c r="C463" s="69">
        <f t="shared" ca="1" si="101"/>
        <v>0.931058937166094</v>
      </c>
      <c r="D463" s="69">
        <f t="shared" ca="1" si="101"/>
        <v>-1.1445012622976276</v>
      </c>
      <c r="E463" s="69">
        <f t="shared" ca="1" si="101"/>
        <v>-1.6229127042658322</v>
      </c>
      <c r="F463" s="69">
        <f t="shared" ca="1" si="101"/>
        <v>1.3904508468455887</v>
      </c>
      <c r="G463" s="69">
        <f t="shared" ca="1" si="101"/>
        <v>-2.0564143223325901</v>
      </c>
      <c r="H463" s="69">
        <f t="shared" ca="1" si="101"/>
        <v>0.51171952567145618</v>
      </c>
      <c r="I463" s="69">
        <f t="shared" ca="1" si="101"/>
        <v>-0.54138259294103908</v>
      </c>
      <c r="J463" s="69">
        <f t="shared" ca="1" si="101"/>
        <v>0.16854001587099832</v>
      </c>
      <c r="K463" s="69">
        <f t="shared" ca="1" si="101"/>
        <v>-1.1032463219152062</v>
      </c>
      <c r="L463" s="69">
        <f t="shared" ca="1" si="101"/>
        <v>-1.724694967844135</v>
      </c>
      <c r="N463" s="69">
        <f t="shared" ca="1" si="103"/>
        <v>-0.6633210083888067</v>
      </c>
      <c r="O463" s="69">
        <f t="shared" ca="1" si="104"/>
        <v>0.90456537408320736</v>
      </c>
      <c r="P463" s="69">
        <f t="shared" ca="1" si="105"/>
        <v>-1.2022433271347177</v>
      </c>
      <c r="Q463" s="69">
        <f t="shared" ca="1" si="106"/>
        <v>-1.5738040254040733</v>
      </c>
      <c r="R463" s="69">
        <f t="shared" ca="1" si="107"/>
        <v>1.3841561614379398</v>
      </c>
      <c r="S463" s="69">
        <f t="shared" ca="1" si="108"/>
        <v>-2.0235873500757817</v>
      </c>
      <c r="T463" s="69">
        <f t="shared" ca="1" si="109"/>
        <v>0.50688848795626629</v>
      </c>
      <c r="U463" s="69">
        <f t="shared" ca="1" si="110"/>
        <v>-0.51834246606332945</v>
      </c>
      <c r="V463" s="69">
        <f t="shared" ca="1" si="111"/>
        <v>0.16243042229740098</v>
      </c>
      <c r="W463" s="69">
        <f t="shared" ca="1" si="112"/>
        <v>-1.1022649650911072</v>
      </c>
      <c r="X463" s="69">
        <f t="shared" ca="1" si="113"/>
        <v>-1.6975264774696994</v>
      </c>
    </row>
    <row r="464" spans="2:24" x14ac:dyDescent="0.2">
      <c r="B464" s="69">
        <f t="shared" ca="1" si="102"/>
        <v>0.6473751936996639</v>
      </c>
      <c r="C464" s="69">
        <f t="shared" ca="1" si="101"/>
        <v>-0.35459873659391583</v>
      </c>
      <c r="D464" s="69">
        <f t="shared" ca="1" si="101"/>
        <v>0.12750711418901975</v>
      </c>
      <c r="E464" s="69">
        <f t="shared" ca="1" si="101"/>
        <v>-1.9646700176650873</v>
      </c>
      <c r="F464" s="69">
        <f t="shared" ca="1" si="101"/>
        <v>-0.57533924622163457</v>
      </c>
      <c r="G464" s="69">
        <f t="shared" ca="1" si="101"/>
        <v>-0.294781843406899</v>
      </c>
      <c r="H464" s="69">
        <f t="shared" ca="1" si="101"/>
        <v>-2.4542958628318066</v>
      </c>
      <c r="I464" s="69">
        <f t="shared" ca="1" si="101"/>
        <v>1.1213644313043831</v>
      </c>
      <c r="J464" s="69">
        <f t="shared" ca="1" si="101"/>
        <v>-0.38290313183391028</v>
      </c>
      <c r="K464" s="69">
        <f t="shared" ca="1" si="101"/>
        <v>0.47322649260507799</v>
      </c>
      <c r="L464" s="69">
        <f t="shared" ca="1" si="101"/>
        <v>0.88325840788867038</v>
      </c>
      <c r="N464" s="69">
        <f t="shared" ca="1" si="103"/>
        <v>0.68514323753777273</v>
      </c>
      <c r="O464" s="69">
        <f t="shared" ca="1" si="104"/>
        <v>-0.38109229967680253</v>
      </c>
      <c r="P464" s="69">
        <f t="shared" ca="1" si="105"/>
        <v>6.9765049351929717E-2</v>
      </c>
      <c r="Q464" s="69">
        <f t="shared" ca="1" si="106"/>
        <v>-1.9155613388033284</v>
      </c>
      <c r="R464" s="69">
        <f t="shared" ca="1" si="107"/>
        <v>-0.58163393162928345</v>
      </c>
      <c r="S464" s="69">
        <f t="shared" ca="1" si="108"/>
        <v>-0.26195487115009053</v>
      </c>
      <c r="T464" s="69">
        <f t="shared" ca="1" si="109"/>
        <v>-2.4591269005469965</v>
      </c>
      <c r="U464" s="69">
        <f t="shared" ca="1" si="110"/>
        <v>1.1444045581820927</v>
      </c>
      <c r="V464" s="69">
        <f t="shared" ca="1" si="111"/>
        <v>-0.38901272540750759</v>
      </c>
      <c r="W464" s="69">
        <f t="shared" ca="1" si="112"/>
        <v>0.47420784942917693</v>
      </c>
      <c r="X464" s="69">
        <f t="shared" ca="1" si="113"/>
        <v>0.91042689826310585</v>
      </c>
    </row>
    <row r="465" spans="2:24" x14ac:dyDescent="0.2">
      <c r="B465" s="69">
        <f t="shared" ca="1" si="102"/>
        <v>-2.4971605165991877E-2</v>
      </c>
      <c r="C465" s="69">
        <f t="shared" ca="1" si="101"/>
        <v>0.1636178031204378</v>
      </c>
      <c r="D465" s="69">
        <f t="shared" ca="1" si="101"/>
        <v>-0.41253716381106736</v>
      </c>
      <c r="E465" s="69">
        <f t="shared" ca="1" si="101"/>
        <v>-0.30788543263946133</v>
      </c>
      <c r="F465" s="69">
        <f t="shared" ca="1" si="101"/>
        <v>0.32297182132709129</v>
      </c>
      <c r="G465" s="69">
        <f t="shared" ca="1" si="101"/>
        <v>-0.88899466912386438</v>
      </c>
      <c r="H465" s="69">
        <f t="shared" ca="1" si="101"/>
        <v>-0.6091535432276225</v>
      </c>
      <c r="I465" s="69">
        <f t="shared" ca="1" si="101"/>
        <v>0.4708022703825534</v>
      </c>
      <c r="J465" s="69">
        <f t="shared" ca="1" si="101"/>
        <v>1.6742057679862257</v>
      </c>
      <c r="K465" s="69">
        <f t="shared" ca="1" si="101"/>
        <v>-1.802949777932594</v>
      </c>
      <c r="L465" s="69">
        <f t="shared" ca="1" si="101"/>
        <v>1.5052469676412965</v>
      </c>
      <c r="N465" s="69">
        <f t="shared" ca="1" si="103"/>
        <v>1.2796438672116942E-2</v>
      </c>
      <c r="O465" s="69">
        <f t="shared" ca="1" si="104"/>
        <v>0.13712424003755111</v>
      </c>
      <c r="P465" s="69">
        <f t="shared" ca="1" si="105"/>
        <v>-0.47027922864815741</v>
      </c>
      <c r="Q465" s="69">
        <f t="shared" ca="1" si="106"/>
        <v>-0.25877675377770237</v>
      </c>
      <c r="R465" s="69">
        <f t="shared" ca="1" si="107"/>
        <v>0.31667713591944241</v>
      </c>
      <c r="S465" s="69">
        <f t="shared" ca="1" si="108"/>
        <v>-0.85616769686705585</v>
      </c>
      <c r="T465" s="69">
        <f t="shared" ca="1" si="109"/>
        <v>-0.61398458094281239</v>
      </c>
      <c r="U465" s="69">
        <f t="shared" ca="1" si="110"/>
        <v>0.49384239726026308</v>
      </c>
      <c r="V465" s="69">
        <f t="shared" ca="1" si="111"/>
        <v>1.6680961744126284</v>
      </c>
      <c r="W465" s="69">
        <f t="shared" ca="1" si="112"/>
        <v>-1.801968421108495</v>
      </c>
      <c r="X465" s="69">
        <f t="shared" ca="1" si="113"/>
        <v>1.5324154580157321</v>
      </c>
    </row>
    <row r="466" spans="2:24" x14ac:dyDescent="0.2">
      <c r="B466" s="69">
        <f t="shared" ca="1" si="102"/>
        <v>-0.22600506988832286</v>
      </c>
      <c r="C466" s="69">
        <f t="shared" ca="1" si="101"/>
        <v>-0.57648216389623452</v>
      </c>
      <c r="D466" s="69">
        <f t="shared" ca="1" si="101"/>
        <v>8.7380093767054176E-2</v>
      </c>
      <c r="E466" s="69">
        <f t="shared" ca="1" si="101"/>
        <v>-1.4932587965968602</v>
      </c>
      <c r="F466" s="69">
        <f t="shared" ca="1" si="101"/>
        <v>1.9966368480986529</v>
      </c>
      <c r="G466" s="69">
        <f t="shared" ca="1" si="101"/>
        <v>-0.61277894371272501</v>
      </c>
      <c r="H466" s="69">
        <f t="shared" ca="1" si="101"/>
        <v>-0.12739752908507912</v>
      </c>
      <c r="I466" s="69">
        <f t="shared" ca="1" si="101"/>
        <v>-0.40144038325872611</v>
      </c>
      <c r="J466" s="69">
        <f t="shared" ca="1" si="101"/>
        <v>-0.18089392813508332</v>
      </c>
      <c r="K466" s="69">
        <f t="shared" ca="1" si="101"/>
        <v>1.5010452860212669</v>
      </c>
      <c r="L466" s="69">
        <f t="shared" ca="1" si="101"/>
        <v>1.03806991599799</v>
      </c>
      <c r="N466" s="69">
        <f t="shared" ca="1" si="103"/>
        <v>-0.18823702605021403</v>
      </c>
      <c r="O466" s="69">
        <f t="shared" ca="1" si="104"/>
        <v>-0.60297572697912116</v>
      </c>
      <c r="P466" s="69">
        <f t="shared" ca="1" si="105"/>
        <v>2.9638028929964144E-2</v>
      </c>
      <c r="Q466" s="69">
        <f t="shared" ca="1" si="106"/>
        <v>-1.4441501177351013</v>
      </c>
      <c r="R466" s="69">
        <f t="shared" ca="1" si="107"/>
        <v>1.9903421626910041</v>
      </c>
      <c r="S466" s="69">
        <f t="shared" ca="1" si="108"/>
        <v>-0.57995197145591648</v>
      </c>
      <c r="T466" s="69">
        <f t="shared" ca="1" si="109"/>
        <v>-0.13222856680026895</v>
      </c>
      <c r="U466" s="69">
        <f t="shared" ca="1" si="110"/>
        <v>-0.37840025638101643</v>
      </c>
      <c r="V466" s="69">
        <f t="shared" ca="1" si="111"/>
        <v>-0.18700352170868065</v>
      </c>
      <c r="W466" s="69">
        <f t="shared" ca="1" si="112"/>
        <v>1.5020266428453659</v>
      </c>
      <c r="X466" s="69">
        <f t="shared" ca="1" si="113"/>
        <v>1.0652384063724256</v>
      </c>
    </row>
    <row r="467" spans="2:24" x14ac:dyDescent="0.2">
      <c r="B467" s="69">
        <f t="shared" ca="1" si="102"/>
        <v>2.2063997822836829</v>
      </c>
      <c r="C467" s="69">
        <f t="shared" ca="1" si="101"/>
        <v>-0.97660528390589341</v>
      </c>
      <c r="D467" s="69">
        <f t="shared" ca="1" si="101"/>
        <v>-0.13127080660968285</v>
      </c>
      <c r="E467" s="69">
        <f t="shared" ca="1" si="101"/>
        <v>0.87599129188922664</v>
      </c>
      <c r="F467" s="69">
        <f t="shared" ca="1" si="101"/>
        <v>0.90705797695473889</v>
      </c>
      <c r="G467" s="69">
        <f t="shared" ca="1" si="101"/>
        <v>-0.48686548092463117</v>
      </c>
      <c r="H467" s="69">
        <f t="shared" ca="1" si="101"/>
        <v>0.40892884443052774</v>
      </c>
      <c r="I467" s="69">
        <f t="shared" ca="1" si="101"/>
        <v>0.3766255490230534</v>
      </c>
      <c r="J467" s="69">
        <f t="shared" ca="1" si="101"/>
        <v>0.70404424647605013</v>
      </c>
      <c r="K467" s="69">
        <f t="shared" ca="1" si="101"/>
        <v>0.97511010465320891</v>
      </c>
      <c r="L467" s="69">
        <f t="shared" ca="1" si="101"/>
        <v>-0.21693462455889642</v>
      </c>
      <c r="N467" s="69">
        <f t="shared" ca="1" si="103"/>
        <v>2.2441678261217919</v>
      </c>
      <c r="O467" s="69">
        <f t="shared" ca="1" si="104"/>
        <v>-1.00309884698878</v>
      </c>
      <c r="P467" s="69">
        <f t="shared" ca="1" si="105"/>
        <v>-0.18901287144677287</v>
      </c>
      <c r="Q467" s="69">
        <f t="shared" ca="1" si="106"/>
        <v>0.9250999707509856</v>
      </c>
      <c r="R467" s="69">
        <f t="shared" ca="1" si="107"/>
        <v>0.90076329154709001</v>
      </c>
      <c r="S467" s="69">
        <f t="shared" ca="1" si="108"/>
        <v>-0.45403850866782269</v>
      </c>
      <c r="T467" s="69">
        <f t="shared" ca="1" si="109"/>
        <v>0.4040978067153379</v>
      </c>
      <c r="U467" s="69">
        <f t="shared" ca="1" si="110"/>
        <v>0.39966567590076307</v>
      </c>
      <c r="V467" s="69">
        <f t="shared" ca="1" si="111"/>
        <v>0.69793465290245282</v>
      </c>
      <c r="W467" s="69">
        <f t="shared" ca="1" si="112"/>
        <v>0.97609146147730785</v>
      </c>
      <c r="X467" s="69">
        <f t="shared" ca="1" si="113"/>
        <v>-0.18976613418446095</v>
      </c>
    </row>
    <row r="468" spans="2:24" x14ac:dyDescent="0.2">
      <c r="B468" s="69">
        <f t="shared" ca="1" si="102"/>
        <v>0.38771135493067965</v>
      </c>
      <c r="C468" s="69">
        <f t="shared" ca="1" si="101"/>
        <v>-0.19827662931802537</v>
      </c>
      <c r="D468" s="69">
        <f t="shared" ca="1" si="101"/>
        <v>-0.24407741069599723</v>
      </c>
      <c r="E468" s="69">
        <f t="shared" ca="1" si="101"/>
        <v>0.97931139605549478</v>
      </c>
      <c r="F468" s="69">
        <f t="shared" ca="1" si="101"/>
        <v>1.2677939142896593</v>
      </c>
      <c r="G468" s="69">
        <f t="shared" ca="1" si="101"/>
        <v>0.40267733797265659</v>
      </c>
      <c r="H468" s="69">
        <f t="shared" ca="1" si="101"/>
        <v>-0.81290398731709967</v>
      </c>
      <c r="I468" s="69">
        <f t="shared" ca="1" si="101"/>
        <v>1.6763229696070403</v>
      </c>
      <c r="J468" s="69">
        <f t="shared" ca="1" si="101"/>
        <v>-1.0906678783238211</v>
      </c>
      <c r="K468" s="69">
        <f t="shared" ca="1" si="101"/>
        <v>-1.3629821825080499</v>
      </c>
      <c r="L468" s="69">
        <f t="shared" ca="1" si="101"/>
        <v>-5.2625072611594235E-3</v>
      </c>
      <c r="N468" s="69">
        <f t="shared" ca="1" si="103"/>
        <v>0.42547939876878849</v>
      </c>
      <c r="O468" s="69">
        <f t="shared" ca="1" si="104"/>
        <v>-0.22477019240091206</v>
      </c>
      <c r="P468" s="69">
        <f t="shared" ca="1" si="105"/>
        <v>-0.30181947553308724</v>
      </c>
      <c r="Q468" s="69">
        <f t="shared" ca="1" si="106"/>
        <v>1.0284200749172536</v>
      </c>
      <c r="R468" s="69">
        <f t="shared" ca="1" si="107"/>
        <v>1.2614992288820104</v>
      </c>
      <c r="S468" s="69">
        <f t="shared" ca="1" si="108"/>
        <v>0.43550431022946506</v>
      </c>
      <c r="T468" s="69">
        <f t="shared" ca="1" si="109"/>
        <v>-0.81773502503228956</v>
      </c>
      <c r="U468" s="69">
        <f t="shared" ca="1" si="110"/>
        <v>1.6993630964847499</v>
      </c>
      <c r="V468" s="69">
        <f t="shared" ca="1" si="111"/>
        <v>-1.0967774718974184</v>
      </c>
      <c r="W468" s="69">
        <f t="shared" ca="1" si="112"/>
        <v>-1.3620008256839509</v>
      </c>
      <c r="X468" s="69">
        <f t="shared" ca="1" si="113"/>
        <v>2.1905983113276056E-2</v>
      </c>
    </row>
    <row r="469" spans="2:24" x14ac:dyDescent="0.2">
      <c r="B469" s="69">
        <f t="shared" ca="1" si="102"/>
        <v>0.31298837669919372</v>
      </c>
      <c r="C469" s="69">
        <f t="shared" ca="1" si="101"/>
        <v>2.3688446164172712</v>
      </c>
      <c r="D469" s="69">
        <f t="shared" ca="1" si="101"/>
        <v>0.85300954317088451</v>
      </c>
      <c r="E469" s="69">
        <f t="shared" ca="1" si="101"/>
        <v>0.82251775448251174</v>
      </c>
      <c r="F469" s="69">
        <f t="shared" ca="1" si="101"/>
        <v>0.18544964535580016</v>
      </c>
      <c r="G469" s="69">
        <f t="shared" ca="1" si="101"/>
        <v>0.207158482281177</v>
      </c>
      <c r="H469" s="69">
        <f t="shared" ca="1" si="101"/>
        <v>-0.6904424831964342</v>
      </c>
      <c r="I469" s="69">
        <f t="shared" ca="1" si="101"/>
        <v>-0.40244110976515229</v>
      </c>
      <c r="J469" s="69">
        <f t="shared" ca="1" si="101"/>
        <v>0.79633118716602525</v>
      </c>
      <c r="K469" s="69">
        <f t="shared" ca="1" si="101"/>
        <v>0.8536396431668869</v>
      </c>
      <c r="L469" s="69">
        <f t="shared" ca="1" si="101"/>
        <v>1.1374880446601987</v>
      </c>
      <c r="N469" s="69">
        <f t="shared" ca="1" si="103"/>
        <v>0.35075642053730255</v>
      </c>
      <c r="O469" s="69">
        <f t="shared" ca="1" si="104"/>
        <v>2.3423510533343843</v>
      </c>
      <c r="P469" s="69">
        <f t="shared" ca="1" si="105"/>
        <v>0.79526747833379452</v>
      </c>
      <c r="Q469" s="69">
        <f t="shared" ca="1" si="106"/>
        <v>0.8716264333442707</v>
      </c>
      <c r="R469" s="69">
        <f t="shared" ca="1" si="107"/>
        <v>0.17915495994815125</v>
      </c>
      <c r="S469" s="69">
        <f t="shared" ca="1" si="108"/>
        <v>0.23998545453798548</v>
      </c>
      <c r="T469" s="69">
        <f t="shared" ca="1" si="109"/>
        <v>-0.69527352091162409</v>
      </c>
      <c r="U469" s="69">
        <f t="shared" ca="1" si="110"/>
        <v>-0.37940098288744262</v>
      </c>
      <c r="V469" s="69">
        <f t="shared" ca="1" si="111"/>
        <v>0.79022159359242794</v>
      </c>
      <c r="W469" s="69">
        <f t="shared" ca="1" si="112"/>
        <v>0.85462099999098584</v>
      </c>
      <c r="X469" s="69">
        <f t="shared" ca="1" si="113"/>
        <v>1.1646565350346343</v>
      </c>
    </row>
    <row r="470" spans="2:24" x14ac:dyDescent="0.2">
      <c r="B470" s="69">
        <f t="shared" ca="1" si="102"/>
        <v>-0.97394353380645204</v>
      </c>
      <c r="C470" s="69">
        <f t="shared" ca="1" si="101"/>
        <v>0.28392117102833375</v>
      </c>
      <c r="D470" s="69">
        <f t="shared" ca="1" si="101"/>
        <v>-1.0683761467818278</v>
      </c>
      <c r="E470" s="69">
        <f t="shared" ca="1" si="101"/>
        <v>-1.0405474338344884</v>
      </c>
      <c r="F470" s="69">
        <f t="shared" ca="1" si="101"/>
        <v>0.42771470524333477</v>
      </c>
      <c r="G470" s="69">
        <f t="shared" ca="1" si="101"/>
        <v>-7.4613876419645883E-2</v>
      </c>
      <c r="H470" s="69">
        <f t="shared" ca="1" si="101"/>
        <v>1.3415578551366469</v>
      </c>
      <c r="I470" s="69">
        <f t="shared" ca="1" si="101"/>
        <v>-1.7582498966842508</v>
      </c>
      <c r="J470" s="69">
        <f t="shared" ca="1" si="101"/>
        <v>0.98710625452301259</v>
      </c>
      <c r="K470" s="69">
        <f t="shared" ca="1" si="101"/>
        <v>-2.0139698027419763</v>
      </c>
      <c r="L470" s="69">
        <f t="shared" ca="1" si="101"/>
        <v>-1.1477442815617829</v>
      </c>
      <c r="N470" s="69">
        <f t="shared" ca="1" si="103"/>
        <v>-0.93617548996834321</v>
      </c>
      <c r="O470" s="69">
        <f t="shared" ca="1" si="104"/>
        <v>0.25742760794544706</v>
      </c>
      <c r="P470" s="69">
        <f t="shared" ca="1" si="105"/>
        <v>-1.1261182116189179</v>
      </c>
      <c r="Q470" s="69">
        <f t="shared" ca="1" si="106"/>
        <v>-0.99143875497272949</v>
      </c>
      <c r="R470" s="69">
        <f t="shared" ca="1" si="107"/>
        <v>0.42142001983568589</v>
      </c>
      <c r="S470" s="69">
        <f t="shared" ca="1" si="108"/>
        <v>-4.1786904162837403E-2</v>
      </c>
      <c r="T470" s="69">
        <f t="shared" ca="1" si="109"/>
        <v>1.336726817421457</v>
      </c>
      <c r="U470" s="69">
        <f t="shared" ca="1" si="110"/>
        <v>-1.7352097698065412</v>
      </c>
      <c r="V470" s="69">
        <f t="shared" ca="1" si="111"/>
        <v>0.98099666094941529</v>
      </c>
      <c r="W470" s="69">
        <f t="shared" ca="1" si="112"/>
        <v>-2.0129884459178773</v>
      </c>
      <c r="X470" s="69">
        <f t="shared" ca="1" si="113"/>
        <v>-1.1205757911873473</v>
      </c>
    </row>
    <row r="471" spans="2:24" x14ac:dyDescent="0.2">
      <c r="B471" s="69">
        <f t="shared" ca="1" si="102"/>
        <v>0.24761371448558489</v>
      </c>
      <c r="C471" s="69">
        <f t="shared" ca="1" si="101"/>
        <v>-1.3370127482187446</v>
      </c>
      <c r="D471" s="69">
        <f t="shared" ca="1" si="101"/>
        <v>1.6310304108228659</v>
      </c>
      <c r="E471" s="69">
        <f t="shared" ca="1" si="101"/>
        <v>1.3591327129431523</v>
      </c>
      <c r="F471" s="69">
        <f t="shared" ca="1" si="101"/>
        <v>-0.59048596898141781</v>
      </c>
      <c r="G471" s="69">
        <f t="shared" ca="1" si="101"/>
        <v>-0.61353682446102464</v>
      </c>
      <c r="H471" s="69">
        <f t="shared" ca="1" si="101"/>
        <v>0.83717836267288614</v>
      </c>
      <c r="I471" s="69">
        <f t="shared" ca="1" si="101"/>
        <v>-0.60069367555656428</v>
      </c>
      <c r="J471" s="69">
        <f t="shared" ca="1" si="101"/>
        <v>0.29755897697348516</v>
      </c>
      <c r="K471" s="69">
        <f t="shared" ca="1" si="101"/>
        <v>0.87734338494724606</v>
      </c>
      <c r="L471" s="69">
        <f t="shared" ca="1" si="101"/>
        <v>-7.251770194864729E-2</v>
      </c>
      <c r="N471" s="69">
        <f t="shared" ca="1" si="103"/>
        <v>0.28538175832369372</v>
      </c>
      <c r="O471" s="69">
        <f t="shared" ca="1" si="104"/>
        <v>-1.3635063113016312</v>
      </c>
      <c r="P471" s="69">
        <f t="shared" ca="1" si="105"/>
        <v>1.5732883459857758</v>
      </c>
      <c r="Q471" s="69">
        <f t="shared" ca="1" si="106"/>
        <v>1.4082413918049113</v>
      </c>
      <c r="R471" s="69">
        <f t="shared" ca="1" si="107"/>
        <v>-0.59678065438906669</v>
      </c>
      <c r="S471" s="69">
        <f t="shared" ca="1" si="108"/>
        <v>-0.58070985220421611</v>
      </c>
      <c r="T471" s="69">
        <f t="shared" ca="1" si="109"/>
        <v>0.83234732495769626</v>
      </c>
      <c r="U471" s="69">
        <f t="shared" ca="1" si="110"/>
        <v>-0.57765354867885466</v>
      </c>
      <c r="V471" s="69">
        <f t="shared" ca="1" si="111"/>
        <v>0.29144938339988785</v>
      </c>
      <c r="W471" s="69">
        <f t="shared" ca="1" si="112"/>
        <v>0.87832474177134501</v>
      </c>
      <c r="X471" s="69">
        <f t="shared" ca="1" si="113"/>
        <v>-4.534921157421181E-2</v>
      </c>
    </row>
    <row r="472" spans="2:24" x14ac:dyDescent="0.2">
      <c r="B472" s="69">
        <f t="shared" ca="1" si="102"/>
        <v>-0.3285567190905383</v>
      </c>
      <c r="C472" s="69">
        <f t="shared" ca="1" si="101"/>
        <v>0.17736235059801833</v>
      </c>
      <c r="D472" s="69">
        <f t="shared" ca="1" si="101"/>
        <v>0.76871326224707115</v>
      </c>
      <c r="E472" s="69">
        <f t="shared" ca="1" si="101"/>
        <v>-0.63250262610561647</v>
      </c>
      <c r="F472" s="69">
        <f t="shared" ca="1" si="101"/>
        <v>0.17893825530399332</v>
      </c>
      <c r="G472" s="69">
        <f t="shared" ca="1" si="101"/>
        <v>-4.8788258317101742E-2</v>
      </c>
      <c r="H472" s="69">
        <f t="shared" ca="1" si="101"/>
        <v>3.4574420204661581E-2</v>
      </c>
      <c r="I472" s="69">
        <f t="shared" ca="1" si="101"/>
        <v>-0.58065941394963694</v>
      </c>
      <c r="J472" s="69">
        <f t="shared" ca="1" si="101"/>
        <v>1.8600551807113872</v>
      </c>
      <c r="K472" s="69">
        <f t="shared" ca="1" si="101"/>
        <v>1.8132934445535114</v>
      </c>
      <c r="L472" s="69">
        <f t="shared" ca="1" si="101"/>
        <v>-1.4203006195147891</v>
      </c>
      <c r="N472" s="69">
        <f t="shared" ca="1" si="103"/>
        <v>-0.29078867525242946</v>
      </c>
      <c r="O472" s="69">
        <f t="shared" ca="1" si="104"/>
        <v>0.15086878751513164</v>
      </c>
      <c r="P472" s="69">
        <f t="shared" ca="1" si="105"/>
        <v>0.71097119740998116</v>
      </c>
      <c r="Q472" s="69">
        <f t="shared" ca="1" si="106"/>
        <v>-0.58339394724385751</v>
      </c>
      <c r="R472" s="69">
        <f t="shared" ca="1" si="107"/>
        <v>0.17264356989634441</v>
      </c>
      <c r="S472" s="69">
        <f t="shared" ca="1" si="108"/>
        <v>-1.5961286060293262E-2</v>
      </c>
      <c r="T472" s="69">
        <f t="shared" ca="1" si="109"/>
        <v>2.9743382489471736E-2</v>
      </c>
      <c r="U472" s="69">
        <f t="shared" ca="1" si="110"/>
        <v>-0.55761928707192732</v>
      </c>
      <c r="V472" s="69">
        <f t="shared" ca="1" si="111"/>
        <v>1.8539455871377899</v>
      </c>
      <c r="W472" s="69">
        <f t="shared" ca="1" si="112"/>
        <v>1.8142748013776104</v>
      </c>
      <c r="X472" s="69">
        <f t="shared" ca="1" si="113"/>
        <v>-1.3931321291403536</v>
      </c>
    </row>
    <row r="473" spans="2:24" x14ac:dyDescent="0.2">
      <c r="B473" s="69">
        <f t="shared" ca="1" si="102"/>
        <v>-0.68468523670052983</v>
      </c>
      <c r="C473" s="69">
        <f t="shared" ca="1" si="101"/>
        <v>0.78936875960137753</v>
      </c>
      <c r="D473" s="69">
        <f t="shared" ca="1" si="101"/>
        <v>0.61064522713671188</v>
      </c>
      <c r="E473" s="69">
        <f t="shared" ca="1" si="101"/>
        <v>-1.9583912110744256E-2</v>
      </c>
      <c r="F473" s="69">
        <f t="shared" ca="1" si="101"/>
        <v>0.56927616885985566</v>
      </c>
      <c r="G473" s="69">
        <f t="shared" ca="1" si="101"/>
        <v>-2.2616381437199884</v>
      </c>
      <c r="H473" s="69">
        <f t="shared" ca="1" si="101"/>
        <v>0.8036942395656288</v>
      </c>
      <c r="I473" s="69">
        <f t="shared" ca="1" si="101"/>
        <v>0.6624797114501273</v>
      </c>
      <c r="J473" s="69">
        <f t="shared" ca="1" si="101"/>
        <v>-0.64023158210316711</v>
      </c>
      <c r="K473" s="69">
        <f t="shared" ca="1" si="101"/>
        <v>0.16952177674062682</v>
      </c>
      <c r="L473" s="69">
        <f t="shared" ca="1" si="101"/>
        <v>-0.54368964685580257</v>
      </c>
      <c r="N473" s="69">
        <f t="shared" ca="1" si="103"/>
        <v>-0.646917192862421</v>
      </c>
      <c r="O473" s="69">
        <f t="shared" ca="1" si="104"/>
        <v>0.76287519651849089</v>
      </c>
      <c r="P473" s="69">
        <f t="shared" ca="1" si="105"/>
        <v>0.55290316229962189</v>
      </c>
      <c r="Q473" s="69">
        <f t="shared" ca="1" si="106"/>
        <v>2.9524766751014689E-2</v>
      </c>
      <c r="R473" s="69">
        <f t="shared" ca="1" si="107"/>
        <v>0.56298148345220678</v>
      </c>
      <c r="S473" s="69">
        <f t="shared" ca="1" si="108"/>
        <v>-2.22881117146318</v>
      </c>
      <c r="T473" s="69">
        <f t="shared" ca="1" si="109"/>
        <v>0.79886320185043891</v>
      </c>
      <c r="U473" s="69">
        <f t="shared" ca="1" si="110"/>
        <v>0.68551983832783692</v>
      </c>
      <c r="V473" s="69">
        <f t="shared" ca="1" si="111"/>
        <v>-0.64634117567676441</v>
      </c>
      <c r="W473" s="69">
        <f t="shared" ca="1" si="112"/>
        <v>0.17050313356472577</v>
      </c>
      <c r="X473" s="69">
        <f t="shared" ca="1" si="113"/>
        <v>-0.51652115648136709</v>
      </c>
    </row>
    <row r="474" spans="2:24" x14ac:dyDescent="0.2">
      <c r="B474" s="69">
        <f t="shared" ca="1" si="102"/>
        <v>-0.55649858583009815</v>
      </c>
      <c r="C474" s="69">
        <f t="shared" ca="1" si="101"/>
        <v>-0.8841855768153154</v>
      </c>
      <c r="D474" s="69">
        <f t="shared" ca="1" si="101"/>
        <v>-0.28236049009780928</v>
      </c>
      <c r="E474" s="69">
        <f t="shared" ca="1" si="101"/>
        <v>0.37629455870163286</v>
      </c>
      <c r="F474" s="69">
        <f t="shared" ca="1" si="101"/>
        <v>0.27780316378122394</v>
      </c>
      <c r="G474" s="69">
        <f t="shared" ca="1" si="101"/>
        <v>-1.8858834473298225</v>
      </c>
      <c r="H474" s="69">
        <f t="shared" ca="1" si="101"/>
        <v>-0.46933591686934445</v>
      </c>
      <c r="I474" s="69">
        <f t="shared" ca="1" si="101"/>
        <v>0.2710910183218519</v>
      </c>
      <c r="J474" s="69">
        <f t="shared" ca="1" si="101"/>
        <v>1.1673008370687941</v>
      </c>
      <c r="K474" s="69">
        <f t="shared" ca="1" si="101"/>
        <v>1.1298124999324464</v>
      </c>
      <c r="L474" s="69">
        <f t="shared" ca="1" si="101"/>
        <v>-0.93338348335483201</v>
      </c>
      <c r="N474" s="69">
        <f t="shared" ca="1" si="103"/>
        <v>-0.51873054199198931</v>
      </c>
      <c r="O474" s="69">
        <f t="shared" ca="1" si="104"/>
        <v>-0.91067913989820204</v>
      </c>
      <c r="P474" s="69">
        <f t="shared" ca="1" si="105"/>
        <v>-0.34010255493489933</v>
      </c>
      <c r="Q474" s="69">
        <f t="shared" ca="1" si="106"/>
        <v>0.42540323756339182</v>
      </c>
      <c r="R474" s="69">
        <f t="shared" ca="1" si="107"/>
        <v>0.27150847837357506</v>
      </c>
      <c r="S474" s="69">
        <f t="shared" ca="1" si="108"/>
        <v>-1.8530564750730141</v>
      </c>
      <c r="T474" s="69">
        <f t="shared" ca="1" si="109"/>
        <v>-0.47416695458453428</v>
      </c>
      <c r="U474" s="69">
        <f t="shared" ca="1" si="110"/>
        <v>0.29413114519956157</v>
      </c>
      <c r="V474" s="69">
        <f t="shared" ca="1" si="111"/>
        <v>1.1611912434951968</v>
      </c>
      <c r="W474" s="69">
        <f t="shared" ca="1" si="112"/>
        <v>1.1307938567565454</v>
      </c>
      <c r="X474" s="69">
        <f t="shared" ca="1" si="113"/>
        <v>-0.90621499298039654</v>
      </c>
    </row>
    <row r="475" spans="2:24" x14ac:dyDescent="0.2">
      <c r="B475" s="69">
        <f t="shared" ca="1" si="102"/>
        <v>-1.0837786594733004E-2</v>
      </c>
      <c r="C475" s="69">
        <f t="shared" ca="1" si="101"/>
        <v>1.3176170972277215</v>
      </c>
      <c r="D475" s="69">
        <f t="shared" ca="1" si="101"/>
        <v>-0.20276021377833664</v>
      </c>
      <c r="E475" s="69">
        <f t="shared" ca="1" si="101"/>
        <v>1.045046317481958</v>
      </c>
      <c r="F475" s="69">
        <f t="shared" ca="1" si="101"/>
        <v>-1.4914662884322691</v>
      </c>
      <c r="G475" s="69">
        <f t="shared" ca="1" si="101"/>
        <v>0.42524854834477782</v>
      </c>
      <c r="H475" s="69">
        <f t="shared" ca="1" si="101"/>
        <v>0.38898985281038201</v>
      </c>
      <c r="I475" s="69">
        <f t="shared" ca="1" si="101"/>
        <v>0.42345830265648698</v>
      </c>
      <c r="J475" s="69">
        <f t="shared" ca="1" si="101"/>
        <v>-0.54010998245263264</v>
      </c>
      <c r="K475" s="69">
        <f t="shared" ca="1" si="101"/>
        <v>0.5264306238413482</v>
      </c>
      <c r="L475" s="69">
        <f t="shared" ca="1" si="101"/>
        <v>0.64344518308820797</v>
      </c>
      <c r="N475" s="69">
        <f t="shared" ca="1" si="103"/>
        <v>2.6930257243375815E-2</v>
      </c>
      <c r="O475" s="69">
        <f t="shared" ca="1" si="104"/>
        <v>1.2911235341448348</v>
      </c>
      <c r="P475" s="69">
        <f t="shared" ca="1" si="105"/>
        <v>-0.26050227861542669</v>
      </c>
      <c r="Q475" s="69">
        <f t="shared" ca="1" si="106"/>
        <v>1.0941549963437169</v>
      </c>
      <c r="R475" s="69">
        <f t="shared" ca="1" si="107"/>
        <v>-1.497760973839918</v>
      </c>
      <c r="S475" s="69">
        <f t="shared" ca="1" si="108"/>
        <v>0.45807552060158629</v>
      </c>
      <c r="T475" s="69">
        <f t="shared" ca="1" si="109"/>
        <v>0.38415881509519217</v>
      </c>
      <c r="U475" s="69">
        <f t="shared" ca="1" si="110"/>
        <v>0.44649842953419666</v>
      </c>
      <c r="V475" s="69">
        <f t="shared" ca="1" si="111"/>
        <v>-0.54621957602622995</v>
      </c>
      <c r="W475" s="69">
        <f t="shared" ca="1" si="112"/>
        <v>0.52741198066544714</v>
      </c>
      <c r="X475" s="69">
        <f t="shared" ca="1" si="113"/>
        <v>0.67061367346264344</v>
      </c>
    </row>
    <row r="476" spans="2:24" x14ac:dyDescent="0.2">
      <c r="B476" s="69">
        <f t="shared" ca="1" si="102"/>
        <v>-2.1209647568179091</v>
      </c>
      <c r="C476" s="69">
        <f t="shared" ca="1" si="101"/>
        <v>-0.36010335767280938</v>
      </c>
      <c r="D476" s="69">
        <f t="shared" ca="1" si="101"/>
        <v>0.45308513035270936</v>
      </c>
      <c r="E476" s="69">
        <f t="shared" ca="1" si="101"/>
        <v>0.20183955905599452</v>
      </c>
      <c r="F476" s="69">
        <f t="shared" ca="1" si="101"/>
        <v>2.0627267358845867</v>
      </c>
      <c r="G476" s="69">
        <f t="shared" ca="1" si="101"/>
        <v>-1.3710998716341456</v>
      </c>
      <c r="H476" s="69">
        <f t="shared" ca="1" si="101"/>
        <v>1.6590214431932879</v>
      </c>
      <c r="I476" s="69">
        <f t="shared" ca="1" si="101"/>
        <v>1.0549301247962613E-2</v>
      </c>
      <c r="J476" s="69">
        <f t="shared" ca="1" si="101"/>
        <v>0.9505578977392859</v>
      </c>
      <c r="K476" s="69">
        <f t="shared" ca="1" si="101"/>
        <v>-9.482469970754695E-2</v>
      </c>
      <c r="L476" s="69">
        <f t="shared" ca="1" si="101"/>
        <v>-0.34584602132168013</v>
      </c>
      <c r="N476" s="69">
        <f t="shared" ca="1" si="103"/>
        <v>-2.0831967129798001</v>
      </c>
      <c r="O476" s="69">
        <f t="shared" ca="1" si="104"/>
        <v>-0.38659692075569607</v>
      </c>
      <c r="P476" s="69">
        <f t="shared" ca="1" si="105"/>
        <v>0.39534306551561932</v>
      </c>
      <c r="Q476" s="69">
        <f t="shared" ca="1" si="106"/>
        <v>0.25094823791775345</v>
      </c>
      <c r="R476" s="69">
        <f t="shared" ca="1" si="107"/>
        <v>2.0564320504769378</v>
      </c>
      <c r="S476" s="69">
        <f t="shared" ca="1" si="108"/>
        <v>-1.3382728993773372</v>
      </c>
      <c r="T476" s="69">
        <f t="shared" ca="1" si="109"/>
        <v>1.654190405478098</v>
      </c>
      <c r="U476" s="69">
        <f t="shared" ca="1" si="110"/>
        <v>3.3589428125672269E-2</v>
      </c>
      <c r="V476" s="69">
        <f t="shared" ca="1" si="111"/>
        <v>0.94444830416568859</v>
      </c>
      <c r="W476" s="69">
        <f t="shared" ca="1" si="112"/>
        <v>-9.3843342883448005E-2</v>
      </c>
      <c r="X476" s="69">
        <f t="shared" ca="1" si="113"/>
        <v>-0.31867753094724466</v>
      </c>
    </row>
    <row r="477" spans="2:24" x14ac:dyDescent="0.2">
      <c r="B477" s="69">
        <f t="shared" ca="1" si="102"/>
        <v>0.97840796006649677</v>
      </c>
      <c r="C477" s="69">
        <f t="shared" ca="1" si="101"/>
        <v>0.28785204812176141</v>
      </c>
      <c r="D477" s="69">
        <f t="shared" ca="1" si="101"/>
        <v>-0.42323418296669935</v>
      </c>
      <c r="E477" s="69">
        <f t="shared" ca="1" si="101"/>
        <v>-1.047012464470598</v>
      </c>
      <c r="F477" s="69">
        <f t="shared" ca="1" si="101"/>
        <v>-0.94051132744059995</v>
      </c>
      <c r="G477" s="69">
        <f t="shared" ca="1" si="101"/>
        <v>-5.2521789113379276E-3</v>
      </c>
      <c r="H477" s="69">
        <f t="shared" ca="1" si="101"/>
        <v>0.70189410242773875</v>
      </c>
      <c r="I477" s="69">
        <f t="shared" ref="C477:L540" ca="1" si="114">NORMINV(RAND(),$C$7,$F$7)</f>
        <v>0.13175367938152821</v>
      </c>
      <c r="J477" s="69">
        <f t="shared" ca="1" si="114"/>
        <v>-0.55728074273101635</v>
      </c>
      <c r="K477" s="69">
        <f t="shared" ca="1" si="114"/>
        <v>-1.4723542855296869</v>
      </c>
      <c r="L477" s="69">
        <f t="shared" ca="1" si="114"/>
        <v>2.0468087156502182</v>
      </c>
      <c r="N477" s="69">
        <f t="shared" ca="1" si="103"/>
        <v>1.0161760039046055</v>
      </c>
      <c r="O477" s="69">
        <f t="shared" ca="1" si="104"/>
        <v>0.26135848503887471</v>
      </c>
      <c r="P477" s="69">
        <f t="shared" ca="1" si="105"/>
        <v>-0.48097624780378939</v>
      </c>
      <c r="Q477" s="69">
        <f t="shared" ca="1" si="106"/>
        <v>-0.99790378560883908</v>
      </c>
      <c r="R477" s="69">
        <f t="shared" ca="1" si="107"/>
        <v>-0.94680601284824883</v>
      </c>
      <c r="S477" s="69">
        <f t="shared" ca="1" si="108"/>
        <v>2.7574793345470552E-2</v>
      </c>
      <c r="T477" s="69">
        <f t="shared" ca="1" si="109"/>
        <v>0.69706306471254886</v>
      </c>
      <c r="U477" s="69">
        <f t="shared" ca="1" si="110"/>
        <v>0.15479380625923786</v>
      </c>
      <c r="V477" s="69">
        <f t="shared" ca="1" si="111"/>
        <v>-0.56339033630461366</v>
      </c>
      <c r="W477" s="69">
        <f t="shared" ca="1" si="112"/>
        <v>-1.4713729287055879</v>
      </c>
      <c r="X477" s="69">
        <f t="shared" ca="1" si="113"/>
        <v>2.0739772060246535</v>
      </c>
    </row>
    <row r="478" spans="2:24" x14ac:dyDescent="0.2">
      <c r="B478" s="69">
        <f t="shared" ca="1" si="102"/>
        <v>0.40148198265870327</v>
      </c>
      <c r="C478" s="69">
        <f t="shared" ca="1" si="114"/>
        <v>1.574876518763189</v>
      </c>
      <c r="D478" s="69">
        <f t="shared" ca="1" si="114"/>
        <v>0.19122937821261829</v>
      </c>
      <c r="E478" s="69">
        <f t="shared" ca="1" si="114"/>
        <v>-0.8298676917623643</v>
      </c>
      <c r="F478" s="69">
        <f t="shared" ca="1" si="114"/>
        <v>-1.6444611986185966</v>
      </c>
      <c r="G478" s="69">
        <f t="shared" ca="1" si="114"/>
        <v>0.67608861739721837</v>
      </c>
      <c r="H478" s="69">
        <f t="shared" ca="1" si="114"/>
        <v>0.23187318647386254</v>
      </c>
      <c r="I478" s="69">
        <f t="shared" ca="1" si="114"/>
        <v>2.7778006815675875E-2</v>
      </c>
      <c r="J478" s="69">
        <f t="shared" ca="1" si="114"/>
        <v>-0.45844694424658783</v>
      </c>
      <c r="K478" s="69">
        <f t="shared" ca="1" si="114"/>
        <v>-9.6265694740337193E-2</v>
      </c>
      <c r="L478" s="69">
        <f t="shared" ca="1" si="114"/>
        <v>-9.7564086797036251E-2</v>
      </c>
      <c r="N478" s="69">
        <f t="shared" ca="1" si="103"/>
        <v>0.43925002649681211</v>
      </c>
      <c r="O478" s="69">
        <f t="shared" ca="1" si="104"/>
        <v>1.5483829556803024</v>
      </c>
      <c r="P478" s="69">
        <f t="shared" ca="1" si="105"/>
        <v>0.13348731337552827</v>
      </c>
      <c r="Q478" s="69">
        <f t="shared" ca="1" si="106"/>
        <v>-0.78075901290060534</v>
      </c>
      <c r="R478" s="69">
        <f t="shared" ca="1" si="107"/>
        <v>-1.6507558840262455</v>
      </c>
      <c r="S478" s="69">
        <f t="shared" ca="1" si="108"/>
        <v>0.7089155896540269</v>
      </c>
      <c r="T478" s="69">
        <f t="shared" ca="1" si="109"/>
        <v>0.22704214875867271</v>
      </c>
      <c r="U478" s="69">
        <f t="shared" ca="1" si="110"/>
        <v>5.0818133693385531E-2</v>
      </c>
      <c r="V478" s="69">
        <f t="shared" ca="1" si="111"/>
        <v>-0.46455653782018513</v>
      </c>
      <c r="W478" s="69">
        <f t="shared" ca="1" si="112"/>
        <v>-9.5284337916238249E-2</v>
      </c>
      <c r="X478" s="69">
        <f t="shared" ca="1" si="113"/>
        <v>-7.0395596422600765E-2</v>
      </c>
    </row>
    <row r="479" spans="2:24" x14ac:dyDescent="0.2">
      <c r="B479" s="69">
        <f t="shared" ca="1" si="102"/>
        <v>-0.60857782672198524</v>
      </c>
      <c r="C479" s="69">
        <f t="shared" ca="1" si="114"/>
        <v>-1.1203953574626084</v>
      </c>
      <c r="D479" s="69">
        <f t="shared" ca="1" si="114"/>
        <v>0.6624977144892723</v>
      </c>
      <c r="E479" s="69">
        <f t="shared" ca="1" si="114"/>
        <v>-1.6632811029048438</v>
      </c>
      <c r="F479" s="69">
        <f t="shared" ca="1" si="114"/>
        <v>0.17193038739876468</v>
      </c>
      <c r="G479" s="69">
        <f t="shared" ca="1" si="114"/>
        <v>-0.57776853686286889</v>
      </c>
      <c r="H479" s="69">
        <f t="shared" ca="1" si="114"/>
        <v>-0.36000580476331745</v>
      </c>
      <c r="I479" s="69">
        <f t="shared" ca="1" si="114"/>
        <v>-1.5054903209307948</v>
      </c>
      <c r="J479" s="69">
        <f t="shared" ca="1" si="114"/>
        <v>2.3717406264734078E-2</v>
      </c>
      <c r="K479" s="69">
        <f t="shared" ca="1" si="114"/>
        <v>-0.39967612557397675</v>
      </c>
      <c r="L479" s="69">
        <f t="shared" ca="1" si="114"/>
        <v>-1.1764648050352793</v>
      </c>
      <c r="N479" s="69">
        <f t="shared" ca="1" si="103"/>
        <v>-0.5708097828838764</v>
      </c>
      <c r="O479" s="69">
        <f t="shared" ca="1" si="104"/>
        <v>-1.1468889205454951</v>
      </c>
      <c r="P479" s="69">
        <f t="shared" ca="1" si="105"/>
        <v>0.60475564965218231</v>
      </c>
      <c r="Q479" s="69">
        <f t="shared" ca="1" si="106"/>
        <v>-1.6141724240430848</v>
      </c>
      <c r="R479" s="69">
        <f t="shared" ca="1" si="107"/>
        <v>0.16563570199111577</v>
      </c>
      <c r="S479" s="69">
        <f t="shared" ca="1" si="108"/>
        <v>-0.54494156460606036</v>
      </c>
      <c r="T479" s="69">
        <f t="shared" ca="1" si="109"/>
        <v>-0.36483684247850728</v>
      </c>
      <c r="U479" s="69">
        <f t="shared" ca="1" si="110"/>
        <v>-1.4824501940530852</v>
      </c>
      <c r="V479" s="69">
        <f t="shared" ca="1" si="111"/>
        <v>1.7607812691136749E-2</v>
      </c>
      <c r="W479" s="69">
        <f t="shared" ca="1" si="112"/>
        <v>-0.3986947687498778</v>
      </c>
      <c r="X479" s="69">
        <f t="shared" ca="1" si="113"/>
        <v>-1.1492963146608437</v>
      </c>
    </row>
    <row r="480" spans="2:24" x14ac:dyDescent="0.2">
      <c r="B480" s="69">
        <f t="shared" ca="1" si="102"/>
        <v>-0.32708164339386236</v>
      </c>
      <c r="C480" s="69">
        <f t="shared" ca="1" si="114"/>
        <v>-0.41948135471350939</v>
      </c>
      <c r="D480" s="69">
        <f t="shared" ca="1" si="114"/>
        <v>-1.2342011393568579</v>
      </c>
      <c r="E480" s="69">
        <f t="shared" ca="1" si="114"/>
        <v>-1.2035751328234217</v>
      </c>
      <c r="F480" s="69">
        <f t="shared" ca="1" si="114"/>
        <v>-0.74963554469970917</v>
      </c>
      <c r="G480" s="69">
        <f t="shared" ca="1" si="114"/>
        <v>-0.24193474472039919</v>
      </c>
      <c r="H480" s="69">
        <f t="shared" ca="1" si="114"/>
        <v>0.14442118862793812</v>
      </c>
      <c r="I480" s="69">
        <f t="shared" ca="1" si="114"/>
        <v>0.55100819903479958</v>
      </c>
      <c r="J480" s="69">
        <f t="shared" ca="1" si="114"/>
        <v>1.6050039487622467</v>
      </c>
      <c r="K480" s="69">
        <f t="shared" ca="1" si="114"/>
        <v>0.81204885157325934</v>
      </c>
      <c r="L480" s="69">
        <f t="shared" ca="1" si="114"/>
        <v>0.60332349275349162</v>
      </c>
      <c r="N480" s="69">
        <f t="shared" ca="1" si="103"/>
        <v>-0.28931359955575353</v>
      </c>
      <c r="O480" s="69">
        <f t="shared" ca="1" si="104"/>
        <v>-0.44597491779639609</v>
      </c>
      <c r="P480" s="69">
        <f t="shared" ca="1" si="105"/>
        <v>-1.291943204193948</v>
      </c>
      <c r="Q480" s="69">
        <f t="shared" ca="1" si="106"/>
        <v>-1.1544664539616627</v>
      </c>
      <c r="R480" s="69">
        <f t="shared" ca="1" si="107"/>
        <v>-0.75593023010735805</v>
      </c>
      <c r="S480" s="69">
        <f t="shared" ca="1" si="108"/>
        <v>-0.20910777246359072</v>
      </c>
      <c r="T480" s="69">
        <f t="shared" ca="1" si="109"/>
        <v>0.13959015091274829</v>
      </c>
      <c r="U480" s="69">
        <f t="shared" ca="1" si="110"/>
        <v>0.57404832591250921</v>
      </c>
      <c r="V480" s="69">
        <f t="shared" ca="1" si="111"/>
        <v>1.5988943551886494</v>
      </c>
      <c r="W480" s="69">
        <f t="shared" ca="1" si="112"/>
        <v>0.81303020839735829</v>
      </c>
      <c r="X480" s="69">
        <f t="shared" ca="1" si="113"/>
        <v>0.63049198312792709</v>
      </c>
    </row>
    <row r="481" spans="2:24" x14ac:dyDescent="0.2">
      <c r="B481" s="69">
        <f t="shared" ca="1" si="102"/>
        <v>-2.0733742421573473</v>
      </c>
      <c r="C481" s="69">
        <f t="shared" ca="1" si="114"/>
        <v>-0.18407875529509896</v>
      </c>
      <c r="D481" s="69">
        <f t="shared" ca="1" si="114"/>
        <v>-0.50993897252645992</v>
      </c>
      <c r="E481" s="69">
        <f t="shared" ca="1" si="114"/>
        <v>-0.79589149237437584</v>
      </c>
      <c r="F481" s="69">
        <f t="shared" ca="1" si="114"/>
        <v>4.5106306661716965E-2</v>
      </c>
      <c r="G481" s="69">
        <f t="shared" ca="1" si="114"/>
        <v>-0.18174224768513558</v>
      </c>
      <c r="H481" s="69">
        <f t="shared" ca="1" si="114"/>
        <v>0.21735658392304225</v>
      </c>
      <c r="I481" s="69">
        <f t="shared" ca="1" si="114"/>
        <v>-1.4678653273408764</v>
      </c>
      <c r="J481" s="69">
        <f t="shared" ca="1" si="114"/>
        <v>-0.76571608805022984</v>
      </c>
      <c r="K481" s="69">
        <f t="shared" ca="1" si="114"/>
        <v>-1.8398294989732524E-2</v>
      </c>
      <c r="L481" s="69">
        <f t="shared" ca="1" si="114"/>
        <v>0.59256089800852696</v>
      </c>
      <c r="N481" s="69">
        <f t="shared" ca="1" si="103"/>
        <v>-2.0356061983192384</v>
      </c>
      <c r="O481" s="69">
        <f t="shared" ca="1" si="104"/>
        <v>-0.21057231837798565</v>
      </c>
      <c r="P481" s="69">
        <f t="shared" ca="1" si="105"/>
        <v>-0.56768103736354991</v>
      </c>
      <c r="Q481" s="69">
        <f t="shared" ca="1" si="106"/>
        <v>-0.74678281351261688</v>
      </c>
      <c r="R481" s="69">
        <f t="shared" ca="1" si="107"/>
        <v>3.881162125406807E-2</v>
      </c>
      <c r="S481" s="69">
        <f t="shared" ca="1" si="108"/>
        <v>-0.14891527542832711</v>
      </c>
      <c r="T481" s="69">
        <f t="shared" ca="1" si="109"/>
        <v>0.21252554620785241</v>
      </c>
      <c r="U481" s="69">
        <f t="shared" ca="1" si="110"/>
        <v>-1.4448252004631668</v>
      </c>
      <c r="V481" s="69">
        <f t="shared" ca="1" si="111"/>
        <v>-0.77182568162382714</v>
      </c>
      <c r="W481" s="69">
        <f t="shared" ca="1" si="112"/>
        <v>-1.7416938165633573E-2</v>
      </c>
      <c r="X481" s="69">
        <f t="shared" ca="1" si="113"/>
        <v>0.61972938838296243</v>
      </c>
    </row>
    <row r="482" spans="2:24" x14ac:dyDescent="0.2">
      <c r="B482" s="69">
        <f t="shared" ca="1" si="102"/>
        <v>-3.416374311019868E-2</v>
      </c>
      <c r="C482" s="69">
        <f t="shared" ca="1" si="114"/>
        <v>0.53105223513514788</v>
      </c>
      <c r="D482" s="69">
        <f t="shared" ca="1" si="114"/>
        <v>0.68196641180567563</v>
      </c>
      <c r="E482" s="69">
        <f t="shared" ca="1" si="114"/>
        <v>-1.6905366454221311</v>
      </c>
      <c r="F482" s="69">
        <f t="shared" ca="1" si="114"/>
        <v>0.67849612330617515</v>
      </c>
      <c r="G482" s="69">
        <f t="shared" ca="1" si="114"/>
        <v>0.68683514572018045</v>
      </c>
      <c r="H482" s="69">
        <f t="shared" ca="1" si="114"/>
        <v>0.37052356769449357</v>
      </c>
      <c r="I482" s="69">
        <f t="shared" ca="1" si="114"/>
        <v>-1.1272842796226907</v>
      </c>
      <c r="J482" s="69">
        <f t="shared" ca="1" si="114"/>
        <v>1.1593935824464174</v>
      </c>
      <c r="K482" s="69">
        <f t="shared" ca="1" si="114"/>
        <v>-0.18366173597661037</v>
      </c>
      <c r="L482" s="69">
        <f t="shared" ca="1" si="114"/>
        <v>1.2847013875202602</v>
      </c>
      <c r="N482" s="69">
        <f t="shared" ca="1" si="103"/>
        <v>3.6043007279101397E-3</v>
      </c>
      <c r="O482" s="69">
        <f t="shared" ca="1" si="104"/>
        <v>0.50455867205226124</v>
      </c>
      <c r="P482" s="69">
        <f t="shared" ca="1" si="105"/>
        <v>0.62422434696858564</v>
      </c>
      <c r="Q482" s="69">
        <f t="shared" ca="1" si="106"/>
        <v>-1.6414279665603722</v>
      </c>
      <c r="R482" s="69">
        <f t="shared" ca="1" si="107"/>
        <v>0.67220143789852627</v>
      </c>
      <c r="S482" s="69">
        <f t="shared" ca="1" si="108"/>
        <v>0.71966211797698898</v>
      </c>
      <c r="T482" s="69">
        <f t="shared" ca="1" si="109"/>
        <v>0.36569252997930374</v>
      </c>
      <c r="U482" s="69">
        <f t="shared" ca="1" si="110"/>
        <v>-1.1042441527449811</v>
      </c>
      <c r="V482" s="69">
        <f t="shared" ca="1" si="111"/>
        <v>1.1532839888728201</v>
      </c>
      <c r="W482" s="69">
        <f t="shared" ca="1" si="112"/>
        <v>-0.18268037915251142</v>
      </c>
      <c r="X482" s="69">
        <f t="shared" ca="1" si="113"/>
        <v>1.3118698778946958</v>
      </c>
    </row>
    <row r="483" spans="2:24" x14ac:dyDescent="0.2">
      <c r="B483" s="69">
        <f t="shared" ca="1" si="102"/>
        <v>-0.37431622667489761</v>
      </c>
      <c r="C483" s="69">
        <f t="shared" ca="1" si="114"/>
        <v>-1.721480397991114</v>
      </c>
      <c r="D483" s="69">
        <f t="shared" ca="1" si="114"/>
        <v>-0.52825523541059893</v>
      </c>
      <c r="E483" s="69">
        <f t="shared" ca="1" si="114"/>
        <v>-0.22019907526046892</v>
      </c>
      <c r="F483" s="69">
        <f t="shared" ca="1" si="114"/>
        <v>1.0554247872976377</v>
      </c>
      <c r="G483" s="69">
        <f t="shared" ca="1" si="114"/>
        <v>0.3905986552173924</v>
      </c>
      <c r="H483" s="69">
        <f t="shared" ca="1" si="114"/>
        <v>1.3526843264207724</v>
      </c>
      <c r="I483" s="69">
        <f t="shared" ca="1" si="114"/>
        <v>-0.69552295369742734</v>
      </c>
      <c r="J483" s="69">
        <f t="shared" ca="1" si="114"/>
        <v>2.6327517174674639</v>
      </c>
      <c r="K483" s="69">
        <f t="shared" ca="1" si="114"/>
        <v>-0.83463417779898996</v>
      </c>
      <c r="L483" s="69">
        <f t="shared" ca="1" si="114"/>
        <v>-0.69679824659469558</v>
      </c>
      <c r="N483" s="69">
        <f t="shared" ca="1" si="103"/>
        <v>-0.33654818283678878</v>
      </c>
      <c r="O483" s="69">
        <f t="shared" ca="1" si="104"/>
        <v>-1.7479739610740006</v>
      </c>
      <c r="P483" s="69">
        <f t="shared" ca="1" si="105"/>
        <v>-0.58599730024768892</v>
      </c>
      <c r="Q483" s="69">
        <f t="shared" ca="1" si="106"/>
        <v>-0.17109039639870999</v>
      </c>
      <c r="R483" s="69">
        <f t="shared" ca="1" si="107"/>
        <v>1.0491301018899888</v>
      </c>
      <c r="S483" s="69">
        <f t="shared" ca="1" si="108"/>
        <v>0.42342562747420087</v>
      </c>
      <c r="T483" s="69">
        <f t="shared" ca="1" si="109"/>
        <v>1.3478532887055825</v>
      </c>
      <c r="U483" s="69">
        <f t="shared" ca="1" si="110"/>
        <v>-0.67248282681971772</v>
      </c>
      <c r="V483" s="69">
        <f t="shared" ca="1" si="111"/>
        <v>2.6266421238938666</v>
      </c>
      <c r="W483" s="69">
        <f t="shared" ca="1" si="112"/>
        <v>-0.83365282097489102</v>
      </c>
      <c r="X483" s="69">
        <f t="shared" ca="1" si="113"/>
        <v>-0.66962975622026011</v>
      </c>
    </row>
    <row r="484" spans="2:24" x14ac:dyDescent="0.2">
      <c r="B484" s="69">
        <f t="shared" ca="1" si="102"/>
        <v>0.11125510176960882</v>
      </c>
      <c r="C484" s="69">
        <f t="shared" ca="1" si="114"/>
        <v>1.1875188287538869</v>
      </c>
      <c r="D484" s="69">
        <f t="shared" ca="1" si="114"/>
        <v>0.36880059697886675</v>
      </c>
      <c r="E484" s="69">
        <f t="shared" ca="1" si="114"/>
        <v>-0.81528779457088141</v>
      </c>
      <c r="F484" s="69">
        <f t="shared" ca="1" si="114"/>
        <v>0.69035684694636756</v>
      </c>
      <c r="G484" s="69">
        <f t="shared" ca="1" si="114"/>
        <v>0.28158844749386647</v>
      </c>
      <c r="H484" s="69">
        <f t="shared" ca="1" si="114"/>
        <v>1.0905147318042516</v>
      </c>
      <c r="I484" s="69">
        <f t="shared" ca="1" si="114"/>
        <v>-1.9991836227921727</v>
      </c>
      <c r="J484" s="69">
        <f t="shared" ca="1" si="114"/>
        <v>1.1266016384481248</v>
      </c>
      <c r="K484" s="69">
        <f t="shared" ca="1" si="114"/>
        <v>1.0074955743782037</v>
      </c>
      <c r="L484" s="69">
        <f t="shared" ca="1" si="114"/>
        <v>7.6715313012919742E-2</v>
      </c>
      <c r="N484" s="69">
        <f t="shared" ca="1" si="103"/>
        <v>0.14902314560771762</v>
      </c>
      <c r="O484" s="69">
        <f t="shared" ca="1" si="104"/>
        <v>1.1610252656710003</v>
      </c>
      <c r="P484" s="69">
        <f t="shared" ca="1" si="105"/>
        <v>0.3110585321417767</v>
      </c>
      <c r="Q484" s="69">
        <f t="shared" ca="1" si="106"/>
        <v>-0.76617911570912245</v>
      </c>
      <c r="R484" s="69">
        <f t="shared" ca="1" si="107"/>
        <v>0.68406216153871868</v>
      </c>
      <c r="S484" s="69">
        <f t="shared" ca="1" si="108"/>
        <v>0.31441541975067494</v>
      </c>
      <c r="T484" s="69">
        <f t="shared" ca="1" si="109"/>
        <v>1.0856836940890617</v>
      </c>
      <c r="U484" s="69">
        <f t="shared" ca="1" si="110"/>
        <v>-1.976143495914463</v>
      </c>
      <c r="V484" s="69">
        <f t="shared" ca="1" si="111"/>
        <v>1.1204920448745275</v>
      </c>
      <c r="W484" s="69">
        <f t="shared" ca="1" si="112"/>
        <v>1.0084769312023028</v>
      </c>
      <c r="X484" s="69">
        <f t="shared" ca="1" si="113"/>
        <v>0.10388380338735523</v>
      </c>
    </row>
    <row r="485" spans="2:24" x14ac:dyDescent="0.2">
      <c r="B485" s="69">
        <f t="shared" ca="1" si="102"/>
        <v>0.47267914006335571</v>
      </c>
      <c r="C485" s="69">
        <f t="shared" ca="1" si="114"/>
        <v>-0.13652238309151207</v>
      </c>
      <c r="D485" s="69">
        <f t="shared" ca="1" si="114"/>
        <v>-1.1226702237531121</v>
      </c>
      <c r="E485" s="69">
        <f t="shared" ca="1" si="114"/>
        <v>0.54758728032126081</v>
      </c>
      <c r="F485" s="69">
        <f t="shared" ca="1" si="114"/>
        <v>-0.49531757196117521</v>
      </c>
      <c r="G485" s="69">
        <f t="shared" ca="1" si="114"/>
        <v>-0.85618791831237706</v>
      </c>
      <c r="H485" s="69">
        <f t="shared" ca="1" si="114"/>
        <v>0.31107923787657304</v>
      </c>
      <c r="I485" s="69">
        <f t="shared" ca="1" si="114"/>
        <v>0.18581629177481263</v>
      </c>
      <c r="J485" s="69">
        <f t="shared" ca="1" si="114"/>
        <v>-1.4274501316905488</v>
      </c>
      <c r="K485" s="69">
        <f t="shared" ca="1" si="114"/>
        <v>0.39094808045463397</v>
      </c>
      <c r="L485" s="69">
        <f t="shared" ca="1" si="114"/>
        <v>0.4315159512303634</v>
      </c>
      <c r="N485" s="69">
        <f t="shared" ca="1" si="103"/>
        <v>0.51044718390146449</v>
      </c>
      <c r="O485" s="69">
        <f t="shared" ca="1" si="104"/>
        <v>-0.16301594617439877</v>
      </c>
      <c r="P485" s="69">
        <f t="shared" ca="1" si="105"/>
        <v>-1.1804122885902022</v>
      </c>
      <c r="Q485" s="69">
        <f t="shared" ca="1" si="106"/>
        <v>0.59669595918301976</v>
      </c>
      <c r="R485" s="69">
        <f t="shared" ca="1" si="107"/>
        <v>-0.50161225736882409</v>
      </c>
      <c r="S485" s="69">
        <f t="shared" ca="1" si="108"/>
        <v>-0.82336094605556853</v>
      </c>
      <c r="T485" s="69">
        <f t="shared" ca="1" si="109"/>
        <v>0.30624820016138321</v>
      </c>
      <c r="U485" s="69">
        <f t="shared" ca="1" si="110"/>
        <v>0.20885641865252227</v>
      </c>
      <c r="V485" s="69">
        <f t="shared" ca="1" si="111"/>
        <v>-1.4335597252641461</v>
      </c>
      <c r="W485" s="69">
        <f t="shared" ca="1" si="112"/>
        <v>0.39192943727873292</v>
      </c>
      <c r="X485" s="69">
        <f t="shared" ca="1" si="113"/>
        <v>0.45868444160479888</v>
      </c>
    </row>
    <row r="486" spans="2:24" x14ac:dyDescent="0.2">
      <c r="B486" s="69">
        <f t="shared" ca="1" si="102"/>
        <v>-0.98827366331634003</v>
      </c>
      <c r="C486" s="69">
        <f t="shared" ca="1" si="114"/>
        <v>1.4187092700682808</v>
      </c>
      <c r="D486" s="69">
        <f t="shared" ca="1" si="114"/>
        <v>0.38143202361447887</v>
      </c>
      <c r="E486" s="69">
        <f t="shared" ca="1" si="114"/>
        <v>1.2790909378177608</v>
      </c>
      <c r="F486" s="69">
        <f t="shared" ca="1" si="114"/>
        <v>0.6690188021093727</v>
      </c>
      <c r="G486" s="69">
        <f t="shared" ca="1" si="114"/>
        <v>0.70747606470244029</v>
      </c>
      <c r="H486" s="69">
        <f t="shared" ca="1" si="114"/>
        <v>1.5127539183184859</v>
      </c>
      <c r="I486" s="69">
        <f t="shared" ca="1" si="114"/>
        <v>-0.52041515325667664</v>
      </c>
      <c r="J486" s="69">
        <f t="shared" ca="1" si="114"/>
        <v>1.5101902340744373</v>
      </c>
      <c r="K486" s="69">
        <f t="shared" ca="1" si="114"/>
        <v>-0.19744738222821923</v>
      </c>
      <c r="L486" s="69">
        <f t="shared" ca="1" si="114"/>
        <v>1.866757681092156</v>
      </c>
      <c r="N486" s="69">
        <f t="shared" ca="1" si="103"/>
        <v>-0.9505056194782312</v>
      </c>
      <c r="O486" s="69">
        <f t="shared" ca="1" si="104"/>
        <v>1.3922157069853942</v>
      </c>
      <c r="P486" s="69">
        <f t="shared" ca="1" si="105"/>
        <v>0.32368995877738882</v>
      </c>
      <c r="Q486" s="69">
        <f t="shared" ca="1" si="106"/>
        <v>1.3281996166795198</v>
      </c>
      <c r="R486" s="69">
        <f t="shared" ca="1" si="107"/>
        <v>0.66272411670172382</v>
      </c>
      <c r="S486" s="69">
        <f t="shared" ca="1" si="108"/>
        <v>0.74030303695924882</v>
      </c>
      <c r="T486" s="69">
        <f t="shared" ca="1" si="109"/>
        <v>1.507922880603296</v>
      </c>
      <c r="U486" s="69">
        <f t="shared" ca="1" si="110"/>
        <v>-0.49737502637896697</v>
      </c>
      <c r="V486" s="69">
        <f t="shared" ca="1" si="111"/>
        <v>1.50408064050084</v>
      </c>
      <c r="W486" s="69">
        <f t="shared" ca="1" si="112"/>
        <v>-0.19646602540412028</v>
      </c>
      <c r="X486" s="69">
        <f t="shared" ca="1" si="113"/>
        <v>1.8939261714665916</v>
      </c>
    </row>
    <row r="487" spans="2:24" x14ac:dyDescent="0.2">
      <c r="B487" s="69">
        <f t="shared" ca="1" si="102"/>
        <v>0.13618151014266086</v>
      </c>
      <c r="C487" s="69">
        <f t="shared" ca="1" si="114"/>
        <v>0.71877736544126991</v>
      </c>
      <c r="D487" s="69">
        <f t="shared" ca="1" si="114"/>
        <v>0.88821197340253744</v>
      </c>
      <c r="E487" s="69">
        <f t="shared" ca="1" si="114"/>
        <v>-1.3348644216644432</v>
      </c>
      <c r="F487" s="69">
        <f t="shared" ca="1" si="114"/>
        <v>0.7642219349218885</v>
      </c>
      <c r="G487" s="69">
        <f t="shared" ca="1" si="114"/>
        <v>-1.2674585755343462</v>
      </c>
      <c r="H487" s="69">
        <f t="shared" ca="1" si="114"/>
        <v>0.61084677375665763</v>
      </c>
      <c r="I487" s="69">
        <f t="shared" ca="1" si="114"/>
        <v>-1.8298779290957428</v>
      </c>
      <c r="J487" s="69">
        <f t="shared" ca="1" si="114"/>
        <v>2.0305599748025558</v>
      </c>
      <c r="K487" s="69">
        <f t="shared" ca="1" si="114"/>
        <v>0.45801444535232244</v>
      </c>
      <c r="L487" s="69">
        <f t="shared" ca="1" si="114"/>
        <v>-0.80740141041881708</v>
      </c>
      <c r="N487" s="69">
        <f t="shared" ca="1" si="103"/>
        <v>0.17394955398076967</v>
      </c>
      <c r="O487" s="69">
        <f t="shared" ca="1" si="104"/>
        <v>0.69228380235838327</v>
      </c>
      <c r="P487" s="69">
        <f t="shared" ca="1" si="105"/>
        <v>0.83046990856544745</v>
      </c>
      <c r="Q487" s="69">
        <f t="shared" ca="1" si="106"/>
        <v>-1.2857557428026842</v>
      </c>
      <c r="R487" s="69">
        <f t="shared" ca="1" si="107"/>
        <v>0.75792724951423962</v>
      </c>
      <c r="S487" s="69">
        <f t="shared" ca="1" si="108"/>
        <v>-1.2346316032775377</v>
      </c>
      <c r="T487" s="69">
        <f t="shared" ca="1" si="109"/>
        <v>0.60601573604146775</v>
      </c>
      <c r="U487" s="69">
        <f t="shared" ca="1" si="110"/>
        <v>-1.8068378022180331</v>
      </c>
      <c r="V487" s="69">
        <f t="shared" ca="1" si="111"/>
        <v>2.0244503812289585</v>
      </c>
      <c r="W487" s="69">
        <f t="shared" ca="1" si="112"/>
        <v>0.45899580217642139</v>
      </c>
      <c r="X487" s="69">
        <f t="shared" ca="1" si="113"/>
        <v>-0.78023292004438161</v>
      </c>
    </row>
    <row r="488" spans="2:24" x14ac:dyDescent="0.2">
      <c r="B488" s="69">
        <f t="shared" ca="1" si="102"/>
        <v>1.798047829489956</v>
      </c>
      <c r="C488" s="69">
        <f t="shared" ca="1" si="114"/>
        <v>0.39312039754539102</v>
      </c>
      <c r="D488" s="69">
        <f t="shared" ca="1" si="114"/>
        <v>-0.59848763747998468</v>
      </c>
      <c r="E488" s="69">
        <f t="shared" ca="1" si="114"/>
        <v>0.29523404147564458</v>
      </c>
      <c r="F488" s="69">
        <f t="shared" ca="1" si="114"/>
        <v>-0.23657327989934324</v>
      </c>
      <c r="G488" s="69">
        <f t="shared" ca="1" si="114"/>
        <v>-0.64493903795340646</v>
      </c>
      <c r="H488" s="69">
        <f t="shared" ca="1" si="114"/>
        <v>1.7235719345326863</v>
      </c>
      <c r="I488" s="69">
        <f t="shared" ca="1" si="114"/>
        <v>1.3377434855375212</v>
      </c>
      <c r="J488" s="69">
        <f t="shared" ca="1" si="114"/>
        <v>1.1157166561829777</v>
      </c>
      <c r="K488" s="69">
        <f t="shared" ca="1" si="114"/>
        <v>-1.3335860813499185</v>
      </c>
      <c r="L488" s="69">
        <f t="shared" ca="1" si="114"/>
        <v>0.20336571570027995</v>
      </c>
      <c r="N488" s="69">
        <f t="shared" ca="1" si="103"/>
        <v>1.8358158733280647</v>
      </c>
      <c r="O488" s="69">
        <f t="shared" ca="1" si="104"/>
        <v>0.36662683446250433</v>
      </c>
      <c r="P488" s="69">
        <f t="shared" ca="1" si="105"/>
        <v>-0.65622970231707467</v>
      </c>
      <c r="Q488" s="69">
        <f t="shared" ca="1" si="106"/>
        <v>0.34434272033740354</v>
      </c>
      <c r="R488" s="69">
        <f t="shared" ca="1" si="107"/>
        <v>-0.24286796530699215</v>
      </c>
      <c r="S488" s="69">
        <f t="shared" ca="1" si="108"/>
        <v>-0.61211206569659793</v>
      </c>
      <c r="T488" s="69">
        <f t="shared" ca="1" si="109"/>
        <v>1.7187408968174964</v>
      </c>
      <c r="U488" s="69">
        <f t="shared" ca="1" si="110"/>
        <v>1.3607836124152308</v>
      </c>
      <c r="V488" s="69">
        <f t="shared" ca="1" si="111"/>
        <v>1.1096070626093804</v>
      </c>
      <c r="W488" s="69">
        <f t="shared" ca="1" si="112"/>
        <v>-1.3326047245258195</v>
      </c>
      <c r="X488" s="69">
        <f t="shared" ca="1" si="113"/>
        <v>0.23053420607471542</v>
      </c>
    </row>
    <row r="489" spans="2:24" x14ac:dyDescent="0.2">
      <c r="B489" s="69">
        <f t="shared" ca="1" si="102"/>
        <v>-2.5263405953030902</v>
      </c>
      <c r="C489" s="69">
        <f t="shared" ca="1" si="114"/>
        <v>-0.44524359410751357</v>
      </c>
      <c r="D489" s="69">
        <f t="shared" ca="1" si="114"/>
        <v>-0.23069829642387807</v>
      </c>
      <c r="E489" s="69">
        <f t="shared" ca="1" si="114"/>
        <v>-0.76803604079093313</v>
      </c>
      <c r="F489" s="69">
        <f t="shared" ca="1" si="114"/>
        <v>-0.4834120500993343</v>
      </c>
      <c r="G489" s="69">
        <f t="shared" ca="1" si="114"/>
        <v>0.75627336789461486</v>
      </c>
      <c r="H489" s="69">
        <f t="shared" ca="1" si="114"/>
        <v>1.3364506565912173</v>
      </c>
      <c r="I489" s="69">
        <f t="shared" ca="1" si="114"/>
        <v>1.0135035851025289</v>
      </c>
      <c r="J489" s="69">
        <f t="shared" ca="1" si="114"/>
        <v>0.87178781166844332</v>
      </c>
      <c r="K489" s="69">
        <f t="shared" ca="1" si="114"/>
        <v>1.3351090322167718</v>
      </c>
      <c r="L489" s="69">
        <f t="shared" ca="1" si="114"/>
        <v>-1.1252603537719386</v>
      </c>
      <c r="N489" s="69">
        <f t="shared" ca="1" si="103"/>
        <v>-2.4885725514649812</v>
      </c>
      <c r="O489" s="69">
        <f t="shared" ca="1" si="104"/>
        <v>-0.47173715719040027</v>
      </c>
      <c r="P489" s="69">
        <f t="shared" ca="1" si="105"/>
        <v>-0.28844036126096811</v>
      </c>
      <c r="Q489" s="69">
        <f t="shared" ca="1" si="106"/>
        <v>-0.71892736192917417</v>
      </c>
      <c r="R489" s="69">
        <f t="shared" ca="1" si="107"/>
        <v>-0.48970673550698318</v>
      </c>
      <c r="S489" s="69">
        <f t="shared" ca="1" si="108"/>
        <v>0.78910034015142339</v>
      </c>
      <c r="T489" s="69">
        <f t="shared" ca="1" si="109"/>
        <v>1.3316196188760274</v>
      </c>
      <c r="U489" s="69">
        <f t="shared" ca="1" si="110"/>
        <v>1.0365437119802385</v>
      </c>
      <c r="V489" s="69">
        <f t="shared" ca="1" si="111"/>
        <v>0.86567821809484602</v>
      </c>
      <c r="W489" s="69">
        <f t="shared" ca="1" si="112"/>
        <v>1.3360903890408709</v>
      </c>
      <c r="X489" s="69">
        <f t="shared" ca="1" si="113"/>
        <v>-1.098091863397503</v>
      </c>
    </row>
    <row r="490" spans="2:24" x14ac:dyDescent="0.2">
      <c r="B490" s="69">
        <f t="shared" ca="1" si="102"/>
        <v>0.24000676746570826</v>
      </c>
      <c r="C490" s="69">
        <f t="shared" ca="1" si="114"/>
        <v>1.4707344672112201</v>
      </c>
      <c r="D490" s="69">
        <f t="shared" ca="1" si="114"/>
        <v>-0.78755696193638225</v>
      </c>
      <c r="E490" s="69">
        <f t="shared" ca="1" si="114"/>
        <v>0.77057630919467679</v>
      </c>
      <c r="F490" s="69">
        <f t="shared" ca="1" si="114"/>
        <v>-1.1092525438848964</v>
      </c>
      <c r="G490" s="69">
        <f t="shared" ca="1" si="114"/>
        <v>-0.32264134018628016</v>
      </c>
      <c r="H490" s="69">
        <f t="shared" ca="1" si="114"/>
        <v>2.7845562430135747E-2</v>
      </c>
      <c r="I490" s="69">
        <f t="shared" ca="1" si="114"/>
        <v>-1.1552767625556419</v>
      </c>
      <c r="J490" s="69">
        <f t="shared" ca="1" si="114"/>
        <v>-0.38752145076847438</v>
      </c>
      <c r="K490" s="69">
        <f t="shared" ca="1" si="114"/>
        <v>0.40657260825129699</v>
      </c>
      <c r="L490" s="69">
        <f t="shared" ca="1" si="114"/>
        <v>0.82096742732226691</v>
      </c>
      <c r="N490" s="69">
        <f t="shared" ca="1" si="103"/>
        <v>0.27777481130381709</v>
      </c>
      <c r="O490" s="69">
        <f t="shared" ca="1" si="104"/>
        <v>1.4442409041283335</v>
      </c>
      <c r="P490" s="69">
        <f t="shared" ca="1" si="105"/>
        <v>-0.84529902677347224</v>
      </c>
      <c r="Q490" s="69">
        <f t="shared" ca="1" si="106"/>
        <v>0.81968498805643575</v>
      </c>
      <c r="R490" s="69">
        <f t="shared" ca="1" si="107"/>
        <v>-1.1155472292925452</v>
      </c>
      <c r="S490" s="69">
        <f t="shared" ca="1" si="108"/>
        <v>-0.28981436792947168</v>
      </c>
      <c r="T490" s="69">
        <f t="shared" ca="1" si="109"/>
        <v>2.3014524714945903E-2</v>
      </c>
      <c r="U490" s="69">
        <f t="shared" ca="1" si="110"/>
        <v>-1.1322366356779323</v>
      </c>
      <c r="V490" s="69">
        <f t="shared" ca="1" si="111"/>
        <v>-0.39363104434207169</v>
      </c>
      <c r="W490" s="69">
        <f t="shared" ca="1" si="112"/>
        <v>0.40755396507539593</v>
      </c>
      <c r="X490" s="69">
        <f t="shared" ca="1" si="113"/>
        <v>0.84813591769670238</v>
      </c>
    </row>
    <row r="491" spans="2:24" x14ac:dyDescent="0.2">
      <c r="B491" s="69">
        <f t="shared" ca="1" si="102"/>
        <v>0.65142321452376317</v>
      </c>
      <c r="C491" s="69">
        <f t="shared" ca="1" si="114"/>
        <v>0.70522450175125251</v>
      </c>
      <c r="D491" s="69">
        <f t="shared" ca="1" si="114"/>
        <v>0.57987975491478516</v>
      </c>
      <c r="E491" s="69">
        <f t="shared" ca="1" si="114"/>
        <v>0.4034158962488702</v>
      </c>
      <c r="F491" s="69">
        <f t="shared" ca="1" si="114"/>
        <v>-0.42156413648259822</v>
      </c>
      <c r="G491" s="69">
        <f t="shared" ca="1" si="114"/>
        <v>0.82678950761074088</v>
      </c>
      <c r="H491" s="69">
        <f t="shared" ca="1" si="114"/>
        <v>-0.91736964663582066</v>
      </c>
      <c r="I491" s="69">
        <f t="shared" ca="1" si="114"/>
        <v>-0.66259275812513341</v>
      </c>
      <c r="J491" s="69">
        <f t="shared" ca="1" si="114"/>
        <v>0.41558444999067573</v>
      </c>
      <c r="K491" s="69">
        <f t="shared" ca="1" si="114"/>
        <v>-0.75114911512727056</v>
      </c>
      <c r="L491" s="69">
        <f t="shared" ca="1" si="114"/>
        <v>0.37043129964399441</v>
      </c>
      <c r="N491" s="69">
        <f t="shared" ca="1" si="103"/>
        <v>0.68919125836187201</v>
      </c>
      <c r="O491" s="69">
        <f t="shared" ca="1" si="104"/>
        <v>0.67873093866836587</v>
      </c>
      <c r="P491" s="69">
        <f t="shared" ca="1" si="105"/>
        <v>0.52213769007769517</v>
      </c>
      <c r="Q491" s="69">
        <f t="shared" ca="1" si="106"/>
        <v>0.45252457511062916</v>
      </c>
      <c r="R491" s="69">
        <f t="shared" ca="1" si="107"/>
        <v>-0.4278588218902471</v>
      </c>
      <c r="S491" s="69">
        <f t="shared" ca="1" si="108"/>
        <v>0.85961647986754941</v>
      </c>
      <c r="T491" s="69">
        <f t="shared" ca="1" si="109"/>
        <v>-0.92220068435101055</v>
      </c>
      <c r="U491" s="69">
        <f t="shared" ca="1" si="110"/>
        <v>-0.63955263124742379</v>
      </c>
      <c r="V491" s="69">
        <f t="shared" ca="1" si="111"/>
        <v>0.40947485641707843</v>
      </c>
      <c r="W491" s="69">
        <f t="shared" ca="1" si="112"/>
        <v>-0.75016775830317162</v>
      </c>
      <c r="X491" s="69">
        <f t="shared" ca="1" si="113"/>
        <v>0.39759979001842988</v>
      </c>
    </row>
    <row r="492" spans="2:24" x14ac:dyDescent="0.2">
      <c r="B492" s="69">
        <f t="shared" ca="1" si="102"/>
        <v>-3.2695838549944206E-2</v>
      </c>
      <c r="C492" s="69">
        <f t="shared" ca="1" si="114"/>
        <v>0.43557141252093434</v>
      </c>
      <c r="D492" s="69">
        <f t="shared" ca="1" si="114"/>
        <v>-0.80143178532392045</v>
      </c>
      <c r="E492" s="69">
        <f t="shared" ca="1" si="114"/>
        <v>-1.0411243937085393</v>
      </c>
      <c r="F492" s="69">
        <f t="shared" ca="1" si="114"/>
        <v>1.3847538943055759</v>
      </c>
      <c r="G492" s="69">
        <f t="shared" ca="1" si="114"/>
        <v>-1.7176983016028184</v>
      </c>
      <c r="H492" s="69">
        <f t="shared" ca="1" si="114"/>
        <v>0.19125440981808783</v>
      </c>
      <c r="I492" s="69">
        <f t="shared" ca="1" si="114"/>
        <v>0.69460296639189323</v>
      </c>
      <c r="J492" s="69">
        <f t="shared" ca="1" si="114"/>
        <v>1.2384748255212616</v>
      </c>
      <c r="K492" s="69">
        <f t="shared" ca="1" si="114"/>
        <v>0.43842355213927431</v>
      </c>
      <c r="L492" s="69">
        <f t="shared" ca="1" si="114"/>
        <v>0.91752188575651217</v>
      </c>
      <c r="N492" s="69">
        <f t="shared" ca="1" si="103"/>
        <v>5.0722052881646135E-3</v>
      </c>
      <c r="O492" s="69">
        <f t="shared" ca="1" si="104"/>
        <v>0.40907784943804765</v>
      </c>
      <c r="P492" s="69">
        <f t="shared" ca="1" si="105"/>
        <v>-0.85917385016101044</v>
      </c>
      <c r="Q492" s="69">
        <f t="shared" ca="1" si="106"/>
        <v>-0.99201571484678031</v>
      </c>
      <c r="R492" s="69">
        <f t="shared" ca="1" si="107"/>
        <v>1.3784592088979271</v>
      </c>
      <c r="S492" s="69">
        <f t="shared" ca="1" si="108"/>
        <v>-1.68487132934601</v>
      </c>
      <c r="T492" s="69">
        <f t="shared" ca="1" si="109"/>
        <v>0.186423372102898</v>
      </c>
      <c r="U492" s="69">
        <f t="shared" ca="1" si="110"/>
        <v>0.71764309326960285</v>
      </c>
      <c r="V492" s="69">
        <f t="shared" ca="1" si="111"/>
        <v>1.2323652319476643</v>
      </c>
      <c r="W492" s="69">
        <f t="shared" ca="1" si="112"/>
        <v>0.43940490896337325</v>
      </c>
      <c r="X492" s="69">
        <f t="shared" ca="1" si="113"/>
        <v>0.94469037613094764</v>
      </c>
    </row>
    <row r="493" spans="2:24" x14ac:dyDescent="0.2">
      <c r="B493" s="69">
        <f t="shared" ca="1" si="102"/>
        <v>-0.29265250294460521</v>
      </c>
      <c r="C493" s="69">
        <f t="shared" ca="1" si="114"/>
        <v>0.90090985739361917</v>
      </c>
      <c r="D493" s="69">
        <f t="shared" ca="1" si="114"/>
        <v>4.1078702652163866E-2</v>
      </c>
      <c r="E493" s="69">
        <f t="shared" ca="1" si="114"/>
        <v>-0.47069196408740338</v>
      </c>
      <c r="F493" s="69">
        <f t="shared" ca="1" si="114"/>
        <v>-0.9022673760073493</v>
      </c>
      <c r="G493" s="69">
        <f t="shared" ca="1" si="114"/>
        <v>-0.91371621462593899</v>
      </c>
      <c r="H493" s="69">
        <f t="shared" ca="1" si="114"/>
        <v>-0.1916241031187734</v>
      </c>
      <c r="I493" s="69">
        <f t="shared" ca="1" si="114"/>
        <v>0.94291625626250031</v>
      </c>
      <c r="J493" s="69">
        <f t="shared" ca="1" si="114"/>
        <v>0.98576980811222981</v>
      </c>
      <c r="K493" s="69">
        <f t="shared" ca="1" si="114"/>
        <v>0.11138069096732636</v>
      </c>
      <c r="L493" s="69">
        <f t="shared" ca="1" si="114"/>
        <v>-0.3734408770128691</v>
      </c>
      <c r="N493" s="69">
        <f t="shared" ca="1" si="103"/>
        <v>-0.25488445910649637</v>
      </c>
      <c r="O493" s="69">
        <f t="shared" ca="1" si="104"/>
        <v>0.87441629431073253</v>
      </c>
      <c r="P493" s="69">
        <f t="shared" ca="1" si="105"/>
        <v>-1.6663362184926166E-2</v>
      </c>
      <c r="Q493" s="69">
        <f t="shared" ca="1" si="106"/>
        <v>-0.42158328522564442</v>
      </c>
      <c r="R493" s="69">
        <f t="shared" ca="1" si="107"/>
        <v>-0.90856206141499818</v>
      </c>
      <c r="S493" s="69">
        <f t="shared" ca="1" si="108"/>
        <v>-0.88088924236913047</v>
      </c>
      <c r="T493" s="69">
        <f t="shared" ca="1" si="109"/>
        <v>-0.19645514083396323</v>
      </c>
      <c r="U493" s="69">
        <f t="shared" ca="1" si="110"/>
        <v>0.96595638314020993</v>
      </c>
      <c r="V493" s="69">
        <f t="shared" ca="1" si="111"/>
        <v>0.9796602145386325</v>
      </c>
      <c r="W493" s="69">
        <f t="shared" ca="1" si="112"/>
        <v>0.11236204779142531</v>
      </c>
      <c r="X493" s="69">
        <f t="shared" ca="1" si="113"/>
        <v>-0.34627238663843363</v>
      </c>
    </row>
    <row r="494" spans="2:24" x14ac:dyDescent="0.2">
      <c r="B494" s="69">
        <f t="shared" ca="1" si="102"/>
        <v>-1.377379757516046</v>
      </c>
      <c r="C494" s="69">
        <f t="shared" ca="1" si="114"/>
        <v>0.36166943838609156</v>
      </c>
      <c r="D494" s="69">
        <f t="shared" ca="1" si="114"/>
        <v>-0.1741021698834071</v>
      </c>
      <c r="E494" s="69">
        <f t="shared" ca="1" si="114"/>
        <v>-0.53055540640791843</v>
      </c>
      <c r="F494" s="69">
        <f t="shared" ca="1" si="114"/>
        <v>1.0090934948171773</v>
      </c>
      <c r="G494" s="69">
        <f t="shared" ca="1" si="114"/>
        <v>-1.0915561054157759</v>
      </c>
      <c r="H494" s="69">
        <f t="shared" ca="1" si="114"/>
        <v>-1.8262795394844173</v>
      </c>
      <c r="I494" s="69">
        <f t="shared" ca="1" si="114"/>
        <v>-1.607442423287422</v>
      </c>
      <c r="J494" s="69">
        <f t="shared" ca="1" si="114"/>
        <v>-0.10545983197084387</v>
      </c>
      <c r="K494" s="69">
        <f t="shared" ca="1" si="114"/>
        <v>-1.0981311554330884</v>
      </c>
      <c r="L494" s="69">
        <f t="shared" ca="1" si="114"/>
        <v>-1.4340379230243969</v>
      </c>
      <c r="N494" s="69">
        <f t="shared" ca="1" si="103"/>
        <v>-1.3396117136779373</v>
      </c>
      <c r="O494" s="69">
        <f t="shared" ca="1" si="104"/>
        <v>0.33517587530320486</v>
      </c>
      <c r="P494" s="69">
        <f t="shared" ca="1" si="105"/>
        <v>-0.23184423472049714</v>
      </c>
      <c r="Q494" s="69">
        <f t="shared" ca="1" si="106"/>
        <v>-0.48144672754615947</v>
      </c>
      <c r="R494" s="69">
        <f t="shared" ca="1" si="107"/>
        <v>1.0027988094095284</v>
      </c>
      <c r="S494" s="69">
        <f t="shared" ca="1" si="108"/>
        <v>-1.0587291331589674</v>
      </c>
      <c r="T494" s="69">
        <f t="shared" ca="1" si="109"/>
        <v>-1.8311105771996072</v>
      </c>
      <c r="U494" s="69">
        <f t="shared" ca="1" si="110"/>
        <v>-1.5844022964097124</v>
      </c>
      <c r="V494" s="69">
        <f t="shared" ca="1" si="111"/>
        <v>-0.1115694255444412</v>
      </c>
      <c r="W494" s="69">
        <f t="shared" ca="1" si="112"/>
        <v>-1.0971497986089893</v>
      </c>
      <c r="X494" s="69">
        <f t="shared" ca="1" si="113"/>
        <v>-1.4068694326499613</v>
      </c>
    </row>
    <row r="495" spans="2:24" x14ac:dyDescent="0.2">
      <c r="B495" s="69">
        <f t="shared" ca="1" si="102"/>
        <v>-2.1734280177869669</v>
      </c>
      <c r="C495" s="69">
        <f t="shared" ca="1" si="114"/>
        <v>-0.71242756365446336</v>
      </c>
      <c r="D495" s="69">
        <f t="shared" ca="1" si="114"/>
        <v>0.59049090042490282</v>
      </c>
      <c r="E495" s="69">
        <f t="shared" ca="1" si="114"/>
        <v>1.4058943047559491</v>
      </c>
      <c r="F495" s="69">
        <f t="shared" ca="1" si="114"/>
        <v>0.47748352922759058</v>
      </c>
      <c r="G495" s="69">
        <f t="shared" ca="1" si="114"/>
        <v>-0.87769848231388137</v>
      </c>
      <c r="H495" s="69">
        <f t="shared" ca="1" si="114"/>
        <v>0.94448700663505747</v>
      </c>
      <c r="I495" s="69">
        <f t="shared" ca="1" si="114"/>
        <v>3.5608509722787153E-2</v>
      </c>
      <c r="J495" s="69">
        <f t="shared" ca="1" si="114"/>
        <v>-0.51459585595669521</v>
      </c>
      <c r="K495" s="69">
        <f t="shared" ca="1" si="114"/>
        <v>0.15995393092098567</v>
      </c>
      <c r="L495" s="69">
        <f t="shared" ca="1" si="114"/>
        <v>6.1906387362513438E-3</v>
      </c>
      <c r="N495" s="69">
        <f t="shared" ca="1" si="103"/>
        <v>-2.135659973948858</v>
      </c>
      <c r="O495" s="69">
        <f t="shared" ca="1" si="104"/>
        <v>-0.73892112673735</v>
      </c>
      <c r="P495" s="69">
        <f t="shared" ca="1" si="105"/>
        <v>0.53274883558781283</v>
      </c>
      <c r="Q495" s="69">
        <f t="shared" ca="1" si="106"/>
        <v>1.4550029836177081</v>
      </c>
      <c r="R495" s="69">
        <f t="shared" ca="1" si="107"/>
        <v>0.47118884381994169</v>
      </c>
      <c r="S495" s="69">
        <f t="shared" ca="1" si="108"/>
        <v>-0.84487151005707284</v>
      </c>
      <c r="T495" s="69">
        <f t="shared" ca="1" si="109"/>
        <v>0.93965596891986758</v>
      </c>
      <c r="U495" s="69">
        <f t="shared" ca="1" si="110"/>
        <v>5.8648636600496809E-2</v>
      </c>
      <c r="V495" s="69">
        <f t="shared" ca="1" si="111"/>
        <v>-0.52070544953029252</v>
      </c>
      <c r="W495" s="69">
        <f t="shared" ca="1" si="112"/>
        <v>0.16093528774508462</v>
      </c>
      <c r="X495" s="69">
        <f t="shared" ca="1" si="113"/>
        <v>3.3359129110686822E-2</v>
      </c>
    </row>
    <row r="496" spans="2:24" x14ac:dyDescent="0.2">
      <c r="B496" s="69">
        <f t="shared" ca="1" si="102"/>
        <v>-2.0182486300163944</v>
      </c>
      <c r="C496" s="69">
        <f t="shared" ca="1" si="114"/>
        <v>-1.5743625246879949</v>
      </c>
      <c r="D496" s="69">
        <f t="shared" ca="1" si="114"/>
        <v>0.39546457912168115</v>
      </c>
      <c r="E496" s="69">
        <f t="shared" ca="1" si="114"/>
        <v>-1.2920050190857455</v>
      </c>
      <c r="F496" s="69">
        <f t="shared" ca="1" si="114"/>
        <v>4.1202686611878016E-2</v>
      </c>
      <c r="G496" s="69">
        <f t="shared" ca="1" si="114"/>
        <v>-0.12995769243348879</v>
      </c>
      <c r="H496" s="69">
        <f t="shared" ca="1" si="114"/>
        <v>0.77132370745607837</v>
      </c>
      <c r="I496" s="69">
        <f t="shared" ca="1" si="114"/>
        <v>0.73380367363080545</v>
      </c>
      <c r="J496" s="69">
        <f t="shared" ca="1" si="114"/>
        <v>-1.1882045773748169</v>
      </c>
      <c r="K496" s="69">
        <f t="shared" ca="1" si="114"/>
        <v>0.5905404263721854</v>
      </c>
      <c r="L496" s="69">
        <f t="shared" ca="1" si="114"/>
        <v>0.97570494548231612</v>
      </c>
      <c r="N496" s="69">
        <f t="shared" ca="1" si="103"/>
        <v>-1.9804805861782857</v>
      </c>
      <c r="O496" s="69">
        <f t="shared" ca="1" si="104"/>
        <v>-1.6008560877708815</v>
      </c>
      <c r="P496" s="69">
        <f t="shared" ca="1" si="105"/>
        <v>0.3377225142845911</v>
      </c>
      <c r="Q496" s="69">
        <f t="shared" ca="1" si="106"/>
        <v>-1.2428963402239865</v>
      </c>
      <c r="R496" s="69">
        <f t="shared" ca="1" si="107"/>
        <v>3.4908001204229121E-2</v>
      </c>
      <c r="S496" s="69">
        <f t="shared" ca="1" si="108"/>
        <v>-9.7130720176680313E-2</v>
      </c>
      <c r="T496" s="69">
        <f t="shared" ca="1" si="109"/>
        <v>0.76649266974088848</v>
      </c>
      <c r="U496" s="69">
        <f t="shared" ca="1" si="110"/>
        <v>0.75684380050851507</v>
      </c>
      <c r="V496" s="69">
        <f t="shared" ca="1" si="111"/>
        <v>-1.1943141709484142</v>
      </c>
      <c r="W496" s="69">
        <f t="shared" ca="1" si="112"/>
        <v>0.59152178319628435</v>
      </c>
      <c r="X496" s="69">
        <f t="shared" ca="1" si="113"/>
        <v>1.0028734358567517</v>
      </c>
    </row>
    <row r="497" spans="2:24" x14ac:dyDescent="0.2">
      <c r="B497" s="69">
        <f t="shared" ca="1" si="102"/>
        <v>-0.85499634882904141</v>
      </c>
      <c r="C497" s="69">
        <f t="shared" ca="1" si="114"/>
        <v>0.53793597131539239</v>
      </c>
      <c r="D497" s="69">
        <f t="shared" ca="1" si="114"/>
        <v>0.25773111495335577</v>
      </c>
      <c r="E497" s="69">
        <f t="shared" ca="1" si="114"/>
        <v>1.0231515909049842</v>
      </c>
      <c r="F497" s="69">
        <f t="shared" ca="1" si="114"/>
        <v>-1.3291558486222348</v>
      </c>
      <c r="G497" s="69">
        <f t="shared" ca="1" si="114"/>
        <v>1.2496691972727298</v>
      </c>
      <c r="H497" s="69">
        <f t="shared" ca="1" si="114"/>
        <v>1.7331216868276507</v>
      </c>
      <c r="I497" s="69">
        <f t="shared" ca="1" si="114"/>
        <v>0.44657137174069117</v>
      </c>
      <c r="J497" s="69">
        <f t="shared" ca="1" si="114"/>
        <v>-0.74504680987630856</v>
      </c>
      <c r="K497" s="69">
        <f t="shared" ca="1" si="114"/>
        <v>1.1452665676785692</v>
      </c>
      <c r="L497" s="69">
        <f t="shared" ca="1" si="114"/>
        <v>-4.5070403574657907E-2</v>
      </c>
      <c r="N497" s="69">
        <f t="shared" ca="1" si="103"/>
        <v>-0.81722830499093257</v>
      </c>
      <c r="O497" s="69">
        <f t="shared" ca="1" si="104"/>
        <v>0.51144240823250575</v>
      </c>
      <c r="P497" s="69">
        <f t="shared" ca="1" si="105"/>
        <v>0.19998905011626572</v>
      </c>
      <c r="Q497" s="69">
        <f t="shared" ca="1" si="106"/>
        <v>1.0722602697667432</v>
      </c>
      <c r="R497" s="69">
        <f t="shared" ca="1" si="107"/>
        <v>-1.3354505340298837</v>
      </c>
      <c r="S497" s="69">
        <f t="shared" ca="1" si="108"/>
        <v>1.2824961695295383</v>
      </c>
      <c r="T497" s="69">
        <f t="shared" ca="1" si="109"/>
        <v>1.7282906491124608</v>
      </c>
      <c r="U497" s="69">
        <f t="shared" ca="1" si="110"/>
        <v>0.46961149861840085</v>
      </c>
      <c r="V497" s="69">
        <f t="shared" ca="1" si="111"/>
        <v>-0.75115640344990586</v>
      </c>
      <c r="W497" s="69">
        <f t="shared" ca="1" si="112"/>
        <v>1.1462479245026682</v>
      </c>
      <c r="X497" s="69">
        <f t="shared" ca="1" si="113"/>
        <v>-1.7901913200222427E-2</v>
      </c>
    </row>
    <row r="498" spans="2:24" x14ac:dyDescent="0.2">
      <c r="B498" s="69">
        <f t="shared" ca="1" si="102"/>
        <v>1.2243438709514195E-2</v>
      </c>
      <c r="C498" s="69">
        <f t="shared" ca="1" si="114"/>
        <v>-0.5264343927216395</v>
      </c>
      <c r="D498" s="69">
        <f t="shared" ca="1" si="114"/>
        <v>0.66399257417948199</v>
      </c>
      <c r="E498" s="69">
        <f t="shared" ca="1" si="114"/>
        <v>2.3442374381384082E-2</v>
      </c>
      <c r="F498" s="69">
        <f t="shared" ca="1" si="114"/>
        <v>-0.32675347487530382</v>
      </c>
      <c r="G498" s="69">
        <f t="shared" ca="1" si="114"/>
        <v>0.73149036243050447</v>
      </c>
      <c r="H498" s="69">
        <f t="shared" ca="1" si="114"/>
        <v>1.4557334107110413</v>
      </c>
      <c r="I498" s="69">
        <f t="shared" ca="1" si="114"/>
        <v>1.3505603272725051</v>
      </c>
      <c r="J498" s="69">
        <f t="shared" ca="1" si="114"/>
        <v>0.90395725576087893</v>
      </c>
      <c r="K498" s="69">
        <f t="shared" ca="1" si="114"/>
        <v>6.5157540159496402E-2</v>
      </c>
      <c r="L498" s="69">
        <f t="shared" ca="1" si="114"/>
        <v>0.49505378655402993</v>
      </c>
      <c r="N498" s="69">
        <f t="shared" ca="1" si="103"/>
        <v>5.0011482547623012E-2</v>
      </c>
      <c r="O498" s="69">
        <f t="shared" ca="1" si="104"/>
        <v>-0.55292795580452614</v>
      </c>
      <c r="P498" s="69">
        <f t="shared" ca="1" si="105"/>
        <v>0.606250509342392</v>
      </c>
      <c r="Q498" s="69">
        <f t="shared" ca="1" si="106"/>
        <v>7.2551053243143024E-2</v>
      </c>
      <c r="R498" s="69">
        <f t="shared" ca="1" si="107"/>
        <v>-0.3330481602829527</v>
      </c>
      <c r="S498" s="69">
        <f t="shared" ca="1" si="108"/>
        <v>0.764317334687313</v>
      </c>
      <c r="T498" s="69">
        <f t="shared" ca="1" si="109"/>
        <v>1.4509023729958515</v>
      </c>
      <c r="U498" s="69">
        <f t="shared" ca="1" si="110"/>
        <v>1.3736004541502147</v>
      </c>
      <c r="V498" s="69">
        <f t="shared" ca="1" si="111"/>
        <v>0.89784766218728163</v>
      </c>
      <c r="W498" s="69">
        <f t="shared" ca="1" si="112"/>
        <v>6.6138896983595347E-2</v>
      </c>
      <c r="X498" s="69">
        <f t="shared" ca="1" si="113"/>
        <v>0.52222227692846546</v>
      </c>
    </row>
    <row r="499" spans="2:24" x14ac:dyDescent="0.2">
      <c r="B499" s="69">
        <f t="shared" ca="1" si="102"/>
        <v>1.2418643764690254</v>
      </c>
      <c r="C499" s="69">
        <f t="shared" ca="1" si="114"/>
        <v>0.52111464285260756</v>
      </c>
      <c r="D499" s="69">
        <f t="shared" ca="1" si="114"/>
        <v>-3.4962553882551775E-2</v>
      </c>
      <c r="E499" s="69">
        <f t="shared" ca="1" si="114"/>
        <v>1.3918775041548936</v>
      </c>
      <c r="F499" s="69">
        <f t="shared" ca="1" si="114"/>
        <v>-0.35884619559466868</v>
      </c>
      <c r="G499" s="69">
        <f t="shared" ca="1" si="114"/>
        <v>1.2049725196999523</v>
      </c>
      <c r="H499" s="69">
        <f t="shared" ca="1" si="114"/>
        <v>0.87951276038164772</v>
      </c>
      <c r="I499" s="69">
        <f t="shared" ca="1" si="114"/>
        <v>-0.30935314038891931</v>
      </c>
      <c r="J499" s="69">
        <f t="shared" ca="1" si="114"/>
        <v>0.71780859659179352</v>
      </c>
      <c r="K499" s="69">
        <f t="shared" ca="1" si="114"/>
        <v>-0.10660915640564121</v>
      </c>
      <c r="L499" s="69">
        <f t="shared" ca="1" si="114"/>
        <v>-1.7329560720066322</v>
      </c>
      <c r="N499" s="69">
        <f t="shared" ca="1" si="103"/>
        <v>1.2796324203071341</v>
      </c>
      <c r="O499" s="69">
        <f t="shared" ca="1" si="104"/>
        <v>0.49462107976972086</v>
      </c>
      <c r="P499" s="69">
        <f t="shared" ca="1" si="105"/>
        <v>-9.2704618719641807E-2</v>
      </c>
      <c r="Q499" s="69">
        <f t="shared" ca="1" si="106"/>
        <v>1.4409861830166526</v>
      </c>
      <c r="R499" s="69">
        <f t="shared" ca="1" si="107"/>
        <v>-0.36514088100231756</v>
      </c>
      <c r="S499" s="69">
        <f t="shared" ca="1" si="108"/>
        <v>1.2377994919567608</v>
      </c>
      <c r="T499" s="69">
        <f t="shared" ca="1" si="109"/>
        <v>0.87468172266645783</v>
      </c>
      <c r="U499" s="69">
        <f t="shared" ca="1" si="110"/>
        <v>-0.28631301351120964</v>
      </c>
      <c r="V499" s="69">
        <f t="shared" ca="1" si="111"/>
        <v>0.71169900301819622</v>
      </c>
      <c r="W499" s="69">
        <f t="shared" ca="1" si="112"/>
        <v>-0.10562779958154225</v>
      </c>
      <c r="X499" s="69">
        <f t="shared" ca="1" si="113"/>
        <v>-1.7057875816321966</v>
      </c>
    </row>
    <row r="500" spans="2:24" x14ac:dyDescent="0.2">
      <c r="B500" s="69">
        <f t="shared" ca="1" si="102"/>
        <v>0.93464109100645909</v>
      </c>
      <c r="C500" s="69">
        <f t="shared" ca="1" si="114"/>
        <v>-0.26824140959981346</v>
      </c>
      <c r="D500" s="69">
        <f t="shared" ca="1" si="114"/>
        <v>1.4951038672918782</v>
      </c>
      <c r="E500" s="69">
        <f t="shared" ca="1" si="114"/>
        <v>-0.18307112430802133</v>
      </c>
      <c r="F500" s="69">
        <f t="shared" ca="1" si="114"/>
        <v>-0.66617851488498647</v>
      </c>
      <c r="G500" s="69">
        <f t="shared" ca="1" si="114"/>
        <v>0.48501026713674772</v>
      </c>
      <c r="H500" s="69">
        <f t="shared" ca="1" si="114"/>
        <v>-0.6071078045981344</v>
      </c>
      <c r="I500" s="69">
        <f t="shared" ca="1" si="114"/>
        <v>-0.29469024560193846</v>
      </c>
      <c r="J500" s="69">
        <f t="shared" ca="1" si="114"/>
        <v>0.89443907750431839</v>
      </c>
      <c r="K500" s="69">
        <f t="shared" ca="1" si="114"/>
        <v>0.64663861669579192</v>
      </c>
      <c r="L500" s="69">
        <f t="shared" ca="1" si="114"/>
        <v>-0.22669908246676712</v>
      </c>
      <c r="N500" s="69">
        <f t="shared" ca="1" si="103"/>
        <v>0.97240913484456792</v>
      </c>
      <c r="O500" s="69">
        <f t="shared" ca="1" si="104"/>
        <v>-0.29473497268270016</v>
      </c>
      <c r="P500" s="69">
        <f t="shared" ca="1" si="105"/>
        <v>1.4373618024547881</v>
      </c>
      <c r="Q500" s="69">
        <f t="shared" ca="1" si="106"/>
        <v>-0.1339624454462624</v>
      </c>
      <c r="R500" s="69">
        <f t="shared" ca="1" si="107"/>
        <v>-0.67247320029263535</v>
      </c>
      <c r="S500" s="69">
        <f t="shared" ca="1" si="108"/>
        <v>0.51783723939355619</v>
      </c>
      <c r="T500" s="69">
        <f t="shared" ca="1" si="109"/>
        <v>-0.61193884231332429</v>
      </c>
      <c r="U500" s="69">
        <f t="shared" ca="1" si="110"/>
        <v>-0.27165011872422878</v>
      </c>
      <c r="V500" s="69">
        <f t="shared" ca="1" si="111"/>
        <v>0.88832948393072109</v>
      </c>
      <c r="W500" s="69">
        <f t="shared" ca="1" si="112"/>
        <v>0.64761997351989087</v>
      </c>
      <c r="X500" s="69">
        <f t="shared" ca="1" si="113"/>
        <v>-0.19953059209233165</v>
      </c>
    </row>
    <row r="501" spans="2:24" x14ac:dyDescent="0.2">
      <c r="B501" s="69">
        <f t="shared" ca="1" si="102"/>
        <v>-1.569083995682296</v>
      </c>
      <c r="C501" s="69">
        <f t="shared" ca="1" si="114"/>
        <v>0.37941110712716719</v>
      </c>
      <c r="D501" s="69">
        <f t="shared" ca="1" si="114"/>
        <v>0.17268890930686795</v>
      </c>
      <c r="E501" s="69">
        <f t="shared" ca="1" si="114"/>
        <v>-6.0394598784015263E-2</v>
      </c>
      <c r="F501" s="69">
        <f t="shared" ca="1" si="114"/>
        <v>-1.2202301388955952</v>
      </c>
      <c r="G501" s="69">
        <f t="shared" ca="1" si="114"/>
        <v>-1.5138676767539907</v>
      </c>
      <c r="H501" s="69">
        <f t="shared" ca="1" si="114"/>
        <v>-1.1470751990801784</v>
      </c>
      <c r="I501" s="69">
        <f t="shared" ca="1" si="114"/>
        <v>-4.7327055851529597E-2</v>
      </c>
      <c r="J501" s="69">
        <f t="shared" ca="1" si="114"/>
        <v>-1.6117601503280514</v>
      </c>
      <c r="K501" s="69">
        <f t="shared" ca="1" si="114"/>
        <v>-0.63658381297460376</v>
      </c>
      <c r="L501" s="69">
        <f t="shared" ca="1" si="114"/>
        <v>0.45452075975805689</v>
      </c>
      <c r="N501" s="69">
        <f t="shared" ca="1" si="103"/>
        <v>-1.5313159518441872</v>
      </c>
      <c r="O501" s="69">
        <f t="shared" ca="1" si="104"/>
        <v>0.3529175440442805</v>
      </c>
      <c r="P501" s="69">
        <f t="shared" ca="1" si="105"/>
        <v>0.11494684446977792</v>
      </c>
      <c r="Q501" s="69">
        <f t="shared" ca="1" si="106"/>
        <v>-1.1285919922256318E-2</v>
      </c>
      <c r="R501" s="69">
        <f t="shared" ca="1" si="107"/>
        <v>-1.2265248243032441</v>
      </c>
      <c r="S501" s="69">
        <f t="shared" ca="1" si="108"/>
        <v>-1.4810407044971823</v>
      </c>
      <c r="T501" s="69">
        <f t="shared" ca="1" si="109"/>
        <v>-1.1519062367953683</v>
      </c>
      <c r="U501" s="69">
        <f t="shared" ca="1" si="110"/>
        <v>-2.4286928973819941E-2</v>
      </c>
      <c r="V501" s="69">
        <f t="shared" ca="1" si="111"/>
        <v>-1.6178697439016487</v>
      </c>
      <c r="W501" s="69">
        <f t="shared" ca="1" si="112"/>
        <v>-0.63560245615050481</v>
      </c>
      <c r="X501" s="69">
        <f t="shared" ca="1" si="113"/>
        <v>0.48168925013249236</v>
      </c>
    </row>
    <row r="502" spans="2:24" x14ac:dyDescent="0.2">
      <c r="B502" s="69">
        <f t="shared" ca="1" si="102"/>
        <v>0.57922331634704394</v>
      </c>
      <c r="C502" s="69">
        <f t="shared" ca="1" si="114"/>
        <v>1.030574383760825</v>
      </c>
      <c r="D502" s="69">
        <f t="shared" ca="1" si="114"/>
        <v>-1.3051020557862716</v>
      </c>
      <c r="E502" s="69">
        <f t="shared" ca="1" si="114"/>
        <v>-0.81351006639132306</v>
      </c>
      <c r="F502" s="69">
        <f t="shared" ca="1" si="114"/>
        <v>0.47942722643164143</v>
      </c>
      <c r="G502" s="69">
        <f t="shared" ca="1" si="114"/>
        <v>0.301882941989913</v>
      </c>
      <c r="H502" s="69">
        <f t="shared" ca="1" si="114"/>
        <v>1.038700420101234</v>
      </c>
      <c r="I502" s="69">
        <f t="shared" ca="1" si="114"/>
        <v>-2.3746340124119794</v>
      </c>
      <c r="J502" s="69">
        <f t="shared" ca="1" si="114"/>
        <v>-0.6974024501871724</v>
      </c>
      <c r="K502" s="69">
        <f t="shared" ca="1" si="114"/>
        <v>-0.37605164373787064</v>
      </c>
      <c r="L502" s="69">
        <f t="shared" ca="1" si="114"/>
        <v>0.63075043334801517</v>
      </c>
      <c r="N502" s="69">
        <f t="shared" ca="1" si="103"/>
        <v>0.61699136018515277</v>
      </c>
      <c r="O502" s="69">
        <f t="shared" ca="1" si="104"/>
        <v>1.0040808206779384</v>
      </c>
      <c r="P502" s="69">
        <f t="shared" ca="1" si="105"/>
        <v>-1.3628441206233617</v>
      </c>
      <c r="Q502" s="69">
        <f t="shared" ca="1" si="106"/>
        <v>-0.7644013875295641</v>
      </c>
      <c r="R502" s="69">
        <f t="shared" ca="1" si="107"/>
        <v>0.47313254102399255</v>
      </c>
      <c r="S502" s="69">
        <f t="shared" ca="1" si="108"/>
        <v>0.33470991424672147</v>
      </c>
      <c r="T502" s="69">
        <f t="shared" ca="1" si="109"/>
        <v>1.0338693823860441</v>
      </c>
      <c r="U502" s="69">
        <f t="shared" ca="1" si="110"/>
        <v>-2.3515938855342697</v>
      </c>
      <c r="V502" s="69">
        <f t="shared" ca="1" si="111"/>
        <v>-0.7035120437607697</v>
      </c>
      <c r="W502" s="69">
        <f t="shared" ca="1" si="112"/>
        <v>-0.3750702869137717</v>
      </c>
      <c r="X502" s="69">
        <f t="shared" ca="1" si="113"/>
        <v>0.65791892372245064</v>
      </c>
    </row>
    <row r="503" spans="2:24" x14ac:dyDescent="0.2">
      <c r="B503" s="69">
        <f t="shared" ca="1" si="102"/>
        <v>1.0999489498281043</v>
      </c>
      <c r="C503" s="69">
        <f t="shared" ca="1" si="114"/>
        <v>0.93257753039664248</v>
      </c>
      <c r="D503" s="69">
        <f t="shared" ref="C503:L566" ca="1" si="115">NORMINV(RAND(),$C$7,$F$7)</f>
        <v>1.0885635091262083</v>
      </c>
      <c r="E503" s="69">
        <f t="shared" ca="1" si="115"/>
        <v>0.33693920037950237</v>
      </c>
      <c r="F503" s="69">
        <f t="shared" ca="1" si="115"/>
        <v>-0.65553875162239494</v>
      </c>
      <c r="G503" s="69">
        <f t="shared" ca="1" si="115"/>
        <v>1.2823942820059109</v>
      </c>
      <c r="H503" s="69">
        <f t="shared" ca="1" si="115"/>
        <v>-1.5996563591981372</v>
      </c>
      <c r="I503" s="69">
        <f t="shared" ca="1" si="115"/>
        <v>-0.23331293974368042</v>
      </c>
      <c r="J503" s="69">
        <f t="shared" ca="1" si="115"/>
        <v>2.067098603021468</v>
      </c>
      <c r="K503" s="69">
        <f t="shared" ca="1" si="115"/>
        <v>0.65616689896014491</v>
      </c>
      <c r="L503" s="69">
        <f t="shared" ca="1" si="115"/>
        <v>-1.8689021825611878</v>
      </c>
      <c r="N503" s="69">
        <f t="shared" ca="1" si="103"/>
        <v>1.137716993666213</v>
      </c>
      <c r="O503" s="69">
        <f t="shared" ca="1" si="104"/>
        <v>0.90608396731375584</v>
      </c>
      <c r="P503" s="69">
        <f t="shared" ca="1" si="105"/>
        <v>1.0308214442891181</v>
      </c>
      <c r="Q503" s="69">
        <f t="shared" ca="1" si="106"/>
        <v>0.38604787924126133</v>
      </c>
      <c r="R503" s="69">
        <f t="shared" ca="1" si="107"/>
        <v>-0.66183343703004383</v>
      </c>
      <c r="S503" s="69">
        <f t="shared" ca="1" si="108"/>
        <v>1.3152212542627193</v>
      </c>
      <c r="T503" s="69">
        <f t="shared" ca="1" si="109"/>
        <v>-1.6044873969133271</v>
      </c>
      <c r="U503" s="69">
        <f t="shared" ca="1" si="110"/>
        <v>-0.21027281286597077</v>
      </c>
      <c r="V503" s="69">
        <f t="shared" ca="1" si="111"/>
        <v>2.0609890094478707</v>
      </c>
      <c r="W503" s="69">
        <f t="shared" ca="1" si="112"/>
        <v>0.65714825578424385</v>
      </c>
      <c r="X503" s="69">
        <f t="shared" ca="1" si="113"/>
        <v>-1.8417336921867522</v>
      </c>
    </row>
    <row r="504" spans="2:24" x14ac:dyDescent="0.2">
      <c r="B504" s="69">
        <f t="shared" ca="1" si="102"/>
        <v>1.5782985185175831</v>
      </c>
      <c r="C504" s="69">
        <f t="shared" ca="1" si="115"/>
        <v>-0.29967439070311791</v>
      </c>
      <c r="D504" s="69">
        <f t="shared" ca="1" si="115"/>
        <v>0.77954443304201138</v>
      </c>
      <c r="E504" s="69">
        <f t="shared" ca="1" si="115"/>
        <v>0.40387005337580534</v>
      </c>
      <c r="F504" s="69">
        <f t="shared" ca="1" si="115"/>
        <v>-1.4195223656979901</v>
      </c>
      <c r="G504" s="69">
        <f t="shared" ca="1" si="115"/>
        <v>-0.18860974924207344</v>
      </c>
      <c r="H504" s="69">
        <f t="shared" ca="1" si="115"/>
        <v>-0.53474610263372535</v>
      </c>
      <c r="I504" s="69">
        <f t="shared" ca="1" si="115"/>
        <v>0.21067423707290153</v>
      </c>
      <c r="J504" s="69">
        <f t="shared" ca="1" si="115"/>
        <v>-4.2792868481150853E-2</v>
      </c>
      <c r="K504" s="69">
        <f t="shared" ca="1" si="115"/>
        <v>0.79554794915693816</v>
      </c>
      <c r="L504" s="69">
        <f t="shared" ca="1" si="115"/>
        <v>-1.2325150741207109</v>
      </c>
      <c r="N504" s="69">
        <f t="shared" ca="1" si="103"/>
        <v>1.6160665623556918</v>
      </c>
      <c r="O504" s="69">
        <f t="shared" ca="1" si="104"/>
        <v>-0.32616795378600461</v>
      </c>
      <c r="P504" s="69">
        <f t="shared" ca="1" si="105"/>
        <v>0.72180236820492139</v>
      </c>
      <c r="Q504" s="69">
        <f t="shared" ca="1" si="106"/>
        <v>0.4529787322375643</v>
      </c>
      <c r="R504" s="69">
        <f t="shared" ca="1" si="107"/>
        <v>-1.4258170511056389</v>
      </c>
      <c r="S504" s="69">
        <f t="shared" ca="1" si="108"/>
        <v>-0.15578277698526496</v>
      </c>
      <c r="T504" s="69">
        <f t="shared" ca="1" si="109"/>
        <v>-0.53957714034891524</v>
      </c>
      <c r="U504" s="69">
        <f t="shared" ca="1" si="110"/>
        <v>0.23371436395061118</v>
      </c>
      <c r="V504" s="69">
        <f t="shared" ca="1" si="111"/>
        <v>-4.8902462054748186E-2</v>
      </c>
      <c r="W504" s="69">
        <f t="shared" ca="1" si="112"/>
        <v>0.79652930598103711</v>
      </c>
      <c r="X504" s="69">
        <f t="shared" ca="1" si="113"/>
        <v>-1.2053465837462753</v>
      </c>
    </row>
    <row r="505" spans="2:24" x14ac:dyDescent="0.2">
      <c r="B505" s="69">
        <f t="shared" ca="1" si="102"/>
        <v>-0.33615868212521888</v>
      </c>
      <c r="C505" s="69">
        <f t="shared" ca="1" si="115"/>
        <v>-0.37976070292708564</v>
      </c>
      <c r="D505" s="69">
        <f t="shared" ca="1" si="115"/>
        <v>0.55357136493914283</v>
      </c>
      <c r="E505" s="69">
        <f t="shared" ca="1" si="115"/>
        <v>-2.3952104397908127</v>
      </c>
      <c r="F505" s="69">
        <f t="shared" ca="1" si="115"/>
        <v>0.1476682812839501</v>
      </c>
      <c r="G505" s="69">
        <f t="shared" ca="1" si="115"/>
        <v>0.21531015206836968</v>
      </c>
      <c r="H505" s="69">
        <f t="shared" ca="1" si="115"/>
        <v>0.63822688905470004</v>
      </c>
      <c r="I505" s="69">
        <f t="shared" ca="1" si="115"/>
        <v>-1.1503665926341686</v>
      </c>
      <c r="J505" s="69">
        <f t="shared" ca="1" si="115"/>
        <v>-0.73409167584108348</v>
      </c>
      <c r="K505" s="69">
        <f t="shared" ca="1" si="115"/>
        <v>-1.1106845563188157</v>
      </c>
      <c r="L505" s="69">
        <f t="shared" ca="1" si="115"/>
        <v>-1.041789193236949</v>
      </c>
      <c r="N505" s="69">
        <f t="shared" ca="1" si="103"/>
        <v>-0.29839063828711004</v>
      </c>
      <c r="O505" s="69">
        <f t="shared" ca="1" si="104"/>
        <v>-0.40625426600997233</v>
      </c>
      <c r="P505" s="69">
        <f t="shared" ca="1" si="105"/>
        <v>0.49582930010205278</v>
      </c>
      <c r="Q505" s="69">
        <f t="shared" ca="1" si="106"/>
        <v>-2.346101760929054</v>
      </c>
      <c r="R505" s="69">
        <f t="shared" ca="1" si="107"/>
        <v>0.14137359587630119</v>
      </c>
      <c r="S505" s="69">
        <f t="shared" ca="1" si="108"/>
        <v>0.24813712432517815</v>
      </c>
      <c r="T505" s="69">
        <f t="shared" ca="1" si="109"/>
        <v>0.63339585133951015</v>
      </c>
      <c r="U505" s="69">
        <f t="shared" ca="1" si="110"/>
        <v>-1.127326465756459</v>
      </c>
      <c r="V505" s="69">
        <f t="shared" ca="1" si="111"/>
        <v>-0.74020126941468078</v>
      </c>
      <c r="W505" s="69">
        <f t="shared" ca="1" si="112"/>
        <v>-1.1097031994947166</v>
      </c>
      <c r="X505" s="69">
        <f t="shared" ca="1" si="113"/>
        <v>-1.0146207028625134</v>
      </c>
    </row>
    <row r="506" spans="2:24" x14ac:dyDescent="0.2">
      <c r="B506" s="69">
        <f t="shared" ca="1" si="102"/>
        <v>-0.22535113909674795</v>
      </c>
      <c r="C506" s="69">
        <f t="shared" ca="1" si="115"/>
        <v>0.73584186116012595</v>
      </c>
      <c r="D506" s="69">
        <f t="shared" ca="1" si="115"/>
        <v>-2.6898447531266658</v>
      </c>
      <c r="E506" s="69">
        <f t="shared" ca="1" si="115"/>
        <v>-1.1488648909290111</v>
      </c>
      <c r="F506" s="69">
        <f t="shared" ca="1" si="115"/>
        <v>-0.29802923814070836</v>
      </c>
      <c r="G506" s="69">
        <f t="shared" ca="1" si="115"/>
        <v>-0.86446722402498721</v>
      </c>
      <c r="H506" s="69">
        <f t="shared" ca="1" si="115"/>
        <v>0.4470844028265451</v>
      </c>
      <c r="I506" s="69">
        <f t="shared" ca="1" si="115"/>
        <v>0.40786591212459888</v>
      </c>
      <c r="J506" s="69">
        <f t="shared" ca="1" si="115"/>
        <v>-0.46754604774120156</v>
      </c>
      <c r="K506" s="69">
        <f t="shared" ca="1" si="115"/>
        <v>0.92605728859029857</v>
      </c>
      <c r="L506" s="69">
        <f t="shared" ca="1" si="115"/>
        <v>1.0777135461682654</v>
      </c>
      <c r="N506" s="69">
        <f t="shared" ca="1" si="103"/>
        <v>-0.18758309525863914</v>
      </c>
      <c r="O506" s="69">
        <f t="shared" ca="1" si="104"/>
        <v>0.70934829807723931</v>
      </c>
      <c r="P506" s="69">
        <f t="shared" ca="1" si="105"/>
        <v>-2.7475868179637559</v>
      </c>
      <c r="Q506" s="69">
        <f t="shared" ca="1" si="106"/>
        <v>-1.0997562120672522</v>
      </c>
      <c r="R506" s="69">
        <f t="shared" ca="1" si="107"/>
        <v>-0.30432392354835724</v>
      </c>
      <c r="S506" s="69">
        <f t="shared" ca="1" si="108"/>
        <v>-0.83164025176817868</v>
      </c>
      <c r="T506" s="69">
        <f t="shared" ca="1" si="109"/>
        <v>0.44225336511135527</v>
      </c>
      <c r="U506" s="69">
        <f t="shared" ca="1" si="110"/>
        <v>0.43090603900230856</v>
      </c>
      <c r="V506" s="69">
        <f t="shared" ca="1" si="111"/>
        <v>-0.47365564131479887</v>
      </c>
      <c r="W506" s="69">
        <f t="shared" ca="1" si="112"/>
        <v>0.92703864541439751</v>
      </c>
      <c r="X506" s="69">
        <f t="shared" ca="1" si="113"/>
        <v>1.104882036542701</v>
      </c>
    </row>
    <row r="507" spans="2:24" x14ac:dyDescent="0.2">
      <c r="B507" s="69">
        <f t="shared" ca="1" si="102"/>
        <v>-0.86365309767949949</v>
      </c>
      <c r="C507" s="69">
        <f t="shared" ca="1" si="115"/>
        <v>0.89298864293907998</v>
      </c>
      <c r="D507" s="69">
        <f t="shared" ca="1" si="115"/>
        <v>1.4647435538694149</v>
      </c>
      <c r="E507" s="69">
        <f t="shared" ca="1" si="115"/>
        <v>4.6221896808504415E-2</v>
      </c>
      <c r="F507" s="69">
        <f t="shared" ca="1" si="115"/>
        <v>-0.5637981824698195</v>
      </c>
      <c r="G507" s="69">
        <f t="shared" ca="1" si="115"/>
        <v>0.41499313793327736</v>
      </c>
      <c r="H507" s="69">
        <f t="shared" ca="1" si="115"/>
        <v>-7.9069872286005469E-2</v>
      </c>
      <c r="I507" s="69">
        <f t="shared" ca="1" si="115"/>
        <v>-0.8717826814008286</v>
      </c>
      <c r="J507" s="69">
        <f t="shared" ca="1" si="115"/>
        <v>-0.21162346874712207</v>
      </c>
      <c r="K507" s="69">
        <f t="shared" ca="1" si="115"/>
        <v>-0.10068107442409673</v>
      </c>
      <c r="L507" s="69">
        <f t="shared" ca="1" si="115"/>
        <v>0.15370071059403884</v>
      </c>
      <c r="N507" s="69">
        <f t="shared" ca="1" si="103"/>
        <v>-0.82588505384139066</v>
      </c>
      <c r="O507" s="69">
        <f t="shared" ca="1" si="104"/>
        <v>0.86649507985619334</v>
      </c>
      <c r="P507" s="69">
        <f t="shared" ca="1" si="105"/>
        <v>1.4070014890323248</v>
      </c>
      <c r="Q507" s="69">
        <f t="shared" ca="1" si="106"/>
        <v>9.5330575670263359E-2</v>
      </c>
      <c r="R507" s="69">
        <f t="shared" ca="1" si="107"/>
        <v>-0.57009286787746838</v>
      </c>
      <c r="S507" s="69">
        <f t="shared" ca="1" si="108"/>
        <v>0.44782011019008583</v>
      </c>
      <c r="T507" s="69">
        <f t="shared" ca="1" si="109"/>
        <v>-8.3900910001195317E-2</v>
      </c>
      <c r="U507" s="69">
        <f t="shared" ca="1" si="110"/>
        <v>-0.84874255452311897</v>
      </c>
      <c r="V507" s="69">
        <f t="shared" ca="1" si="111"/>
        <v>-0.2177330623207194</v>
      </c>
      <c r="W507" s="69">
        <f t="shared" ca="1" si="112"/>
        <v>-9.9699717599997767E-2</v>
      </c>
      <c r="X507" s="69">
        <f t="shared" ca="1" si="113"/>
        <v>0.18086920096847431</v>
      </c>
    </row>
    <row r="508" spans="2:24" x14ac:dyDescent="0.2">
      <c r="B508" s="69">
        <f t="shared" ca="1" si="102"/>
        <v>0.22622012619615706</v>
      </c>
      <c r="C508" s="69">
        <f t="shared" ca="1" si="115"/>
        <v>-0.79403060662176161</v>
      </c>
      <c r="D508" s="69">
        <f t="shared" ca="1" si="115"/>
        <v>-1.5919314647253673</v>
      </c>
      <c r="E508" s="69">
        <f t="shared" ca="1" si="115"/>
        <v>-0.79155744526753058</v>
      </c>
      <c r="F508" s="69">
        <f t="shared" ca="1" si="115"/>
        <v>4.6796155516892982E-3</v>
      </c>
      <c r="G508" s="69">
        <f t="shared" ca="1" si="115"/>
        <v>1.0315843666399813</v>
      </c>
      <c r="H508" s="69">
        <f t="shared" ca="1" si="115"/>
        <v>2.6634103038906458</v>
      </c>
      <c r="I508" s="69">
        <f t="shared" ca="1" si="115"/>
        <v>-1.1946661521131448</v>
      </c>
      <c r="J508" s="69">
        <f t="shared" ca="1" si="115"/>
        <v>1.5346051298386627</v>
      </c>
      <c r="K508" s="69">
        <f t="shared" ca="1" si="115"/>
        <v>-1.3710696354835357</v>
      </c>
      <c r="L508" s="69">
        <f t="shared" ca="1" si="115"/>
        <v>1.7333275422350156</v>
      </c>
      <c r="N508" s="69">
        <f t="shared" ca="1" si="103"/>
        <v>0.26398817003426589</v>
      </c>
      <c r="O508" s="69">
        <f t="shared" ca="1" si="104"/>
        <v>-0.82052416970464825</v>
      </c>
      <c r="P508" s="69">
        <f t="shared" ca="1" si="105"/>
        <v>-1.6496735295624574</v>
      </c>
      <c r="Q508" s="69">
        <f t="shared" ca="1" si="106"/>
        <v>-0.74244876640577162</v>
      </c>
      <c r="R508" s="69">
        <f t="shared" ca="1" si="107"/>
        <v>-1.6150698559595977E-3</v>
      </c>
      <c r="S508" s="69">
        <f t="shared" ca="1" si="108"/>
        <v>1.0644113388967897</v>
      </c>
      <c r="T508" s="69">
        <f t="shared" ca="1" si="109"/>
        <v>2.6585792661754559</v>
      </c>
      <c r="U508" s="69">
        <f t="shared" ca="1" si="110"/>
        <v>-1.1716260252354351</v>
      </c>
      <c r="V508" s="69">
        <f t="shared" ca="1" si="111"/>
        <v>1.5284955362650654</v>
      </c>
      <c r="W508" s="69">
        <f t="shared" ca="1" si="112"/>
        <v>-1.3700882786594366</v>
      </c>
      <c r="X508" s="69">
        <f t="shared" ca="1" si="113"/>
        <v>1.7604960326094512</v>
      </c>
    </row>
    <row r="509" spans="2:24" x14ac:dyDescent="0.2">
      <c r="B509" s="69">
        <f t="shared" ca="1" si="102"/>
        <v>7.136010607450656E-2</v>
      </c>
      <c r="C509" s="69">
        <f t="shared" ca="1" si="115"/>
        <v>-0.18174384418199785</v>
      </c>
      <c r="D509" s="69">
        <f t="shared" ca="1" si="115"/>
        <v>-1.4781318952736757</v>
      </c>
      <c r="E509" s="69">
        <f t="shared" ca="1" si="115"/>
        <v>-0.22563381823175654</v>
      </c>
      <c r="F509" s="69">
        <f t="shared" ca="1" si="115"/>
        <v>-1.3591021303029425</v>
      </c>
      <c r="G509" s="69">
        <f t="shared" ca="1" si="115"/>
        <v>-1.9206738749229686</v>
      </c>
      <c r="H509" s="69">
        <f t="shared" ca="1" si="115"/>
        <v>-0.81925615616799785</v>
      </c>
      <c r="I509" s="69">
        <f t="shared" ca="1" si="115"/>
        <v>0.73654935914704112</v>
      </c>
      <c r="J509" s="69">
        <f t="shared" ca="1" si="115"/>
        <v>0.27588700537369021</v>
      </c>
      <c r="K509" s="69">
        <f t="shared" ca="1" si="115"/>
        <v>0.16107504707346959</v>
      </c>
      <c r="L509" s="69">
        <f t="shared" ca="1" si="115"/>
        <v>-0.39557786298236242</v>
      </c>
      <c r="N509" s="69">
        <f t="shared" ca="1" si="103"/>
        <v>0.10912814991261538</v>
      </c>
      <c r="O509" s="69">
        <f t="shared" ca="1" si="104"/>
        <v>-0.20823740726488454</v>
      </c>
      <c r="P509" s="69">
        <f t="shared" ca="1" si="105"/>
        <v>-1.5358739601107658</v>
      </c>
      <c r="Q509" s="69">
        <f t="shared" ca="1" si="106"/>
        <v>-0.17652513936999759</v>
      </c>
      <c r="R509" s="69">
        <f t="shared" ca="1" si="107"/>
        <v>-1.3653968157105913</v>
      </c>
      <c r="S509" s="69">
        <f t="shared" ca="1" si="108"/>
        <v>-1.8878469026661602</v>
      </c>
      <c r="T509" s="69">
        <f t="shared" ca="1" si="109"/>
        <v>-0.82408719388318774</v>
      </c>
      <c r="U509" s="69">
        <f t="shared" ca="1" si="110"/>
        <v>0.75958948602475074</v>
      </c>
      <c r="V509" s="69">
        <f t="shared" ca="1" si="111"/>
        <v>0.2697774118000929</v>
      </c>
      <c r="W509" s="69">
        <f t="shared" ca="1" si="112"/>
        <v>0.16205640389756854</v>
      </c>
      <c r="X509" s="69">
        <f t="shared" ca="1" si="113"/>
        <v>-0.36840937260792694</v>
      </c>
    </row>
    <row r="510" spans="2:24" x14ac:dyDescent="0.2">
      <c r="B510" s="69">
        <f t="shared" ca="1" si="102"/>
        <v>-0.62219638730212468</v>
      </c>
      <c r="C510" s="69">
        <f t="shared" ca="1" si="115"/>
        <v>0.99823764250215008</v>
      </c>
      <c r="D510" s="69">
        <f t="shared" ca="1" si="115"/>
        <v>-1.0964094160516185</v>
      </c>
      <c r="E510" s="69">
        <f t="shared" ca="1" si="115"/>
        <v>0.76019328920875096</v>
      </c>
      <c r="F510" s="69">
        <f t="shared" ca="1" si="115"/>
        <v>-7.1496245551683116E-2</v>
      </c>
      <c r="G510" s="69">
        <f t="shared" ca="1" si="115"/>
        <v>-0.65827777326839798</v>
      </c>
      <c r="H510" s="69">
        <f t="shared" ca="1" si="115"/>
        <v>-1.1370875181792446</v>
      </c>
      <c r="I510" s="69">
        <f t="shared" ca="1" si="115"/>
        <v>-2.1830923654671008</v>
      </c>
      <c r="J510" s="69">
        <f t="shared" ca="1" si="115"/>
        <v>0.3006381195293637</v>
      </c>
      <c r="K510" s="69">
        <f t="shared" ca="1" si="115"/>
        <v>-1.5160672595672868</v>
      </c>
      <c r="L510" s="69">
        <f t="shared" ca="1" si="115"/>
        <v>-7.303756465597927E-2</v>
      </c>
      <c r="N510" s="69">
        <f t="shared" ca="1" si="103"/>
        <v>-0.58442834346401584</v>
      </c>
      <c r="O510" s="69">
        <f t="shared" ca="1" si="104"/>
        <v>0.97174407941926344</v>
      </c>
      <c r="P510" s="69">
        <f t="shared" ca="1" si="105"/>
        <v>-1.1541514808887086</v>
      </c>
      <c r="Q510" s="69">
        <f t="shared" ca="1" si="106"/>
        <v>0.80930196807050991</v>
      </c>
      <c r="R510" s="69">
        <f t="shared" ca="1" si="107"/>
        <v>-7.7790930959332011E-2</v>
      </c>
      <c r="S510" s="69">
        <f t="shared" ca="1" si="108"/>
        <v>-0.62545080101158945</v>
      </c>
      <c r="T510" s="69">
        <f t="shared" ca="1" si="109"/>
        <v>-1.1419185558944345</v>
      </c>
      <c r="U510" s="69">
        <f t="shared" ca="1" si="110"/>
        <v>-2.1600522385893912</v>
      </c>
      <c r="V510" s="69">
        <f t="shared" ca="1" si="111"/>
        <v>0.2945285259557664</v>
      </c>
      <c r="W510" s="69">
        <f t="shared" ca="1" si="112"/>
        <v>-1.5150859027431878</v>
      </c>
      <c r="X510" s="69">
        <f t="shared" ca="1" si="113"/>
        <v>-4.5869074281543791E-2</v>
      </c>
    </row>
    <row r="511" spans="2:24" x14ac:dyDescent="0.2">
      <c r="B511" s="69">
        <f t="shared" ca="1" si="102"/>
        <v>-0.54472465986142882</v>
      </c>
      <c r="C511" s="69">
        <f t="shared" ca="1" si="115"/>
        <v>0.65061083417499943</v>
      </c>
      <c r="D511" s="69">
        <f t="shared" ca="1" si="115"/>
        <v>-1.0982973877974092</v>
      </c>
      <c r="E511" s="69">
        <f t="shared" ca="1" si="115"/>
        <v>0.72086054758050688</v>
      </c>
      <c r="F511" s="69">
        <f t="shared" ca="1" si="115"/>
        <v>1.4568915491205077</v>
      </c>
      <c r="G511" s="69">
        <f t="shared" ca="1" si="115"/>
        <v>-0.25576688626316463</v>
      </c>
      <c r="H511" s="69">
        <f t="shared" ca="1" si="115"/>
        <v>-1.0875227356697588</v>
      </c>
      <c r="I511" s="69">
        <f t="shared" ca="1" si="115"/>
        <v>0.24101187520118622</v>
      </c>
      <c r="J511" s="69">
        <f t="shared" ca="1" si="115"/>
        <v>-7.9654210256033753E-2</v>
      </c>
      <c r="K511" s="69">
        <f t="shared" ca="1" si="115"/>
        <v>-1.3292957135351005</v>
      </c>
      <c r="L511" s="69">
        <f t="shared" ca="1" si="115"/>
        <v>-0.8376642076262798</v>
      </c>
      <c r="N511" s="69">
        <f t="shared" ca="1" si="103"/>
        <v>-0.50695661602331998</v>
      </c>
      <c r="O511" s="69">
        <f t="shared" ca="1" si="104"/>
        <v>0.62411727109211279</v>
      </c>
      <c r="P511" s="69">
        <f t="shared" ca="1" si="105"/>
        <v>-1.1560394526344993</v>
      </c>
      <c r="Q511" s="69">
        <f t="shared" ca="1" si="106"/>
        <v>0.76996922644226584</v>
      </c>
      <c r="R511" s="69">
        <f t="shared" ca="1" si="107"/>
        <v>1.4505968637128588</v>
      </c>
      <c r="S511" s="69">
        <f t="shared" ca="1" si="108"/>
        <v>-0.22293991400635615</v>
      </c>
      <c r="T511" s="69">
        <f t="shared" ca="1" si="109"/>
        <v>-1.0923537733849487</v>
      </c>
      <c r="U511" s="69">
        <f t="shared" ca="1" si="110"/>
        <v>0.2640520020788959</v>
      </c>
      <c r="V511" s="69">
        <f t="shared" ca="1" si="111"/>
        <v>-8.5763803829631086E-2</v>
      </c>
      <c r="W511" s="69">
        <f t="shared" ca="1" si="112"/>
        <v>-1.3283143567110014</v>
      </c>
      <c r="X511" s="69">
        <f t="shared" ca="1" si="113"/>
        <v>-0.81049571725184433</v>
      </c>
    </row>
    <row r="512" spans="2:24" x14ac:dyDescent="0.2">
      <c r="B512" s="69">
        <f t="shared" ca="1" si="102"/>
        <v>-0.38130762653270239</v>
      </c>
      <c r="C512" s="69">
        <f t="shared" ca="1" si="115"/>
        <v>-1.4650568693316082</v>
      </c>
      <c r="D512" s="69">
        <f t="shared" ca="1" si="115"/>
        <v>0.58618726159757695</v>
      </c>
      <c r="E512" s="69">
        <f t="shared" ca="1" si="115"/>
        <v>1.6412425110066011</v>
      </c>
      <c r="F512" s="69">
        <f t="shared" ca="1" si="115"/>
        <v>-0.24179690934823919</v>
      </c>
      <c r="G512" s="69">
        <f t="shared" ca="1" si="115"/>
        <v>0.78195681550409313</v>
      </c>
      <c r="H512" s="69">
        <f t="shared" ca="1" si="115"/>
        <v>0.24905285122719234</v>
      </c>
      <c r="I512" s="69">
        <f t="shared" ca="1" si="115"/>
        <v>-1.0230969282250111</v>
      </c>
      <c r="J512" s="69">
        <f t="shared" ca="1" si="115"/>
        <v>0.19114254780218645</v>
      </c>
      <c r="K512" s="69">
        <f t="shared" ca="1" si="115"/>
        <v>-0.24171674142192587</v>
      </c>
      <c r="L512" s="69">
        <f t="shared" ca="1" si="115"/>
        <v>-0.14615300295026326</v>
      </c>
      <c r="N512" s="69">
        <f t="shared" ca="1" si="103"/>
        <v>-0.34353958269459356</v>
      </c>
      <c r="O512" s="69">
        <f t="shared" ca="1" si="104"/>
        <v>-1.4915504324144948</v>
      </c>
      <c r="P512" s="69">
        <f t="shared" ca="1" si="105"/>
        <v>0.52844519676048696</v>
      </c>
      <c r="Q512" s="69">
        <f t="shared" ca="1" si="106"/>
        <v>1.6903511898683601</v>
      </c>
      <c r="R512" s="69">
        <f t="shared" ca="1" si="107"/>
        <v>-0.2480915947558881</v>
      </c>
      <c r="S512" s="69">
        <f t="shared" ca="1" si="108"/>
        <v>0.81478378776090166</v>
      </c>
      <c r="T512" s="69">
        <f t="shared" ca="1" si="109"/>
        <v>0.24422181351200251</v>
      </c>
      <c r="U512" s="69">
        <f t="shared" ca="1" si="110"/>
        <v>-1.0000568013473015</v>
      </c>
      <c r="V512" s="69">
        <f t="shared" ca="1" si="111"/>
        <v>0.18503295422858912</v>
      </c>
      <c r="W512" s="69">
        <f t="shared" ca="1" si="112"/>
        <v>-0.24073538459782692</v>
      </c>
      <c r="X512" s="69">
        <f t="shared" ca="1" si="113"/>
        <v>-0.11898451257582779</v>
      </c>
    </row>
    <row r="513" spans="2:24" x14ac:dyDescent="0.2">
      <c r="B513" s="69">
        <f t="shared" ca="1" si="102"/>
        <v>0.22650032969254755</v>
      </c>
      <c r="C513" s="69">
        <f t="shared" ca="1" si="115"/>
        <v>1.4677813149690997</v>
      </c>
      <c r="D513" s="69">
        <f t="shared" ca="1" si="115"/>
        <v>1.5482380154370521</v>
      </c>
      <c r="E513" s="69">
        <f t="shared" ca="1" si="115"/>
        <v>0.89878185401467603</v>
      </c>
      <c r="F513" s="69">
        <f t="shared" ca="1" si="115"/>
        <v>6.8229501329625103E-2</v>
      </c>
      <c r="G513" s="69">
        <f t="shared" ca="1" si="115"/>
        <v>-2.1093518528741035</v>
      </c>
      <c r="H513" s="69">
        <f t="shared" ca="1" si="115"/>
        <v>1.512989356293158</v>
      </c>
      <c r="I513" s="69">
        <f t="shared" ca="1" si="115"/>
        <v>0.85113574325767816</v>
      </c>
      <c r="J513" s="69">
        <f t="shared" ca="1" si="115"/>
        <v>0.66544065455723189</v>
      </c>
      <c r="K513" s="69">
        <f t="shared" ca="1" si="115"/>
        <v>0.83844246678407941</v>
      </c>
      <c r="L513" s="69">
        <f t="shared" ca="1" si="115"/>
        <v>-6.2020115653443258E-2</v>
      </c>
      <c r="N513" s="69">
        <f t="shared" ca="1" si="103"/>
        <v>0.26426837353065635</v>
      </c>
      <c r="O513" s="69">
        <f t="shared" ca="1" si="104"/>
        <v>1.4412877518862131</v>
      </c>
      <c r="P513" s="69">
        <f t="shared" ca="1" si="105"/>
        <v>1.490495950599962</v>
      </c>
      <c r="Q513" s="69">
        <f t="shared" ca="1" si="106"/>
        <v>0.94789053287643499</v>
      </c>
      <c r="R513" s="69">
        <f t="shared" ca="1" si="107"/>
        <v>6.1934815921976208E-2</v>
      </c>
      <c r="S513" s="69">
        <f t="shared" ca="1" si="108"/>
        <v>-2.0765248806172951</v>
      </c>
      <c r="T513" s="69">
        <f t="shared" ca="1" si="109"/>
        <v>1.5081583185779681</v>
      </c>
      <c r="U513" s="69">
        <f t="shared" ca="1" si="110"/>
        <v>0.87417587013538778</v>
      </c>
      <c r="V513" s="69">
        <f t="shared" ca="1" si="111"/>
        <v>0.65933106098363459</v>
      </c>
      <c r="W513" s="69">
        <f t="shared" ca="1" si="112"/>
        <v>0.83942382360817835</v>
      </c>
      <c r="X513" s="69">
        <f t="shared" ca="1" si="113"/>
        <v>-3.4851625279007779E-2</v>
      </c>
    </row>
    <row r="514" spans="2:24" x14ac:dyDescent="0.2">
      <c r="B514" s="69">
        <f t="shared" ca="1" si="102"/>
        <v>-0.10865799042216435</v>
      </c>
      <c r="C514" s="69">
        <f t="shared" ca="1" si="115"/>
        <v>0.34954441869854302</v>
      </c>
      <c r="D514" s="69">
        <f t="shared" ca="1" si="115"/>
        <v>-1.3557846798868827</v>
      </c>
      <c r="E514" s="69">
        <f t="shared" ca="1" si="115"/>
        <v>-0.83683060926148967</v>
      </c>
      <c r="F514" s="69">
        <f t="shared" ca="1" si="115"/>
        <v>0.38563656739644819</v>
      </c>
      <c r="G514" s="69">
        <f t="shared" ca="1" si="115"/>
        <v>1.5707857870149486E-2</v>
      </c>
      <c r="H514" s="69">
        <f t="shared" ca="1" si="115"/>
        <v>-1.5169674339653769</v>
      </c>
      <c r="I514" s="69">
        <f t="shared" ca="1" si="115"/>
        <v>-0.18416738705752</v>
      </c>
      <c r="J514" s="69">
        <f t="shared" ca="1" si="115"/>
        <v>-0.76041997725886534</v>
      </c>
      <c r="K514" s="69">
        <f t="shared" ca="1" si="115"/>
        <v>9.0728340736987538E-3</v>
      </c>
      <c r="L514" s="69">
        <f t="shared" ca="1" si="115"/>
        <v>-0.69572171833822127</v>
      </c>
      <c r="N514" s="69">
        <f t="shared" ca="1" si="103"/>
        <v>-7.0889946584055535E-2</v>
      </c>
      <c r="O514" s="69">
        <f t="shared" ca="1" si="104"/>
        <v>0.32305085561565633</v>
      </c>
      <c r="P514" s="69">
        <f t="shared" ca="1" si="105"/>
        <v>-1.4135267447239728</v>
      </c>
      <c r="Q514" s="69">
        <f t="shared" ca="1" si="106"/>
        <v>-0.78772193039973071</v>
      </c>
      <c r="R514" s="69">
        <f t="shared" ca="1" si="107"/>
        <v>0.37934188198879931</v>
      </c>
      <c r="S514" s="69">
        <f t="shared" ca="1" si="108"/>
        <v>4.8534830126957966E-2</v>
      </c>
      <c r="T514" s="69">
        <f t="shared" ca="1" si="109"/>
        <v>-1.5217984716805668</v>
      </c>
      <c r="U514" s="69">
        <f t="shared" ca="1" si="110"/>
        <v>-0.16112726017981036</v>
      </c>
      <c r="V514" s="69">
        <f t="shared" ca="1" si="111"/>
        <v>-0.76652957083246265</v>
      </c>
      <c r="W514" s="69">
        <f t="shared" ca="1" si="112"/>
        <v>1.0054190897797705E-2</v>
      </c>
      <c r="X514" s="69">
        <f t="shared" ca="1" si="113"/>
        <v>-0.6685532279637858</v>
      </c>
    </row>
    <row r="515" spans="2:24" x14ac:dyDescent="0.2">
      <c r="B515" s="69">
        <f t="shared" ca="1" si="102"/>
        <v>-0.69366957831864284</v>
      </c>
      <c r="C515" s="69">
        <f t="shared" ca="1" si="115"/>
        <v>0.41705788958028883</v>
      </c>
      <c r="D515" s="69">
        <f t="shared" ca="1" si="115"/>
        <v>0.10049522186825766</v>
      </c>
      <c r="E515" s="69">
        <f t="shared" ca="1" si="115"/>
        <v>-1.351168081979778</v>
      </c>
      <c r="F515" s="69">
        <f t="shared" ca="1" si="115"/>
        <v>2.7699260130698398</v>
      </c>
      <c r="G515" s="69">
        <f t="shared" ca="1" si="115"/>
        <v>-0.3638110006760602</v>
      </c>
      <c r="H515" s="69">
        <f t="shared" ca="1" si="115"/>
        <v>-2.0651776870637883</v>
      </c>
      <c r="I515" s="69">
        <f t="shared" ca="1" si="115"/>
        <v>-0.74065009181767893</v>
      </c>
      <c r="J515" s="69">
        <f t="shared" ca="1" si="115"/>
        <v>-0.22963119125695022</v>
      </c>
      <c r="K515" s="69">
        <f t="shared" ca="1" si="115"/>
        <v>-0.71785785296789051</v>
      </c>
      <c r="L515" s="69">
        <f t="shared" ca="1" si="115"/>
        <v>-0.23282204816435723</v>
      </c>
      <c r="N515" s="69">
        <f t="shared" ca="1" si="103"/>
        <v>-0.65590153448053401</v>
      </c>
      <c r="O515" s="69">
        <f t="shared" ca="1" si="104"/>
        <v>0.39056432649740214</v>
      </c>
      <c r="P515" s="69">
        <f t="shared" ca="1" si="105"/>
        <v>4.2753157031167624E-2</v>
      </c>
      <c r="Q515" s="69">
        <f t="shared" ca="1" si="106"/>
        <v>-1.302059403118019</v>
      </c>
      <c r="R515" s="69">
        <f t="shared" ca="1" si="107"/>
        <v>2.7636313276621909</v>
      </c>
      <c r="S515" s="69">
        <f t="shared" ca="1" si="108"/>
        <v>-0.33098402841925173</v>
      </c>
      <c r="T515" s="69">
        <f t="shared" ca="1" si="109"/>
        <v>-2.0700087247789782</v>
      </c>
      <c r="U515" s="69">
        <f t="shared" ca="1" si="110"/>
        <v>-0.71760996493996931</v>
      </c>
      <c r="V515" s="69">
        <f t="shared" ca="1" si="111"/>
        <v>-0.23574078483054756</v>
      </c>
      <c r="W515" s="69">
        <f t="shared" ca="1" si="112"/>
        <v>-0.71687649614379156</v>
      </c>
      <c r="X515" s="69">
        <f t="shared" ca="1" si="113"/>
        <v>-0.20565355778992175</v>
      </c>
    </row>
    <row r="516" spans="2:24" x14ac:dyDescent="0.2">
      <c r="B516" s="69">
        <f t="shared" ca="1" si="102"/>
        <v>5.9727267384506032E-2</v>
      </c>
      <c r="C516" s="69">
        <f t="shared" ca="1" si="115"/>
        <v>-9.2921219694381316E-2</v>
      </c>
      <c r="D516" s="69">
        <f t="shared" ca="1" si="115"/>
        <v>-0.5054039983571923</v>
      </c>
      <c r="E516" s="69">
        <f t="shared" ca="1" si="115"/>
        <v>-0.4107296197546344</v>
      </c>
      <c r="F516" s="69">
        <f t="shared" ca="1" si="115"/>
        <v>1.7815509452124496</v>
      </c>
      <c r="G516" s="69">
        <f t="shared" ca="1" si="115"/>
        <v>0.72115191285248081</v>
      </c>
      <c r="H516" s="69">
        <f t="shared" ca="1" si="115"/>
        <v>-0.77414164882499115</v>
      </c>
      <c r="I516" s="69">
        <f t="shared" ca="1" si="115"/>
        <v>-1.2110214299145023</v>
      </c>
      <c r="J516" s="69">
        <f t="shared" ca="1" si="115"/>
        <v>2.4926194195505996E-2</v>
      </c>
      <c r="K516" s="69">
        <f t="shared" ca="1" si="115"/>
        <v>-1.3584351960725036</v>
      </c>
      <c r="L516" s="69">
        <f t="shared" ca="1" si="115"/>
        <v>0.72571326947294124</v>
      </c>
      <c r="N516" s="69">
        <f t="shared" ca="1" si="103"/>
        <v>9.7495311222614844E-2</v>
      </c>
      <c r="O516" s="69">
        <f t="shared" ca="1" si="104"/>
        <v>-0.119414782777268</v>
      </c>
      <c r="P516" s="69">
        <f t="shared" ca="1" si="105"/>
        <v>-0.56314606319428229</v>
      </c>
      <c r="Q516" s="69">
        <f t="shared" ca="1" si="106"/>
        <v>-0.36162094089287544</v>
      </c>
      <c r="R516" s="69">
        <f t="shared" ca="1" si="107"/>
        <v>1.7752562598048007</v>
      </c>
      <c r="S516" s="69">
        <f t="shared" ca="1" si="108"/>
        <v>0.75397888510928934</v>
      </c>
      <c r="T516" s="69">
        <f t="shared" ca="1" si="109"/>
        <v>-0.77897268654018104</v>
      </c>
      <c r="U516" s="69">
        <f t="shared" ca="1" si="110"/>
        <v>-1.1879813030367927</v>
      </c>
      <c r="V516" s="69">
        <f t="shared" ca="1" si="111"/>
        <v>1.8816600621908666E-2</v>
      </c>
      <c r="W516" s="69">
        <f t="shared" ca="1" si="112"/>
        <v>-1.3574538392484046</v>
      </c>
      <c r="X516" s="69">
        <f t="shared" ca="1" si="113"/>
        <v>0.75288175984737671</v>
      </c>
    </row>
    <row r="517" spans="2:24" x14ac:dyDescent="0.2">
      <c r="B517" s="69">
        <f t="shared" ca="1" si="102"/>
        <v>-1.9331735982399585</v>
      </c>
      <c r="C517" s="69">
        <f t="shared" ca="1" si="115"/>
        <v>0.95668450574403907</v>
      </c>
      <c r="D517" s="69">
        <f t="shared" ca="1" si="115"/>
        <v>0.58972450646860008</v>
      </c>
      <c r="E517" s="69">
        <f t="shared" ca="1" si="115"/>
        <v>0.76516149975216163</v>
      </c>
      <c r="F517" s="69">
        <f t="shared" ca="1" si="115"/>
        <v>-1.052586641240413</v>
      </c>
      <c r="G517" s="69">
        <f t="shared" ca="1" si="115"/>
        <v>1.763819622946446</v>
      </c>
      <c r="H517" s="69">
        <f t="shared" ca="1" si="115"/>
        <v>-1.8292375349320282</v>
      </c>
      <c r="I517" s="69">
        <f t="shared" ca="1" si="115"/>
        <v>-0.66250777408255457</v>
      </c>
      <c r="J517" s="69">
        <f t="shared" ca="1" si="115"/>
        <v>0.34556822346366245</v>
      </c>
      <c r="K517" s="69">
        <f t="shared" ca="1" si="115"/>
        <v>-0.18916942299930192</v>
      </c>
      <c r="L517" s="69">
        <f t="shared" ca="1" si="115"/>
        <v>0.45549517246875304</v>
      </c>
      <c r="N517" s="69">
        <f t="shared" ca="1" si="103"/>
        <v>-1.8954055544018498</v>
      </c>
      <c r="O517" s="69">
        <f t="shared" ca="1" si="104"/>
        <v>0.93019094266115243</v>
      </c>
      <c r="P517" s="69">
        <f t="shared" ca="1" si="105"/>
        <v>0.53198244163151009</v>
      </c>
      <c r="Q517" s="69">
        <f t="shared" ca="1" si="106"/>
        <v>0.81427017861392059</v>
      </c>
      <c r="R517" s="69">
        <f t="shared" ca="1" si="107"/>
        <v>-1.0588813266480619</v>
      </c>
      <c r="S517" s="69">
        <f t="shared" ca="1" si="108"/>
        <v>1.7966465952032544</v>
      </c>
      <c r="T517" s="69">
        <f t="shared" ca="1" si="109"/>
        <v>-1.8340685726472181</v>
      </c>
      <c r="U517" s="69">
        <f t="shared" ca="1" si="110"/>
        <v>-0.63946764720484495</v>
      </c>
      <c r="V517" s="69">
        <f t="shared" ca="1" si="111"/>
        <v>0.33945862989006514</v>
      </c>
      <c r="W517" s="69">
        <f t="shared" ca="1" si="112"/>
        <v>-0.18818806617520298</v>
      </c>
      <c r="X517" s="69">
        <f t="shared" ca="1" si="113"/>
        <v>0.48266366284318851</v>
      </c>
    </row>
    <row r="518" spans="2:24" x14ac:dyDescent="0.2">
      <c r="B518" s="69">
        <f t="shared" ca="1" si="102"/>
        <v>1.5357698732826581</v>
      </c>
      <c r="C518" s="69">
        <f t="shared" ca="1" si="115"/>
        <v>-1.0879432466167063</v>
      </c>
      <c r="D518" s="69">
        <f t="shared" ca="1" si="115"/>
        <v>1.0199249616026631</v>
      </c>
      <c r="E518" s="69">
        <f t="shared" ca="1" si="115"/>
        <v>0.259746456628697</v>
      </c>
      <c r="F518" s="69">
        <f t="shared" ca="1" si="115"/>
        <v>1.4302092594377331</v>
      </c>
      <c r="G518" s="69">
        <f t="shared" ca="1" si="115"/>
        <v>-0.15952189511135736</v>
      </c>
      <c r="H518" s="69">
        <f t="shared" ca="1" si="115"/>
        <v>0.64492790063929006</v>
      </c>
      <c r="I518" s="69">
        <f t="shared" ca="1" si="115"/>
        <v>0.53881301121143554</v>
      </c>
      <c r="J518" s="69">
        <f t="shared" ca="1" si="115"/>
        <v>0.38441989413151206</v>
      </c>
      <c r="K518" s="69">
        <f t="shared" ca="1" si="115"/>
        <v>-0.78300620102050633</v>
      </c>
      <c r="L518" s="69">
        <f t="shared" ca="1" si="115"/>
        <v>-0.55977515127119726</v>
      </c>
      <c r="N518" s="69">
        <f t="shared" ca="1" si="103"/>
        <v>1.5735379171207668</v>
      </c>
      <c r="O518" s="69">
        <f t="shared" ca="1" si="104"/>
        <v>-1.1144368096995929</v>
      </c>
      <c r="P518" s="69">
        <f t="shared" ca="1" si="105"/>
        <v>0.96218289676557311</v>
      </c>
      <c r="Q518" s="69">
        <f t="shared" ca="1" si="106"/>
        <v>0.30885513549045596</v>
      </c>
      <c r="R518" s="69">
        <f t="shared" ca="1" si="107"/>
        <v>1.4239145740300843</v>
      </c>
      <c r="S518" s="69">
        <f t="shared" ca="1" si="108"/>
        <v>-0.12669492285454889</v>
      </c>
      <c r="T518" s="69">
        <f t="shared" ca="1" si="109"/>
        <v>0.64009686292410017</v>
      </c>
      <c r="U518" s="69">
        <f t="shared" ca="1" si="110"/>
        <v>0.56185313808914517</v>
      </c>
      <c r="V518" s="69">
        <f t="shared" ca="1" si="111"/>
        <v>0.37831030055791476</v>
      </c>
      <c r="W518" s="69">
        <f t="shared" ca="1" si="112"/>
        <v>-0.78202484419640739</v>
      </c>
      <c r="X518" s="69">
        <f t="shared" ca="1" si="113"/>
        <v>-0.53260666089676179</v>
      </c>
    </row>
    <row r="519" spans="2:24" x14ac:dyDescent="0.2">
      <c r="B519" s="69">
        <f t="shared" ca="1" si="102"/>
        <v>-0.35781314263549602</v>
      </c>
      <c r="C519" s="69">
        <f t="shared" ca="1" si="115"/>
        <v>1.9027061650343544</v>
      </c>
      <c r="D519" s="69">
        <f t="shared" ca="1" si="115"/>
        <v>2.2269788487442135</v>
      </c>
      <c r="E519" s="69">
        <f t="shared" ca="1" si="115"/>
        <v>-1.9647240798021313</v>
      </c>
      <c r="F519" s="69">
        <f t="shared" ca="1" si="115"/>
        <v>0.32801876016518361</v>
      </c>
      <c r="G519" s="69">
        <f t="shared" ca="1" si="115"/>
        <v>-5.3202360209591862E-2</v>
      </c>
      <c r="H519" s="69">
        <f t="shared" ca="1" si="115"/>
        <v>1.5619005630343823</v>
      </c>
      <c r="I519" s="69">
        <f t="shared" ca="1" si="115"/>
        <v>-2.0788797141086306</v>
      </c>
      <c r="J519" s="69">
        <f t="shared" ca="1" si="115"/>
        <v>0.29556009638976249</v>
      </c>
      <c r="K519" s="69">
        <f t="shared" ca="1" si="115"/>
        <v>-1.0773394922141721</v>
      </c>
      <c r="L519" s="69">
        <f t="shared" ca="1" si="115"/>
        <v>1.5034587771808847</v>
      </c>
      <c r="N519" s="69">
        <f t="shared" ca="1" si="103"/>
        <v>-0.32004509879738718</v>
      </c>
      <c r="O519" s="69">
        <f t="shared" ca="1" si="104"/>
        <v>1.8762126019514678</v>
      </c>
      <c r="P519" s="69">
        <f t="shared" ca="1" si="105"/>
        <v>2.1692367839071234</v>
      </c>
      <c r="Q519" s="69">
        <f t="shared" ca="1" si="106"/>
        <v>-1.9156154009403723</v>
      </c>
      <c r="R519" s="69">
        <f t="shared" ca="1" si="107"/>
        <v>0.32172407475753473</v>
      </c>
      <c r="S519" s="69">
        <f t="shared" ca="1" si="108"/>
        <v>-2.0375387952783382E-2</v>
      </c>
      <c r="T519" s="69">
        <f t="shared" ca="1" si="109"/>
        <v>1.5570695253191924</v>
      </c>
      <c r="U519" s="69">
        <f t="shared" ca="1" si="110"/>
        <v>-2.055839587230921</v>
      </c>
      <c r="V519" s="69">
        <f t="shared" ca="1" si="111"/>
        <v>0.28945050281616519</v>
      </c>
      <c r="W519" s="69">
        <f t="shared" ca="1" si="112"/>
        <v>-1.0763581353900731</v>
      </c>
      <c r="X519" s="69">
        <f t="shared" ca="1" si="113"/>
        <v>1.5306272675553203</v>
      </c>
    </row>
    <row r="520" spans="2:24" x14ac:dyDescent="0.2">
      <c r="B520" s="69">
        <f t="shared" ca="1" si="102"/>
        <v>0.95265233166510288</v>
      </c>
      <c r="C520" s="69">
        <f t="shared" ca="1" si="115"/>
        <v>-7.363468107785423E-2</v>
      </c>
      <c r="D520" s="69">
        <f t="shared" ca="1" si="115"/>
        <v>-0.7376811838687769</v>
      </c>
      <c r="E520" s="69">
        <f t="shared" ca="1" si="115"/>
        <v>-0.59501036896604531</v>
      </c>
      <c r="F520" s="69">
        <f t="shared" ca="1" si="115"/>
        <v>2.0948595848655347</v>
      </c>
      <c r="G520" s="69">
        <f t="shared" ca="1" si="115"/>
        <v>-0.14008943301495549</v>
      </c>
      <c r="H520" s="69">
        <f t="shared" ca="1" si="115"/>
        <v>1.9831456515273715</v>
      </c>
      <c r="I520" s="69">
        <f t="shared" ca="1" si="115"/>
        <v>-0.28241892820803333</v>
      </c>
      <c r="J520" s="69">
        <f t="shared" ca="1" si="115"/>
        <v>0.65207297162079669</v>
      </c>
      <c r="K520" s="69">
        <f t="shared" ca="1" si="115"/>
        <v>-1.902512131544553</v>
      </c>
      <c r="L520" s="69">
        <f t="shared" ca="1" si="115"/>
        <v>1.0798894800383525</v>
      </c>
      <c r="N520" s="69">
        <f t="shared" ca="1" si="103"/>
        <v>0.99042037550321171</v>
      </c>
      <c r="O520" s="69">
        <f t="shared" ca="1" si="104"/>
        <v>-0.10012824416074091</v>
      </c>
      <c r="P520" s="69">
        <f t="shared" ca="1" si="105"/>
        <v>-0.79542324870586689</v>
      </c>
      <c r="Q520" s="69">
        <f t="shared" ca="1" si="106"/>
        <v>-0.54590169010428635</v>
      </c>
      <c r="R520" s="69">
        <f t="shared" ca="1" si="107"/>
        <v>2.0885648994578858</v>
      </c>
      <c r="S520" s="69">
        <f t="shared" ca="1" si="108"/>
        <v>-0.10726246075814702</v>
      </c>
      <c r="T520" s="69">
        <f t="shared" ca="1" si="109"/>
        <v>1.9783146138121817</v>
      </c>
      <c r="U520" s="69">
        <f t="shared" ca="1" si="110"/>
        <v>-0.25937880133032365</v>
      </c>
      <c r="V520" s="69">
        <f t="shared" ca="1" si="111"/>
        <v>0.64596337804719939</v>
      </c>
      <c r="W520" s="69">
        <f t="shared" ca="1" si="112"/>
        <v>-1.901530774720454</v>
      </c>
      <c r="X520" s="69">
        <f t="shared" ca="1" si="113"/>
        <v>1.1070579704127881</v>
      </c>
    </row>
    <row r="521" spans="2:24" x14ac:dyDescent="0.2">
      <c r="B521" s="69">
        <f t="shared" ca="1" si="102"/>
        <v>-2.0832697358911174</v>
      </c>
      <c r="C521" s="69">
        <f t="shared" ca="1" si="115"/>
        <v>-0.4723945210488118</v>
      </c>
      <c r="D521" s="69">
        <f t="shared" ca="1" si="115"/>
        <v>0.59228891537876704</v>
      </c>
      <c r="E521" s="69">
        <f t="shared" ca="1" si="115"/>
        <v>0.51558022331837194</v>
      </c>
      <c r="F521" s="69">
        <f t="shared" ca="1" si="115"/>
        <v>0.78182464773156235</v>
      </c>
      <c r="G521" s="69">
        <f t="shared" ca="1" si="115"/>
        <v>0.2007838778864823</v>
      </c>
      <c r="H521" s="69">
        <f t="shared" ca="1" si="115"/>
        <v>1.5026466986678622</v>
      </c>
      <c r="I521" s="69">
        <f t="shared" ca="1" si="115"/>
        <v>-0.2624687787941149</v>
      </c>
      <c r="J521" s="69">
        <f t="shared" ca="1" si="115"/>
        <v>1.9642410252768638</v>
      </c>
      <c r="K521" s="69">
        <f t="shared" ca="1" si="115"/>
        <v>0.43076932490055014</v>
      </c>
      <c r="L521" s="69">
        <f t="shared" ca="1" si="115"/>
        <v>1.3657028187591913</v>
      </c>
      <c r="N521" s="69">
        <f t="shared" ca="1" si="103"/>
        <v>-2.0455016920530085</v>
      </c>
      <c r="O521" s="69">
        <f t="shared" ca="1" si="104"/>
        <v>-0.49888808413169849</v>
      </c>
      <c r="P521" s="69">
        <f t="shared" ca="1" si="105"/>
        <v>0.53454685054167705</v>
      </c>
      <c r="Q521" s="69">
        <f t="shared" ca="1" si="106"/>
        <v>0.5646889021801309</v>
      </c>
      <c r="R521" s="69">
        <f t="shared" ca="1" si="107"/>
        <v>0.77552996232391347</v>
      </c>
      <c r="S521" s="69">
        <f t="shared" ca="1" si="108"/>
        <v>0.23361085014329078</v>
      </c>
      <c r="T521" s="69">
        <f t="shared" ca="1" si="109"/>
        <v>1.4978156609526723</v>
      </c>
      <c r="U521" s="69">
        <f t="shared" ca="1" si="110"/>
        <v>-0.23942865191640525</v>
      </c>
      <c r="V521" s="69">
        <f t="shared" ca="1" si="111"/>
        <v>1.9581314317032665</v>
      </c>
      <c r="W521" s="69">
        <f t="shared" ca="1" si="112"/>
        <v>0.43175068172464909</v>
      </c>
      <c r="X521" s="69">
        <f t="shared" ca="1" si="113"/>
        <v>1.3928713091336269</v>
      </c>
    </row>
    <row r="522" spans="2:24" x14ac:dyDescent="0.2">
      <c r="B522" s="69">
        <f t="shared" ref="B522:B585" ca="1" si="116">NORMINV(RAND(),$C$7,$F$7)</f>
        <v>2.4506220451154821</v>
      </c>
      <c r="C522" s="69">
        <f t="shared" ca="1" si="115"/>
        <v>-1.8518366649823488</v>
      </c>
      <c r="D522" s="69">
        <f t="shared" ca="1" si="115"/>
        <v>-0.68218488984270054</v>
      </c>
      <c r="E522" s="69">
        <f t="shared" ca="1" si="115"/>
        <v>0.3064824738235572</v>
      </c>
      <c r="F522" s="69">
        <f t="shared" ca="1" si="115"/>
        <v>-0.28478125962211048</v>
      </c>
      <c r="G522" s="69">
        <f t="shared" ca="1" si="115"/>
        <v>0.51236684350534289</v>
      </c>
      <c r="H522" s="69">
        <f t="shared" ca="1" si="115"/>
        <v>0.59569084224926927</v>
      </c>
      <c r="I522" s="69">
        <f t="shared" ca="1" si="115"/>
        <v>0.46772469227780789</v>
      </c>
      <c r="J522" s="69">
        <f t="shared" ca="1" si="115"/>
        <v>-0.78502293104490017</v>
      </c>
      <c r="K522" s="69">
        <f t="shared" ca="1" si="115"/>
        <v>1.6437309974944472</v>
      </c>
      <c r="L522" s="69">
        <f t="shared" ca="1" si="115"/>
        <v>-0.15710001528706302</v>
      </c>
      <c r="N522" s="69">
        <f t="shared" ref="N522:N585" ca="1" si="117">B522-$B$1010</f>
        <v>2.488390088953591</v>
      </c>
      <c r="O522" s="69">
        <f t="shared" ref="O522:O585" ca="1" si="118">C522-$C$1010</f>
        <v>-1.8783302280652354</v>
      </c>
      <c r="P522" s="69">
        <f t="shared" ref="P522:P585" ca="1" si="119">D522-$D$1010</f>
        <v>-0.73992695467979053</v>
      </c>
      <c r="Q522" s="69">
        <f t="shared" ref="Q522:Q585" ca="1" si="120">E522-$E$1010</f>
        <v>0.35559115268531616</v>
      </c>
      <c r="R522" s="69">
        <f t="shared" ref="R522:R585" ca="1" si="121">F522-$F$1010</f>
        <v>-0.29107594502975936</v>
      </c>
      <c r="S522" s="69">
        <f t="shared" ref="S522:S585" ca="1" si="122">G522-$G$1010</f>
        <v>0.54519381576215142</v>
      </c>
      <c r="T522" s="69">
        <f t="shared" ref="T522:T585" ca="1" si="123">H522-$H$1010</f>
        <v>0.59085980453407938</v>
      </c>
      <c r="U522" s="69">
        <f t="shared" ref="U522:U585" ca="1" si="124">I522-$I$1010</f>
        <v>0.49076481915551756</v>
      </c>
      <c r="V522" s="69">
        <f t="shared" ref="V522:V585" ca="1" si="125">J522-$J$1010</f>
        <v>-0.79113252461849748</v>
      </c>
      <c r="W522" s="69">
        <f t="shared" ref="W522:W585" ca="1" si="126">K522-$K$1010</f>
        <v>1.6447123543185462</v>
      </c>
      <c r="X522" s="69">
        <f t="shared" ref="X522:X585" ca="1" si="127">L522-$L$1010</f>
        <v>-0.12993152491262755</v>
      </c>
    </row>
    <row r="523" spans="2:24" x14ac:dyDescent="0.2">
      <c r="B523" s="69">
        <f t="shared" ca="1" si="116"/>
        <v>0.37624545305187779</v>
      </c>
      <c r="C523" s="69">
        <f t="shared" ca="1" si="115"/>
        <v>-0.80582814721604534</v>
      </c>
      <c r="D523" s="69">
        <f t="shared" ca="1" si="115"/>
        <v>-1.2712994121406043</v>
      </c>
      <c r="E523" s="69">
        <f t="shared" ca="1" si="115"/>
        <v>-0.30668292197637442</v>
      </c>
      <c r="F523" s="69">
        <f t="shared" ca="1" si="115"/>
        <v>-0.95774286473553116</v>
      </c>
      <c r="G523" s="69">
        <f t="shared" ca="1" si="115"/>
        <v>-0.7242717140691618</v>
      </c>
      <c r="H523" s="69">
        <f t="shared" ca="1" si="115"/>
        <v>0.41422181963612631</v>
      </c>
      <c r="I523" s="69">
        <f t="shared" ca="1" si="115"/>
        <v>-0.39684973876921398</v>
      </c>
      <c r="J523" s="69">
        <f t="shared" ca="1" si="115"/>
        <v>-0.54829886203962586</v>
      </c>
      <c r="K523" s="69">
        <f t="shared" ca="1" si="115"/>
        <v>-0.74971959693373647</v>
      </c>
      <c r="L523" s="69">
        <f t="shared" ca="1" si="115"/>
        <v>-0.19661263765907908</v>
      </c>
      <c r="N523" s="69">
        <f t="shared" ca="1" si="117"/>
        <v>0.41401349688998662</v>
      </c>
      <c r="O523" s="69">
        <f t="shared" ca="1" si="118"/>
        <v>-0.83232171029893198</v>
      </c>
      <c r="P523" s="69">
        <f t="shared" ca="1" si="119"/>
        <v>-1.3290414769776944</v>
      </c>
      <c r="Q523" s="69">
        <f t="shared" ca="1" si="120"/>
        <v>-0.25757424311461546</v>
      </c>
      <c r="R523" s="69">
        <f t="shared" ca="1" si="121"/>
        <v>-0.96403755014318004</v>
      </c>
      <c r="S523" s="69">
        <f t="shared" ca="1" si="122"/>
        <v>-0.69144474181235327</v>
      </c>
      <c r="T523" s="69">
        <f t="shared" ca="1" si="123"/>
        <v>0.40939078192093648</v>
      </c>
      <c r="U523" s="69">
        <f t="shared" ca="1" si="124"/>
        <v>-0.3738096118915043</v>
      </c>
      <c r="V523" s="69">
        <f t="shared" ca="1" si="125"/>
        <v>-0.55440845561322316</v>
      </c>
      <c r="W523" s="69">
        <f t="shared" ca="1" si="126"/>
        <v>-0.74873824010963752</v>
      </c>
      <c r="X523" s="69">
        <f t="shared" ca="1" si="127"/>
        <v>-0.1694441472846436</v>
      </c>
    </row>
    <row r="524" spans="2:24" x14ac:dyDescent="0.2">
      <c r="B524" s="69">
        <f t="shared" ca="1" si="116"/>
        <v>1.1413974276835097</v>
      </c>
      <c r="C524" s="69">
        <f t="shared" ca="1" si="115"/>
        <v>-0.55563677792295496</v>
      </c>
      <c r="D524" s="69">
        <f t="shared" ca="1" si="115"/>
        <v>-0.75952364579161236</v>
      </c>
      <c r="E524" s="69">
        <f t="shared" ca="1" si="115"/>
        <v>1.596880986531676</v>
      </c>
      <c r="F524" s="69">
        <f t="shared" ca="1" si="115"/>
        <v>-0.83350394762261693</v>
      </c>
      <c r="G524" s="69">
        <f t="shared" ca="1" si="115"/>
        <v>2.6853029775300272</v>
      </c>
      <c r="H524" s="69">
        <f t="shared" ca="1" si="115"/>
        <v>0.29689560139965299</v>
      </c>
      <c r="I524" s="69">
        <f t="shared" ca="1" si="115"/>
        <v>0.17734462219540981</v>
      </c>
      <c r="J524" s="69">
        <f t="shared" ca="1" si="115"/>
        <v>-1.5238251076124136</v>
      </c>
      <c r="K524" s="69">
        <f t="shared" ca="1" si="115"/>
        <v>1.5402340259281</v>
      </c>
      <c r="L524" s="69">
        <f t="shared" ca="1" si="115"/>
        <v>-0.7221945270309319</v>
      </c>
      <c r="N524" s="69">
        <f t="shared" ca="1" si="117"/>
        <v>1.1791654715216184</v>
      </c>
      <c r="O524" s="69">
        <f t="shared" ca="1" si="118"/>
        <v>-0.5821303410058416</v>
      </c>
      <c r="P524" s="69">
        <f t="shared" ca="1" si="119"/>
        <v>-0.81726571062870235</v>
      </c>
      <c r="Q524" s="69">
        <f t="shared" ca="1" si="120"/>
        <v>1.6459896653934349</v>
      </c>
      <c r="R524" s="69">
        <f t="shared" ca="1" si="121"/>
        <v>-0.83979863303026581</v>
      </c>
      <c r="S524" s="69">
        <f t="shared" ca="1" si="122"/>
        <v>2.7181299497868356</v>
      </c>
      <c r="T524" s="69">
        <f t="shared" ca="1" si="123"/>
        <v>0.29206456368446315</v>
      </c>
      <c r="U524" s="69">
        <f t="shared" ca="1" si="124"/>
        <v>0.20038474907311946</v>
      </c>
      <c r="V524" s="69">
        <f t="shared" ca="1" si="125"/>
        <v>-1.5299347011860109</v>
      </c>
      <c r="W524" s="69">
        <f t="shared" ca="1" si="126"/>
        <v>1.541215382752199</v>
      </c>
      <c r="X524" s="69">
        <f t="shared" ca="1" si="127"/>
        <v>-0.69502603665649643</v>
      </c>
    </row>
    <row r="525" spans="2:24" x14ac:dyDescent="0.2">
      <c r="B525" s="69">
        <f t="shared" ca="1" si="116"/>
        <v>-0.35965876022701199</v>
      </c>
      <c r="C525" s="69">
        <f t="shared" ca="1" si="115"/>
        <v>-0.53562816779670086</v>
      </c>
      <c r="D525" s="69">
        <f t="shared" ca="1" si="115"/>
        <v>6.350969666947693E-3</v>
      </c>
      <c r="E525" s="69">
        <f t="shared" ca="1" si="115"/>
        <v>-2.4708922889756826</v>
      </c>
      <c r="F525" s="69">
        <f t="shared" ca="1" si="115"/>
        <v>-1.6392286596323509</v>
      </c>
      <c r="G525" s="69">
        <f t="shared" ca="1" si="115"/>
        <v>-0.66541444209731615</v>
      </c>
      <c r="H525" s="69">
        <f t="shared" ca="1" si="115"/>
        <v>1.1174178521547156</v>
      </c>
      <c r="I525" s="69">
        <f t="shared" ca="1" si="115"/>
        <v>1.5566092983097801</v>
      </c>
      <c r="J525" s="69">
        <f t="shared" ca="1" si="115"/>
        <v>-0.20852438987249289</v>
      </c>
      <c r="K525" s="69">
        <f t="shared" ca="1" si="115"/>
        <v>0.45982194103360202</v>
      </c>
      <c r="L525" s="69">
        <f t="shared" ca="1" si="115"/>
        <v>-0.18237737111178587</v>
      </c>
      <c r="N525" s="69">
        <f t="shared" ca="1" si="117"/>
        <v>-0.32189071638890315</v>
      </c>
      <c r="O525" s="69">
        <f t="shared" ca="1" si="118"/>
        <v>-0.5621217308795875</v>
      </c>
      <c r="P525" s="69">
        <f t="shared" ca="1" si="119"/>
        <v>-5.1391095170142342E-2</v>
      </c>
      <c r="Q525" s="69">
        <f t="shared" ca="1" si="120"/>
        <v>-2.4217836101139238</v>
      </c>
      <c r="R525" s="69">
        <f t="shared" ca="1" si="121"/>
        <v>-1.6455233450399998</v>
      </c>
      <c r="S525" s="69">
        <f t="shared" ca="1" si="122"/>
        <v>-0.63258746984050762</v>
      </c>
      <c r="T525" s="69">
        <f t="shared" ca="1" si="123"/>
        <v>1.1125868144395257</v>
      </c>
      <c r="U525" s="69">
        <f t="shared" ca="1" si="124"/>
        <v>1.5796494251874897</v>
      </c>
      <c r="V525" s="69">
        <f t="shared" ca="1" si="125"/>
        <v>-0.21463398344609022</v>
      </c>
      <c r="W525" s="69">
        <f t="shared" ca="1" si="126"/>
        <v>0.46080329785770097</v>
      </c>
      <c r="X525" s="69">
        <f t="shared" ca="1" si="127"/>
        <v>-0.1552088807373504</v>
      </c>
    </row>
    <row r="526" spans="2:24" x14ac:dyDescent="0.2">
      <c r="B526" s="69">
        <f t="shared" ca="1" si="116"/>
        <v>1.5898502782199102</v>
      </c>
      <c r="C526" s="69">
        <f t="shared" ca="1" si="115"/>
        <v>-0.52128811891467952</v>
      </c>
      <c r="D526" s="69">
        <f t="shared" ca="1" si="115"/>
        <v>0.55228124915456756</v>
      </c>
      <c r="E526" s="69">
        <f t="shared" ca="1" si="115"/>
        <v>0.15094774253594823</v>
      </c>
      <c r="F526" s="69">
        <f t="shared" ca="1" si="115"/>
        <v>-1.263928920561693</v>
      </c>
      <c r="G526" s="69">
        <f t="shared" ca="1" si="115"/>
        <v>0.71397439079065228</v>
      </c>
      <c r="H526" s="69">
        <f t="shared" ca="1" si="115"/>
        <v>-1.2447352039635291</v>
      </c>
      <c r="I526" s="69">
        <f t="shared" ca="1" si="115"/>
        <v>-1.5725852483679306</v>
      </c>
      <c r="J526" s="69">
        <f t="shared" ca="1" si="115"/>
        <v>0.99264087059174189</v>
      </c>
      <c r="K526" s="69">
        <f t="shared" ca="1" si="115"/>
        <v>0.44619134475358257</v>
      </c>
      <c r="L526" s="69">
        <f t="shared" ca="1" si="115"/>
        <v>-0.29931010192610247</v>
      </c>
      <c r="N526" s="69">
        <f t="shared" ca="1" si="117"/>
        <v>1.6276183220580189</v>
      </c>
      <c r="O526" s="69">
        <f t="shared" ca="1" si="118"/>
        <v>-0.54778168199756616</v>
      </c>
      <c r="P526" s="69">
        <f t="shared" ca="1" si="119"/>
        <v>0.49453918431747751</v>
      </c>
      <c r="Q526" s="69">
        <f t="shared" ca="1" si="120"/>
        <v>0.20005642139770718</v>
      </c>
      <c r="R526" s="69">
        <f t="shared" ca="1" si="121"/>
        <v>-1.2702236059693419</v>
      </c>
      <c r="S526" s="69">
        <f t="shared" ca="1" si="122"/>
        <v>0.74680136304746081</v>
      </c>
      <c r="T526" s="69">
        <f t="shared" ca="1" si="123"/>
        <v>-1.249566241678719</v>
      </c>
      <c r="U526" s="69">
        <f t="shared" ca="1" si="124"/>
        <v>-1.5495451214902209</v>
      </c>
      <c r="V526" s="69">
        <f t="shared" ca="1" si="125"/>
        <v>0.98653127701814458</v>
      </c>
      <c r="W526" s="69">
        <f t="shared" ca="1" si="126"/>
        <v>0.44717270157768152</v>
      </c>
      <c r="X526" s="69">
        <f t="shared" ca="1" si="127"/>
        <v>-0.272141611551667</v>
      </c>
    </row>
    <row r="527" spans="2:24" x14ac:dyDescent="0.2">
      <c r="B527" s="69">
        <f t="shared" ca="1" si="116"/>
        <v>0.46708422837260855</v>
      </c>
      <c r="C527" s="69">
        <f t="shared" ca="1" si="115"/>
        <v>-1.5757741593466956</v>
      </c>
      <c r="D527" s="69">
        <f t="shared" ca="1" si="115"/>
        <v>-1.6735244764298636</v>
      </c>
      <c r="E527" s="69">
        <f t="shared" ca="1" si="115"/>
        <v>-0.51515552201378012</v>
      </c>
      <c r="F527" s="69">
        <f t="shared" ca="1" si="115"/>
        <v>0.3682786536260218</v>
      </c>
      <c r="G527" s="69">
        <f t="shared" ca="1" si="115"/>
        <v>-1.5266358347067381</v>
      </c>
      <c r="H527" s="69">
        <f t="shared" ca="1" si="115"/>
        <v>-1.5760581345626967</v>
      </c>
      <c r="I527" s="69">
        <f t="shared" ca="1" si="115"/>
        <v>1.5350635491303286</v>
      </c>
      <c r="J527" s="69">
        <f t="shared" ca="1" si="115"/>
        <v>-0.56920492766423203</v>
      </c>
      <c r="K527" s="69">
        <f t="shared" ca="1" si="115"/>
        <v>1.4918053469270289</v>
      </c>
      <c r="L527" s="69">
        <f t="shared" ca="1" si="115"/>
        <v>-1.7632237063183862</v>
      </c>
      <c r="N527" s="69">
        <f t="shared" ca="1" si="117"/>
        <v>0.50485227221071738</v>
      </c>
      <c r="O527" s="69">
        <f t="shared" ca="1" si="118"/>
        <v>-1.6022677224295823</v>
      </c>
      <c r="P527" s="69">
        <f t="shared" ca="1" si="119"/>
        <v>-1.7312665412669537</v>
      </c>
      <c r="Q527" s="69">
        <f t="shared" ca="1" si="120"/>
        <v>-0.46604684315202116</v>
      </c>
      <c r="R527" s="69">
        <f t="shared" ca="1" si="121"/>
        <v>0.36198396821837292</v>
      </c>
      <c r="S527" s="69">
        <f t="shared" ca="1" si="122"/>
        <v>-1.4938088624499297</v>
      </c>
      <c r="T527" s="69">
        <f t="shared" ca="1" si="123"/>
        <v>-1.5808891722778866</v>
      </c>
      <c r="U527" s="69">
        <f t="shared" ca="1" si="124"/>
        <v>1.5581036760080382</v>
      </c>
      <c r="V527" s="69">
        <f t="shared" ca="1" si="125"/>
        <v>-0.57531452123782933</v>
      </c>
      <c r="W527" s="69">
        <f t="shared" ca="1" si="126"/>
        <v>1.492786703751128</v>
      </c>
      <c r="X527" s="69">
        <f t="shared" ca="1" si="127"/>
        <v>-1.7360552159439506</v>
      </c>
    </row>
    <row r="528" spans="2:24" x14ac:dyDescent="0.2">
      <c r="B528" s="69">
        <f t="shared" ca="1" si="116"/>
        <v>1.1987487715638121</v>
      </c>
      <c r="C528" s="69">
        <f t="shared" ca="1" si="115"/>
        <v>-0.16148447435190708</v>
      </c>
      <c r="D528" s="69">
        <f t="shared" ca="1" si="115"/>
        <v>1.3116721026455163</v>
      </c>
      <c r="E528" s="69">
        <f t="shared" ca="1" si="115"/>
        <v>1.1888154895050222</v>
      </c>
      <c r="F528" s="69">
        <f t="shared" ca="1" si="115"/>
        <v>0.76573914778473828</v>
      </c>
      <c r="G528" s="69">
        <f t="shared" ca="1" si="115"/>
        <v>-1.1402160337412004</v>
      </c>
      <c r="H528" s="69">
        <f t="shared" ca="1" si="115"/>
        <v>0.26295964630831342</v>
      </c>
      <c r="I528" s="69">
        <f t="shared" ref="C528:L591" ca="1" si="128">NORMINV(RAND(),$C$7,$F$7)</f>
        <v>-1.1883829373068246</v>
      </c>
      <c r="J528" s="69">
        <f t="shared" ca="1" si="128"/>
        <v>0.37269648480069256</v>
      </c>
      <c r="K528" s="69">
        <f t="shared" ca="1" si="128"/>
        <v>0.70377059018602284</v>
      </c>
      <c r="L528" s="69">
        <f t="shared" ca="1" si="128"/>
        <v>0.94987109320924223</v>
      </c>
      <c r="N528" s="69">
        <f t="shared" ca="1" si="117"/>
        <v>1.2365168154019208</v>
      </c>
      <c r="O528" s="69">
        <f t="shared" ca="1" si="118"/>
        <v>-0.18797803743479377</v>
      </c>
      <c r="P528" s="69">
        <f t="shared" ca="1" si="119"/>
        <v>1.2539300378084262</v>
      </c>
      <c r="Q528" s="69">
        <f t="shared" ca="1" si="120"/>
        <v>1.2379241683667812</v>
      </c>
      <c r="R528" s="69">
        <f t="shared" ca="1" si="121"/>
        <v>0.7594444623770894</v>
      </c>
      <c r="S528" s="69">
        <f t="shared" ca="1" si="122"/>
        <v>-1.107389061484392</v>
      </c>
      <c r="T528" s="69">
        <f t="shared" ca="1" si="123"/>
        <v>0.25812860859312359</v>
      </c>
      <c r="U528" s="69">
        <f t="shared" ca="1" si="124"/>
        <v>-1.165342810429115</v>
      </c>
      <c r="V528" s="69">
        <f t="shared" ca="1" si="125"/>
        <v>0.36658689122709526</v>
      </c>
      <c r="W528" s="69">
        <f t="shared" ca="1" si="126"/>
        <v>0.70475194701012178</v>
      </c>
      <c r="X528" s="69">
        <f t="shared" ca="1" si="127"/>
        <v>0.97703958358367771</v>
      </c>
    </row>
    <row r="529" spans="2:24" x14ac:dyDescent="0.2">
      <c r="B529" s="69">
        <f t="shared" ca="1" si="116"/>
        <v>0.83869314951861662</v>
      </c>
      <c r="C529" s="69">
        <f t="shared" ca="1" si="128"/>
        <v>0.71100162867505023</v>
      </c>
      <c r="D529" s="69">
        <f t="shared" ca="1" si="128"/>
        <v>1.1481425907549951</v>
      </c>
      <c r="E529" s="69">
        <f t="shared" ca="1" si="128"/>
        <v>1.8622017948397021</v>
      </c>
      <c r="F529" s="69">
        <f t="shared" ca="1" si="128"/>
        <v>-0.49765363497134441</v>
      </c>
      <c r="G529" s="69">
        <f t="shared" ca="1" si="128"/>
        <v>0.79110687142464542</v>
      </c>
      <c r="H529" s="69">
        <f t="shared" ca="1" si="128"/>
        <v>-0.30599070159007863</v>
      </c>
      <c r="I529" s="69">
        <f t="shared" ca="1" si="128"/>
        <v>-0.21525603647048661</v>
      </c>
      <c r="J529" s="69">
        <f t="shared" ca="1" si="128"/>
        <v>0.98822539365715611</v>
      </c>
      <c r="K529" s="69">
        <f t="shared" ca="1" si="128"/>
        <v>-0.40500288933421247</v>
      </c>
      <c r="L529" s="69">
        <f t="shared" ca="1" si="128"/>
        <v>0.57528640761414906</v>
      </c>
      <c r="N529" s="69">
        <f t="shared" ca="1" si="117"/>
        <v>0.87646119335672545</v>
      </c>
      <c r="O529" s="69">
        <f t="shared" ca="1" si="118"/>
        <v>0.68450806559216359</v>
      </c>
      <c r="P529" s="69">
        <f t="shared" ca="1" si="119"/>
        <v>1.090400525917905</v>
      </c>
      <c r="Q529" s="69">
        <f t="shared" ca="1" si="120"/>
        <v>1.911310473701461</v>
      </c>
      <c r="R529" s="69">
        <f t="shared" ca="1" si="121"/>
        <v>-0.50394832037899329</v>
      </c>
      <c r="S529" s="69">
        <f t="shared" ca="1" si="122"/>
        <v>0.82393384368145395</v>
      </c>
      <c r="T529" s="69">
        <f t="shared" ca="1" si="123"/>
        <v>-0.31082173930526846</v>
      </c>
      <c r="U529" s="69">
        <f t="shared" ca="1" si="124"/>
        <v>-0.19221590959277696</v>
      </c>
      <c r="V529" s="69">
        <f t="shared" ca="1" si="125"/>
        <v>0.98211580008355881</v>
      </c>
      <c r="W529" s="69">
        <f t="shared" ca="1" si="126"/>
        <v>-0.40402153251011352</v>
      </c>
      <c r="X529" s="69">
        <f t="shared" ca="1" si="127"/>
        <v>0.60245489798858454</v>
      </c>
    </row>
    <row r="530" spans="2:24" x14ac:dyDescent="0.2">
      <c r="B530" s="69">
        <f t="shared" ca="1" si="116"/>
        <v>0.72349744173123109</v>
      </c>
      <c r="C530" s="69">
        <f t="shared" ca="1" si="128"/>
        <v>-0.58099826333033544</v>
      </c>
      <c r="D530" s="69">
        <f t="shared" ca="1" si="128"/>
        <v>5.21157183135907E-2</v>
      </c>
      <c r="E530" s="69">
        <f t="shared" ca="1" si="128"/>
        <v>0.26121138211505412</v>
      </c>
      <c r="F530" s="69">
        <f t="shared" ca="1" si="128"/>
        <v>-2.0025216721601367</v>
      </c>
      <c r="G530" s="69">
        <f t="shared" ca="1" si="128"/>
        <v>-0.98462845924483633</v>
      </c>
      <c r="H530" s="69">
        <f t="shared" ca="1" si="128"/>
        <v>1.7449504898753294</v>
      </c>
      <c r="I530" s="69">
        <f t="shared" ca="1" si="128"/>
        <v>-4.3606967664975287E-2</v>
      </c>
      <c r="J530" s="69">
        <f t="shared" ca="1" si="128"/>
        <v>-0.31381273236912488</v>
      </c>
      <c r="K530" s="69">
        <f t="shared" ca="1" si="128"/>
        <v>-0.62127853922538923</v>
      </c>
      <c r="L530" s="69">
        <f t="shared" ca="1" si="128"/>
        <v>-0.32105821554773961</v>
      </c>
      <c r="N530" s="69">
        <f t="shared" ca="1" si="117"/>
        <v>0.76126548556933993</v>
      </c>
      <c r="O530" s="69">
        <f t="shared" ca="1" si="118"/>
        <v>-0.60749182641322208</v>
      </c>
      <c r="P530" s="69">
        <f t="shared" ca="1" si="119"/>
        <v>-5.6263465234993315E-3</v>
      </c>
      <c r="Q530" s="69">
        <f t="shared" ca="1" si="120"/>
        <v>0.31032006097681308</v>
      </c>
      <c r="R530" s="69">
        <f t="shared" ca="1" si="121"/>
        <v>-2.0088163575677855</v>
      </c>
      <c r="S530" s="69">
        <f t="shared" ca="1" si="122"/>
        <v>-0.9518014869880278</v>
      </c>
      <c r="T530" s="69">
        <f t="shared" ca="1" si="123"/>
        <v>1.7401194521601395</v>
      </c>
      <c r="U530" s="69">
        <f t="shared" ca="1" si="124"/>
        <v>-2.0566840787265631E-2</v>
      </c>
      <c r="V530" s="69">
        <f t="shared" ca="1" si="125"/>
        <v>-0.31992232594272219</v>
      </c>
      <c r="W530" s="69">
        <f t="shared" ca="1" si="126"/>
        <v>-0.62029718240129028</v>
      </c>
      <c r="X530" s="69">
        <f t="shared" ca="1" si="127"/>
        <v>-0.29388972517330414</v>
      </c>
    </row>
    <row r="531" spans="2:24" x14ac:dyDescent="0.2">
      <c r="B531" s="69">
        <f t="shared" ca="1" si="116"/>
        <v>-0.19391925881850036</v>
      </c>
      <c r="C531" s="69">
        <f t="shared" ca="1" si="128"/>
        <v>-0.52108514656848715</v>
      </c>
      <c r="D531" s="69">
        <f t="shared" ca="1" si="128"/>
        <v>2.6745269838716803</v>
      </c>
      <c r="E531" s="69">
        <f t="shared" ca="1" si="128"/>
        <v>-2.0341440718984654</v>
      </c>
      <c r="F531" s="69">
        <f t="shared" ca="1" si="128"/>
        <v>-0.20028441734345204</v>
      </c>
      <c r="G531" s="69">
        <f t="shared" ca="1" si="128"/>
        <v>-1.6656352838737403</v>
      </c>
      <c r="H531" s="69">
        <f t="shared" ca="1" si="128"/>
        <v>-0.90099470886857802</v>
      </c>
      <c r="I531" s="69">
        <f t="shared" ca="1" si="128"/>
        <v>0.88784747692287247</v>
      </c>
      <c r="J531" s="69">
        <f t="shared" ca="1" si="128"/>
        <v>0.84205347427027166</v>
      </c>
      <c r="K531" s="69">
        <f t="shared" ca="1" si="128"/>
        <v>-0.94887265590814451</v>
      </c>
      <c r="L531" s="69">
        <f t="shared" ca="1" si="128"/>
        <v>-1.0110980835916215</v>
      </c>
      <c r="N531" s="69">
        <f t="shared" ca="1" si="117"/>
        <v>-0.15615121498039153</v>
      </c>
      <c r="O531" s="69">
        <f t="shared" ca="1" si="118"/>
        <v>-0.54757870965137379</v>
      </c>
      <c r="P531" s="69">
        <f t="shared" ca="1" si="119"/>
        <v>2.6167849190345902</v>
      </c>
      <c r="Q531" s="69">
        <f t="shared" ca="1" si="120"/>
        <v>-1.9850353930367064</v>
      </c>
      <c r="R531" s="69">
        <f t="shared" ca="1" si="121"/>
        <v>-0.20657910275110095</v>
      </c>
      <c r="S531" s="69">
        <f t="shared" ca="1" si="122"/>
        <v>-1.6328083116169319</v>
      </c>
      <c r="T531" s="69">
        <f t="shared" ca="1" si="123"/>
        <v>-0.90582574658376791</v>
      </c>
      <c r="U531" s="69">
        <f t="shared" ca="1" si="124"/>
        <v>0.91088760380058209</v>
      </c>
      <c r="V531" s="69">
        <f t="shared" ca="1" si="125"/>
        <v>0.83594388069667436</v>
      </c>
      <c r="W531" s="69">
        <f t="shared" ca="1" si="126"/>
        <v>-0.94789129908404557</v>
      </c>
      <c r="X531" s="69">
        <f t="shared" ca="1" si="127"/>
        <v>-0.98392959321718598</v>
      </c>
    </row>
    <row r="532" spans="2:24" x14ac:dyDescent="0.2">
      <c r="B532" s="69">
        <f t="shared" ca="1" si="116"/>
        <v>1.4222206270711228</v>
      </c>
      <c r="C532" s="69">
        <f t="shared" ca="1" si="128"/>
        <v>2.1961535453389698</v>
      </c>
      <c r="D532" s="69">
        <f t="shared" ca="1" si="128"/>
        <v>-0.25549344056081597</v>
      </c>
      <c r="E532" s="69">
        <f t="shared" ca="1" si="128"/>
        <v>1.395931278969974</v>
      </c>
      <c r="F532" s="69">
        <f t="shared" ca="1" si="128"/>
        <v>-0.75209383024126275</v>
      </c>
      <c r="G532" s="69">
        <f t="shared" ca="1" si="128"/>
        <v>2.5418256003923343</v>
      </c>
      <c r="H532" s="69">
        <f t="shared" ca="1" si="128"/>
        <v>-0.67051971404290567</v>
      </c>
      <c r="I532" s="69">
        <f t="shared" ca="1" si="128"/>
        <v>-1.8485638850616777</v>
      </c>
      <c r="J532" s="69">
        <f t="shared" ca="1" si="128"/>
        <v>-0.26010120307051349</v>
      </c>
      <c r="K532" s="69">
        <f t="shared" ca="1" si="128"/>
        <v>-0.59896376095669857</v>
      </c>
      <c r="L532" s="69">
        <f t="shared" ca="1" si="128"/>
        <v>0.41044793664242607</v>
      </c>
      <c r="N532" s="69">
        <f t="shared" ca="1" si="117"/>
        <v>1.4599886709092316</v>
      </c>
      <c r="O532" s="69">
        <f t="shared" ca="1" si="118"/>
        <v>2.1696599822560829</v>
      </c>
      <c r="P532" s="69">
        <f t="shared" ca="1" si="119"/>
        <v>-0.31323550539790601</v>
      </c>
      <c r="Q532" s="69">
        <f t="shared" ca="1" si="120"/>
        <v>1.445039957831733</v>
      </c>
      <c r="R532" s="69">
        <f t="shared" ca="1" si="121"/>
        <v>-0.75838851564891163</v>
      </c>
      <c r="S532" s="69">
        <f t="shared" ca="1" si="122"/>
        <v>2.5746525726491427</v>
      </c>
      <c r="T532" s="69">
        <f t="shared" ca="1" si="123"/>
        <v>-0.67535075175809556</v>
      </c>
      <c r="U532" s="69">
        <f t="shared" ca="1" si="124"/>
        <v>-1.8255237581839681</v>
      </c>
      <c r="V532" s="69">
        <f t="shared" ca="1" si="125"/>
        <v>-0.26621079664411079</v>
      </c>
      <c r="W532" s="69">
        <f t="shared" ca="1" si="126"/>
        <v>-0.59798240413259962</v>
      </c>
      <c r="X532" s="69">
        <f t="shared" ca="1" si="127"/>
        <v>0.43761642701686154</v>
      </c>
    </row>
    <row r="533" spans="2:24" x14ac:dyDescent="0.2">
      <c r="B533" s="69">
        <f t="shared" ca="1" si="116"/>
        <v>0.43600277559790906</v>
      </c>
      <c r="C533" s="69">
        <f t="shared" ca="1" si="128"/>
        <v>1.6182777879598969</v>
      </c>
      <c r="D533" s="69">
        <f t="shared" ca="1" si="128"/>
        <v>-1.4479909501565442</v>
      </c>
      <c r="E533" s="69">
        <f t="shared" ca="1" si="128"/>
        <v>-0.20601280380272113</v>
      </c>
      <c r="F533" s="69">
        <f t="shared" ca="1" si="128"/>
        <v>-7.4938350661287734E-2</v>
      </c>
      <c r="G533" s="69">
        <f t="shared" ca="1" si="128"/>
        <v>0.15124874548585335</v>
      </c>
      <c r="H533" s="69">
        <f t="shared" ca="1" si="128"/>
        <v>1.1658100844707477</v>
      </c>
      <c r="I533" s="69">
        <f t="shared" ca="1" si="128"/>
        <v>0.50183705807424062</v>
      </c>
      <c r="J533" s="69">
        <f t="shared" ca="1" si="128"/>
        <v>-8.0004691655711932E-2</v>
      </c>
      <c r="K533" s="69">
        <f t="shared" ca="1" si="128"/>
        <v>0.47967747768528363</v>
      </c>
      <c r="L533" s="69">
        <f t="shared" ca="1" si="128"/>
        <v>1.2072590514606607</v>
      </c>
      <c r="N533" s="69">
        <f t="shared" ca="1" si="117"/>
        <v>0.4737708194360179</v>
      </c>
      <c r="O533" s="69">
        <f t="shared" ca="1" si="118"/>
        <v>1.5917842248770102</v>
      </c>
      <c r="P533" s="69">
        <f t="shared" ca="1" si="119"/>
        <v>-1.5057330149936343</v>
      </c>
      <c r="Q533" s="69">
        <f t="shared" ca="1" si="120"/>
        <v>-0.15690412494096218</v>
      </c>
      <c r="R533" s="69">
        <f t="shared" ca="1" si="121"/>
        <v>-8.1233036068936629E-2</v>
      </c>
      <c r="S533" s="69">
        <f t="shared" ca="1" si="122"/>
        <v>0.18407571774266182</v>
      </c>
      <c r="T533" s="69">
        <f t="shared" ca="1" si="123"/>
        <v>1.1609790467555579</v>
      </c>
      <c r="U533" s="69">
        <f t="shared" ca="1" si="124"/>
        <v>0.52487718495195024</v>
      </c>
      <c r="V533" s="69">
        <f t="shared" ca="1" si="125"/>
        <v>-8.6114285229309265E-2</v>
      </c>
      <c r="W533" s="69">
        <f t="shared" ca="1" si="126"/>
        <v>0.48065883450938257</v>
      </c>
      <c r="X533" s="69">
        <f t="shared" ca="1" si="127"/>
        <v>1.2344275418350963</v>
      </c>
    </row>
    <row r="534" spans="2:24" x14ac:dyDescent="0.2">
      <c r="B534" s="69">
        <f t="shared" ca="1" si="116"/>
        <v>0.11114916652443137</v>
      </c>
      <c r="C534" s="69">
        <f t="shared" ca="1" si="128"/>
        <v>2.6149109083326167</v>
      </c>
      <c r="D534" s="69">
        <f t="shared" ca="1" si="128"/>
        <v>0.70728938821953502</v>
      </c>
      <c r="E534" s="69">
        <f t="shared" ca="1" si="128"/>
        <v>-0.48831580253480006</v>
      </c>
      <c r="F534" s="69">
        <f t="shared" ca="1" si="128"/>
        <v>-1.2090923975666492</v>
      </c>
      <c r="G534" s="69">
        <f t="shared" ca="1" si="128"/>
        <v>-2.3883232425784997</v>
      </c>
      <c r="H534" s="69">
        <f t="shared" ca="1" si="128"/>
        <v>0.26859504400330525</v>
      </c>
      <c r="I534" s="69">
        <f t="shared" ca="1" si="128"/>
        <v>-1.2820149963336924</v>
      </c>
      <c r="J534" s="69">
        <f t="shared" ca="1" si="128"/>
        <v>-0.5231810268755489</v>
      </c>
      <c r="K534" s="69">
        <f t="shared" ca="1" si="128"/>
        <v>-0.1013819988857422</v>
      </c>
      <c r="L534" s="69">
        <f t="shared" ca="1" si="128"/>
        <v>-0.17716616695512402</v>
      </c>
      <c r="N534" s="69">
        <f t="shared" ca="1" si="117"/>
        <v>0.14891721036254019</v>
      </c>
      <c r="O534" s="69">
        <f t="shared" ca="1" si="118"/>
        <v>2.5884173452497299</v>
      </c>
      <c r="P534" s="69">
        <f t="shared" ca="1" si="119"/>
        <v>0.64954732338244503</v>
      </c>
      <c r="Q534" s="69">
        <f t="shared" ca="1" si="120"/>
        <v>-0.4392071236730411</v>
      </c>
      <c r="R534" s="69">
        <f t="shared" ca="1" si="121"/>
        <v>-1.2153870829742981</v>
      </c>
      <c r="S534" s="69">
        <f t="shared" ca="1" si="122"/>
        <v>-2.3554962703216913</v>
      </c>
      <c r="T534" s="69">
        <f t="shared" ca="1" si="123"/>
        <v>0.26376400628811542</v>
      </c>
      <c r="U534" s="69">
        <f t="shared" ca="1" si="124"/>
        <v>-1.2589748694559828</v>
      </c>
      <c r="V534" s="69">
        <f t="shared" ca="1" si="125"/>
        <v>-0.52929062044914621</v>
      </c>
      <c r="W534" s="69">
        <f t="shared" ca="1" si="126"/>
        <v>-0.10040064206164326</v>
      </c>
      <c r="X534" s="69">
        <f t="shared" ca="1" si="127"/>
        <v>-0.14999767658068855</v>
      </c>
    </row>
    <row r="535" spans="2:24" x14ac:dyDescent="0.2">
      <c r="B535" s="69">
        <f t="shared" ca="1" si="116"/>
        <v>1.0569320590603786</v>
      </c>
      <c r="C535" s="69">
        <f t="shared" ca="1" si="128"/>
        <v>-0.32095037903201695</v>
      </c>
      <c r="D535" s="69">
        <f t="shared" ca="1" si="128"/>
        <v>6.6414350305233877E-2</v>
      </c>
      <c r="E535" s="69">
        <f t="shared" ca="1" si="128"/>
        <v>-2.659852834403492</v>
      </c>
      <c r="F535" s="69">
        <f t="shared" ca="1" si="128"/>
        <v>1.3448772097872872</v>
      </c>
      <c r="G535" s="69">
        <f t="shared" ca="1" si="128"/>
        <v>-0.74565435702730198</v>
      </c>
      <c r="H535" s="69">
        <f t="shared" ca="1" si="128"/>
        <v>8.951977370587004E-2</v>
      </c>
      <c r="I535" s="69">
        <f t="shared" ca="1" si="128"/>
        <v>0.85790876527089865</v>
      </c>
      <c r="J535" s="69">
        <f t="shared" ca="1" si="128"/>
        <v>-0.45365974604157222</v>
      </c>
      <c r="K535" s="69">
        <f t="shared" ca="1" si="128"/>
        <v>0.47853114299779403</v>
      </c>
      <c r="L535" s="69">
        <f t="shared" ca="1" si="128"/>
        <v>-0.8575492499118309</v>
      </c>
      <c r="N535" s="69">
        <f t="shared" ca="1" si="117"/>
        <v>1.0947001028984873</v>
      </c>
      <c r="O535" s="69">
        <f t="shared" ca="1" si="118"/>
        <v>-0.34744394211490365</v>
      </c>
      <c r="P535" s="69">
        <f t="shared" ca="1" si="119"/>
        <v>8.6722854681438449E-3</v>
      </c>
      <c r="Q535" s="69">
        <f t="shared" ca="1" si="120"/>
        <v>-2.6107441555417332</v>
      </c>
      <c r="R535" s="69">
        <f t="shared" ca="1" si="121"/>
        <v>1.3385825243796383</v>
      </c>
      <c r="S535" s="69">
        <f t="shared" ca="1" si="122"/>
        <v>-0.71282738477049346</v>
      </c>
      <c r="T535" s="69">
        <f t="shared" ca="1" si="123"/>
        <v>8.4688735990680192E-2</v>
      </c>
      <c r="U535" s="69">
        <f t="shared" ca="1" si="124"/>
        <v>0.88094889214860828</v>
      </c>
      <c r="V535" s="69">
        <f t="shared" ca="1" si="125"/>
        <v>-0.45976933961516953</v>
      </c>
      <c r="W535" s="69">
        <f t="shared" ca="1" si="126"/>
        <v>0.47951249982189298</v>
      </c>
      <c r="X535" s="69">
        <f t="shared" ca="1" si="127"/>
        <v>-0.83038075953739543</v>
      </c>
    </row>
    <row r="536" spans="2:24" x14ac:dyDescent="0.2">
      <c r="B536" s="69">
        <f t="shared" ca="1" si="116"/>
        <v>0.9545308835627162</v>
      </c>
      <c r="C536" s="69">
        <f t="shared" ca="1" si="128"/>
        <v>0.36493575765316383</v>
      </c>
      <c r="D536" s="69">
        <f t="shared" ca="1" si="128"/>
        <v>-1.1030808720992271</v>
      </c>
      <c r="E536" s="69">
        <f t="shared" ca="1" si="128"/>
        <v>-1.9125304619636718</v>
      </c>
      <c r="F536" s="69">
        <f t="shared" ca="1" si="128"/>
        <v>-0.21733349579598532</v>
      </c>
      <c r="G536" s="69">
        <f t="shared" ca="1" si="128"/>
        <v>0.97583128389854035</v>
      </c>
      <c r="H536" s="69">
        <f t="shared" ca="1" si="128"/>
        <v>-1.1263944889208541</v>
      </c>
      <c r="I536" s="69">
        <f t="shared" ca="1" si="128"/>
        <v>-1.0960378619366797</v>
      </c>
      <c r="J536" s="69">
        <f t="shared" ca="1" si="128"/>
        <v>0.46706833019226784</v>
      </c>
      <c r="K536" s="69">
        <f t="shared" ca="1" si="128"/>
        <v>1.0642334914941234</v>
      </c>
      <c r="L536" s="69">
        <f t="shared" ca="1" si="128"/>
        <v>-1.9297439138432864</v>
      </c>
      <c r="N536" s="69">
        <f t="shared" ca="1" si="117"/>
        <v>0.99229892740082504</v>
      </c>
      <c r="O536" s="69">
        <f t="shared" ca="1" si="118"/>
        <v>0.33844219457027713</v>
      </c>
      <c r="P536" s="69">
        <f t="shared" ca="1" si="119"/>
        <v>-1.1608229369363172</v>
      </c>
      <c r="Q536" s="69">
        <f t="shared" ca="1" si="120"/>
        <v>-1.8634217831019129</v>
      </c>
      <c r="R536" s="69">
        <f t="shared" ca="1" si="121"/>
        <v>-0.22362818120363423</v>
      </c>
      <c r="S536" s="69">
        <f t="shared" ca="1" si="122"/>
        <v>1.0086582561553488</v>
      </c>
      <c r="T536" s="69">
        <f t="shared" ca="1" si="123"/>
        <v>-1.131225526636044</v>
      </c>
      <c r="U536" s="69">
        <f t="shared" ca="1" si="124"/>
        <v>-1.0729977350589701</v>
      </c>
      <c r="V536" s="69">
        <f t="shared" ca="1" si="125"/>
        <v>0.46095873661867054</v>
      </c>
      <c r="W536" s="69">
        <f t="shared" ca="1" si="126"/>
        <v>1.0652148483182224</v>
      </c>
      <c r="X536" s="69">
        <f t="shared" ca="1" si="127"/>
        <v>-1.9025754234688508</v>
      </c>
    </row>
    <row r="537" spans="2:24" x14ac:dyDescent="0.2">
      <c r="B537" s="69">
        <f t="shared" ca="1" si="116"/>
        <v>-0.55169186132186177</v>
      </c>
      <c r="C537" s="69">
        <f t="shared" ca="1" si="128"/>
        <v>0.68713231917406947</v>
      </c>
      <c r="D537" s="69">
        <f t="shared" ca="1" si="128"/>
        <v>-0.77626952410516259</v>
      </c>
      <c r="E537" s="69">
        <f t="shared" ca="1" si="128"/>
        <v>0.54028340923871576</v>
      </c>
      <c r="F537" s="69">
        <f t="shared" ca="1" si="128"/>
        <v>-0.78262705588117398</v>
      </c>
      <c r="G537" s="69">
        <f t="shared" ca="1" si="128"/>
        <v>-9.0631947222599735E-2</v>
      </c>
      <c r="H537" s="69">
        <f t="shared" ca="1" si="128"/>
        <v>0.36297213161671221</v>
      </c>
      <c r="I537" s="69">
        <f t="shared" ca="1" si="128"/>
        <v>2.018559965550168</v>
      </c>
      <c r="J537" s="69">
        <f t="shared" ca="1" si="128"/>
        <v>-1.9555165403612935E-3</v>
      </c>
      <c r="K537" s="69">
        <f t="shared" ca="1" si="128"/>
        <v>-2.4359395568505966</v>
      </c>
      <c r="L537" s="69">
        <f t="shared" ca="1" si="128"/>
        <v>1.074695357013671</v>
      </c>
      <c r="N537" s="69">
        <f t="shared" ca="1" si="117"/>
        <v>-0.51392381748375293</v>
      </c>
      <c r="O537" s="69">
        <f t="shared" ca="1" si="118"/>
        <v>0.66063875609118283</v>
      </c>
      <c r="P537" s="69">
        <f t="shared" ca="1" si="119"/>
        <v>-0.83401158894225258</v>
      </c>
      <c r="Q537" s="69">
        <f t="shared" ca="1" si="120"/>
        <v>0.58939208810047472</v>
      </c>
      <c r="R537" s="69">
        <f t="shared" ca="1" si="121"/>
        <v>-0.78892174128882286</v>
      </c>
      <c r="S537" s="69">
        <f t="shared" ca="1" si="122"/>
        <v>-5.7804974965791255E-2</v>
      </c>
      <c r="T537" s="69">
        <f t="shared" ca="1" si="123"/>
        <v>0.35814109390152238</v>
      </c>
      <c r="U537" s="69">
        <f t="shared" ca="1" si="124"/>
        <v>2.0416000924278777</v>
      </c>
      <c r="V537" s="69">
        <f t="shared" ca="1" si="125"/>
        <v>-8.0651101139586241E-3</v>
      </c>
      <c r="W537" s="69">
        <f t="shared" ca="1" si="126"/>
        <v>-2.4349582000264975</v>
      </c>
      <c r="X537" s="69">
        <f t="shared" ca="1" si="127"/>
        <v>1.1018638473881066</v>
      </c>
    </row>
    <row r="538" spans="2:24" x14ac:dyDescent="0.2">
      <c r="B538" s="69">
        <f t="shared" ca="1" si="116"/>
        <v>1.2914623598883961</v>
      </c>
      <c r="C538" s="69">
        <f t="shared" ca="1" si="128"/>
        <v>-0.98041677813997585</v>
      </c>
      <c r="D538" s="69">
        <f t="shared" ca="1" si="128"/>
        <v>0.47733621366583889</v>
      </c>
      <c r="E538" s="69">
        <f t="shared" ca="1" si="128"/>
        <v>-0.92407274085772173</v>
      </c>
      <c r="F538" s="69">
        <f t="shared" ca="1" si="128"/>
        <v>0.29671809777374564</v>
      </c>
      <c r="G538" s="69">
        <f t="shared" ca="1" si="128"/>
        <v>1.1606868499372911</v>
      </c>
      <c r="H538" s="69">
        <f t="shared" ca="1" si="128"/>
        <v>-0.50525087128566137</v>
      </c>
      <c r="I538" s="69">
        <f t="shared" ca="1" si="128"/>
        <v>-1.1812581636278159</v>
      </c>
      <c r="J538" s="69">
        <f t="shared" ca="1" si="128"/>
        <v>0.53090371624219734</v>
      </c>
      <c r="K538" s="69">
        <f t="shared" ca="1" si="128"/>
        <v>1.7941652174347984</v>
      </c>
      <c r="L538" s="69">
        <f t="shared" ca="1" si="128"/>
        <v>0.12948784601180779</v>
      </c>
      <c r="N538" s="69">
        <f t="shared" ca="1" si="117"/>
        <v>1.3292304037265048</v>
      </c>
      <c r="O538" s="69">
        <f t="shared" ca="1" si="118"/>
        <v>-1.0069103412228626</v>
      </c>
      <c r="P538" s="69">
        <f t="shared" ca="1" si="119"/>
        <v>0.41959414882874885</v>
      </c>
      <c r="Q538" s="69">
        <f t="shared" ca="1" si="120"/>
        <v>-0.87496406199596277</v>
      </c>
      <c r="R538" s="69">
        <f t="shared" ca="1" si="121"/>
        <v>0.29042341236609676</v>
      </c>
      <c r="S538" s="69">
        <f t="shared" ca="1" si="122"/>
        <v>1.1935138221940995</v>
      </c>
      <c r="T538" s="69">
        <f t="shared" ca="1" si="123"/>
        <v>-0.51008190900085126</v>
      </c>
      <c r="U538" s="69">
        <f t="shared" ca="1" si="124"/>
        <v>-1.1582180367501063</v>
      </c>
      <c r="V538" s="69">
        <f t="shared" ca="1" si="125"/>
        <v>0.52479412266860004</v>
      </c>
      <c r="W538" s="69">
        <f t="shared" ca="1" si="126"/>
        <v>1.7951465742588975</v>
      </c>
      <c r="X538" s="69">
        <f t="shared" ca="1" si="127"/>
        <v>0.15665633638624327</v>
      </c>
    </row>
    <row r="539" spans="2:24" x14ac:dyDescent="0.2">
      <c r="B539" s="69">
        <f t="shared" ca="1" si="116"/>
        <v>0.29566615845159588</v>
      </c>
      <c r="C539" s="69">
        <f t="shared" ca="1" si="128"/>
        <v>0.92798973251676797</v>
      </c>
      <c r="D539" s="69">
        <f t="shared" ca="1" si="128"/>
        <v>0.84569919869675236</v>
      </c>
      <c r="E539" s="69">
        <f t="shared" ca="1" si="128"/>
        <v>-0.81046411526569717</v>
      </c>
      <c r="F539" s="69">
        <f t="shared" ca="1" si="128"/>
        <v>0.97072336856831476</v>
      </c>
      <c r="G539" s="69">
        <f t="shared" ca="1" si="128"/>
        <v>1.5439170898879853</v>
      </c>
      <c r="H539" s="69">
        <f t="shared" ca="1" si="128"/>
        <v>0.23816185994886435</v>
      </c>
      <c r="I539" s="69">
        <f t="shared" ca="1" si="128"/>
        <v>1.9336881180913386</v>
      </c>
      <c r="J539" s="69">
        <f t="shared" ca="1" si="128"/>
        <v>-0.49149769745153055</v>
      </c>
      <c r="K539" s="69">
        <f t="shared" ca="1" si="128"/>
        <v>0.49879974109254377</v>
      </c>
      <c r="L539" s="69">
        <f t="shared" ca="1" si="128"/>
        <v>-1.4382115590560736</v>
      </c>
      <c r="N539" s="69">
        <f t="shared" ca="1" si="117"/>
        <v>0.33343420228970472</v>
      </c>
      <c r="O539" s="69">
        <f t="shared" ca="1" si="118"/>
        <v>0.90149616943388133</v>
      </c>
      <c r="P539" s="69">
        <f t="shared" ca="1" si="119"/>
        <v>0.78795713385966237</v>
      </c>
      <c r="Q539" s="69">
        <f t="shared" ca="1" si="120"/>
        <v>-0.76135543640393821</v>
      </c>
      <c r="R539" s="69">
        <f t="shared" ca="1" si="121"/>
        <v>0.96442868316066588</v>
      </c>
      <c r="S539" s="69">
        <f t="shared" ca="1" si="122"/>
        <v>1.5767440621447937</v>
      </c>
      <c r="T539" s="69">
        <f t="shared" ca="1" si="123"/>
        <v>0.23333082223367452</v>
      </c>
      <c r="U539" s="69">
        <f t="shared" ca="1" si="124"/>
        <v>1.9567282449690482</v>
      </c>
      <c r="V539" s="69">
        <f t="shared" ca="1" si="125"/>
        <v>-0.49760729102512785</v>
      </c>
      <c r="W539" s="69">
        <f t="shared" ca="1" si="126"/>
        <v>0.49978109791664271</v>
      </c>
      <c r="X539" s="69">
        <f t="shared" ca="1" si="127"/>
        <v>-1.411043068681638</v>
      </c>
    </row>
    <row r="540" spans="2:24" x14ac:dyDescent="0.2">
      <c r="B540" s="69">
        <f t="shared" ca="1" si="116"/>
        <v>3.1373584463210773</v>
      </c>
      <c r="C540" s="69">
        <f t="shared" ca="1" si="128"/>
        <v>-1.0966838787704729</v>
      </c>
      <c r="D540" s="69">
        <f t="shared" ca="1" si="128"/>
        <v>-0.97418768132900813</v>
      </c>
      <c r="E540" s="69">
        <f t="shared" ca="1" si="128"/>
        <v>-0.54194258210370705</v>
      </c>
      <c r="F540" s="69">
        <f t="shared" ca="1" si="128"/>
        <v>1.7700017478161159</v>
      </c>
      <c r="G540" s="69">
        <f t="shared" ca="1" si="128"/>
        <v>-1.3571266439136815</v>
      </c>
      <c r="H540" s="69">
        <f t="shared" ca="1" si="128"/>
        <v>-1.6082689296333542E-2</v>
      </c>
      <c r="I540" s="69">
        <f t="shared" ca="1" si="128"/>
        <v>-1.4969316740306602</v>
      </c>
      <c r="J540" s="69">
        <f t="shared" ca="1" si="128"/>
        <v>-0.87559062877849392</v>
      </c>
      <c r="K540" s="69">
        <f t="shared" ca="1" si="128"/>
        <v>-1.0196824199372756</v>
      </c>
      <c r="L540" s="69">
        <f t="shared" ca="1" si="128"/>
        <v>1.2837750107437584</v>
      </c>
      <c r="N540" s="69">
        <f t="shared" ca="1" si="117"/>
        <v>3.1751264901591862</v>
      </c>
      <c r="O540" s="69">
        <f t="shared" ca="1" si="118"/>
        <v>-1.1231774418533595</v>
      </c>
      <c r="P540" s="69">
        <f t="shared" ca="1" si="119"/>
        <v>-1.0319297461660981</v>
      </c>
      <c r="Q540" s="69">
        <f t="shared" ca="1" si="120"/>
        <v>-0.49283390324194809</v>
      </c>
      <c r="R540" s="69">
        <f t="shared" ca="1" si="121"/>
        <v>1.763707062408467</v>
      </c>
      <c r="S540" s="69">
        <f t="shared" ca="1" si="122"/>
        <v>-1.3242996716568731</v>
      </c>
      <c r="T540" s="69">
        <f t="shared" ca="1" si="123"/>
        <v>-2.0913727011523386E-2</v>
      </c>
      <c r="U540" s="69">
        <f t="shared" ca="1" si="124"/>
        <v>-1.4738915471529506</v>
      </c>
      <c r="V540" s="69">
        <f t="shared" ca="1" si="125"/>
        <v>-0.88170022235209122</v>
      </c>
      <c r="W540" s="69">
        <f t="shared" ca="1" si="126"/>
        <v>-1.0187010631131765</v>
      </c>
      <c r="X540" s="69">
        <f t="shared" ca="1" si="127"/>
        <v>1.310943501118194</v>
      </c>
    </row>
    <row r="541" spans="2:24" x14ac:dyDescent="0.2">
      <c r="B541" s="69">
        <f t="shared" ca="1" si="116"/>
        <v>1.5566927347516817</v>
      </c>
      <c r="C541" s="69">
        <f t="shared" ca="1" si="128"/>
        <v>-0.47362565839232729</v>
      </c>
      <c r="D541" s="69">
        <f t="shared" ca="1" si="128"/>
        <v>-0.38881357140433459</v>
      </c>
      <c r="E541" s="69">
        <f t="shared" ca="1" si="128"/>
        <v>0.65080968679278128</v>
      </c>
      <c r="F541" s="69">
        <f t="shared" ca="1" si="128"/>
        <v>0.37261655433038826</v>
      </c>
      <c r="G541" s="69">
        <f t="shared" ca="1" si="128"/>
        <v>7.574033114003198E-2</v>
      </c>
      <c r="H541" s="69">
        <f t="shared" ca="1" si="128"/>
        <v>0.15960937714220882</v>
      </c>
      <c r="I541" s="69">
        <f t="shared" ca="1" si="128"/>
        <v>-1.483536994019351</v>
      </c>
      <c r="J541" s="69">
        <f t="shared" ca="1" si="128"/>
        <v>-1.1626463157186937</v>
      </c>
      <c r="K541" s="69">
        <f t="shared" ca="1" si="128"/>
        <v>-0.53358241228968417</v>
      </c>
      <c r="L541" s="69">
        <f t="shared" ca="1" si="128"/>
        <v>-1.1707068406374879</v>
      </c>
      <c r="N541" s="69">
        <f t="shared" ca="1" si="117"/>
        <v>1.5944607785897904</v>
      </c>
      <c r="O541" s="69">
        <f t="shared" ca="1" si="118"/>
        <v>-0.50011922147521393</v>
      </c>
      <c r="P541" s="69">
        <f t="shared" ca="1" si="119"/>
        <v>-0.44655563624142464</v>
      </c>
      <c r="Q541" s="69">
        <f t="shared" ca="1" si="120"/>
        <v>0.69991836565454024</v>
      </c>
      <c r="R541" s="69">
        <f t="shared" ca="1" si="121"/>
        <v>0.36632186892273938</v>
      </c>
      <c r="S541" s="69">
        <f t="shared" ca="1" si="122"/>
        <v>0.10856730339684045</v>
      </c>
      <c r="T541" s="69">
        <f t="shared" ca="1" si="123"/>
        <v>0.15477833942701899</v>
      </c>
      <c r="U541" s="69">
        <f t="shared" ca="1" si="124"/>
        <v>-1.4604968671416414</v>
      </c>
      <c r="V541" s="69">
        <f t="shared" ca="1" si="125"/>
        <v>-1.168755909292291</v>
      </c>
      <c r="W541" s="69">
        <f t="shared" ca="1" si="126"/>
        <v>-0.53260105546558523</v>
      </c>
      <c r="X541" s="69">
        <f t="shared" ca="1" si="127"/>
        <v>-1.1435383502630523</v>
      </c>
    </row>
    <row r="542" spans="2:24" x14ac:dyDescent="0.2">
      <c r="B542" s="69">
        <f t="shared" ca="1" si="116"/>
        <v>-0.31644504608747809</v>
      </c>
      <c r="C542" s="69">
        <f t="shared" ca="1" si="128"/>
        <v>0.83227590967626541</v>
      </c>
      <c r="D542" s="69">
        <f t="shared" ca="1" si="128"/>
        <v>-1.3456423667379043</v>
      </c>
      <c r="E542" s="69">
        <f t="shared" ca="1" si="128"/>
        <v>0.67569384560497214</v>
      </c>
      <c r="F542" s="69">
        <f t="shared" ca="1" si="128"/>
        <v>1.0819853850590027</v>
      </c>
      <c r="G542" s="69">
        <f t="shared" ca="1" si="128"/>
        <v>9.1782300073190187E-2</v>
      </c>
      <c r="H542" s="69">
        <f t="shared" ca="1" si="128"/>
        <v>0.49703519371636939</v>
      </c>
      <c r="I542" s="69">
        <f t="shared" ca="1" si="128"/>
        <v>0.55515298710309047</v>
      </c>
      <c r="J542" s="69">
        <f t="shared" ca="1" si="128"/>
        <v>-1.6824863243300918</v>
      </c>
      <c r="K542" s="69">
        <f t="shared" ca="1" si="128"/>
        <v>-0.10044907449291815</v>
      </c>
      <c r="L542" s="69">
        <f t="shared" ca="1" si="128"/>
        <v>-1.6670635409879635</v>
      </c>
      <c r="N542" s="69">
        <f t="shared" ca="1" si="117"/>
        <v>-0.27867700224936925</v>
      </c>
      <c r="O542" s="69">
        <f t="shared" ca="1" si="118"/>
        <v>0.80578234659337877</v>
      </c>
      <c r="P542" s="69">
        <f t="shared" ca="1" si="119"/>
        <v>-1.4033844315749944</v>
      </c>
      <c r="Q542" s="69">
        <f t="shared" ca="1" si="120"/>
        <v>0.7248025244667311</v>
      </c>
      <c r="R542" s="69">
        <f t="shared" ca="1" si="121"/>
        <v>1.0756906996513538</v>
      </c>
      <c r="S542" s="69">
        <f t="shared" ca="1" si="122"/>
        <v>0.12460927232999866</v>
      </c>
      <c r="T542" s="69">
        <f t="shared" ca="1" si="123"/>
        <v>0.49220415600117956</v>
      </c>
      <c r="U542" s="69">
        <f t="shared" ca="1" si="124"/>
        <v>0.57819311398080009</v>
      </c>
      <c r="V542" s="69">
        <f t="shared" ca="1" si="125"/>
        <v>-1.6885959179036891</v>
      </c>
      <c r="W542" s="69">
        <f t="shared" ca="1" si="126"/>
        <v>-9.9467717668819206E-2</v>
      </c>
      <c r="X542" s="69">
        <f t="shared" ca="1" si="127"/>
        <v>-1.6398950506135279</v>
      </c>
    </row>
    <row r="543" spans="2:24" x14ac:dyDescent="0.2">
      <c r="B543" s="69">
        <f t="shared" ca="1" si="116"/>
        <v>-0.42665265202170516</v>
      </c>
      <c r="C543" s="69">
        <f t="shared" ca="1" si="128"/>
        <v>-0.41596487120048015</v>
      </c>
      <c r="D543" s="69">
        <f t="shared" ca="1" si="128"/>
        <v>1.1967837905841805</v>
      </c>
      <c r="E543" s="69">
        <f t="shared" ca="1" si="128"/>
        <v>1.5764316820806263</v>
      </c>
      <c r="F543" s="69">
        <f t="shared" ca="1" si="128"/>
        <v>1.5775359162152678</v>
      </c>
      <c r="G543" s="69">
        <f t="shared" ca="1" si="128"/>
        <v>2.0159932548244108</v>
      </c>
      <c r="H543" s="69">
        <f t="shared" ca="1" si="128"/>
        <v>-0.41111646858530698</v>
      </c>
      <c r="I543" s="69">
        <f t="shared" ca="1" si="128"/>
        <v>-0.51730011711909396</v>
      </c>
      <c r="J543" s="69">
        <f t="shared" ca="1" si="128"/>
        <v>1.2288026235614498E-3</v>
      </c>
      <c r="K543" s="69">
        <f t="shared" ca="1" si="128"/>
        <v>0.30708397173424462</v>
      </c>
      <c r="L543" s="69">
        <f t="shared" ca="1" si="128"/>
        <v>0.44771441337690976</v>
      </c>
      <c r="N543" s="69">
        <f t="shared" ca="1" si="117"/>
        <v>-0.38888460818359633</v>
      </c>
      <c r="O543" s="69">
        <f t="shared" ca="1" si="118"/>
        <v>-0.44245843428336684</v>
      </c>
      <c r="P543" s="69">
        <f t="shared" ca="1" si="119"/>
        <v>1.1390417257470904</v>
      </c>
      <c r="Q543" s="69">
        <f t="shared" ca="1" si="120"/>
        <v>1.6255403609423853</v>
      </c>
      <c r="R543" s="69">
        <f t="shared" ca="1" si="121"/>
        <v>1.5712412308076189</v>
      </c>
      <c r="S543" s="69">
        <f t="shared" ca="1" si="122"/>
        <v>2.0488202270812192</v>
      </c>
      <c r="T543" s="69">
        <f t="shared" ca="1" si="123"/>
        <v>-0.41594750630049682</v>
      </c>
      <c r="U543" s="69">
        <f t="shared" ca="1" si="124"/>
        <v>-0.49425999024138428</v>
      </c>
      <c r="V543" s="69">
        <f t="shared" ca="1" si="125"/>
        <v>-4.8807909500358801E-3</v>
      </c>
      <c r="W543" s="69">
        <f t="shared" ca="1" si="126"/>
        <v>0.30806532855834357</v>
      </c>
      <c r="X543" s="69">
        <f t="shared" ca="1" si="127"/>
        <v>0.47488290375134523</v>
      </c>
    </row>
    <row r="544" spans="2:24" x14ac:dyDescent="0.2">
      <c r="B544" s="69">
        <f t="shared" ca="1" si="116"/>
        <v>-0.51591850395158767</v>
      </c>
      <c r="C544" s="69">
        <f t="shared" ca="1" si="128"/>
        <v>0.90814766371369682</v>
      </c>
      <c r="D544" s="69">
        <f t="shared" ca="1" si="128"/>
        <v>0.68287954353092029</v>
      </c>
      <c r="E544" s="69">
        <f t="shared" ca="1" si="128"/>
        <v>-0.9856935756852504</v>
      </c>
      <c r="F544" s="69">
        <f t="shared" ca="1" si="128"/>
        <v>0.32408023616310139</v>
      </c>
      <c r="G544" s="69">
        <f t="shared" ca="1" si="128"/>
        <v>0.36427993687459148</v>
      </c>
      <c r="H544" s="69">
        <f t="shared" ca="1" si="128"/>
        <v>-0.32525304189365117</v>
      </c>
      <c r="I544" s="69">
        <f t="shared" ca="1" si="128"/>
        <v>-1.6690810892082739</v>
      </c>
      <c r="J544" s="69">
        <f t="shared" ca="1" si="128"/>
        <v>0.39293177864661494</v>
      </c>
      <c r="K544" s="69">
        <f t="shared" ca="1" si="128"/>
        <v>-0.7753195276885767</v>
      </c>
      <c r="L544" s="69">
        <f t="shared" ca="1" si="128"/>
        <v>0.82654811893698432</v>
      </c>
      <c r="N544" s="69">
        <f t="shared" ca="1" si="117"/>
        <v>-0.47815046011347884</v>
      </c>
      <c r="O544" s="69">
        <f t="shared" ca="1" si="118"/>
        <v>0.88165410063081018</v>
      </c>
      <c r="P544" s="69">
        <f t="shared" ca="1" si="119"/>
        <v>0.6251374786938303</v>
      </c>
      <c r="Q544" s="69">
        <f t="shared" ca="1" si="120"/>
        <v>-0.93658489682349144</v>
      </c>
      <c r="R544" s="69">
        <f t="shared" ca="1" si="121"/>
        <v>0.31778555075545251</v>
      </c>
      <c r="S544" s="69">
        <f t="shared" ca="1" si="122"/>
        <v>0.39710690913139995</v>
      </c>
      <c r="T544" s="69">
        <f t="shared" ca="1" si="123"/>
        <v>-0.33008407960884101</v>
      </c>
      <c r="U544" s="69">
        <f t="shared" ca="1" si="124"/>
        <v>-1.6460409623305643</v>
      </c>
      <c r="V544" s="69">
        <f t="shared" ca="1" si="125"/>
        <v>0.38682218507301763</v>
      </c>
      <c r="W544" s="69">
        <f t="shared" ca="1" si="126"/>
        <v>-0.77433817086447776</v>
      </c>
      <c r="X544" s="69">
        <f t="shared" ca="1" si="127"/>
        <v>0.85371660931141979</v>
      </c>
    </row>
    <row r="545" spans="2:24" x14ac:dyDescent="0.2">
      <c r="B545" s="69">
        <f t="shared" ca="1" si="116"/>
        <v>0.72372547506248386</v>
      </c>
      <c r="C545" s="69">
        <f t="shared" ca="1" si="128"/>
        <v>-0.98511130122803015</v>
      </c>
      <c r="D545" s="69">
        <f t="shared" ca="1" si="128"/>
        <v>1.0892300667413906</v>
      </c>
      <c r="E545" s="69">
        <f t="shared" ca="1" si="128"/>
        <v>0.23829518633887165</v>
      </c>
      <c r="F545" s="69">
        <f t="shared" ca="1" si="128"/>
        <v>0.51186534837513853</v>
      </c>
      <c r="G545" s="69">
        <f t="shared" ca="1" si="128"/>
        <v>1.2460003272326068</v>
      </c>
      <c r="H545" s="69">
        <f t="shared" ca="1" si="128"/>
        <v>-4.1418716181768962E-2</v>
      </c>
      <c r="I545" s="69">
        <f t="shared" ca="1" si="128"/>
        <v>-0.26101582848536409</v>
      </c>
      <c r="J545" s="69">
        <f t="shared" ca="1" si="128"/>
        <v>-0.10298780950333092</v>
      </c>
      <c r="K545" s="69">
        <f t="shared" ca="1" si="128"/>
        <v>-0.43580434049129141</v>
      </c>
      <c r="L545" s="69">
        <f t="shared" ca="1" si="128"/>
        <v>0.15149362238352995</v>
      </c>
      <c r="N545" s="69">
        <f t="shared" ca="1" si="117"/>
        <v>0.76149351890059269</v>
      </c>
      <c r="O545" s="69">
        <f t="shared" ca="1" si="118"/>
        <v>-1.0116048643109168</v>
      </c>
      <c r="P545" s="69">
        <f t="shared" ca="1" si="119"/>
        <v>1.0314880019043005</v>
      </c>
      <c r="Q545" s="69">
        <f t="shared" ca="1" si="120"/>
        <v>0.2874038652006306</v>
      </c>
      <c r="R545" s="69">
        <f t="shared" ca="1" si="121"/>
        <v>0.50557066296748965</v>
      </c>
      <c r="S545" s="69">
        <f t="shared" ca="1" si="122"/>
        <v>1.2788272994894152</v>
      </c>
      <c r="T545" s="69">
        <f t="shared" ca="1" si="123"/>
        <v>-4.624975389695881E-2</v>
      </c>
      <c r="U545" s="69">
        <f t="shared" ca="1" si="124"/>
        <v>-0.23797570160765444</v>
      </c>
      <c r="V545" s="69">
        <f t="shared" ca="1" si="125"/>
        <v>-0.10909740307692825</v>
      </c>
      <c r="W545" s="69">
        <f t="shared" ca="1" si="126"/>
        <v>-0.43482298366719246</v>
      </c>
      <c r="X545" s="69">
        <f t="shared" ca="1" si="127"/>
        <v>0.17866211275796542</v>
      </c>
    </row>
    <row r="546" spans="2:24" x14ac:dyDescent="0.2">
      <c r="B546" s="69">
        <f t="shared" ca="1" si="116"/>
        <v>-0.15570220342611418</v>
      </c>
      <c r="C546" s="69">
        <f t="shared" ca="1" si="128"/>
        <v>0.16645726067144054</v>
      </c>
      <c r="D546" s="69">
        <f t="shared" ca="1" si="128"/>
        <v>1.0797030807262933</v>
      </c>
      <c r="E546" s="69">
        <f t="shared" ca="1" si="128"/>
        <v>4.0343058065119647E-2</v>
      </c>
      <c r="F546" s="69">
        <f t="shared" ca="1" si="128"/>
        <v>1.6891782071319341</v>
      </c>
      <c r="G546" s="69">
        <f t="shared" ca="1" si="128"/>
        <v>-1.0686746350230611</v>
      </c>
      <c r="H546" s="69">
        <f t="shared" ca="1" si="128"/>
        <v>-0.73126174066056437</v>
      </c>
      <c r="I546" s="69">
        <f t="shared" ca="1" si="128"/>
        <v>1.4059298901253361</v>
      </c>
      <c r="J546" s="69">
        <f t="shared" ca="1" si="128"/>
        <v>-0.70484427272782768</v>
      </c>
      <c r="K546" s="69">
        <f t="shared" ca="1" si="128"/>
        <v>-0.57920435662546776</v>
      </c>
      <c r="L546" s="69">
        <f t="shared" ca="1" si="128"/>
        <v>0.38032327056639448</v>
      </c>
      <c r="N546" s="69">
        <f t="shared" ca="1" si="117"/>
        <v>-0.11793415958800536</v>
      </c>
      <c r="O546" s="69">
        <f t="shared" ca="1" si="118"/>
        <v>0.13996369758855384</v>
      </c>
      <c r="P546" s="69">
        <f t="shared" ca="1" si="119"/>
        <v>1.0219610158892032</v>
      </c>
      <c r="Q546" s="69">
        <f t="shared" ca="1" si="120"/>
        <v>8.9451736926878592E-2</v>
      </c>
      <c r="R546" s="69">
        <f t="shared" ca="1" si="121"/>
        <v>1.6828835217242852</v>
      </c>
      <c r="S546" s="69">
        <f t="shared" ca="1" si="122"/>
        <v>-1.0358476627662527</v>
      </c>
      <c r="T546" s="69">
        <f t="shared" ca="1" si="123"/>
        <v>-0.73609277837575426</v>
      </c>
      <c r="U546" s="69">
        <f t="shared" ca="1" si="124"/>
        <v>1.4289700170030457</v>
      </c>
      <c r="V546" s="69">
        <f t="shared" ca="1" si="125"/>
        <v>-0.71095386630142499</v>
      </c>
      <c r="W546" s="69">
        <f t="shared" ca="1" si="126"/>
        <v>-0.57822299980136882</v>
      </c>
      <c r="X546" s="69">
        <f t="shared" ca="1" si="127"/>
        <v>0.40749176094082995</v>
      </c>
    </row>
    <row r="547" spans="2:24" x14ac:dyDescent="0.2">
      <c r="B547" s="69">
        <f t="shared" ca="1" si="116"/>
        <v>-0.45808381455127817</v>
      </c>
      <c r="C547" s="69">
        <f t="shared" ca="1" si="128"/>
        <v>3.0517472239704746E-2</v>
      </c>
      <c r="D547" s="69">
        <f t="shared" ca="1" si="128"/>
        <v>-0.31047548339471448</v>
      </c>
      <c r="E547" s="69">
        <f t="shared" ca="1" si="128"/>
        <v>-0.37658109940375661</v>
      </c>
      <c r="F547" s="69">
        <f t="shared" ca="1" si="128"/>
        <v>-1.2330408475531958</v>
      </c>
      <c r="G547" s="69">
        <f t="shared" ca="1" si="128"/>
        <v>-0.36322110755720377</v>
      </c>
      <c r="H547" s="69">
        <f t="shared" ca="1" si="128"/>
        <v>1.3659634044659181</v>
      </c>
      <c r="I547" s="69">
        <f t="shared" ca="1" si="128"/>
        <v>0.13209679389106005</v>
      </c>
      <c r="J547" s="69">
        <f t="shared" ca="1" si="128"/>
        <v>-0.25647870311937182</v>
      </c>
      <c r="K547" s="69">
        <f t="shared" ca="1" si="128"/>
        <v>-0.83305245155357288</v>
      </c>
      <c r="L547" s="69">
        <f t="shared" ca="1" si="128"/>
        <v>-1.6964926539533201</v>
      </c>
      <c r="N547" s="69">
        <f t="shared" ca="1" si="117"/>
        <v>-0.42031577071316933</v>
      </c>
      <c r="O547" s="69">
        <f t="shared" ca="1" si="118"/>
        <v>4.0239091568180611E-3</v>
      </c>
      <c r="P547" s="69">
        <f t="shared" ca="1" si="119"/>
        <v>-0.36821754823180453</v>
      </c>
      <c r="Q547" s="69">
        <f t="shared" ca="1" si="120"/>
        <v>-0.32747242054199766</v>
      </c>
      <c r="R547" s="69">
        <f t="shared" ca="1" si="121"/>
        <v>-1.2393355329608446</v>
      </c>
      <c r="S547" s="69">
        <f t="shared" ca="1" si="122"/>
        <v>-0.3303941353003953</v>
      </c>
      <c r="T547" s="69">
        <f t="shared" ca="1" si="123"/>
        <v>1.3611323667507282</v>
      </c>
      <c r="U547" s="69">
        <f t="shared" ca="1" si="124"/>
        <v>0.1551369207687697</v>
      </c>
      <c r="V547" s="69">
        <f t="shared" ca="1" si="125"/>
        <v>-0.26258829669296913</v>
      </c>
      <c r="W547" s="69">
        <f t="shared" ca="1" si="126"/>
        <v>-0.83207109472947394</v>
      </c>
      <c r="X547" s="69">
        <f t="shared" ca="1" si="127"/>
        <v>-1.6693241635788845</v>
      </c>
    </row>
    <row r="548" spans="2:24" x14ac:dyDescent="0.2">
      <c r="B548" s="69">
        <f t="shared" ca="1" si="116"/>
        <v>1.9136969276591009</v>
      </c>
      <c r="C548" s="69">
        <f t="shared" ca="1" si="128"/>
        <v>-0.19422394096044687</v>
      </c>
      <c r="D548" s="69">
        <f t="shared" ca="1" si="128"/>
        <v>-0.23658263304485472</v>
      </c>
      <c r="E548" s="69">
        <f t="shared" ca="1" si="128"/>
        <v>2.3014741114877704</v>
      </c>
      <c r="F548" s="69">
        <f t="shared" ca="1" si="128"/>
        <v>1.0514029323396243</v>
      </c>
      <c r="G548" s="69">
        <f t="shared" ca="1" si="128"/>
        <v>-0.48144015614770624</v>
      </c>
      <c r="H548" s="69">
        <f t="shared" ca="1" si="128"/>
        <v>-0.77441764463888085</v>
      </c>
      <c r="I548" s="69">
        <f t="shared" ca="1" si="128"/>
        <v>-0.60936606744901889</v>
      </c>
      <c r="J548" s="69">
        <f t="shared" ca="1" si="128"/>
        <v>5.8872287664165752E-2</v>
      </c>
      <c r="K548" s="69">
        <f t="shared" ca="1" si="128"/>
        <v>1.7141505631402361</v>
      </c>
      <c r="L548" s="69">
        <f t="shared" ca="1" si="128"/>
        <v>-0.84979437042077111</v>
      </c>
      <c r="N548" s="69">
        <f t="shared" ca="1" si="117"/>
        <v>1.9514649714972097</v>
      </c>
      <c r="O548" s="69">
        <f t="shared" ca="1" si="118"/>
        <v>-0.22071750404333357</v>
      </c>
      <c r="P548" s="69">
        <f t="shared" ca="1" si="119"/>
        <v>-0.29432469788194476</v>
      </c>
      <c r="Q548" s="69">
        <f t="shared" ca="1" si="120"/>
        <v>2.3505827903495291</v>
      </c>
      <c r="R548" s="69">
        <f t="shared" ca="1" si="121"/>
        <v>1.0451082469319755</v>
      </c>
      <c r="S548" s="69">
        <f t="shared" ca="1" si="122"/>
        <v>-0.44861318389089777</v>
      </c>
      <c r="T548" s="69">
        <f t="shared" ca="1" si="123"/>
        <v>-0.77924868235407074</v>
      </c>
      <c r="U548" s="69">
        <f t="shared" ca="1" si="124"/>
        <v>-0.58632594057130927</v>
      </c>
      <c r="V548" s="69">
        <f t="shared" ca="1" si="125"/>
        <v>5.276269409056842E-2</v>
      </c>
      <c r="W548" s="69">
        <f t="shared" ca="1" si="126"/>
        <v>1.7151319199643351</v>
      </c>
      <c r="X548" s="69">
        <f t="shared" ca="1" si="127"/>
        <v>-0.82262588004633563</v>
      </c>
    </row>
    <row r="549" spans="2:24" x14ac:dyDescent="0.2">
      <c r="B549" s="69">
        <f t="shared" ca="1" si="116"/>
        <v>-0.50319538789737306</v>
      </c>
      <c r="C549" s="69">
        <f t="shared" ca="1" si="128"/>
        <v>-6.331389145753652E-2</v>
      </c>
      <c r="D549" s="69">
        <f t="shared" ca="1" si="128"/>
        <v>1.0489364536439678</v>
      </c>
      <c r="E549" s="69">
        <f t="shared" ca="1" si="128"/>
        <v>7.0551314668888893E-2</v>
      </c>
      <c r="F549" s="69">
        <f t="shared" ca="1" si="128"/>
        <v>-0.20529411805547895</v>
      </c>
      <c r="G549" s="69">
        <f t="shared" ca="1" si="128"/>
        <v>-0.24120604661276043</v>
      </c>
      <c r="H549" s="69">
        <f t="shared" ca="1" si="128"/>
        <v>0.16549612011867931</v>
      </c>
      <c r="I549" s="69">
        <f t="shared" ca="1" si="128"/>
        <v>0.20602500830529771</v>
      </c>
      <c r="J549" s="69">
        <f t="shared" ca="1" si="128"/>
        <v>-0.15502263372746922</v>
      </c>
      <c r="K549" s="69">
        <f t="shared" ca="1" si="128"/>
        <v>0.45908611539353883</v>
      </c>
      <c r="L549" s="69">
        <f t="shared" ca="1" si="128"/>
        <v>-0.77207270594083033</v>
      </c>
      <c r="N549" s="69">
        <f t="shared" ca="1" si="117"/>
        <v>-0.46542734405926423</v>
      </c>
      <c r="O549" s="69">
        <f t="shared" ca="1" si="118"/>
        <v>-8.9807454540423201E-2</v>
      </c>
      <c r="P549" s="69">
        <f t="shared" ca="1" si="119"/>
        <v>0.99119438880687782</v>
      </c>
      <c r="Q549" s="69">
        <f t="shared" ca="1" si="120"/>
        <v>0.11965999353064784</v>
      </c>
      <c r="R549" s="69">
        <f t="shared" ca="1" si="121"/>
        <v>-0.21158880346312786</v>
      </c>
      <c r="S549" s="69">
        <f t="shared" ca="1" si="122"/>
        <v>-0.20837907435595196</v>
      </c>
      <c r="T549" s="69">
        <f t="shared" ca="1" si="123"/>
        <v>0.16066508240348948</v>
      </c>
      <c r="U549" s="69">
        <f t="shared" ca="1" si="124"/>
        <v>0.22906513518300736</v>
      </c>
      <c r="V549" s="69">
        <f t="shared" ca="1" si="125"/>
        <v>-0.16113222730106655</v>
      </c>
      <c r="W549" s="69">
        <f t="shared" ca="1" si="126"/>
        <v>0.46006747221763777</v>
      </c>
      <c r="X549" s="69">
        <f t="shared" ca="1" si="127"/>
        <v>-0.74490421556639486</v>
      </c>
    </row>
    <row r="550" spans="2:24" x14ac:dyDescent="0.2">
      <c r="B550" s="69">
        <f t="shared" ca="1" si="116"/>
        <v>-0.56640133946353988</v>
      </c>
      <c r="C550" s="69">
        <f t="shared" ca="1" si="128"/>
        <v>0.29716949174963769</v>
      </c>
      <c r="D550" s="69">
        <f t="shared" ca="1" si="128"/>
        <v>-0.27446094287927725</v>
      </c>
      <c r="E550" s="69">
        <f t="shared" ca="1" si="128"/>
        <v>1.0092189172004238</v>
      </c>
      <c r="F550" s="69">
        <f t="shared" ca="1" si="128"/>
        <v>1.2982431189023158</v>
      </c>
      <c r="G550" s="69">
        <f t="shared" ca="1" si="128"/>
        <v>-0.38118350602688184</v>
      </c>
      <c r="H550" s="69">
        <f t="shared" ca="1" si="128"/>
        <v>-0.18783333773315436</v>
      </c>
      <c r="I550" s="69">
        <f t="shared" ca="1" si="128"/>
        <v>-0.37674751880508234</v>
      </c>
      <c r="J550" s="69">
        <f t="shared" ca="1" si="128"/>
        <v>0.51803270068281038</v>
      </c>
      <c r="K550" s="69">
        <f t="shared" ca="1" si="128"/>
        <v>-0.95885390508453427</v>
      </c>
      <c r="L550" s="69">
        <f t="shared" ca="1" si="128"/>
        <v>-1.085322083764928</v>
      </c>
      <c r="N550" s="69">
        <f t="shared" ca="1" si="117"/>
        <v>-0.52863329562543104</v>
      </c>
      <c r="O550" s="69">
        <f t="shared" ca="1" si="118"/>
        <v>0.270675928666751</v>
      </c>
      <c r="P550" s="69">
        <f t="shared" ca="1" si="119"/>
        <v>-0.33220300771636729</v>
      </c>
      <c r="Q550" s="69">
        <f t="shared" ca="1" si="120"/>
        <v>1.0583275960621827</v>
      </c>
      <c r="R550" s="69">
        <f t="shared" ca="1" si="121"/>
        <v>1.2919484334946669</v>
      </c>
      <c r="S550" s="69">
        <f t="shared" ca="1" si="122"/>
        <v>-0.34835653377007336</v>
      </c>
      <c r="T550" s="69">
        <f t="shared" ca="1" si="123"/>
        <v>-0.19266437544834419</v>
      </c>
      <c r="U550" s="69">
        <f t="shared" ca="1" si="124"/>
        <v>-0.35370739192737266</v>
      </c>
      <c r="V550" s="69">
        <f t="shared" ca="1" si="125"/>
        <v>0.51192310710921307</v>
      </c>
      <c r="W550" s="69">
        <f t="shared" ca="1" si="126"/>
        <v>-0.95787254826043533</v>
      </c>
      <c r="X550" s="69">
        <f t="shared" ca="1" si="127"/>
        <v>-1.0581535933904924</v>
      </c>
    </row>
    <row r="551" spans="2:24" x14ac:dyDescent="0.2">
      <c r="B551" s="69">
        <f t="shared" ca="1" si="116"/>
        <v>0.49999655936158816</v>
      </c>
      <c r="C551" s="69">
        <f t="shared" ca="1" si="128"/>
        <v>1.9172058213711127</v>
      </c>
      <c r="D551" s="69">
        <f t="shared" ca="1" si="128"/>
        <v>1.0598566714482022E-3</v>
      </c>
      <c r="E551" s="69">
        <f t="shared" ca="1" si="128"/>
        <v>-0.2632348758710632</v>
      </c>
      <c r="F551" s="69">
        <f t="shared" ca="1" si="128"/>
        <v>-0.83247918221884876</v>
      </c>
      <c r="G551" s="69">
        <f t="shared" ca="1" si="128"/>
        <v>0.13078925613684877</v>
      </c>
      <c r="H551" s="69">
        <f t="shared" ca="1" si="128"/>
        <v>-0.94614165856970478</v>
      </c>
      <c r="I551" s="69">
        <f t="shared" ca="1" si="128"/>
        <v>-0.46905265310505195</v>
      </c>
      <c r="J551" s="69">
        <f t="shared" ca="1" si="128"/>
        <v>0.60917930120272046</v>
      </c>
      <c r="K551" s="69">
        <f t="shared" ca="1" si="128"/>
        <v>-0.81575463269169191</v>
      </c>
      <c r="L551" s="69">
        <f t="shared" ca="1" si="128"/>
        <v>-0.82761027124953435</v>
      </c>
      <c r="N551" s="69">
        <f t="shared" ca="1" si="117"/>
        <v>0.53776460319969699</v>
      </c>
      <c r="O551" s="69">
        <f t="shared" ca="1" si="118"/>
        <v>1.8907122582882261</v>
      </c>
      <c r="P551" s="69">
        <f t="shared" ca="1" si="119"/>
        <v>-5.6682208165641831E-2</v>
      </c>
      <c r="Q551" s="69">
        <f t="shared" ca="1" si="120"/>
        <v>-0.21412619700930424</v>
      </c>
      <c r="R551" s="69">
        <f t="shared" ca="1" si="121"/>
        <v>-0.83877386762649764</v>
      </c>
      <c r="S551" s="69">
        <f t="shared" ca="1" si="122"/>
        <v>0.16361622839365725</v>
      </c>
      <c r="T551" s="69">
        <f t="shared" ca="1" si="123"/>
        <v>-0.95097269628489467</v>
      </c>
      <c r="U551" s="69">
        <f t="shared" ca="1" si="124"/>
        <v>-0.44601252622734228</v>
      </c>
      <c r="V551" s="69">
        <f t="shared" ca="1" si="125"/>
        <v>0.60306970762912315</v>
      </c>
      <c r="W551" s="69">
        <f t="shared" ca="1" si="126"/>
        <v>-0.81477327586759296</v>
      </c>
      <c r="X551" s="69">
        <f t="shared" ca="1" si="127"/>
        <v>-0.80044178087509887</v>
      </c>
    </row>
    <row r="552" spans="2:24" x14ac:dyDescent="0.2">
      <c r="B552" s="69">
        <f t="shared" ca="1" si="116"/>
        <v>3.8714538563644027E-2</v>
      </c>
      <c r="C552" s="69">
        <f t="shared" ca="1" si="128"/>
        <v>-1.1120995283791455</v>
      </c>
      <c r="D552" s="69">
        <f t="shared" ca="1" si="128"/>
        <v>0.79669887340333012</v>
      </c>
      <c r="E552" s="69">
        <f t="shared" ca="1" si="128"/>
        <v>1.3175735988507078</v>
      </c>
      <c r="F552" s="69">
        <f t="shared" ca="1" si="128"/>
        <v>0.11937742193533465</v>
      </c>
      <c r="G552" s="69">
        <f t="shared" ca="1" si="128"/>
        <v>-0.70290120414770274</v>
      </c>
      <c r="H552" s="69">
        <f t="shared" ca="1" si="128"/>
        <v>-0.87951996720111281</v>
      </c>
      <c r="I552" s="69">
        <f t="shared" ca="1" si="128"/>
        <v>0.13222487834727584</v>
      </c>
      <c r="J552" s="69">
        <f t="shared" ca="1" si="128"/>
        <v>0.29925106393655532</v>
      </c>
      <c r="K552" s="69">
        <f t="shared" ca="1" si="128"/>
        <v>0.86039090693960085</v>
      </c>
      <c r="L552" s="69">
        <f t="shared" ca="1" si="128"/>
        <v>-0.36189392569351958</v>
      </c>
      <c r="N552" s="69">
        <f t="shared" ca="1" si="117"/>
        <v>7.6482582401752847E-2</v>
      </c>
      <c r="O552" s="69">
        <f t="shared" ca="1" si="118"/>
        <v>-1.1385930914620321</v>
      </c>
      <c r="P552" s="69">
        <f t="shared" ca="1" si="119"/>
        <v>0.73895680856624013</v>
      </c>
      <c r="Q552" s="69">
        <f t="shared" ca="1" si="120"/>
        <v>1.3666822777124668</v>
      </c>
      <c r="R552" s="69">
        <f t="shared" ca="1" si="121"/>
        <v>0.11308273652768576</v>
      </c>
      <c r="S552" s="69">
        <f t="shared" ca="1" si="122"/>
        <v>-0.67007423189089421</v>
      </c>
      <c r="T552" s="69">
        <f t="shared" ca="1" si="123"/>
        <v>-0.8843510049163027</v>
      </c>
      <c r="U552" s="69">
        <f t="shared" ca="1" si="124"/>
        <v>0.15526500522498549</v>
      </c>
      <c r="V552" s="69">
        <f t="shared" ca="1" si="125"/>
        <v>0.29314147036295801</v>
      </c>
      <c r="W552" s="69">
        <f t="shared" ca="1" si="126"/>
        <v>0.8613722637636998</v>
      </c>
      <c r="X552" s="69">
        <f t="shared" ca="1" si="127"/>
        <v>-0.33472543531908411</v>
      </c>
    </row>
    <row r="553" spans="2:24" x14ac:dyDescent="0.2">
      <c r="B553" s="69">
        <f t="shared" ca="1" si="116"/>
        <v>0.40743573348550033</v>
      </c>
      <c r="C553" s="69">
        <f t="shared" ca="1" si="128"/>
        <v>0.78938584048219007</v>
      </c>
      <c r="D553" s="69">
        <f t="shared" ca="1" si="128"/>
        <v>-0.49656757694090431</v>
      </c>
      <c r="E553" s="69">
        <f t="shared" ca="1" si="128"/>
        <v>0.84218794176623124</v>
      </c>
      <c r="F553" s="69">
        <f t="shared" ca="1" si="128"/>
        <v>-0.44223380964186743</v>
      </c>
      <c r="G553" s="69">
        <f t="shared" ca="1" si="128"/>
        <v>0.38802371905933758</v>
      </c>
      <c r="H553" s="69">
        <f t="shared" ca="1" si="128"/>
        <v>-0.52091653520282255</v>
      </c>
      <c r="I553" s="69">
        <f t="shared" ca="1" si="128"/>
        <v>-0.62347523519854986</v>
      </c>
      <c r="J553" s="69">
        <f t="shared" ca="1" si="128"/>
        <v>0.17511282487995905</v>
      </c>
      <c r="K553" s="69">
        <f t="shared" ca="1" si="128"/>
        <v>0.7150549611789655</v>
      </c>
      <c r="L553" s="69">
        <f t="shared" ca="1" si="128"/>
        <v>-0.2886221581768994</v>
      </c>
      <c r="N553" s="69">
        <f t="shared" ca="1" si="117"/>
        <v>0.44520377732360916</v>
      </c>
      <c r="O553" s="69">
        <f t="shared" ca="1" si="118"/>
        <v>0.76289227739930343</v>
      </c>
      <c r="P553" s="69">
        <f t="shared" ca="1" si="119"/>
        <v>-0.55430964177799436</v>
      </c>
      <c r="Q553" s="69">
        <f t="shared" ca="1" si="120"/>
        <v>0.8912966206279902</v>
      </c>
      <c r="R553" s="69">
        <f t="shared" ca="1" si="121"/>
        <v>-0.44852849504951631</v>
      </c>
      <c r="S553" s="69">
        <f t="shared" ca="1" si="122"/>
        <v>0.42085069131614605</v>
      </c>
      <c r="T553" s="69">
        <f t="shared" ca="1" si="123"/>
        <v>-0.52574757291801244</v>
      </c>
      <c r="U553" s="69">
        <f t="shared" ca="1" si="124"/>
        <v>-0.60043510832084024</v>
      </c>
      <c r="V553" s="69">
        <f t="shared" ca="1" si="125"/>
        <v>0.16900323130636172</v>
      </c>
      <c r="W553" s="69">
        <f t="shared" ca="1" si="126"/>
        <v>0.71603631800306444</v>
      </c>
      <c r="X553" s="69">
        <f t="shared" ca="1" si="127"/>
        <v>-0.26145366780246393</v>
      </c>
    </row>
    <row r="554" spans="2:24" x14ac:dyDescent="0.2">
      <c r="B554" s="69">
        <f t="shared" ca="1" si="116"/>
        <v>-0.21334578207496929</v>
      </c>
      <c r="C554" s="69">
        <f t="shared" ca="1" si="128"/>
        <v>-0.7244779001122531</v>
      </c>
      <c r="D554" s="69">
        <f t="shared" ref="C554:L617" ca="1" si="129">NORMINV(RAND(),$C$7,$F$7)</f>
        <v>0.20776870899981828</v>
      </c>
      <c r="E554" s="69">
        <f t="shared" ca="1" si="129"/>
        <v>-1.093151800808468</v>
      </c>
      <c r="F554" s="69">
        <f t="shared" ca="1" si="129"/>
        <v>0.70173347186186785</v>
      </c>
      <c r="G554" s="69">
        <f t="shared" ca="1" si="129"/>
        <v>-0.91091068827321342</v>
      </c>
      <c r="H554" s="69">
        <f t="shared" ca="1" si="129"/>
        <v>1.3187334242942907</v>
      </c>
      <c r="I554" s="69">
        <f t="shared" ca="1" si="129"/>
        <v>2.0704764555865491</v>
      </c>
      <c r="J554" s="69">
        <f t="shared" ca="1" si="129"/>
        <v>0.51546997982474008</v>
      </c>
      <c r="K554" s="69">
        <f t="shared" ca="1" si="129"/>
        <v>-0.84465900070944622</v>
      </c>
      <c r="L554" s="69">
        <f t="shared" ca="1" si="129"/>
        <v>-0.8446549721674379</v>
      </c>
      <c r="N554" s="69">
        <f t="shared" ca="1" si="117"/>
        <v>-0.17557773823686046</v>
      </c>
      <c r="O554" s="69">
        <f t="shared" ca="1" si="118"/>
        <v>-0.75097146319513974</v>
      </c>
      <c r="P554" s="69">
        <f t="shared" ca="1" si="119"/>
        <v>0.15002664416272826</v>
      </c>
      <c r="Q554" s="69">
        <f t="shared" ca="1" si="120"/>
        <v>-1.044043121946709</v>
      </c>
      <c r="R554" s="69">
        <f t="shared" ca="1" si="121"/>
        <v>0.69543878645421897</v>
      </c>
      <c r="S554" s="69">
        <f t="shared" ca="1" si="122"/>
        <v>-0.87808371601640489</v>
      </c>
      <c r="T554" s="69">
        <f t="shared" ca="1" si="123"/>
        <v>1.3139023865791009</v>
      </c>
      <c r="U554" s="69">
        <f t="shared" ca="1" si="124"/>
        <v>2.0935165824642588</v>
      </c>
      <c r="V554" s="69">
        <f t="shared" ca="1" si="125"/>
        <v>0.50936038625114277</v>
      </c>
      <c r="W554" s="69">
        <f t="shared" ca="1" si="126"/>
        <v>-0.84367764388534727</v>
      </c>
      <c r="X554" s="69">
        <f t="shared" ca="1" si="127"/>
        <v>-0.81748648179300243</v>
      </c>
    </row>
    <row r="555" spans="2:24" x14ac:dyDescent="0.2">
      <c r="B555" s="69">
        <f t="shared" ca="1" si="116"/>
        <v>-5.8959666658280237E-3</v>
      </c>
      <c r="C555" s="69">
        <f t="shared" ca="1" si="129"/>
        <v>0.84584998229162789</v>
      </c>
      <c r="D555" s="69">
        <f t="shared" ca="1" si="129"/>
        <v>0.20681351848756019</v>
      </c>
      <c r="E555" s="69">
        <f t="shared" ca="1" si="129"/>
        <v>0.27556006618932488</v>
      </c>
      <c r="F555" s="69">
        <f t="shared" ca="1" si="129"/>
        <v>0.31738615496189515</v>
      </c>
      <c r="G555" s="69">
        <f t="shared" ca="1" si="129"/>
        <v>-0.96233881238507546</v>
      </c>
      <c r="H555" s="69">
        <f t="shared" ca="1" si="129"/>
        <v>1.3490163933440509</v>
      </c>
      <c r="I555" s="69">
        <f t="shared" ca="1" si="129"/>
        <v>0.14417774087054652</v>
      </c>
      <c r="J555" s="69">
        <f t="shared" ca="1" si="129"/>
        <v>-2.5871525085287472</v>
      </c>
      <c r="K555" s="69">
        <f t="shared" ca="1" si="129"/>
        <v>-0.5406480260858445</v>
      </c>
      <c r="L555" s="69">
        <f t="shared" ca="1" si="129"/>
        <v>0.95458598487814883</v>
      </c>
      <c r="N555" s="69">
        <f t="shared" ca="1" si="117"/>
        <v>3.1872077172280799E-2</v>
      </c>
      <c r="O555" s="69">
        <f t="shared" ca="1" si="118"/>
        <v>0.81935641920874125</v>
      </c>
      <c r="P555" s="69">
        <f t="shared" ca="1" si="119"/>
        <v>0.14907145365047014</v>
      </c>
      <c r="Q555" s="69">
        <f t="shared" ca="1" si="120"/>
        <v>0.32466874505108384</v>
      </c>
      <c r="R555" s="69">
        <f t="shared" ca="1" si="121"/>
        <v>0.31109146955424627</v>
      </c>
      <c r="S555" s="69">
        <f t="shared" ca="1" si="122"/>
        <v>-0.92951184012826693</v>
      </c>
      <c r="T555" s="69">
        <f t="shared" ca="1" si="123"/>
        <v>1.344185355628861</v>
      </c>
      <c r="U555" s="69">
        <f t="shared" ca="1" si="124"/>
        <v>0.16721786774825617</v>
      </c>
      <c r="V555" s="69">
        <f t="shared" ca="1" si="125"/>
        <v>-2.5932621021023445</v>
      </c>
      <c r="W555" s="69">
        <f t="shared" ca="1" si="126"/>
        <v>-0.53966666926174556</v>
      </c>
      <c r="X555" s="69">
        <f t="shared" ca="1" si="127"/>
        <v>0.9817544752525843</v>
      </c>
    </row>
    <row r="556" spans="2:24" x14ac:dyDescent="0.2">
      <c r="B556" s="69">
        <f t="shared" ca="1" si="116"/>
        <v>1.4806374165657525</v>
      </c>
      <c r="C556" s="69">
        <f t="shared" ca="1" si="129"/>
        <v>-2.1707593647927927</v>
      </c>
      <c r="D556" s="69">
        <f t="shared" ca="1" si="129"/>
        <v>1.425250170225387</v>
      </c>
      <c r="E556" s="69">
        <f t="shared" ca="1" si="129"/>
        <v>0.71187682403366814</v>
      </c>
      <c r="F556" s="69">
        <f t="shared" ca="1" si="129"/>
        <v>0.68010125541641642</v>
      </c>
      <c r="G556" s="69">
        <f t="shared" ca="1" si="129"/>
        <v>-0.46749363954664658</v>
      </c>
      <c r="H556" s="69">
        <f t="shared" ca="1" si="129"/>
        <v>2.6813996806220479</v>
      </c>
      <c r="I556" s="69">
        <f t="shared" ca="1" si="129"/>
        <v>1.656552006660992</v>
      </c>
      <c r="J556" s="69">
        <f t="shared" ca="1" si="129"/>
        <v>0.3096994408138764</v>
      </c>
      <c r="K556" s="69">
        <f t="shared" ca="1" si="129"/>
        <v>-0.17053602704864274</v>
      </c>
      <c r="L556" s="69">
        <f t="shared" ca="1" si="129"/>
        <v>-1.0148120032975205</v>
      </c>
      <c r="N556" s="69">
        <f t="shared" ca="1" si="117"/>
        <v>1.5184054604038613</v>
      </c>
      <c r="O556" s="69">
        <f t="shared" ca="1" si="118"/>
        <v>-2.1972529278756796</v>
      </c>
      <c r="P556" s="69">
        <f t="shared" ca="1" si="119"/>
        <v>1.3675081053882969</v>
      </c>
      <c r="Q556" s="69">
        <f t="shared" ca="1" si="120"/>
        <v>0.7609855028954271</v>
      </c>
      <c r="R556" s="69">
        <f t="shared" ca="1" si="121"/>
        <v>0.67380657000876754</v>
      </c>
      <c r="S556" s="69">
        <f t="shared" ca="1" si="122"/>
        <v>-0.4346666672898381</v>
      </c>
      <c r="T556" s="69">
        <f t="shared" ca="1" si="123"/>
        <v>2.676568642906858</v>
      </c>
      <c r="U556" s="69">
        <f t="shared" ca="1" si="124"/>
        <v>1.6795921335387016</v>
      </c>
      <c r="V556" s="69">
        <f t="shared" ca="1" si="125"/>
        <v>0.3035898472402791</v>
      </c>
      <c r="W556" s="69">
        <f t="shared" ca="1" si="126"/>
        <v>-0.16955467022454379</v>
      </c>
      <c r="X556" s="69">
        <f t="shared" ca="1" si="127"/>
        <v>-0.98764351292308505</v>
      </c>
    </row>
    <row r="557" spans="2:24" x14ac:dyDescent="0.2">
      <c r="B557" s="69">
        <f t="shared" ca="1" si="116"/>
        <v>-0.99752701229588381</v>
      </c>
      <c r="C557" s="69">
        <f t="shared" ca="1" si="129"/>
        <v>1.478559278987049</v>
      </c>
      <c r="D557" s="69">
        <f t="shared" ca="1" si="129"/>
        <v>1.676046978107087</v>
      </c>
      <c r="E557" s="69">
        <f t="shared" ca="1" si="129"/>
        <v>-2.5799962975307849</v>
      </c>
      <c r="F557" s="69">
        <f t="shared" ca="1" si="129"/>
        <v>1.5206169349512628</v>
      </c>
      <c r="G557" s="69">
        <f t="shared" ca="1" si="129"/>
        <v>0.11885314438643217</v>
      </c>
      <c r="H557" s="69">
        <f t="shared" ca="1" si="129"/>
        <v>0.59358435850808322</v>
      </c>
      <c r="I557" s="69">
        <f t="shared" ca="1" si="129"/>
        <v>-1.6173914897036636</v>
      </c>
      <c r="J557" s="69">
        <f t="shared" ca="1" si="129"/>
        <v>0.23143291961449022</v>
      </c>
      <c r="K557" s="69">
        <f t="shared" ca="1" si="129"/>
        <v>-1.457181238900142</v>
      </c>
      <c r="L557" s="69">
        <f t="shared" ca="1" si="129"/>
        <v>-0.38276951215580002</v>
      </c>
      <c r="N557" s="69">
        <f t="shared" ca="1" si="117"/>
        <v>-0.95975896845777497</v>
      </c>
      <c r="O557" s="69">
        <f t="shared" ca="1" si="118"/>
        <v>1.4520657159041623</v>
      </c>
      <c r="P557" s="69">
        <f t="shared" ca="1" si="119"/>
        <v>1.6183049132699969</v>
      </c>
      <c r="Q557" s="69">
        <f t="shared" ca="1" si="120"/>
        <v>-2.5308876186690261</v>
      </c>
      <c r="R557" s="69">
        <f t="shared" ca="1" si="121"/>
        <v>1.5143222495436139</v>
      </c>
      <c r="S557" s="69">
        <f t="shared" ca="1" si="122"/>
        <v>0.15168011664324066</v>
      </c>
      <c r="T557" s="69">
        <f t="shared" ca="1" si="123"/>
        <v>0.58875332079289333</v>
      </c>
      <c r="U557" s="69">
        <f t="shared" ca="1" si="124"/>
        <v>-1.594351362825954</v>
      </c>
      <c r="V557" s="69">
        <f t="shared" ca="1" si="125"/>
        <v>0.22532332604089289</v>
      </c>
      <c r="W557" s="69">
        <f t="shared" ca="1" si="126"/>
        <v>-1.4561998820760429</v>
      </c>
      <c r="X557" s="69">
        <f t="shared" ca="1" si="127"/>
        <v>-0.35560102178136455</v>
      </c>
    </row>
    <row r="558" spans="2:24" x14ac:dyDescent="0.2">
      <c r="B558" s="69">
        <f t="shared" ca="1" si="116"/>
        <v>0.11511531803198484</v>
      </c>
      <c r="C558" s="69">
        <f t="shared" ca="1" si="129"/>
        <v>0.51797069068139523</v>
      </c>
      <c r="D558" s="69">
        <f t="shared" ca="1" si="129"/>
        <v>-8.2017329417599358E-2</v>
      </c>
      <c r="E558" s="69">
        <f t="shared" ca="1" si="129"/>
        <v>-1.0921199566396156</v>
      </c>
      <c r="F558" s="69">
        <f t="shared" ca="1" si="129"/>
        <v>1.108094327198418</v>
      </c>
      <c r="G558" s="69">
        <f t="shared" ca="1" si="129"/>
        <v>0.26197252519171593</v>
      </c>
      <c r="H558" s="69">
        <f t="shared" ca="1" si="129"/>
        <v>0.25656266014971257</v>
      </c>
      <c r="I558" s="69">
        <f t="shared" ca="1" si="129"/>
        <v>-0.16868674760881472</v>
      </c>
      <c r="J558" s="69">
        <f t="shared" ca="1" si="129"/>
        <v>-0.39834938325736008</v>
      </c>
      <c r="K558" s="69">
        <f t="shared" ca="1" si="129"/>
        <v>1.4713449646351853</v>
      </c>
      <c r="L558" s="69">
        <f t="shared" ca="1" si="129"/>
        <v>2.4908165399123768E-2</v>
      </c>
      <c r="N558" s="69">
        <f t="shared" ca="1" si="117"/>
        <v>0.15288336187009366</v>
      </c>
      <c r="O558" s="69">
        <f t="shared" ca="1" si="118"/>
        <v>0.49147712759850853</v>
      </c>
      <c r="P558" s="69">
        <f t="shared" ca="1" si="119"/>
        <v>-0.13975939425468939</v>
      </c>
      <c r="Q558" s="69">
        <f t="shared" ca="1" si="120"/>
        <v>-1.0430112777778566</v>
      </c>
      <c r="R558" s="69">
        <f t="shared" ca="1" si="121"/>
        <v>1.1017996417907692</v>
      </c>
      <c r="S558" s="69">
        <f t="shared" ca="1" si="122"/>
        <v>0.29479949744852441</v>
      </c>
      <c r="T558" s="69">
        <f t="shared" ca="1" si="123"/>
        <v>0.25173162243452274</v>
      </c>
      <c r="U558" s="69">
        <f t="shared" ca="1" si="124"/>
        <v>-0.14564662073110507</v>
      </c>
      <c r="V558" s="69">
        <f t="shared" ca="1" si="125"/>
        <v>-0.40445897683095738</v>
      </c>
      <c r="W558" s="69">
        <f t="shared" ca="1" si="126"/>
        <v>1.4723263214592843</v>
      </c>
      <c r="X558" s="69">
        <f t="shared" ca="1" si="127"/>
        <v>5.2076655773559244E-2</v>
      </c>
    </row>
    <row r="559" spans="2:24" x14ac:dyDescent="0.2">
      <c r="B559" s="69">
        <f t="shared" ca="1" si="116"/>
        <v>-0.58012553722490767</v>
      </c>
      <c r="C559" s="69">
        <f t="shared" ca="1" si="129"/>
        <v>-1.0327188454718852</v>
      </c>
      <c r="D559" s="69">
        <f t="shared" ca="1" si="129"/>
        <v>-0.30698867022570164</v>
      </c>
      <c r="E559" s="69">
        <f t="shared" ca="1" si="129"/>
        <v>1.7319381692847766</v>
      </c>
      <c r="F559" s="69">
        <f t="shared" ca="1" si="129"/>
        <v>2.2920499904362583</v>
      </c>
      <c r="G559" s="69">
        <f t="shared" ca="1" si="129"/>
        <v>6.3232413632435345E-3</v>
      </c>
      <c r="H559" s="69">
        <f t="shared" ca="1" si="129"/>
        <v>-1.2912808835544969</v>
      </c>
      <c r="I559" s="69">
        <f t="shared" ca="1" si="129"/>
        <v>0.27855629192588433</v>
      </c>
      <c r="J559" s="69">
        <f t="shared" ca="1" si="129"/>
        <v>1.4787710206003644</v>
      </c>
      <c r="K559" s="69">
        <f t="shared" ca="1" si="129"/>
        <v>-1.0347155912907409</v>
      </c>
      <c r="L559" s="69">
        <f t="shared" ca="1" si="129"/>
        <v>-1.6539091420532228</v>
      </c>
      <c r="N559" s="69">
        <f t="shared" ca="1" si="117"/>
        <v>-0.54235749338679884</v>
      </c>
      <c r="O559" s="69">
        <f t="shared" ca="1" si="118"/>
        <v>-1.0592124085547718</v>
      </c>
      <c r="P559" s="69">
        <f t="shared" ca="1" si="119"/>
        <v>-0.36473073506279169</v>
      </c>
      <c r="Q559" s="69">
        <f t="shared" ca="1" si="120"/>
        <v>1.7810468481465356</v>
      </c>
      <c r="R559" s="69">
        <f t="shared" ca="1" si="121"/>
        <v>2.2857553050286095</v>
      </c>
      <c r="S559" s="69">
        <f t="shared" ca="1" si="122"/>
        <v>3.9150213620052013E-2</v>
      </c>
      <c r="T559" s="69">
        <f t="shared" ca="1" si="123"/>
        <v>-1.2961119212696868</v>
      </c>
      <c r="U559" s="69">
        <f t="shared" ca="1" si="124"/>
        <v>0.301596418803594</v>
      </c>
      <c r="V559" s="69">
        <f t="shared" ca="1" si="125"/>
        <v>1.4726614270267671</v>
      </c>
      <c r="W559" s="69">
        <f t="shared" ca="1" si="126"/>
        <v>-1.0337342344666418</v>
      </c>
      <c r="X559" s="69">
        <f t="shared" ca="1" si="127"/>
        <v>-1.6267406516787872</v>
      </c>
    </row>
    <row r="560" spans="2:24" x14ac:dyDescent="0.2">
      <c r="B560" s="69">
        <f t="shared" ca="1" si="116"/>
        <v>0.14412043101915714</v>
      </c>
      <c r="C560" s="69">
        <f t="shared" ca="1" si="129"/>
        <v>-1.5870932734981225</v>
      </c>
      <c r="D560" s="69">
        <f t="shared" ca="1" si="129"/>
        <v>-0.24682279788265171</v>
      </c>
      <c r="E560" s="69">
        <f t="shared" ca="1" si="129"/>
        <v>-0.66705180821942422</v>
      </c>
      <c r="F560" s="69">
        <f t="shared" ca="1" si="129"/>
        <v>0.19935161084569458</v>
      </c>
      <c r="G560" s="69">
        <f t="shared" ca="1" si="129"/>
        <v>2.0514351687243363E-2</v>
      </c>
      <c r="H560" s="69">
        <f t="shared" ca="1" si="129"/>
        <v>-1.0628190979657144</v>
      </c>
      <c r="I560" s="69">
        <f t="shared" ca="1" si="129"/>
        <v>1.0392768762380231</v>
      </c>
      <c r="J560" s="69">
        <f t="shared" ca="1" si="129"/>
        <v>0.58234758316106461</v>
      </c>
      <c r="K560" s="69">
        <f t="shared" ca="1" si="129"/>
        <v>-1.1449486258161783</v>
      </c>
      <c r="L560" s="69">
        <f t="shared" ca="1" si="129"/>
        <v>0.71212152839687515</v>
      </c>
      <c r="N560" s="69">
        <f t="shared" ca="1" si="117"/>
        <v>0.18188847485726595</v>
      </c>
      <c r="O560" s="69">
        <f t="shared" ca="1" si="118"/>
        <v>-1.6135868365810091</v>
      </c>
      <c r="P560" s="69">
        <f t="shared" ca="1" si="119"/>
        <v>-0.30456486271974176</v>
      </c>
      <c r="Q560" s="69">
        <f t="shared" ca="1" si="120"/>
        <v>-0.61794312935766527</v>
      </c>
      <c r="R560" s="69">
        <f t="shared" ca="1" si="121"/>
        <v>0.19305692543804567</v>
      </c>
      <c r="S560" s="69">
        <f t="shared" ca="1" si="122"/>
        <v>5.3341323944051847E-2</v>
      </c>
      <c r="T560" s="69">
        <f t="shared" ca="1" si="123"/>
        <v>-1.0676501356809043</v>
      </c>
      <c r="U560" s="69">
        <f t="shared" ca="1" si="124"/>
        <v>1.0623170031157327</v>
      </c>
      <c r="V560" s="69">
        <f t="shared" ca="1" si="125"/>
        <v>0.5762379895874673</v>
      </c>
      <c r="W560" s="69">
        <f t="shared" ca="1" si="126"/>
        <v>-1.1439672689920792</v>
      </c>
      <c r="X560" s="69">
        <f t="shared" ca="1" si="127"/>
        <v>0.73929001877131062</v>
      </c>
    </row>
    <row r="561" spans="2:24" x14ac:dyDescent="0.2">
      <c r="B561" s="69">
        <f t="shared" ca="1" si="116"/>
        <v>-8.1244849300537575E-2</v>
      </c>
      <c r="C561" s="69">
        <f t="shared" ca="1" si="129"/>
        <v>-1.1156785342436804</v>
      </c>
      <c r="D561" s="69">
        <f t="shared" ca="1" si="129"/>
        <v>0.21245620010050692</v>
      </c>
      <c r="E561" s="69">
        <f t="shared" ca="1" si="129"/>
        <v>-2.1618291321186121</v>
      </c>
      <c r="F561" s="69">
        <f t="shared" ca="1" si="129"/>
        <v>-0.25763948711083379</v>
      </c>
      <c r="G561" s="69">
        <f t="shared" ca="1" si="129"/>
        <v>4.8887720363117074E-2</v>
      </c>
      <c r="H561" s="69">
        <f t="shared" ca="1" si="129"/>
        <v>0.34331925538973684</v>
      </c>
      <c r="I561" s="69">
        <f t="shared" ca="1" si="129"/>
        <v>0.15631041141735688</v>
      </c>
      <c r="J561" s="69">
        <f t="shared" ca="1" si="129"/>
        <v>-1.5728222134200058</v>
      </c>
      <c r="K561" s="69">
        <f t="shared" ca="1" si="129"/>
        <v>1.5711123529799331</v>
      </c>
      <c r="L561" s="69">
        <f t="shared" ca="1" si="129"/>
        <v>0.41206195656363404</v>
      </c>
      <c r="N561" s="69">
        <f t="shared" ca="1" si="117"/>
        <v>-4.3476805462428755E-2</v>
      </c>
      <c r="O561" s="69">
        <f t="shared" ca="1" si="118"/>
        <v>-1.142172097326567</v>
      </c>
      <c r="P561" s="69">
        <f t="shared" ca="1" si="119"/>
        <v>0.15471413526341687</v>
      </c>
      <c r="Q561" s="69">
        <f t="shared" ca="1" si="120"/>
        <v>-2.1127204532568533</v>
      </c>
      <c r="R561" s="69">
        <f t="shared" ca="1" si="121"/>
        <v>-0.26393417251848267</v>
      </c>
      <c r="S561" s="69">
        <f t="shared" ca="1" si="122"/>
        <v>8.1714692619925561E-2</v>
      </c>
      <c r="T561" s="69">
        <f t="shared" ca="1" si="123"/>
        <v>0.33848821767454701</v>
      </c>
      <c r="U561" s="69">
        <f t="shared" ca="1" si="124"/>
        <v>0.17935053829506653</v>
      </c>
      <c r="V561" s="69">
        <f t="shared" ca="1" si="125"/>
        <v>-1.5789318069936031</v>
      </c>
      <c r="W561" s="69">
        <f t="shared" ca="1" si="126"/>
        <v>1.5720937098040322</v>
      </c>
      <c r="X561" s="69">
        <f t="shared" ca="1" si="127"/>
        <v>0.43923044693806951</v>
      </c>
    </row>
    <row r="562" spans="2:24" x14ac:dyDescent="0.2">
      <c r="B562" s="69">
        <f t="shared" ca="1" si="116"/>
        <v>0.88318641840181289</v>
      </c>
      <c r="C562" s="69">
        <f t="shared" ca="1" si="129"/>
        <v>8.2803007173569504E-2</v>
      </c>
      <c r="D562" s="69">
        <f t="shared" ca="1" si="129"/>
        <v>-1.4769565495696955</v>
      </c>
      <c r="E562" s="69">
        <f t="shared" ca="1" si="129"/>
        <v>-0.25717322301080514</v>
      </c>
      <c r="F562" s="69">
        <f t="shared" ca="1" si="129"/>
        <v>4.6086281055536513E-2</v>
      </c>
      <c r="G562" s="69">
        <f t="shared" ca="1" si="129"/>
        <v>-1.7598763699378188</v>
      </c>
      <c r="H562" s="69">
        <f t="shared" ca="1" si="129"/>
        <v>-0.46137994562693319</v>
      </c>
      <c r="I562" s="69">
        <f t="shared" ca="1" si="129"/>
        <v>-0.41666712921253474</v>
      </c>
      <c r="J562" s="69">
        <f t="shared" ca="1" si="129"/>
        <v>-2.0960341004531275</v>
      </c>
      <c r="K562" s="69">
        <f t="shared" ca="1" si="129"/>
        <v>-0.25499785605094022</v>
      </c>
      <c r="L562" s="69">
        <f t="shared" ca="1" si="129"/>
        <v>0.2815766860773275</v>
      </c>
      <c r="N562" s="69">
        <f t="shared" ca="1" si="117"/>
        <v>0.92095446223992172</v>
      </c>
      <c r="O562" s="69">
        <f t="shared" ca="1" si="118"/>
        <v>5.6309444090682823E-2</v>
      </c>
      <c r="P562" s="69">
        <f t="shared" ca="1" si="119"/>
        <v>-1.5346986144067856</v>
      </c>
      <c r="Q562" s="69">
        <f t="shared" ca="1" si="120"/>
        <v>-0.20806454414904618</v>
      </c>
      <c r="R562" s="69">
        <f t="shared" ca="1" si="121"/>
        <v>3.9791595647887618E-2</v>
      </c>
      <c r="S562" s="69">
        <f t="shared" ca="1" si="122"/>
        <v>-1.7270493976810104</v>
      </c>
      <c r="T562" s="69">
        <f t="shared" ca="1" si="123"/>
        <v>-0.46621098334212302</v>
      </c>
      <c r="U562" s="69">
        <f t="shared" ca="1" si="124"/>
        <v>-0.39362700233482506</v>
      </c>
      <c r="V562" s="69">
        <f t="shared" ca="1" si="125"/>
        <v>-2.1021436940267249</v>
      </c>
      <c r="W562" s="69">
        <f t="shared" ca="1" si="126"/>
        <v>-0.25401649922684127</v>
      </c>
      <c r="X562" s="69">
        <f t="shared" ca="1" si="127"/>
        <v>0.30874517645176297</v>
      </c>
    </row>
    <row r="563" spans="2:24" x14ac:dyDescent="0.2">
      <c r="B563" s="69">
        <f t="shared" ca="1" si="116"/>
        <v>-0.75403878712409278</v>
      </c>
      <c r="C563" s="69">
        <f t="shared" ca="1" si="129"/>
        <v>1.0082276221645234</v>
      </c>
      <c r="D563" s="69">
        <f t="shared" ca="1" si="129"/>
        <v>0.17840357883923463</v>
      </c>
      <c r="E563" s="69">
        <f t="shared" ca="1" si="129"/>
        <v>2.2100557693918761</v>
      </c>
      <c r="F563" s="69">
        <f t="shared" ca="1" si="129"/>
        <v>-1.3744552426999674</v>
      </c>
      <c r="G563" s="69">
        <f t="shared" ca="1" si="129"/>
        <v>0.59038032238592641</v>
      </c>
      <c r="H563" s="69">
        <f t="shared" ca="1" si="129"/>
        <v>-1.2900737216213316</v>
      </c>
      <c r="I563" s="69">
        <f t="shared" ca="1" si="129"/>
        <v>1.1379455087407884</v>
      </c>
      <c r="J563" s="69">
        <f t="shared" ca="1" si="129"/>
        <v>0.68278929674748012</v>
      </c>
      <c r="K563" s="69">
        <f t="shared" ca="1" si="129"/>
        <v>-0.73707554575908174</v>
      </c>
      <c r="L563" s="69">
        <f t="shared" ca="1" si="129"/>
        <v>-1.1445595418944614</v>
      </c>
      <c r="N563" s="69">
        <f t="shared" ca="1" si="117"/>
        <v>-0.71627074328598395</v>
      </c>
      <c r="O563" s="69">
        <f t="shared" ca="1" si="118"/>
        <v>0.9817340590816368</v>
      </c>
      <c r="P563" s="69">
        <f t="shared" ca="1" si="119"/>
        <v>0.1206615140021446</v>
      </c>
      <c r="Q563" s="69">
        <f t="shared" ca="1" si="120"/>
        <v>2.2591644482536348</v>
      </c>
      <c r="R563" s="69">
        <f t="shared" ca="1" si="121"/>
        <v>-1.3807499281076163</v>
      </c>
      <c r="S563" s="69">
        <f t="shared" ca="1" si="122"/>
        <v>0.62320729464273494</v>
      </c>
      <c r="T563" s="69">
        <f t="shared" ca="1" si="123"/>
        <v>-1.2949047593365215</v>
      </c>
      <c r="U563" s="69">
        <f t="shared" ca="1" si="124"/>
        <v>1.160985635618498</v>
      </c>
      <c r="V563" s="69">
        <f t="shared" ca="1" si="125"/>
        <v>0.67667970317388282</v>
      </c>
      <c r="W563" s="69">
        <f t="shared" ca="1" si="126"/>
        <v>-0.7360941889349828</v>
      </c>
      <c r="X563" s="69">
        <f t="shared" ca="1" si="127"/>
        <v>-1.1173910515200258</v>
      </c>
    </row>
    <row r="564" spans="2:24" x14ac:dyDescent="0.2">
      <c r="B564" s="69">
        <f t="shared" ca="1" si="116"/>
        <v>0.59246747556053292</v>
      </c>
      <c r="C564" s="69">
        <f t="shared" ca="1" si="129"/>
        <v>1.0701758786405484</v>
      </c>
      <c r="D564" s="69">
        <f t="shared" ca="1" si="129"/>
        <v>0.72004572299636871</v>
      </c>
      <c r="E564" s="69">
        <f t="shared" ca="1" si="129"/>
        <v>0.80412103096018006</v>
      </c>
      <c r="F564" s="69">
        <f t="shared" ca="1" si="129"/>
        <v>0.97017433376710838</v>
      </c>
      <c r="G564" s="69">
        <f t="shared" ca="1" si="129"/>
        <v>-0.92591255293641073</v>
      </c>
      <c r="H564" s="69">
        <f t="shared" ca="1" si="129"/>
        <v>0.47039956557204865</v>
      </c>
      <c r="I564" s="69">
        <f t="shared" ca="1" si="129"/>
        <v>0.3370939403634704</v>
      </c>
      <c r="J564" s="69">
        <f t="shared" ca="1" si="129"/>
        <v>-1.8340317437357951</v>
      </c>
      <c r="K564" s="69">
        <f t="shared" ca="1" si="129"/>
        <v>1.2618271493724387</v>
      </c>
      <c r="L564" s="69">
        <f t="shared" ca="1" si="129"/>
        <v>-1.0380965314224131</v>
      </c>
      <c r="N564" s="69">
        <f t="shared" ca="1" si="117"/>
        <v>0.63023551939864175</v>
      </c>
      <c r="O564" s="69">
        <f t="shared" ca="1" si="118"/>
        <v>1.0436823155576618</v>
      </c>
      <c r="P564" s="69">
        <f t="shared" ca="1" si="119"/>
        <v>0.66230365815927872</v>
      </c>
      <c r="Q564" s="69">
        <f t="shared" ca="1" si="120"/>
        <v>0.85322970982193902</v>
      </c>
      <c r="R564" s="69">
        <f t="shared" ca="1" si="121"/>
        <v>0.9638796483594595</v>
      </c>
      <c r="S564" s="69">
        <f t="shared" ca="1" si="122"/>
        <v>-0.8930855806796022</v>
      </c>
      <c r="T564" s="69">
        <f t="shared" ca="1" si="123"/>
        <v>0.46556852785685882</v>
      </c>
      <c r="U564" s="69">
        <f t="shared" ca="1" si="124"/>
        <v>0.36013406724118008</v>
      </c>
      <c r="V564" s="69">
        <f t="shared" ca="1" si="125"/>
        <v>-1.8401413373093924</v>
      </c>
      <c r="W564" s="69">
        <f t="shared" ca="1" si="126"/>
        <v>1.2628085061965377</v>
      </c>
      <c r="X564" s="69">
        <f t="shared" ca="1" si="127"/>
        <v>-1.0109280410479775</v>
      </c>
    </row>
    <row r="565" spans="2:24" x14ac:dyDescent="0.2">
      <c r="B565" s="69">
        <f t="shared" ca="1" si="116"/>
        <v>-0.22981901564997706</v>
      </c>
      <c r="C565" s="69">
        <f t="shared" ca="1" si="129"/>
        <v>-0.8323822799637991</v>
      </c>
      <c r="D565" s="69">
        <f t="shared" ca="1" si="129"/>
        <v>-0.42987459222902791</v>
      </c>
      <c r="E565" s="69">
        <f t="shared" ca="1" si="129"/>
        <v>-0.27379867905857469</v>
      </c>
      <c r="F565" s="69">
        <f t="shared" ca="1" si="129"/>
        <v>8.8140875845529112E-2</v>
      </c>
      <c r="G565" s="69">
        <f t="shared" ca="1" si="129"/>
        <v>-0.98433680958711522</v>
      </c>
      <c r="H565" s="69">
        <f t="shared" ca="1" si="129"/>
        <v>-0.64565463533038936</v>
      </c>
      <c r="I565" s="69">
        <f t="shared" ca="1" si="129"/>
        <v>-2.0733950848051177</v>
      </c>
      <c r="J565" s="69">
        <f t="shared" ca="1" si="129"/>
        <v>0.75295048320510338</v>
      </c>
      <c r="K565" s="69">
        <f t="shared" ca="1" si="129"/>
        <v>-0.31087384466511642</v>
      </c>
      <c r="L565" s="69">
        <f t="shared" ca="1" si="129"/>
        <v>-1.1389336565280883</v>
      </c>
      <c r="N565" s="69">
        <f t="shared" ca="1" si="117"/>
        <v>-0.19205097181186825</v>
      </c>
      <c r="O565" s="69">
        <f t="shared" ca="1" si="118"/>
        <v>-0.85887584304668574</v>
      </c>
      <c r="P565" s="69">
        <f t="shared" ca="1" si="119"/>
        <v>-0.48761665706611795</v>
      </c>
      <c r="Q565" s="69">
        <f t="shared" ca="1" si="120"/>
        <v>-0.22469000019681573</v>
      </c>
      <c r="R565" s="69">
        <f t="shared" ca="1" si="121"/>
        <v>8.1846190437880217E-2</v>
      </c>
      <c r="S565" s="69">
        <f t="shared" ca="1" si="122"/>
        <v>-0.9515098373303067</v>
      </c>
      <c r="T565" s="69">
        <f t="shared" ca="1" si="123"/>
        <v>-0.65048567304557925</v>
      </c>
      <c r="U565" s="69">
        <f t="shared" ca="1" si="124"/>
        <v>-2.0503549579274081</v>
      </c>
      <c r="V565" s="69">
        <f t="shared" ca="1" si="125"/>
        <v>0.74684088963150608</v>
      </c>
      <c r="W565" s="69">
        <f t="shared" ca="1" si="126"/>
        <v>-0.30989248784101747</v>
      </c>
      <c r="X565" s="69">
        <f t="shared" ca="1" si="127"/>
        <v>-1.1117651661536527</v>
      </c>
    </row>
    <row r="566" spans="2:24" x14ac:dyDescent="0.2">
      <c r="B566" s="69">
        <f t="shared" ca="1" si="116"/>
        <v>0.76555892800258074</v>
      </c>
      <c r="C566" s="69">
        <f t="shared" ca="1" si="129"/>
        <v>2.588189031514041</v>
      </c>
      <c r="D566" s="69">
        <f t="shared" ca="1" si="129"/>
        <v>0.50363897149782599</v>
      </c>
      <c r="E566" s="69">
        <f t="shared" ca="1" si="129"/>
        <v>-0.52280567267635702</v>
      </c>
      <c r="F566" s="69">
        <f t="shared" ca="1" si="129"/>
        <v>-0.55307588883165726</v>
      </c>
      <c r="G566" s="69">
        <f t="shared" ca="1" si="129"/>
        <v>-0.35699818946272394</v>
      </c>
      <c r="H566" s="69">
        <f t="shared" ca="1" si="129"/>
        <v>-1.4838113569049379E-2</v>
      </c>
      <c r="I566" s="69">
        <f t="shared" ca="1" si="129"/>
        <v>1.4080709071136539</v>
      </c>
      <c r="J566" s="69">
        <f t="shared" ca="1" si="129"/>
        <v>-0.29554601387941487</v>
      </c>
      <c r="K566" s="69">
        <f t="shared" ca="1" si="129"/>
        <v>-0.30795853031636927</v>
      </c>
      <c r="L566" s="69">
        <f t="shared" ca="1" si="129"/>
        <v>4.9823966984526402E-2</v>
      </c>
      <c r="N566" s="69">
        <f t="shared" ca="1" si="117"/>
        <v>0.80332697184068957</v>
      </c>
      <c r="O566" s="69">
        <f t="shared" ca="1" si="118"/>
        <v>2.5616954684311541</v>
      </c>
      <c r="P566" s="69">
        <f t="shared" ca="1" si="119"/>
        <v>0.44589690666073595</v>
      </c>
      <c r="Q566" s="69">
        <f t="shared" ca="1" si="120"/>
        <v>-0.47369699381459807</v>
      </c>
      <c r="R566" s="69">
        <f t="shared" ca="1" si="121"/>
        <v>-0.55937057423930614</v>
      </c>
      <c r="S566" s="69">
        <f t="shared" ca="1" si="122"/>
        <v>-0.32417121720591546</v>
      </c>
      <c r="T566" s="69">
        <f t="shared" ca="1" si="123"/>
        <v>-1.9669151284239225E-2</v>
      </c>
      <c r="U566" s="69">
        <f t="shared" ca="1" si="124"/>
        <v>1.4311110339913635</v>
      </c>
      <c r="V566" s="69">
        <f t="shared" ca="1" si="125"/>
        <v>-0.30165560745301218</v>
      </c>
      <c r="W566" s="69">
        <f t="shared" ca="1" si="126"/>
        <v>-0.30697717349227033</v>
      </c>
      <c r="X566" s="69">
        <f t="shared" ca="1" si="127"/>
        <v>7.6992457358961874E-2</v>
      </c>
    </row>
    <row r="567" spans="2:24" x14ac:dyDescent="0.2">
      <c r="B567" s="69">
        <f t="shared" ca="1" si="116"/>
        <v>-0.47772512025723146</v>
      </c>
      <c r="C567" s="69">
        <f t="shared" ca="1" si="129"/>
        <v>-0.46414682862947121</v>
      </c>
      <c r="D567" s="69">
        <f t="shared" ca="1" si="129"/>
        <v>7.3301251838190321E-2</v>
      </c>
      <c r="E567" s="69">
        <f t="shared" ca="1" si="129"/>
        <v>0.79427832528295461</v>
      </c>
      <c r="F567" s="69">
        <f t="shared" ca="1" si="129"/>
        <v>0.95953800815425061</v>
      </c>
      <c r="G567" s="69">
        <f t="shared" ca="1" si="129"/>
        <v>-0.81720692225519775</v>
      </c>
      <c r="H567" s="69">
        <f t="shared" ca="1" si="129"/>
        <v>-0.57296194521028865</v>
      </c>
      <c r="I567" s="69">
        <f t="shared" ca="1" si="129"/>
        <v>-0.72625418219840654</v>
      </c>
      <c r="J567" s="69">
        <f t="shared" ca="1" si="129"/>
        <v>-0.48000556955952067</v>
      </c>
      <c r="K567" s="69">
        <f t="shared" ca="1" si="129"/>
        <v>0.12387375140009427</v>
      </c>
      <c r="L567" s="69">
        <f t="shared" ca="1" si="129"/>
        <v>2.6500049800642599E-2</v>
      </c>
      <c r="N567" s="69">
        <f t="shared" ca="1" si="117"/>
        <v>-0.43995707641912263</v>
      </c>
      <c r="O567" s="69">
        <f t="shared" ca="1" si="118"/>
        <v>-0.4906403917123579</v>
      </c>
      <c r="P567" s="69">
        <f t="shared" ca="1" si="119"/>
        <v>1.5559187001100289E-2</v>
      </c>
      <c r="Q567" s="69">
        <f t="shared" ca="1" si="120"/>
        <v>0.84338700414471357</v>
      </c>
      <c r="R567" s="69">
        <f t="shared" ca="1" si="121"/>
        <v>0.95324332274660173</v>
      </c>
      <c r="S567" s="69">
        <f t="shared" ca="1" si="122"/>
        <v>-0.78437994999838923</v>
      </c>
      <c r="T567" s="69">
        <f t="shared" ca="1" si="123"/>
        <v>-0.57779298292547854</v>
      </c>
      <c r="U567" s="69">
        <f t="shared" ca="1" si="124"/>
        <v>-0.70321405532069692</v>
      </c>
      <c r="V567" s="69">
        <f t="shared" ca="1" si="125"/>
        <v>-0.48611516313311798</v>
      </c>
      <c r="W567" s="69">
        <f t="shared" ca="1" si="126"/>
        <v>0.12485510822419321</v>
      </c>
      <c r="X567" s="69">
        <f t="shared" ca="1" si="127"/>
        <v>5.3668540175078078E-2</v>
      </c>
    </row>
    <row r="568" spans="2:24" x14ac:dyDescent="0.2">
      <c r="B568" s="69">
        <f t="shared" ca="1" si="116"/>
        <v>-1.5817006300393368</v>
      </c>
      <c r="C568" s="69">
        <f t="shared" ca="1" si="129"/>
        <v>0.31635801586332513</v>
      </c>
      <c r="D568" s="69">
        <f t="shared" ca="1" si="129"/>
        <v>-1.4769444694074554</v>
      </c>
      <c r="E568" s="69">
        <f t="shared" ca="1" si="129"/>
        <v>-0.10447025399640358</v>
      </c>
      <c r="F568" s="69">
        <f t="shared" ca="1" si="129"/>
        <v>-0.32282255064332288</v>
      </c>
      <c r="G568" s="69">
        <f t="shared" ca="1" si="129"/>
        <v>-1.1393162706246596</v>
      </c>
      <c r="H568" s="69">
        <f t="shared" ca="1" si="129"/>
        <v>-0.53720598041306522</v>
      </c>
      <c r="I568" s="69">
        <f t="shared" ca="1" si="129"/>
        <v>0.43193673376210046</v>
      </c>
      <c r="J568" s="69">
        <f t="shared" ca="1" si="129"/>
        <v>0.49250216904468336</v>
      </c>
      <c r="K568" s="69">
        <f t="shared" ca="1" si="129"/>
        <v>-0.3978780453847251</v>
      </c>
      <c r="L568" s="69">
        <f t="shared" ca="1" si="129"/>
        <v>1.4775681236560776</v>
      </c>
      <c r="N568" s="69">
        <f t="shared" ca="1" si="117"/>
        <v>-1.5439325862012281</v>
      </c>
      <c r="O568" s="69">
        <f t="shared" ca="1" si="118"/>
        <v>0.28986445278043843</v>
      </c>
      <c r="P568" s="69">
        <f t="shared" ca="1" si="119"/>
        <v>-1.5346865342445455</v>
      </c>
      <c r="Q568" s="69">
        <f t="shared" ca="1" si="120"/>
        <v>-5.5361575134644639E-2</v>
      </c>
      <c r="R568" s="69">
        <f t="shared" ca="1" si="121"/>
        <v>-0.32911723605097176</v>
      </c>
      <c r="S568" s="69">
        <f t="shared" ca="1" si="122"/>
        <v>-1.1064892983678511</v>
      </c>
      <c r="T568" s="69">
        <f t="shared" ca="1" si="123"/>
        <v>-0.54203701812825511</v>
      </c>
      <c r="U568" s="69">
        <f t="shared" ca="1" si="124"/>
        <v>0.45497686063981013</v>
      </c>
      <c r="V568" s="69">
        <f t="shared" ca="1" si="125"/>
        <v>0.48639257547108605</v>
      </c>
      <c r="W568" s="69">
        <f t="shared" ca="1" si="126"/>
        <v>-0.39689668856062615</v>
      </c>
      <c r="X568" s="69">
        <f t="shared" ca="1" si="127"/>
        <v>1.5047366140305132</v>
      </c>
    </row>
    <row r="569" spans="2:24" x14ac:dyDescent="0.2">
      <c r="B569" s="69">
        <f t="shared" ca="1" si="116"/>
        <v>0.68097430032084849</v>
      </c>
      <c r="C569" s="69">
        <f t="shared" ca="1" si="129"/>
        <v>-0.23514295803256965</v>
      </c>
      <c r="D569" s="69">
        <f t="shared" ca="1" si="129"/>
        <v>-0.14830282742704856</v>
      </c>
      <c r="E569" s="69">
        <f t="shared" ca="1" si="129"/>
        <v>-0.25206737363446469</v>
      </c>
      <c r="F569" s="69">
        <f t="shared" ca="1" si="129"/>
        <v>0.91127204283887364</v>
      </c>
      <c r="G569" s="69">
        <f t="shared" ca="1" si="129"/>
        <v>-1.2669742433955746</v>
      </c>
      <c r="H569" s="69">
        <f t="shared" ca="1" si="129"/>
        <v>-1.0686157982892004</v>
      </c>
      <c r="I569" s="69">
        <f t="shared" ca="1" si="129"/>
        <v>0.61120128880903057</v>
      </c>
      <c r="J569" s="69">
        <f t="shared" ca="1" si="129"/>
        <v>1.5966521118751305</v>
      </c>
      <c r="K569" s="69">
        <f t="shared" ca="1" si="129"/>
        <v>-0.4961365930886994</v>
      </c>
      <c r="L569" s="69">
        <f t="shared" ca="1" si="129"/>
        <v>-1.8160990001287807</v>
      </c>
      <c r="N569" s="69">
        <f t="shared" ca="1" si="117"/>
        <v>0.71874234415895732</v>
      </c>
      <c r="O569" s="69">
        <f t="shared" ca="1" si="118"/>
        <v>-0.26163652111545632</v>
      </c>
      <c r="P569" s="69">
        <f t="shared" ca="1" si="119"/>
        <v>-0.20604489226413858</v>
      </c>
      <c r="Q569" s="69">
        <f t="shared" ca="1" si="120"/>
        <v>-0.20295869477270573</v>
      </c>
      <c r="R569" s="69">
        <f t="shared" ca="1" si="121"/>
        <v>0.90497735743122476</v>
      </c>
      <c r="S569" s="69">
        <f t="shared" ca="1" si="122"/>
        <v>-1.2341472711387662</v>
      </c>
      <c r="T569" s="69">
        <f t="shared" ca="1" si="123"/>
        <v>-1.0734468360043903</v>
      </c>
      <c r="U569" s="69">
        <f t="shared" ca="1" si="124"/>
        <v>0.6342414156867402</v>
      </c>
      <c r="V569" s="69">
        <f t="shared" ca="1" si="125"/>
        <v>1.5905425183015331</v>
      </c>
      <c r="W569" s="69">
        <f t="shared" ca="1" si="126"/>
        <v>-0.49515523626460045</v>
      </c>
      <c r="X569" s="69">
        <f t="shared" ca="1" si="127"/>
        <v>-1.7889305097543451</v>
      </c>
    </row>
    <row r="570" spans="2:24" x14ac:dyDescent="0.2">
      <c r="B570" s="69">
        <f t="shared" ca="1" si="116"/>
        <v>-4.3648790942447203E-2</v>
      </c>
      <c r="C570" s="69">
        <f t="shared" ca="1" si="129"/>
        <v>-0.75774919188741563</v>
      </c>
      <c r="D570" s="69">
        <f t="shared" ca="1" si="129"/>
        <v>0.83472591445929323</v>
      </c>
      <c r="E570" s="69">
        <f t="shared" ca="1" si="129"/>
        <v>-1.5026222112151588</v>
      </c>
      <c r="F570" s="69">
        <f t="shared" ca="1" si="129"/>
        <v>-0.78752190407355571</v>
      </c>
      <c r="G570" s="69">
        <f t="shared" ca="1" si="129"/>
        <v>1.0897560980344161</v>
      </c>
      <c r="H570" s="69">
        <f t="shared" ca="1" si="129"/>
        <v>0.62370879613863972</v>
      </c>
      <c r="I570" s="69">
        <f t="shared" ca="1" si="129"/>
        <v>-1.0328923006700226</v>
      </c>
      <c r="J570" s="69">
        <f t="shared" ca="1" si="129"/>
        <v>-0.87312607113478113</v>
      </c>
      <c r="K570" s="69">
        <f t="shared" ca="1" si="129"/>
        <v>-0.80795866659847726</v>
      </c>
      <c r="L570" s="69">
        <f t="shared" ca="1" si="129"/>
        <v>-0.10655859729337057</v>
      </c>
      <c r="N570" s="69">
        <f t="shared" ca="1" si="117"/>
        <v>-5.8807471043383838E-3</v>
      </c>
      <c r="O570" s="69">
        <f t="shared" ca="1" si="118"/>
        <v>-0.78424275497030227</v>
      </c>
      <c r="P570" s="69">
        <f t="shared" ca="1" si="119"/>
        <v>0.77698384962220324</v>
      </c>
      <c r="Q570" s="69">
        <f t="shared" ca="1" si="120"/>
        <v>-1.4535135323533999</v>
      </c>
      <c r="R570" s="69">
        <f t="shared" ca="1" si="121"/>
        <v>-0.79381658948120459</v>
      </c>
      <c r="S570" s="69">
        <f t="shared" ca="1" si="122"/>
        <v>1.1225830702912245</v>
      </c>
      <c r="T570" s="69">
        <f t="shared" ca="1" si="123"/>
        <v>0.61887775842344983</v>
      </c>
      <c r="U570" s="69">
        <f t="shared" ca="1" si="124"/>
        <v>-1.009852173792313</v>
      </c>
      <c r="V570" s="69">
        <f t="shared" ca="1" si="125"/>
        <v>-0.87923566470837844</v>
      </c>
      <c r="W570" s="69">
        <f t="shared" ca="1" si="126"/>
        <v>-0.80697730977437832</v>
      </c>
      <c r="X570" s="69">
        <f t="shared" ca="1" si="127"/>
        <v>-7.9390106918935083E-2</v>
      </c>
    </row>
    <row r="571" spans="2:24" x14ac:dyDescent="0.2">
      <c r="B571" s="69">
        <f t="shared" ca="1" si="116"/>
        <v>-8.1150560605270483E-2</v>
      </c>
      <c r="C571" s="69">
        <f t="shared" ca="1" si="129"/>
        <v>-0.45325840592846417</v>
      </c>
      <c r="D571" s="69">
        <f t="shared" ca="1" si="129"/>
        <v>0.85169599309163524</v>
      </c>
      <c r="E571" s="69">
        <f t="shared" ca="1" si="129"/>
        <v>-0.52309247107823742</v>
      </c>
      <c r="F571" s="69">
        <f t="shared" ca="1" si="129"/>
        <v>0.92119675768583598</v>
      </c>
      <c r="G571" s="69">
        <f t="shared" ca="1" si="129"/>
        <v>-0.28567107200245434</v>
      </c>
      <c r="H571" s="69">
        <f t="shared" ca="1" si="129"/>
        <v>0.52665986531762055</v>
      </c>
      <c r="I571" s="69">
        <f t="shared" ca="1" si="129"/>
        <v>3.1055444641796797</v>
      </c>
      <c r="J571" s="69">
        <f t="shared" ca="1" si="129"/>
        <v>-0.24781079597986708</v>
      </c>
      <c r="K571" s="69">
        <f t="shared" ca="1" si="129"/>
        <v>-0.96117877657712081</v>
      </c>
      <c r="L571" s="69">
        <f t="shared" ca="1" si="129"/>
        <v>0.77178237704988362</v>
      </c>
      <c r="N571" s="69">
        <f t="shared" ca="1" si="117"/>
        <v>-4.3382516767161663E-2</v>
      </c>
      <c r="O571" s="69">
        <f t="shared" ca="1" si="118"/>
        <v>-0.47975196901135087</v>
      </c>
      <c r="P571" s="69">
        <f t="shared" ca="1" si="119"/>
        <v>0.79395392825454525</v>
      </c>
      <c r="Q571" s="69">
        <f t="shared" ca="1" si="120"/>
        <v>-0.47398379221647846</v>
      </c>
      <c r="R571" s="69">
        <f t="shared" ca="1" si="121"/>
        <v>0.9149020722781871</v>
      </c>
      <c r="S571" s="69">
        <f t="shared" ca="1" si="122"/>
        <v>-0.25284409974564587</v>
      </c>
      <c r="T571" s="69">
        <f t="shared" ca="1" si="123"/>
        <v>0.52182882760243066</v>
      </c>
      <c r="U571" s="69">
        <f t="shared" ca="1" si="124"/>
        <v>3.1285845910573893</v>
      </c>
      <c r="V571" s="69">
        <f t="shared" ca="1" si="125"/>
        <v>-0.25392038955346441</v>
      </c>
      <c r="W571" s="69">
        <f t="shared" ca="1" si="126"/>
        <v>-0.96019741975302186</v>
      </c>
      <c r="X571" s="69">
        <f t="shared" ca="1" si="127"/>
        <v>0.79895086742431909</v>
      </c>
    </row>
    <row r="572" spans="2:24" x14ac:dyDescent="0.2">
      <c r="B572" s="69">
        <f t="shared" ca="1" si="116"/>
        <v>-2.0293371200064949</v>
      </c>
      <c r="C572" s="69">
        <f t="shared" ca="1" si="129"/>
        <v>1.6352924470872345</v>
      </c>
      <c r="D572" s="69">
        <f t="shared" ca="1" si="129"/>
        <v>-0.22971547734174547</v>
      </c>
      <c r="E572" s="69">
        <f t="shared" ca="1" si="129"/>
        <v>-1.144350631444675</v>
      </c>
      <c r="F572" s="69">
        <f t="shared" ca="1" si="129"/>
        <v>0.34969054306543379</v>
      </c>
      <c r="G572" s="69">
        <f t="shared" ca="1" si="129"/>
        <v>-1.6401587479813617</v>
      </c>
      <c r="H572" s="69">
        <f t="shared" ca="1" si="129"/>
        <v>0.50965569923839305</v>
      </c>
      <c r="I572" s="69">
        <f t="shared" ca="1" si="129"/>
        <v>1.1901219978983353</v>
      </c>
      <c r="J572" s="69">
        <f t="shared" ca="1" si="129"/>
        <v>1.3132073020368431</v>
      </c>
      <c r="K572" s="69">
        <f t="shared" ca="1" si="129"/>
        <v>-1.4340678332725292</v>
      </c>
      <c r="L572" s="69">
        <f t="shared" ca="1" si="129"/>
        <v>-0.62333751805975701</v>
      </c>
      <c r="N572" s="69">
        <f t="shared" ca="1" si="117"/>
        <v>-1.9915690761683862</v>
      </c>
      <c r="O572" s="69">
        <f t="shared" ca="1" si="118"/>
        <v>1.6087988840043479</v>
      </c>
      <c r="P572" s="69">
        <f t="shared" ca="1" si="119"/>
        <v>-0.28745754217883551</v>
      </c>
      <c r="Q572" s="69">
        <f t="shared" ca="1" si="120"/>
        <v>-1.095241952582916</v>
      </c>
      <c r="R572" s="69">
        <f t="shared" ca="1" si="121"/>
        <v>0.34339585765778491</v>
      </c>
      <c r="S572" s="69">
        <f t="shared" ca="1" si="122"/>
        <v>-1.6073317757245533</v>
      </c>
      <c r="T572" s="69">
        <f t="shared" ca="1" si="123"/>
        <v>0.50482466152320316</v>
      </c>
      <c r="U572" s="69">
        <f t="shared" ca="1" si="124"/>
        <v>1.2131621247760449</v>
      </c>
      <c r="V572" s="69">
        <f t="shared" ca="1" si="125"/>
        <v>1.3070977084632458</v>
      </c>
      <c r="W572" s="69">
        <f t="shared" ca="1" si="126"/>
        <v>-1.4330864764484301</v>
      </c>
      <c r="X572" s="69">
        <f t="shared" ca="1" si="127"/>
        <v>-0.59616902768532154</v>
      </c>
    </row>
    <row r="573" spans="2:24" x14ac:dyDescent="0.2">
      <c r="B573" s="69">
        <f t="shared" ca="1" si="116"/>
        <v>-0.62944550770146002</v>
      </c>
      <c r="C573" s="69">
        <f t="shared" ca="1" si="129"/>
        <v>-1.0644985641071365</v>
      </c>
      <c r="D573" s="69">
        <f t="shared" ca="1" si="129"/>
        <v>-0.52129610238451163</v>
      </c>
      <c r="E573" s="69">
        <f t="shared" ca="1" si="129"/>
        <v>-0.22328846144796571</v>
      </c>
      <c r="F573" s="69">
        <f t="shared" ca="1" si="129"/>
        <v>-0.88581469410471925</v>
      </c>
      <c r="G573" s="69">
        <f t="shared" ca="1" si="129"/>
        <v>0.15012692945338044</v>
      </c>
      <c r="H573" s="69">
        <f t="shared" ca="1" si="129"/>
        <v>-0.84211424612316943</v>
      </c>
      <c r="I573" s="69">
        <f t="shared" ca="1" si="129"/>
        <v>-0.83966452871295905</v>
      </c>
      <c r="J573" s="69">
        <f t="shared" ca="1" si="129"/>
        <v>-0.16056377637313532</v>
      </c>
      <c r="K573" s="69">
        <f t="shared" ca="1" si="129"/>
        <v>-0.30244949290567713</v>
      </c>
      <c r="L573" s="69">
        <f t="shared" ca="1" si="129"/>
        <v>-2.0512294080793847</v>
      </c>
      <c r="N573" s="69">
        <f t="shared" ca="1" si="117"/>
        <v>-0.59167746386335118</v>
      </c>
      <c r="O573" s="69">
        <f t="shared" ca="1" si="118"/>
        <v>-1.0909921271900231</v>
      </c>
      <c r="P573" s="69">
        <f t="shared" ca="1" si="119"/>
        <v>-0.57903816722160162</v>
      </c>
      <c r="Q573" s="69">
        <f t="shared" ca="1" si="120"/>
        <v>-0.17417978258620676</v>
      </c>
      <c r="R573" s="69">
        <f t="shared" ca="1" si="121"/>
        <v>-0.89210937951236813</v>
      </c>
      <c r="S573" s="69">
        <f t="shared" ca="1" si="122"/>
        <v>0.18295390171018891</v>
      </c>
      <c r="T573" s="69">
        <f t="shared" ca="1" si="123"/>
        <v>-0.84694528383835932</v>
      </c>
      <c r="U573" s="69">
        <f t="shared" ca="1" si="124"/>
        <v>-0.81662440183524942</v>
      </c>
      <c r="V573" s="69">
        <f t="shared" ca="1" si="125"/>
        <v>-0.16667336994673265</v>
      </c>
      <c r="W573" s="69">
        <f t="shared" ca="1" si="126"/>
        <v>-0.30146813608157819</v>
      </c>
      <c r="X573" s="69">
        <f t="shared" ca="1" si="127"/>
        <v>-2.0240609177049493</v>
      </c>
    </row>
    <row r="574" spans="2:24" x14ac:dyDescent="0.2">
      <c r="B574" s="69">
        <f t="shared" ca="1" si="116"/>
        <v>-0.33246759987473778</v>
      </c>
      <c r="C574" s="69">
        <f t="shared" ca="1" si="129"/>
        <v>-0.67119732552957501</v>
      </c>
      <c r="D574" s="69">
        <f t="shared" ca="1" si="129"/>
        <v>0.63739094252218109</v>
      </c>
      <c r="E574" s="69">
        <f t="shared" ca="1" si="129"/>
        <v>0.38841812380923496</v>
      </c>
      <c r="F574" s="69">
        <f t="shared" ca="1" si="129"/>
        <v>0.96252505735479366</v>
      </c>
      <c r="G574" s="69">
        <f t="shared" ca="1" si="129"/>
        <v>5.709995451871791E-2</v>
      </c>
      <c r="H574" s="69">
        <f t="shared" ca="1" si="129"/>
        <v>-0.16500990259967546</v>
      </c>
      <c r="I574" s="69">
        <f t="shared" ca="1" si="129"/>
        <v>-0.47938751817889019</v>
      </c>
      <c r="J574" s="69">
        <f t="shared" ca="1" si="129"/>
        <v>1.0097195022019794</v>
      </c>
      <c r="K574" s="69">
        <f t="shared" ca="1" si="129"/>
        <v>1.131736579658585</v>
      </c>
      <c r="L574" s="69">
        <f t="shared" ca="1" si="129"/>
        <v>-0.89167873424931743</v>
      </c>
      <c r="N574" s="69">
        <f t="shared" ca="1" si="117"/>
        <v>-0.29469955603662895</v>
      </c>
      <c r="O574" s="69">
        <f t="shared" ca="1" si="118"/>
        <v>-0.69769088861246165</v>
      </c>
      <c r="P574" s="69">
        <f t="shared" ca="1" si="119"/>
        <v>0.5796488776850911</v>
      </c>
      <c r="Q574" s="69">
        <f t="shared" ca="1" si="120"/>
        <v>0.43752680267099392</v>
      </c>
      <c r="R574" s="69">
        <f t="shared" ca="1" si="121"/>
        <v>0.95623037194714477</v>
      </c>
      <c r="S574" s="69">
        <f t="shared" ca="1" si="122"/>
        <v>8.9926926775526383E-2</v>
      </c>
      <c r="T574" s="69">
        <f t="shared" ca="1" si="123"/>
        <v>-0.1698409403148653</v>
      </c>
      <c r="U574" s="69">
        <f t="shared" ca="1" si="124"/>
        <v>-0.45634739130118052</v>
      </c>
      <c r="V574" s="69">
        <f t="shared" ca="1" si="125"/>
        <v>1.0036099086283821</v>
      </c>
      <c r="W574" s="69">
        <f t="shared" ca="1" si="126"/>
        <v>1.132717936482684</v>
      </c>
      <c r="X574" s="69">
        <f t="shared" ca="1" si="127"/>
        <v>-0.86451024387488196</v>
      </c>
    </row>
    <row r="575" spans="2:24" x14ac:dyDescent="0.2">
      <c r="B575" s="69">
        <f t="shared" ca="1" si="116"/>
        <v>-3.6955397555742717E-2</v>
      </c>
      <c r="C575" s="69">
        <f t="shared" ca="1" si="129"/>
        <v>0.39536202991010894</v>
      </c>
      <c r="D575" s="69">
        <f t="shared" ca="1" si="129"/>
        <v>-0.48524286784210319</v>
      </c>
      <c r="E575" s="69">
        <f t="shared" ca="1" si="129"/>
        <v>-0.53066488296833914</v>
      </c>
      <c r="F575" s="69">
        <f t="shared" ca="1" si="129"/>
        <v>0.1434302743564172</v>
      </c>
      <c r="G575" s="69">
        <f t="shared" ca="1" si="129"/>
        <v>-1.471412080860196</v>
      </c>
      <c r="H575" s="69">
        <f t="shared" ca="1" si="129"/>
        <v>1.7752894313555085</v>
      </c>
      <c r="I575" s="69">
        <f t="shared" ca="1" si="129"/>
        <v>-0.21232144151987506</v>
      </c>
      <c r="J575" s="69">
        <f t="shared" ca="1" si="129"/>
        <v>0.43524480620024297</v>
      </c>
      <c r="K575" s="69">
        <f t="shared" ca="1" si="129"/>
        <v>-2.6443869717048836</v>
      </c>
      <c r="L575" s="69">
        <f t="shared" ca="1" si="129"/>
        <v>0.39776737730051848</v>
      </c>
      <c r="N575" s="69">
        <f t="shared" ca="1" si="117"/>
        <v>8.1264628236610292E-4</v>
      </c>
      <c r="O575" s="69">
        <f t="shared" ca="1" si="118"/>
        <v>0.36886846682722224</v>
      </c>
      <c r="P575" s="69">
        <f t="shared" ca="1" si="119"/>
        <v>-0.54298493267919323</v>
      </c>
      <c r="Q575" s="69">
        <f t="shared" ca="1" si="120"/>
        <v>-0.48155620410658018</v>
      </c>
      <c r="R575" s="69">
        <f t="shared" ca="1" si="121"/>
        <v>0.13713558894876829</v>
      </c>
      <c r="S575" s="69">
        <f t="shared" ca="1" si="122"/>
        <v>-1.4385851086033876</v>
      </c>
      <c r="T575" s="69">
        <f t="shared" ca="1" si="123"/>
        <v>1.7704583936403187</v>
      </c>
      <c r="U575" s="69">
        <f t="shared" ca="1" si="124"/>
        <v>-0.18928131464216541</v>
      </c>
      <c r="V575" s="69">
        <f t="shared" ca="1" si="125"/>
        <v>0.42913521262664567</v>
      </c>
      <c r="W575" s="69">
        <f t="shared" ca="1" si="126"/>
        <v>-2.6434056148807845</v>
      </c>
      <c r="X575" s="69">
        <f t="shared" ca="1" si="127"/>
        <v>0.42493586767495395</v>
      </c>
    </row>
    <row r="576" spans="2:24" x14ac:dyDescent="0.2">
      <c r="B576" s="69">
        <f t="shared" ca="1" si="116"/>
        <v>-0.48016418032777791</v>
      </c>
      <c r="C576" s="69">
        <f t="shared" ca="1" si="129"/>
        <v>-0.36221434127932295</v>
      </c>
      <c r="D576" s="69">
        <f t="shared" ca="1" si="129"/>
        <v>1.4339436393227274</v>
      </c>
      <c r="E576" s="69">
        <f t="shared" ca="1" si="129"/>
        <v>0.42342942740844347</v>
      </c>
      <c r="F576" s="69">
        <f t="shared" ca="1" si="129"/>
        <v>1.6144981779136678</v>
      </c>
      <c r="G576" s="69">
        <f t="shared" ca="1" si="129"/>
        <v>-1.3590288227860683</v>
      </c>
      <c r="H576" s="69">
        <f t="shared" ca="1" si="129"/>
        <v>-1.1591419439474449</v>
      </c>
      <c r="I576" s="69">
        <f t="shared" ca="1" si="129"/>
        <v>-0.95248633886070677</v>
      </c>
      <c r="J576" s="69">
        <f t="shared" ca="1" si="129"/>
        <v>-0.65199034298358394</v>
      </c>
      <c r="K576" s="69">
        <f t="shared" ca="1" si="129"/>
        <v>-0.51768536486336569</v>
      </c>
      <c r="L576" s="69">
        <f t="shared" ca="1" si="129"/>
        <v>-0.10466093640284067</v>
      </c>
      <c r="N576" s="69">
        <f t="shared" ca="1" si="117"/>
        <v>-0.44239613648966908</v>
      </c>
      <c r="O576" s="69">
        <f t="shared" ca="1" si="118"/>
        <v>-0.38870790436220964</v>
      </c>
      <c r="P576" s="69">
        <f t="shared" ca="1" si="119"/>
        <v>1.3762015744856373</v>
      </c>
      <c r="Q576" s="69">
        <f t="shared" ca="1" si="120"/>
        <v>0.47253810627020243</v>
      </c>
      <c r="R576" s="69">
        <f t="shared" ca="1" si="121"/>
        <v>1.6082034925060189</v>
      </c>
      <c r="S576" s="69">
        <f t="shared" ca="1" si="122"/>
        <v>-1.3262018505292599</v>
      </c>
      <c r="T576" s="69">
        <f t="shared" ca="1" si="123"/>
        <v>-1.1639729816626347</v>
      </c>
      <c r="U576" s="69">
        <f t="shared" ca="1" si="124"/>
        <v>-0.92944621198299715</v>
      </c>
      <c r="V576" s="69">
        <f t="shared" ca="1" si="125"/>
        <v>-0.65809993655718124</v>
      </c>
      <c r="W576" s="69">
        <f t="shared" ca="1" si="126"/>
        <v>-0.51670400803926675</v>
      </c>
      <c r="X576" s="69">
        <f t="shared" ca="1" si="127"/>
        <v>-7.7492446028405187E-2</v>
      </c>
    </row>
    <row r="577" spans="2:24" x14ac:dyDescent="0.2">
      <c r="B577" s="69">
        <f t="shared" ca="1" si="116"/>
        <v>0.38337639337847379</v>
      </c>
      <c r="C577" s="69">
        <f t="shared" ca="1" si="129"/>
        <v>-0.61229232723568805</v>
      </c>
      <c r="D577" s="69">
        <f t="shared" ca="1" si="129"/>
        <v>-0.27675664162611713</v>
      </c>
      <c r="E577" s="69">
        <f t="shared" ca="1" si="129"/>
        <v>0.74564579038604439</v>
      </c>
      <c r="F577" s="69">
        <f t="shared" ca="1" si="129"/>
        <v>1.5730836564344142</v>
      </c>
      <c r="G577" s="69">
        <f t="shared" ca="1" si="129"/>
        <v>-8.9832925844038278E-2</v>
      </c>
      <c r="H577" s="69">
        <f t="shared" ca="1" si="129"/>
        <v>-9.8006436342506248E-2</v>
      </c>
      <c r="I577" s="69">
        <f t="shared" ca="1" si="129"/>
        <v>9.2239575125617437E-2</v>
      </c>
      <c r="J577" s="69">
        <f t="shared" ca="1" si="129"/>
        <v>-1.4116431184823024</v>
      </c>
      <c r="K577" s="69">
        <f t="shared" ca="1" si="129"/>
        <v>1.5205235475421308</v>
      </c>
      <c r="L577" s="69">
        <f t="shared" ca="1" si="129"/>
        <v>0.74518252690106468</v>
      </c>
      <c r="N577" s="69">
        <f t="shared" ca="1" si="117"/>
        <v>0.42114443721658262</v>
      </c>
      <c r="O577" s="69">
        <f t="shared" ca="1" si="118"/>
        <v>-0.63878589031857469</v>
      </c>
      <c r="P577" s="69">
        <f t="shared" ca="1" si="119"/>
        <v>-0.33449870646320717</v>
      </c>
      <c r="Q577" s="69">
        <f t="shared" ca="1" si="120"/>
        <v>0.79475446924780335</v>
      </c>
      <c r="R577" s="69">
        <f t="shared" ca="1" si="121"/>
        <v>1.5667889710267653</v>
      </c>
      <c r="S577" s="69">
        <f t="shared" ca="1" si="122"/>
        <v>-5.7005953587229798E-2</v>
      </c>
      <c r="T577" s="69">
        <f t="shared" ca="1" si="123"/>
        <v>-0.1028374740576961</v>
      </c>
      <c r="U577" s="69">
        <f t="shared" ca="1" si="124"/>
        <v>0.1152797020033271</v>
      </c>
      <c r="V577" s="69">
        <f t="shared" ca="1" si="125"/>
        <v>-1.4177527120558997</v>
      </c>
      <c r="W577" s="69">
        <f t="shared" ca="1" si="126"/>
        <v>1.5215049043662299</v>
      </c>
      <c r="X577" s="69">
        <f t="shared" ca="1" si="127"/>
        <v>0.77235101727550015</v>
      </c>
    </row>
    <row r="578" spans="2:24" x14ac:dyDescent="0.2">
      <c r="B578" s="69">
        <f t="shared" ca="1" si="116"/>
        <v>1.4941724495136515</v>
      </c>
      <c r="C578" s="69">
        <f t="shared" ca="1" si="129"/>
        <v>0.46930340722802183</v>
      </c>
      <c r="D578" s="69">
        <f t="shared" ca="1" si="129"/>
        <v>0.38518560926716211</v>
      </c>
      <c r="E578" s="69">
        <f t="shared" ca="1" si="129"/>
        <v>-0.71290299580461947</v>
      </c>
      <c r="F578" s="69">
        <f t="shared" ca="1" si="129"/>
        <v>-0.9477206390258317</v>
      </c>
      <c r="G578" s="69">
        <f t="shared" ca="1" si="129"/>
        <v>-2.0353410974231072</v>
      </c>
      <c r="H578" s="69">
        <f t="shared" ca="1" si="129"/>
        <v>-0.79496605388205677</v>
      </c>
      <c r="I578" s="69">
        <f t="shared" ca="1" si="129"/>
        <v>-1.0847782171805271</v>
      </c>
      <c r="J578" s="69">
        <f t="shared" ca="1" si="129"/>
        <v>0.71718702082115504</v>
      </c>
      <c r="K578" s="69">
        <f t="shared" ca="1" si="129"/>
        <v>-0.25310383804917636</v>
      </c>
      <c r="L578" s="69">
        <f t="shared" ca="1" si="129"/>
        <v>0.96357046904764088</v>
      </c>
      <c r="N578" s="69">
        <f t="shared" ca="1" si="117"/>
        <v>1.5319404933517602</v>
      </c>
      <c r="O578" s="69">
        <f t="shared" ca="1" si="118"/>
        <v>0.44280984414513513</v>
      </c>
      <c r="P578" s="69">
        <f t="shared" ca="1" si="119"/>
        <v>0.32744354443007206</v>
      </c>
      <c r="Q578" s="69">
        <f t="shared" ca="1" si="120"/>
        <v>-0.66379431694286051</v>
      </c>
      <c r="R578" s="69">
        <f t="shared" ca="1" si="121"/>
        <v>-0.95401532443348058</v>
      </c>
      <c r="S578" s="69">
        <f t="shared" ca="1" si="122"/>
        <v>-2.0025141251662988</v>
      </c>
      <c r="T578" s="69">
        <f t="shared" ca="1" si="123"/>
        <v>-0.79979709159724666</v>
      </c>
      <c r="U578" s="69">
        <f t="shared" ca="1" si="124"/>
        <v>-1.0617380903028175</v>
      </c>
      <c r="V578" s="69">
        <f t="shared" ca="1" si="125"/>
        <v>0.71107742724755774</v>
      </c>
      <c r="W578" s="69">
        <f t="shared" ca="1" si="126"/>
        <v>-0.25212248122507741</v>
      </c>
      <c r="X578" s="69">
        <f t="shared" ca="1" si="127"/>
        <v>0.99073895942207635</v>
      </c>
    </row>
    <row r="579" spans="2:24" x14ac:dyDescent="0.2">
      <c r="B579" s="69">
        <f t="shared" ca="1" si="116"/>
        <v>-1.0319784345065885</v>
      </c>
      <c r="C579" s="69">
        <f t="shared" ca="1" si="129"/>
        <v>0.48855944226398396</v>
      </c>
      <c r="D579" s="69">
        <f t="shared" ca="1" si="129"/>
        <v>-1.1455558675388884</v>
      </c>
      <c r="E579" s="69">
        <f t="shared" ca="1" si="129"/>
        <v>1.2339614290356009</v>
      </c>
      <c r="F579" s="69">
        <f t="shared" ca="1" si="129"/>
        <v>-0.31646507047577843</v>
      </c>
      <c r="G579" s="69">
        <f t="shared" ca="1" si="129"/>
        <v>-0.19287203624565474</v>
      </c>
      <c r="H579" s="69">
        <f t="shared" ca="1" si="129"/>
        <v>-1.1009153466327006</v>
      </c>
      <c r="I579" s="69">
        <f t="shared" ref="C579:L642" ca="1" si="130">NORMINV(RAND(),$C$7,$F$7)</f>
        <v>1.0214904164741421</v>
      </c>
      <c r="J579" s="69">
        <f t="shared" ca="1" si="130"/>
        <v>-1.6769119011811811</v>
      </c>
      <c r="K579" s="69">
        <f t="shared" ca="1" si="130"/>
        <v>-0.23169134833108257</v>
      </c>
      <c r="L579" s="69">
        <f t="shared" ca="1" si="130"/>
        <v>-2.5512699592269437</v>
      </c>
      <c r="N579" s="69">
        <f t="shared" ca="1" si="117"/>
        <v>-0.99421039066847972</v>
      </c>
      <c r="O579" s="69">
        <f t="shared" ca="1" si="118"/>
        <v>0.46206587918109726</v>
      </c>
      <c r="P579" s="69">
        <f t="shared" ca="1" si="119"/>
        <v>-1.2032979323759785</v>
      </c>
      <c r="Q579" s="69">
        <f t="shared" ca="1" si="120"/>
        <v>1.2830701078973599</v>
      </c>
      <c r="R579" s="69">
        <f t="shared" ca="1" si="121"/>
        <v>-0.32275975588342731</v>
      </c>
      <c r="S579" s="69">
        <f t="shared" ca="1" si="122"/>
        <v>-0.16004506398884627</v>
      </c>
      <c r="T579" s="69">
        <f t="shared" ca="1" si="123"/>
        <v>-1.1057463843478905</v>
      </c>
      <c r="U579" s="69">
        <f t="shared" ca="1" si="124"/>
        <v>1.0445305433518517</v>
      </c>
      <c r="V579" s="69">
        <f t="shared" ca="1" si="125"/>
        <v>-1.6830214947547784</v>
      </c>
      <c r="W579" s="69">
        <f t="shared" ca="1" si="126"/>
        <v>-0.23070999150698362</v>
      </c>
      <c r="X579" s="69">
        <f t="shared" ca="1" si="127"/>
        <v>-2.5241014688525083</v>
      </c>
    </row>
    <row r="580" spans="2:24" x14ac:dyDescent="0.2">
      <c r="B580" s="69">
        <f t="shared" ca="1" si="116"/>
        <v>2.490245410300195</v>
      </c>
      <c r="C580" s="69">
        <f t="shared" ca="1" si="130"/>
        <v>2.2816071301521887</v>
      </c>
      <c r="D580" s="69">
        <f t="shared" ca="1" si="130"/>
        <v>1.0617169823819235</v>
      </c>
      <c r="E580" s="69">
        <f t="shared" ca="1" si="130"/>
        <v>0.17031939269823063</v>
      </c>
      <c r="F580" s="69">
        <f t="shared" ca="1" si="130"/>
        <v>0.17817572308592541</v>
      </c>
      <c r="G580" s="69">
        <f t="shared" ca="1" si="130"/>
        <v>-0.35657046428024181</v>
      </c>
      <c r="H580" s="69">
        <f t="shared" ca="1" si="130"/>
        <v>-0.21027596422791478</v>
      </c>
      <c r="I580" s="69">
        <f t="shared" ca="1" si="130"/>
        <v>0.16728453270955584</v>
      </c>
      <c r="J580" s="69">
        <f t="shared" ca="1" si="130"/>
        <v>0.96506161621957676</v>
      </c>
      <c r="K580" s="69">
        <f t="shared" ca="1" si="130"/>
        <v>0.4301214371242994</v>
      </c>
      <c r="L580" s="69">
        <f t="shared" ca="1" si="130"/>
        <v>0.12113117605510072</v>
      </c>
      <c r="N580" s="69">
        <f t="shared" ca="1" si="117"/>
        <v>2.5280134541383039</v>
      </c>
      <c r="O580" s="69">
        <f t="shared" ca="1" si="118"/>
        <v>2.2551135670693019</v>
      </c>
      <c r="P580" s="69">
        <f t="shared" ca="1" si="119"/>
        <v>1.0039749175448334</v>
      </c>
      <c r="Q580" s="69">
        <f t="shared" ca="1" si="120"/>
        <v>0.21942807155998956</v>
      </c>
      <c r="R580" s="69">
        <f t="shared" ca="1" si="121"/>
        <v>0.1718810376782765</v>
      </c>
      <c r="S580" s="69">
        <f t="shared" ca="1" si="122"/>
        <v>-0.32374349202343333</v>
      </c>
      <c r="T580" s="69">
        <f t="shared" ca="1" si="123"/>
        <v>-0.21510700194310461</v>
      </c>
      <c r="U580" s="69">
        <f t="shared" ca="1" si="124"/>
        <v>0.19032465958726549</v>
      </c>
      <c r="V580" s="69">
        <f t="shared" ca="1" si="125"/>
        <v>0.95895202264597945</v>
      </c>
      <c r="W580" s="69">
        <f t="shared" ca="1" si="126"/>
        <v>0.43110279394839834</v>
      </c>
      <c r="X580" s="69">
        <f t="shared" ca="1" si="127"/>
        <v>0.14829966642953621</v>
      </c>
    </row>
    <row r="581" spans="2:24" x14ac:dyDescent="0.2">
      <c r="B581" s="69">
        <f t="shared" ca="1" si="116"/>
        <v>1.1587361322190723</v>
      </c>
      <c r="C581" s="69">
        <f t="shared" ca="1" si="130"/>
        <v>-1.1878963391704302</v>
      </c>
      <c r="D581" s="69">
        <f t="shared" ca="1" si="130"/>
        <v>-0.89146383679003804</v>
      </c>
      <c r="E581" s="69">
        <f t="shared" ca="1" si="130"/>
        <v>3.1621617488959943</v>
      </c>
      <c r="F581" s="69">
        <f t="shared" ca="1" si="130"/>
        <v>0.60469307213454404</v>
      </c>
      <c r="G581" s="69">
        <f t="shared" ca="1" si="130"/>
        <v>-0.29537275085278247</v>
      </c>
      <c r="H581" s="69">
        <f t="shared" ca="1" si="130"/>
        <v>1.0429424896403032</v>
      </c>
      <c r="I581" s="69">
        <f t="shared" ca="1" si="130"/>
        <v>0.40090550769397187</v>
      </c>
      <c r="J581" s="69">
        <f t="shared" ca="1" si="130"/>
        <v>-5.4650518315501946E-2</v>
      </c>
      <c r="K581" s="69">
        <f t="shared" ca="1" si="130"/>
        <v>0.9401529160093649</v>
      </c>
      <c r="L581" s="69">
        <f t="shared" ca="1" si="130"/>
        <v>-1.0464468596620273E-2</v>
      </c>
      <c r="N581" s="69">
        <f t="shared" ca="1" si="117"/>
        <v>1.1965041760571811</v>
      </c>
      <c r="O581" s="69">
        <f t="shared" ca="1" si="118"/>
        <v>-1.2143899022533169</v>
      </c>
      <c r="P581" s="69">
        <f t="shared" ca="1" si="119"/>
        <v>-0.94920590162712803</v>
      </c>
      <c r="Q581" s="69">
        <f t="shared" ca="1" si="120"/>
        <v>3.2112704277577531</v>
      </c>
      <c r="R581" s="69">
        <f t="shared" ca="1" si="121"/>
        <v>0.59839838672689516</v>
      </c>
      <c r="S581" s="69">
        <f t="shared" ca="1" si="122"/>
        <v>-0.262545778595974</v>
      </c>
      <c r="T581" s="69">
        <f t="shared" ca="1" si="123"/>
        <v>1.0381114519251133</v>
      </c>
      <c r="U581" s="69">
        <f t="shared" ca="1" si="124"/>
        <v>0.42394563457168155</v>
      </c>
      <c r="V581" s="69">
        <f t="shared" ca="1" si="125"/>
        <v>-6.0760111889099279E-2</v>
      </c>
      <c r="W581" s="69">
        <f t="shared" ca="1" si="126"/>
        <v>0.94113427283346385</v>
      </c>
      <c r="X581" s="69">
        <f t="shared" ca="1" si="127"/>
        <v>1.6704021777815208E-2</v>
      </c>
    </row>
    <row r="582" spans="2:24" x14ac:dyDescent="0.2">
      <c r="B582" s="69">
        <f t="shared" ca="1" si="116"/>
        <v>-0.95971358217996716</v>
      </c>
      <c r="C582" s="69">
        <f t="shared" ca="1" si="130"/>
        <v>-0.41846874823136015</v>
      </c>
      <c r="D582" s="69">
        <f t="shared" ca="1" si="130"/>
        <v>1.1823186165553004</v>
      </c>
      <c r="E582" s="69">
        <f t="shared" ca="1" si="130"/>
        <v>-1.0277921631034246</v>
      </c>
      <c r="F582" s="69">
        <f t="shared" ca="1" si="130"/>
        <v>9.1792807152149117E-2</v>
      </c>
      <c r="G582" s="69">
        <f t="shared" ca="1" si="130"/>
        <v>7.2982821228075132E-2</v>
      </c>
      <c r="H582" s="69">
        <f t="shared" ca="1" si="130"/>
        <v>-0.94235447002883843</v>
      </c>
      <c r="I582" s="69">
        <f t="shared" ca="1" si="130"/>
        <v>0.24707267150792325</v>
      </c>
      <c r="J582" s="69">
        <f t="shared" ca="1" si="130"/>
        <v>-0.90487890061946841</v>
      </c>
      <c r="K582" s="69">
        <f t="shared" ca="1" si="130"/>
        <v>1.5285097794022615</v>
      </c>
      <c r="L582" s="69">
        <f t="shared" ca="1" si="130"/>
        <v>-1.9626167042264251E-2</v>
      </c>
      <c r="N582" s="69">
        <f t="shared" ca="1" si="117"/>
        <v>-0.92194553834185833</v>
      </c>
      <c r="O582" s="69">
        <f t="shared" ca="1" si="118"/>
        <v>-0.44496231131424685</v>
      </c>
      <c r="P582" s="69">
        <f t="shared" ca="1" si="119"/>
        <v>1.1245765517182102</v>
      </c>
      <c r="Q582" s="69">
        <f t="shared" ca="1" si="120"/>
        <v>-0.97868348424166562</v>
      </c>
      <c r="R582" s="69">
        <f t="shared" ca="1" si="121"/>
        <v>8.5498121744500222E-2</v>
      </c>
      <c r="S582" s="69">
        <f t="shared" ca="1" si="122"/>
        <v>0.10580979348488362</v>
      </c>
      <c r="T582" s="69">
        <f t="shared" ca="1" si="123"/>
        <v>-0.94718550774402832</v>
      </c>
      <c r="U582" s="69">
        <f t="shared" ca="1" si="124"/>
        <v>0.2701127983856329</v>
      </c>
      <c r="V582" s="69">
        <f t="shared" ca="1" si="125"/>
        <v>-0.91098849419306571</v>
      </c>
      <c r="W582" s="69">
        <f t="shared" ca="1" si="126"/>
        <v>1.5294911362263606</v>
      </c>
      <c r="X582" s="69">
        <f t="shared" ca="1" si="127"/>
        <v>7.5423233321712281E-3</v>
      </c>
    </row>
    <row r="583" spans="2:24" x14ac:dyDescent="0.2">
      <c r="B583" s="69">
        <f t="shared" ca="1" si="116"/>
        <v>-0.60650592465590425</v>
      </c>
      <c r="C583" s="69">
        <f t="shared" ca="1" si="130"/>
        <v>-0.37222944336724995</v>
      </c>
      <c r="D583" s="69">
        <f t="shared" ca="1" si="130"/>
        <v>-1.0940135948938434</v>
      </c>
      <c r="E583" s="69">
        <f t="shared" ca="1" si="130"/>
        <v>-0.65055904807999554</v>
      </c>
      <c r="F583" s="69">
        <f t="shared" ca="1" si="130"/>
        <v>-0.39565432216800883</v>
      </c>
      <c r="G583" s="69">
        <f t="shared" ca="1" si="130"/>
        <v>0.12230870285176189</v>
      </c>
      <c r="H583" s="69">
        <f t="shared" ca="1" si="130"/>
        <v>-0.20524420406993046</v>
      </c>
      <c r="I583" s="69">
        <f t="shared" ca="1" si="130"/>
        <v>1.2682930667039485</v>
      </c>
      <c r="J583" s="69">
        <f t="shared" ca="1" si="130"/>
        <v>-0.6400262786482801</v>
      </c>
      <c r="K583" s="69">
        <f t="shared" ca="1" si="130"/>
        <v>0.16350316630872502</v>
      </c>
      <c r="L583" s="69">
        <f t="shared" ca="1" si="130"/>
        <v>-0.12165220659667544</v>
      </c>
      <c r="N583" s="69">
        <f t="shared" ca="1" si="117"/>
        <v>-0.56873788081779542</v>
      </c>
      <c r="O583" s="69">
        <f t="shared" ca="1" si="118"/>
        <v>-0.39872300645013664</v>
      </c>
      <c r="P583" s="69">
        <f t="shared" ca="1" si="119"/>
        <v>-1.1517556597309335</v>
      </c>
      <c r="Q583" s="69">
        <f t="shared" ca="1" si="120"/>
        <v>-0.60145036921823658</v>
      </c>
      <c r="R583" s="69">
        <f t="shared" ca="1" si="121"/>
        <v>-0.40194900757565771</v>
      </c>
      <c r="S583" s="69">
        <f t="shared" ca="1" si="122"/>
        <v>0.15513567510857038</v>
      </c>
      <c r="T583" s="69">
        <f t="shared" ca="1" si="123"/>
        <v>-0.2100752417851203</v>
      </c>
      <c r="U583" s="69">
        <f t="shared" ca="1" si="124"/>
        <v>1.2913331935816581</v>
      </c>
      <c r="V583" s="69">
        <f t="shared" ca="1" si="125"/>
        <v>-0.64613587222187741</v>
      </c>
      <c r="W583" s="69">
        <f t="shared" ca="1" si="126"/>
        <v>0.16448452313282397</v>
      </c>
      <c r="X583" s="69">
        <f t="shared" ca="1" si="127"/>
        <v>-9.4483716222239972E-2</v>
      </c>
    </row>
    <row r="584" spans="2:24" x14ac:dyDescent="0.2">
      <c r="B584" s="69">
        <f t="shared" ca="1" si="116"/>
        <v>0.25655219386190009</v>
      </c>
      <c r="C584" s="69">
        <f t="shared" ca="1" si="130"/>
        <v>0.92983853627731283</v>
      </c>
      <c r="D584" s="69">
        <f t="shared" ca="1" si="130"/>
        <v>-0.78145727621535577</v>
      </c>
      <c r="E584" s="69">
        <f t="shared" ca="1" si="130"/>
        <v>-0.90264749630030761</v>
      </c>
      <c r="F584" s="69">
        <f t="shared" ca="1" si="130"/>
        <v>0.74462753193913944</v>
      </c>
      <c r="G584" s="69">
        <f t="shared" ca="1" si="130"/>
        <v>1.2351869882173214</v>
      </c>
      <c r="H584" s="69">
        <f t="shared" ca="1" si="130"/>
        <v>0.51969397011044238</v>
      </c>
      <c r="I584" s="69">
        <f t="shared" ca="1" si="130"/>
        <v>0.21532832747809028</v>
      </c>
      <c r="J584" s="69">
        <f t="shared" ca="1" si="130"/>
        <v>-0.75823093445888867</v>
      </c>
      <c r="K584" s="69">
        <f t="shared" ca="1" si="130"/>
        <v>0.68325475785908318</v>
      </c>
      <c r="L584" s="69">
        <f t="shared" ca="1" si="130"/>
        <v>1.4004706158828846</v>
      </c>
      <c r="N584" s="69">
        <f t="shared" ca="1" si="117"/>
        <v>0.29432023770000892</v>
      </c>
      <c r="O584" s="69">
        <f t="shared" ca="1" si="118"/>
        <v>0.90334497319442619</v>
      </c>
      <c r="P584" s="69">
        <f t="shared" ca="1" si="119"/>
        <v>-0.83919934105244576</v>
      </c>
      <c r="Q584" s="69">
        <f t="shared" ca="1" si="120"/>
        <v>-0.85353881743854865</v>
      </c>
      <c r="R584" s="69">
        <f t="shared" ca="1" si="121"/>
        <v>0.73833284653149056</v>
      </c>
      <c r="S584" s="69">
        <f t="shared" ca="1" si="122"/>
        <v>1.2680139604741298</v>
      </c>
      <c r="T584" s="69">
        <f t="shared" ca="1" si="123"/>
        <v>0.51486293239525249</v>
      </c>
      <c r="U584" s="69">
        <f t="shared" ca="1" si="124"/>
        <v>0.23836845435579992</v>
      </c>
      <c r="V584" s="69">
        <f t="shared" ca="1" si="125"/>
        <v>-0.76434052803248598</v>
      </c>
      <c r="W584" s="69">
        <f t="shared" ca="1" si="126"/>
        <v>0.68423611468318213</v>
      </c>
      <c r="X584" s="69">
        <f t="shared" ca="1" si="127"/>
        <v>1.4276391062573202</v>
      </c>
    </row>
    <row r="585" spans="2:24" x14ac:dyDescent="0.2">
      <c r="B585" s="69">
        <f t="shared" ca="1" si="116"/>
        <v>-0.26635461761597556</v>
      </c>
      <c r="C585" s="69">
        <f t="shared" ca="1" si="130"/>
        <v>-0.72793375418745432</v>
      </c>
      <c r="D585" s="69">
        <f t="shared" ca="1" si="130"/>
        <v>-1.0365542149437019</v>
      </c>
      <c r="E585" s="69">
        <f t="shared" ca="1" si="130"/>
        <v>-1.991827135791721</v>
      </c>
      <c r="F585" s="69">
        <f t="shared" ca="1" si="130"/>
        <v>-0.99094700735216246</v>
      </c>
      <c r="G585" s="69">
        <f t="shared" ca="1" si="130"/>
        <v>-1.7071981083367915</v>
      </c>
      <c r="H585" s="69">
        <f t="shared" ca="1" si="130"/>
        <v>-0.76395129529230077</v>
      </c>
      <c r="I585" s="69">
        <f t="shared" ca="1" si="130"/>
        <v>-5.7686986571929146E-2</v>
      </c>
      <c r="J585" s="69">
        <f t="shared" ca="1" si="130"/>
        <v>0.52145765323833015</v>
      </c>
      <c r="K585" s="69">
        <f t="shared" ca="1" si="130"/>
        <v>-1.2973215351009342</v>
      </c>
      <c r="L585" s="69">
        <f t="shared" ca="1" si="130"/>
        <v>8.3221508379148171E-2</v>
      </c>
      <c r="N585" s="69">
        <f t="shared" ca="1" si="117"/>
        <v>-0.22858657377786673</v>
      </c>
      <c r="O585" s="69">
        <f t="shared" ca="1" si="118"/>
        <v>-0.75442731727034096</v>
      </c>
      <c r="P585" s="69">
        <f t="shared" ca="1" si="119"/>
        <v>-1.094296279780792</v>
      </c>
      <c r="Q585" s="69">
        <f t="shared" ca="1" si="120"/>
        <v>-1.942718456929962</v>
      </c>
      <c r="R585" s="69">
        <f t="shared" ca="1" si="121"/>
        <v>-0.99724169275981134</v>
      </c>
      <c r="S585" s="69">
        <f t="shared" ca="1" si="122"/>
        <v>-1.6743711360799831</v>
      </c>
      <c r="T585" s="69">
        <f t="shared" ca="1" si="123"/>
        <v>-0.76878233300749066</v>
      </c>
      <c r="U585" s="69">
        <f t="shared" ca="1" si="124"/>
        <v>-3.464685969421949E-2</v>
      </c>
      <c r="V585" s="69">
        <f t="shared" ca="1" si="125"/>
        <v>0.51534805966473285</v>
      </c>
      <c r="W585" s="69">
        <f t="shared" ca="1" si="126"/>
        <v>-1.2963401782768351</v>
      </c>
      <c r="X585" s="69">
        <f t="shared" ca="1" si="127"/>
        <v>0.11038999875358366</v>
      </c>
    </row>
    <row r="586" spans="2:24" x14ac:dyDescent="0.2">
      <c r="B586" s="69">
        <f t="shared" ref="B586:B649" ca="1" si="131">NORMINV(RAND(),$C$7,$F$7)</f>
        <v>0.77567743705088588</v>
      </c>
      <c r="C586" s="69">
        <f t="shared" ca="1" si="130"/>
        <v>0.49384266257497011</v>
      </c>
      <c r="D586" s="69">
        <f t="shared" ca="1" si="130"/>
        <v>-0.73888171225511778</v>
      </c>
      <c r="E586" s="69">
        <f t="shared" ca="1" si="130"/>
        <v>0.78518025705230765</v>
      </c>
      <c r="F586" s="69">
        <f t="shared" ca="1" si="130"/>
        <v>1.3543298316441723</v>
      </c>
      <c r="G586" s="69">
        <f t="shared" ca="1" si="130"/>
        <v>-0.5655362924111359</v>
      </c>
      <c r="H586" s="69">
        <f t="shared" ca="1" si="130"/>
        <v>-1.7923144702787488</v>
      </c>
      <c r="I586" s="69">
        <f t="shared" ca="1" si="130"/>
        <v>-0.64687683887726433</v>
      </c>
      <c r="J586" s="69">
        <f t="shared" ca="1" si="130"/>
        <v>1.6582020967165188E-2</v>
      </c>
      <c r="K586" s="69">
        <f t="shared" ca="1" si="130"/>
        <v>-0.19792549230930997</v>
      </c>
      <c r="L586" s="69">
        <f t="shared" ca="1" si="130"/>
        <v>1.6763987497360813</v>
      </c>
      <c r="N586" s="69">
        <f t="shared" ref="N586:N649" ca="1" si="132">B586-$B$1010</f>
        <v>0.81344548088899471</v>
      </c>
      <c r="O586" s="69">
        <f t="shared" ref="O586:O649" ca="1" si="133">C586-$C$1010</f>
        <v>0.46734909949208342</v>
      </c>
      <c r="P586" s="69">
        <f t="shared" ref="P586:P649" ca="1" si="134">D586-$D$1010</f>
        <v>-0.79662377709220777</v>
      </c>
      <c r="Q586" s="69">
        <f t="shared" ref="Q586:Q649" ca="1" si="135">E586-$E$1010</f>
        <v>0.83428893591406661</v>
      </c>
      <c r="R586" s="69">
        <f t="shared" ref="R586:R649" ca="1" si="136">F586-$F$1010</f>
        <v>1.3480351462365234</v>
      </c>
      <c r="S586" s="69">
        <f t="shared" ref="S586:S649" ca="1" si="137">G586-$G$1010</f>
        <v>-0.53270932015432737</v>
      </c>
      <c r="T586" s="69">
        <f t="shared" ref="T586:T649" ca="1" si="138">H586-$H$1010</f>
        <v>-1.7971455079939387</v>
      </c>
      <c r="U586" s="69">
        <f t="shared" ref="U586:U649" ca="1" si="139">I586-$I$1010</f>
        <v>-0.6238367119995547</v>
      </c>
      <c r="V586" s="69">
        <f t="shared" ref="V586:V649" ca="1" si="140">J586-$J$1010</f>
        <v>1.0472427393567858E-2</v>
      </c>
      <c r="W586" s="69">
        <f t="shared" ref="W586:W649" ca="1" si="141">K586-$K$1010</f>
        <v>-0.19694413548521103</v>
      </c>
      <c r="X586" s="69">
        <f t="shared" ref="X586:X649" ca="1" si="142">L586-$L$1010</f>
        <v>1.7035672401105169</v>
      </c>
    </row>
    <row r="587" spans="2:24" x14ac:dyDescent="0.2">
      <c r="B587" s="69">
        <f t="shared" ca="1" si="131"/>
        <v>-0.9593586111195469</v>
      </c>
      <c r="C587" s="69">
        <f t="shared" ca="1" si="130"/>
        <v>0.58740549038833434</v>
      </c>
      <c r="D587" s="69">
        <f t="shared" ca="1" si="130"/>
        <v>0.20794569171910657</v>
      </c>
      <c r="E587" s="69">
        <f t="shared" ca="1" si="130"/>
        <v>-0.27438883332150305</v>
      </c>
      <c r="F587" s="69">
        <f t="shared" ca="1" si="130"/>
        <v>-1.6086643809182799</v>
      </c>
      <c r="G587" s="69">
        <f t="shared" ca="1" si="130"/>
        <v>-0.47355728495077903</v>
      </c>
      <c r="H587" s="69">
        <f t="shared" ca="1" si="130"/>
        <v>-0.17279579816025217</v>
      </c>
      <c r="I587" s="69">
        <f t="shared" ca="1" si="130"/>
        <v>-0.57180509508471677</v>
      </c>
      <c r="J587" s="69">
        <f t="shared" ca="1" si="130"/>
        <v>-0.32386689365754229</v>
      </c>
      <c r="K587" s="69">
        <f t="shared" ca="1" si="130"/>
        <v>1.5307597335941585</v>
      </c>
      <c r="L587" s="69">
        <f t="shared" ca="1" si="130"/>
        <v>0.50815680012430364</v>
      </c>
      <c r="N587" s="69">
        <f t="shared" ca="1" si="132"/>
        <v>-0.92159056728143807</v>
      </c>
      <c r="O587" s="69">
        <f t="shared" ca="1" si="133"/>
        <v>0.5609119273054477</v>
      </c>
      <c r="P587" s="69">
        <f t="shared" ca="1" si="134"/>
        <v>0.15020362688201655</v>
      </c>
      <c r="Q587" s="69">
        <f t="shared" ca="1" si="135"/>
        <v>-0.22528015445974409</v>
      </c>
      <c r="R587" s="69">
        <f t="shared" ca="1" si="136"/>
        <v>-1.6149590663259288</v>
      </c>
      <c r="S587" s="69">
        <f t="shared" ca="1" si="137"/>
        <v>-0.44073031269397056</v>
      </c>
      <c r="T587" s="69">
        <f t="shared" ca="1" si="138"/>
        <v>-0.17762683587544201</v>
      </c>
      <c r="U587" s="69">
        <f t="shared" ca="1" si="139"/>
        <v>-0.54876496820700715</v>
      </c>
      <c r="V587" s="69">
        <f t="shared" ca="1" si="140"/>
        <v>-0.32997648723113959</v>
      </c>
      <c r="W587" s="69">
        <f t="shared" ca="1" si="141"/>
        <v>1.5317410904182576</v>
      </c>
      <c r="X587" s="69">
        <f t="shared" ca="1" si="142"/>
        <v>0.53532529049873911</v>
      </c>
    </row>
    <row r="588" spans="2:24" x14ac:dyDescent="0.2">
      <c r="B588" s="69">
        <f t="shared" ca="1" si="131"/>
        <v>-0.69577322726651225</v>
      </c>
      <c r="C588" s="69">
        <f t="shared" ca="1" si="130"/>
        <v>-7.6410407421037205E-2</v>
      </c>
      <c r="D588" s="69">
        <f t="shared" ca="1" si="130"/>
        <v>0.55772832559140917</v>
      </c>
      <c r="E588" s="69">
        <f t="shared" ca="1" si="130"/>
        <v>-0.71146303633005215</v>
      </c>
      <c r="F588" s="69">
        <f t="shared" ca="1" si="130"/>
        <v>-0.73958493335984199</v>
      </c>
      <c r="G588" s="69">
        <f t="shared" ca="1" si="130"/>
        <v>-0.17072808577992585</v>
      </c>
      <c r="H588" s="69">
        <f t="shared" ca="1" si="130"/>
        <v>-9.6396889521141185E-2</v>
      </c>
      <c r="I588" s="69">
        <f t="shared" ca="1" si="130"/>
        <v>1.5385410768955998</v>
      </c>
      <c r="J588" s="69">
        <f t="shared" ca="1" si="130"/>
        <v>-0.55328921408584297</v>
      </c>
      <c r="K588" s="69">
        <f t="shared" ca="1" si="130"/>
        <v>0.49312557954040215</v>
      </c>
      <c r="L588" s="69">
        <f t="shared" ca="1" si="130"/>
        <v>-0.66772661669126887</v>
      </c>
      <c r="N588" s="69">
        <f t="shared" ca="1" si="132"/>
        <v>-0.65800518342840342</v>
      </c>
      <c r="O588" s="69">
        <f t="shared" ca="1" si="133"/>
        <v>-0.10290397050392389</v>
      </c>
      <c r="P588" s="69">
        <f t="shared" ca="1" si="134"/>
        <v>0.49998626075431912</v>
      </c>
      <c r="Q588" s="69">
        <f t="shared" ca="1" si="135"/>
        <v>-0.66235435746829319</v>
      </c>
      <c r="R588" s="69">
        <f t="shared" ca="1" si="136"/>
        <v>-0.74587961876749087</v>
      </c>
      <c r="S588" s="69">
        <f t="shared" ca="1" si="137"/>
        <v>-0.13790111352311737</v>
      </c>
      <c r="T588" s="69">
        <f t="shared" ca="1" si="138"/>
        <v>-0.10122792723633103</v>
      </c>
      <c r="U588" s="69">
        <f t="shared" ca="1" si="139"/>
        <v>1.5615812037733094</v>
      </c>
      <c r="V588" s="69">
        <f t="shared" ca="1" si="140"/>
        <v>-0.55939880765944028</v>
      </c>
      <c r="W588" s="69">
        <f t="shared" ca="1" si="141"/>
        <v>0.49410693636450109</v>
      </c>
      <c r="X588" s="69">
        <f t="shared" ca="1" si="142"/>
        <v>-0.6405581263168334</v>
      </c>
    </row>
    <row r="589" spans="2:24" x14ac:dyDescent="0.2">
      <c r="B589" s="69">
        <f t="shared" ca="1" si="131"/>
        <v>-1.2264573118824185</v>
      </c>
      <c r="C589" s="69">
        <f t="shared" ca="1" si="130"/>
        <v>-0.39557610217559908</v>
      </c>
      <c r="D589" s="69">
        <f t="shared" ca="1" si="130"/>
        <v>0.20095859707576755</v>
      </c>
      <c r="E589" s="69">
        <f t="shared" ca="1" si="130"/>
        <v>0.33404308745840205</v>
      </c>
      <c r="F589" s="69">
        <f t="shared" ca="1" si="130"/>
        <v>-1.1501142783604519</v>
      </c>
      <c r="G589" s="69">
        <f t="shared" ca="1" si="130"/>
        <v>-1.4312839139846618</v>
      </c>
      <c r="H589" s="69">
        <f t="shared" ca="1" si="130"/>
        <v>1.0950849147672164</v>
      </c>
      <c r="I589" s="69">
        <f t="shared" ca="1" si="130"/>
        <v>2.6011350970636039E-2</v>
      </c>
      <c r="J589" s="69">
        <f t="shared" ca="1" si="130"/>
        <v>0.84299758237541556</v>
      </c>
      <c r="K589" s="69">
        <f t="shared" ca="1" si="130"/>
        <v>-0.92399036420637104</v>
      </c>
      <c r="L589" s="69">
        <f t="shared" ca="1" si="130"/>
        <v>-1.1732843077664585</v>
      </c>
      <c r="N589" s="69">
        <f t="shared" ca="1" si="132"/>
        <v>-1.1886892680443097</v>
      </c>
      <c r="O589" s="69">
        <f t="shared" ca="1" si="133"/>
        <v>-0.42206966525848577</v>
      </c>
      <c r="P589" s="69">
        <f t="shared" ca="1" si="134"/>
        <v>0.14321653223867753</v>
      </c>
      <c r="Q589" s="69">
        <f t="shared" ca="1" si="135"/>
        <v>0.38315176632016101</v>
      </c>
      <c r="R589" s="69">
        <f t="shared" ca="1" si="136"/>
        <v>-1.1564089637681008</v>
      </c>
      <c r="S589" s="69">
        <f t="shared" ca="1" si="137"/>
        <v>-1.3984569417278534</v>
      </c>
      <c r="T589" s="69">
        <f t="shared" ca="1" si="138"/>
        <v>1.0902538770520265</v>
      </c>
      <c r="U589" s="69">
        <f t="shared" ca="1" si="139"/>
        <v>4.9051477848345695E-2</v>
      </c>
      <c r="V589" s="69">
        <f t="shared" ca="1" si="140"/>
        <v>0.83688798880181825</v>
      </c>
      <c r="W589" s="69">
        <f t="shared" ca="1" si="141"/>
        <v>-0.9230090073822721</v>
      </c>
      <c r="X589" s="69">
        <f t="shared" ca="1" si="142"/>
        <v>-1.146115817392023</v>
      </c>
    </row>
    <row r="590" spans="2:24" x14ac:dyDescent="0.2">
      <c r="B590" s="69">
        <f t="shared" ca="1" si="131"/>
        <v>0.51130369198243197</v>
      </c>
      <c r="C590" s="69">
        <f t="shared" ca="1" si="130"/>
        <v>0.23766203094943314</v>
      </c>
      <c r="D590" s="69">
        <f t="shared" ca="1" si="130"/>
        <v>0.45625930833750322</v>
      </c>
      <c r="E590" s="69">
        <f t="shared" ca="1" si="130"/>
        <v>1.3049509938084911</v>
      </c>
      <c r="F590" s="69">
        <f t="shared" ca="1" si="130"/>
        <v>-1.0284325279698425</v>
      </c>
      <c r="G590" s="69">
        <f t="shared" ca="1" si="130"/>
        <v>-0.73642658424536844</v>
      </c>
      <c r="H590" s="69">
        <f t="shared" ca="1" si="130"/>
        <v>-1.5551193603169775</v>
      </c>
      <c r="I590" s="69">
        <f t="shared" ca="1" si="130"/>
        <v>0.41015550607236134</v>
      </c>
      <c r="J590" s="69">
        <f t="shared" ca="1" si="130"/>
        <v>0.88703212881816929</v>
      </c>
      <c r="K590" s="69">
        <f t="shared" ca="1" si="130"/>
        <v>1.5657954053790362</v>
      </c>
      <c r="L590" s="69">
        <f t="shared" ca="1" si="130"/>
        <v>1.8556722850559992</v>
      </c>
      <c r="N590" s="69">
        <f t="shared" ca="1" si="132"/>
        <v>0.54907173582054081</v>
      </c>
      <c r="O590" s="69">
        <f t="shared" ca="1" si="133"/>
        <v>0.21116846786654644</v>
      </c>
      <c r="P590" s="69">
        <f t="shared" ca="1" si="134"/>
        <v>0.39851724350041318</v>
      </c>
      <c r="Q590" s="69">
        <f t="shared" ca="1" si="135"/>
        <v>1.3540596726702501</v>
      </c>
      <c r="R590" s="69">
        <f t="shared" ca="1" si="136"/>
        <v>-1.0347272133774914</v>
      </c>
      <c r="S590" s="69">
        <f t="shared" ca="1" si="137"/>
        <v>-0.70359961198855991</v>
      </c>
      <c r="T590" s="69">
        <f t="shared" ca="1" si="138"/>
        <v>-1.5599503980321674</v>
      </c>
      <c r="U590" s="69">
        <f t="shared" ca="1" si="139"/>
        <v>0.43319563295007102</v>
      </c>
      <c r="V590" s="69">
        <f t="shared" ca="1" si="140"/>
        <v>0.88092253524457198</v>
      </c>
      <c r="W590" s="69">
        <f t="shared" ca="1" si="141"/>
        <v>1.5667767622031352</v>
      </c>
      <c r="X590" s="69">
        <f t="shared" ca="1" si="142"/>
        <v>1.8828407754304348</v>
      </c>
    </row>
    <row r="591" spans="2:24" x14ac:dyDescent="0.2">
      <c r="B591" s="69">
        <f t="shared" ca="1" si="131"/>
        <v>-0.31282469475966357</v>
      </c>
      <c r="C591" s="69">
        <f t="shared" ca="1" si="130"/>
        <v>0.25277897960268242</v>
      </c>
      <c r="D591" s="69">
        <f t="shared" ca="1" si="130"/>
        <v>0.93299052242742087</v>
      </c>
      <c r="E591" s="69">
        <f t="shared" ca="1" si="130"/>
        <v>-1.4305348328321741</v>
      </c>
      <c r="F591" s="69">
        <f t="shared" ca="1" si="130"/>
        <v>-0.44526653456317222</v>
      </c>
      <c r="G591" s="69">
        <f t="shared" ca="1" si="130"/>
        <v>-0.79667664788434245</v>
      </c>
      <c r="H591" s="69">
        <f t="shared" ca="1" si="130"/>
        <v>0.49469865219605708</v>
      </c>
      <c r="I591" s="69">
        <f t="shared" ca="1" si="130"/>
        <v>-0.46534275309164541</v>
      </c>
      <c r="J591" s="69">
        <f t="shared" ca="1" si="130"/>
        <v>-0.90320185507039996</v>
      </c>
      <c r="K591" s="69">
        <f t="shared" ca="1" si="130"/>
        <v>0.79756834316099701</v>
      </c>
      <c r="L591" s="69">
        <f t="shared" ca="1" si="130"/>
        <v>-0.60150098324495349</v>
      </c>
      <c r="N591" s="69">
        <f t="shared" ca="1" si="132"/>
        <v>-0.27505665092155474</v>
      </c>
      <c r="O591" s="69">
        <f t="shared" ca="1" si="133"/>
        <v>0.22628541651979572</v>
      </c>
      <c r="P591" s="69">
        <f t="shared" ca="1" si="134"/>
        <v>0.87524845759033088</v>
      </c>
      <c r="Q591" s="69">
        <f t="shared" ca="1" si="135"/>
        <v>-1.3814261539704151</v>
      </c>
      <c r="R591" s="69">
        <f t="shared" ca="1" si="136"/>
        <v>-0.4515612199708211</v>
      </c>
      <c r="S591" s="69">
        <f t="shared" ca="1" si="137"/>
        <v>-0.76384967562753392</v>
      </c>
      <c r="T591" s="69">
        <f t="shared" ca="1" si="138"/>
        <v>0.48986761448086724</v>
      </c>
      <c r="U591" s="69">
        <f t="shared" ca="1" si="139"/>
        <v>-0.44230262621393573</v>
      </c>
      <c r="V591" s="69">
        <f t="shared" ca="1" si="140"/>
        <v>-0.90931144864399727</v>
      </c>
      <c r="W591" s="69">
        <f t="shared" ca="1" si="141"/>
        <v>0.79854969998509595</v>
      </c>
      <c r="X591" s="69">
        <f t="shared" ca="1" si="142"/>
        <v>-0.57433249287051802</v>
      </c>
    </row>
    <row r="592" spans="2:24" x14ac:dyDescent="0.2">
      <c r="B592" s="69">
        <f t="shared" ca="1" si="131"/>
        <v>-2.2107381271128741</v>
      </c>
      <c r="C592" s="69">
        <f t="shared" ca="1" si="130"/>
        <v>-0.76281175916552801</v>
      </c>
      <c r="D592" s="69">
        <f t="shared" ca="1" si="130"/>
        <v>0.42085463947396562</v>
      </c>
      <c r="E592" s="69">
        <f t="shared" ca="1" si="130"/>
        <v>0.75172329851601305</v>
      </c>
      <c r="F592" s="69">
        <f t="shared" ca="1" si="130"/>
        <v>0.72943829565125484</v>
      </c>
      <c r="G592" s="69">
        <f t="shared" ca="1" si="130"/>
        <v>0.4045076459565583</v>
      </c>
      <c r="H592" s="69">
        <f t="shared" ca="1" si="130"/>
        <v>0.11408993517483713</v>
      </c>
      <c r="I592" s="69">
        <f t="shared" ca="1" si="130"/>
        <v>-4.2832509928147348E-2</v>
      </c>
      <c r="J592" s="69">
        <f t="shared" ca="1" si="130"/>
        <v>0.14613048881296978</v>
      </c>
      <c r="K592" s="69">
        <f t="shared" ca="1" si="130"/>
        <v>-1.1259172078151494</v>
      </c>
      <c r="L592" s="69">
        <f t="shared" ca="1" si="130"/>
        <v>-0.28807184818479131</v>
      </c>
      <c r="N592" s="69">
        <f t="shared" ca="1" si="132"/>
        <v>-2.1729700832747652</v>
      </c>
      <c r="O592" s="69">
        <f t="shared" ca="1" si="133"/>
        <v>-0.78930532224841465</v>
      </c>
      <c r="P592" s="69">
        <f t="shared" ca="1" si="134"/>
        <v>0.36311257463687557</v>
      </c>
      <c r="Q592" s="69">
        <f t="shared" ca="1" si="135"/>
        <v>0.80083197737777201</v>
      </c>
      <c r="R592" s="69">
        <f t="shared" ca="1" si="136"/>
        <v>0.72314361024360596</v>
      </c>
      <c r="S592" s="69">
        <f t="shared" ca="1" si="137"/>
        <v>0.43733461821336678</v>
      </c>
      <c r="T592" s="69">
        <f t="shared" ca="1" si="138"/>
        <v>0.10925889745964729</v>
      </c>
      <c r="U592" s="69">
        <f t="shared" ca="1" si="139"/>
        <v>-1.9792383050437692E-2</v>
      </c>
      <c r="V592" s="69">
        <f t="shared" ca="1" si="140"/>
        <v>0.14002089523937244</v>
      </c>
      <c r="W592" s="69">
        <f t="shared" ca="1" si="141"/>
        <v>-1.1249358509910503</v>
      </c>
      <c r="X592" s="69">
        <f t="shared" ca="1" si="142"/>
        <v>-0.26090335781035584</v>
      </c>
    </row>
    <row r="593" spans="2:24" x14ac:dyDescent="0.2">
      <c r="B593" s="69">
        <f t="shared" ca="1" si="131"/>
        <v>-1.4864560297780369</v>
      </c>
      <c r="C593" s="69">
        <f t="shared" ca="1" si="130"/>
        <v>-1.3086198006143153</v>
      </c>
      <c r="D593" s="69">
        <f t="shared" ca="1" si="130"/>
        <v>1.8137552494949947</v>
      </c>
      <c r="E593" s="69">
        <f t="shared" ca="1" si="130"/>
        <v>1.8925689344529437</v>
      </c>
      <c r="F593" s="69">
        <f t="shared" ca="1" si="130"/>
        <v>-0.16260091887599162</v>
      </c>
      <c r="G593" s="69">
        <f t="shared" ca="1" si="130"/>
        <v>0.84371745589574376</v>
      </c>
      <c r="H593" s="69">
        <f t="shared" ca="1" si="130"/>
        <v>-1.6934166465007596</v>
      </c>
      <c r="I593" s="69">
        <f t="shared" ca="1" si="130"/>
        <v>-0.63843266412523081</v>
      </c>
      <c r="J593" s="69">
        <f t="shared" ca="1" si="130"/>
        <v>-0.80097428219816913</v>
      </c>
      <c r="K593" s="69">
        <f t="shared" ca="1" si="130"/>
        <v>0.48884956832263343</v>
      </c>
      <c r="L593" s="69">
        <f t="shared" ca="1" si="130"/>
        <v>-0.60954763577659732</v>
      </c>
      <c r="N593" s="69">
        <f t="shared" ca="1" si="132"/>
        <v>-1.4486879859399282</v>
      </c>
      <c r="O593" s="69">
        <f t="shared" ca="1" si="133"/>
        <v>-1.3351133636972019</v>
      </c>
      <c r="P593" s="69">
        <f t="shared" ca="1" si="134"/>
        <v>1.7560131846579046</v>
      </c>
      <c r="Q593" s="69">
        <f t="shared" ca="1" si="135"/>
        <v>1.9416776133147027</v>
      </c>
      <c r="R593" s="69">
        <f t="shared" ca="1" si="136"/>
        <v>-0.16889560428364053</v>
      </c>
      <c r="S593" s="69">
        <f t="shared" ca="1" si="137"/>
        <v>0.87654442815255229</v>
      </c>
      <c r="T593" s="69">
        <f t="shared" ca="1" si="138"/>
        <v>-1.6982476842159495</v>
      </c>
      <c r="U593" s="69">
        <f t="shared" ca="1" si="139"/>
        <v>-0.61539253724752119</v>
      </c>
      <c r="V593" s="69">
        <f t="shared" ca="1" si="140"/>
        <v>-0.80708387577176643</v>
      </c>
      <c r="W593" s="69">
        <f t="shared" ca="1" si="141"/>
        <v>0.48983092514673238</v>
      </c>
      <c r="X593" s="69">
        <f t="shared" ca="1" si="142"/>
        <v>-0.58237914540216185</v>
      </c>
    </row>
    <row r="594" spans="2:24" x14ac:dyDescent="0.2">
      <c r="B594" s="69">
        <f t="shared" ca="1" si="131"/>
        <v>-0.42549287433413058</v>
      </c>
      <c r="C594" s="69">
        <f t="shared" ca="1" si="130"/>
        <v>-0.18686385200826969</v>
      </c>
      <c r="D594" s="69">
        <f t="shared" ca="1" si="130"/>
        <v>1.0368149598182412</v>
      </c>
      <c r="E594" s="69">
        <f t="shared" ca="1" si="130"/>
        <v>8.5283180969377426E-2</v>
      </c>
      <c r="F594" s="69">
        <f t="shared" ca="1" si="130"/>
        <v>2.0047581020923673</v>
      </c>
      <c r="G594" s="69">
        <f t="shared" ca="1" si="130"/>
        <v>-0.21301591657477939</v>
      </c>
      <c r="H594" s="69">
        <f t="shared" ca="1" si="130"/>
        <v>2.8306110352398419</v>
      </c>
      <c r="I594" s="69">
        <f t="shared" ca="1" si="130"/>
        <v>-1.2140346322689934</v>
      </c>
      <c r="J594" s="69">
        <f t="shared" ca="1" si="130"/>
        <v>0.87765491005817542</v>
      </c>
      <c r="K594" s="69">
        <f t="shared" ca="1" si="130"/>
        <v>-0.51088962413945782</v>
      </c>
      <c r="L594" s="69">
        <f t="shared" ca="1" si="130"/>
        <v>-1.1611937234014851</v>
      </c>
      <c r="N594" s="69">
        <f t="shared" ca="1" si="132"/>
        <v>-0.38772483049602174</v>
      </c>
      <c r="O594" s="69">
        <f t="shared" ca="1" si="133"/>
        <v>-0.21335741509115638</v>
      </c>
      <c r="P594" s="69">
        <f t="shared" ca="1" si="134"/>
        <v>0.97907289498115124</v>
      </c>
      <c r="Q594" s="69">
        <f t="shared" ca="1" si="135"/>
        <v>0.13439185983113638</v>
      </c>
      <c r="R594" s="69">
        <f t="shared" ca="1" si="136"/>
        <v>1.9984634166847184</v>
      </c>
      <c r="S594" s="69">
        <f t="shared" ca="1" si="137"/>
        <v>-0.18018894431797092</v>
      </c>
      <c r="T594" s="69">
        <f t="shared" ca="1" si="138"/>
        <v>2.825779997524652</v>
      </c>
      <c r="U594" s="69">
        <f t="shared" ca="1" si="139"/>
        <v>-1.1909945053912838</v>
      </c>
      <c r="V594" s="69">
        <f t="shared" ca="1" si="140"/>
        <v>0.87154531648457811</v>
      </c>
      <c r="W594" s="69">
        <f t="shared" ca="1" si="141"/>
        <v>-0.50990826731535888</v>
      </c>
      <c r="X594" s="69">
        <f t="shared" ca="1" si="142"/>
        <v>-1.1340252330270495</v>
      </c>
    </row>
    <row r="595" spans="2:24" x14ac:dyDescent="0.2">
      <c r="B595" s="69">
        <f t="shared" ca="1" si="131"/>
        <v>0.39164657181792034</v>
      </c>
      <c r="C595" s="69">
        <f t="shared" ca="1" si="130"/>
        <v>-0.26558270918933524</v>
      </c>
      <c r="D595" s="69">
        <f t="shared" ca="1" si="130"/>
        <v>1.1993021777009367</v>
      </c>
      <c r="E595" s="69">
        <f t="shared" ca="1" si="130"/>
        <v>-0.66257811885843099</v>
      </c>
      <c r="F595" s="69">
        <f t="shared" ca="1" si="130"/>
        <v>0.26363093369135226</v>
      </c>
      <c r="G595" s="69">
        <f t="shared" ca="1" si="130"/>
        <v>-1.6209172523981086</v>
      </c>
      <c r="H595" s="69">
        <f t="shared" ca="1" si="130"/>
        <v>0.5469391422485842</v>
      </c>
      <c r="I595" s="69">
        <f t="shared" ca="1" si="130"/>
        <v>-2.1335264065827233</v>
      </c>
      <c r="J595" s="69">
        <f t="shared" ca="1" si="130"/>
        <v>-1.8474647657222039</v>
      </c>
      <c r="K595" s="69">
        <f t="shared" ca="1" si="130"/>
        <v>0.32436404489781162</v>
      </c>
      <c r="L595" s="69">
        <f t="shared" ca="1" si="130"/>
        <v>0.32755721821947292</v>
      </c>
      <c r="N595" s="69">
        <f t="shared" ca="1" si="132"/>
        <v>0.42941461565602917</v>
      </c>
      <c r="O595" s="69">
        <f t="shared" ca="1" si="133"/>
        <v>-0.29207627227222194</v>
      </c>
      <c r="P595" s="69">
        <f t="shared" ca="1" si="134"/>
        <v>1.1415601128638466</v>
      </c>
      <c r="Q595" s="69">
        <f t="shared" ca="1" si="135"/>
        <v>-0.61346943999667203</v>
      </c>
      <c r="R595" s="69">
        <f t="shared" ca="1" si="136"/>
        <v>0.25733624828370338</v>
      </c>
      <c r="S595" s="69">
        <f t="shared" ca="1" si="137"/>
        <v>-1.5880902801413002</v>
      </c>
      <c r="T595" s="69">
        <f t="shared" ca="1" si="138"/>
        <v>0.54210810453339431</v>
      </c>
      <c r="U595" s="69">
        <f t="shared" ca="1" si="139"/>
        <v>-2.1104862797050137</v>
      </c>
      <c r="V595" s="69">
        <f t="shared" ca="1" si="140"/>
        <v>-1.8535743592958012</v>
      </c>
      <c r="W595" s="69">
        <f t="shared" ca="1" si="141"/>
        <v>0.32534540172191057</v>
      </c>
      <c r="X595" s="69">
        <f t="shared" ca="1" si="142"/>
        <v>0.3547257085939084</v>
      </c>
    </row>
    <row r="596" spans="2:24" x14ac:dyDescent="0.2">
      <c r="B596" s="69">
        <f t="shared" ca="1" si="131"/>
        <v>-0.99422985035102152</v>
      </c>
      <c r="C596" s="69">
        <f t="shared" ca="1" si="130"/>
        <v>0.87395146765756959</v>
      </c>
      <c r="D596" s="69">
        <f t="shared" ca="1" si="130"/>
        <v>-0.2630320495190388</v>
      </c>
      <c r="E596" s="69">
        <f t="shared" ca="1" si="130"/>
        <v>-1.0097201054954119</v>
      </c>
      <c r="F596" s="69">
        <f t="shared" ca="1" si="130"/>
        <v>1.346085873891492</v>
      </c>
      <c r="G596" s="69">
        <f t="shared" ca="1" si="130"/>
        <v>-1.4699060912908766</v>
      </c>
      <c r="H596" s="69">
        <f t="shared" ca="1" si="130"/>
        <v>0.3735989640916848</v>
      </c>
      <c r="I596" s="69">
        <f t="shared" ca="1" si="130"/>
        <v>1.2215922318536059</v>
      </c>
      <c r="J596" s="69">
        <f t="shared" ca="1" si="130"/>
        <v>-0.67846768478093067</v>
      </c>
      <c r="K596" s="69">
        <f t="shared" ca="1" si="130"/>
        <v>0.14694460526680489</v>
      </c>
      <c r="L596" s="69">
        <f t="shared" ca="1" si="130"/>
        <v>0.61550635028675305</v>
      </c>
      <c r="N596" s="69">
        <f t="shared" ca="1" si="132"/>
        <v>-0.95646180651291268</v>
      </c>
      <c r="O596" s="69">
        <f t="shared" ca="1" si="133"/>
        <v>0.84745790457468295</v>
      </c>
      <c r="P596" s="69">
        <f t="shared" ca="1" si="134"/>
        <v>-0.32077411435612885</v>
      </c>
      <c r="Q596" s="69">
        <f t="shared" ca="1" si="135"/>
        <v>-0.96061142663365295</v>
      </c>
      <c r="R596" s="69">
        <f t="shared" ca="1" si="136"/>
        <v>1.3397911884838432</v>
      </c>
      <c r="S596" s="69">
        <f t="shared" ca="1" si="137"/>
        <v>-1.4370791190340682</v>
      </c>
      <c r="T596" s="69">
        <f t="shared" ca="1" si="138"/>
        <v>0.36876792637649497</v>
      </c>
      <c r="U596" s="69">
        <f t="shared" ca="1" si="139"/>
        <v>1.2446323587313155</v>
      </c>
      <c r="V596" s="69">
        <f t="shared" ca="1" si="140"/>
        <v>-0.68457727835452797</v>
      </c>
      <c r="W596" s="69">
        <f t="shared" ca="1" si="141"/>
        <v>0.14792596209090383</v>
      </c>
      <c r="X596" s="69">
        <f t="shared" ca="1" si="142"/>
        <v>0.64267484066118852</v>
      </c>
    </row>
    <row r="597" spans="2:24" x14ac:dyDescent="0.2">
      <c r="B597" s="69">
        <f t="shared" ca="1" si="131"/>
        <v>0.1717032292492674</v>
      </c>
      <c r="C597" s="69">
        <f t="shared" ca="1" si="130"/>
        <v>-1.5325544940584734</v>
      </c>
      <c r="D597" s="69">
        <f t="shared" ca="1" si="130"/>
        <v>1.1904167727007449</v>
      </c>
      <c r="E597" s="69">
        <f t="shared" ca="1" si="130"/>
        <v>-0.11457742218652371</v>
      </c>
      <c r="F597" s="69">
        <f t="shared" ca="1" si="130"/>
        <v>-1.926060292384673</v>
      </c>
      <c r="G597" s="69">
        <f t="shared" ca="1" si="130"/>
        <v>-1.6411983191352273</v>
      </c>
      <c r="H597" s="69">
        <f t="shared" ca="1" si="130"/>
        <v>-1.7557214747687306</v>
      </c>
      <c r="I597" s="69">
        <f t="shared" ca="1" si="130"/>
        <v>-0.76983182731099797</v>
      </c>
      <c r="J597" s="69">
        <f t="shared" ca="1" si="130"/>
        <v>0.19976069065371141</v>
      </c>
      <c r="K597" s="69">
        <f t="shared" ca="1" si="130"/>
        <v>-1.4466987103963338</v>
      </c>
      <c r="L597" s="69">
        <f t="shared" ca="1" si="130"/>
        <v>-0.20756088443015394</v>
      </c>
      <c r="N597" s="69">
        <f t="shared" ca="1" si="132"/>
        <v>0.20947127308737623</v>
      </c>
      <c r="O597" s="69">
        <f t="shared" ca="1" si="133"/>
        <v>-1.5590480571413601</v>
      </c>
      <c r="P597" s="69">
        <f t="shared" ca="1" si="134"/>
        <v>1.1326747078636548</v>
      </c>
      <c r="Q597" s="69">
        <f t="shared" ca="1" si="135"/>
        <v>-6.5468743324764767E-2</v>
      </c>
      <c r="R597" s="69">
        <f t="shared" ca="1" si="136"/>
        <v>-1.9323549777923219</v>
      </c>
      <c r="S597" s="69">
        <f t="shared" ca="1" si="137"/>
        <v>-1.6083713468784189</v>
      </c>
      <c r="T597" s="69">
        <f t="shared" ca="1" si="138"/>
        <v>-1.7605525124839205</v>
      </c>
      <c r="U597" s="69">
        <f t="shared" ca="1" si="139"/>
        <v>-0.74679170043328835</v>
      </c>
      <c r="V597" s="69">
        <f t="shared" ca="1" si="140"/>
        <v>0.19365109708011408</v>
      </c>
      <c r="W597" s="69">
        <f t="shared" ca="1" si="141"/>
        <v>-1.4457173535722347</v>
      </c>
      <c r="X597" s="69">
        <f t="shared" ca="1" si="142"/>
        <v>-0.18039239405571847</v>
      </c>
    </row>
    <row r="598" spans="2:24" x14ac:dyDescent="0.2">
      <c r="B598" s="69">
        <f t="shared" ca="1" si="131"/>
        <v>-0.18250526574924494</v>
      </c>
      <c r="C598" s="69">
        <f t="shared" ca="1" si="130"/>
        <v>0.96761467116702282</v>
      </c>
      <c r="D598" s="69">
        <f t="shared" ca="1" si="130"/>
        <v>0.57551907381697331</v>
      </c>
      <c r="E598" s="69">
        <f t="shared" ca="1" si="130"/>
        <v>0.84569823077359962</v>
      </c>
      <c r="F598" s="69">
        <f t="shared" ca="1" si="130"/>
        <v>-0.30855936868425299</v>
      </c>
      <c r="G598" s="69">
        <f t="shared" ca="1" si="130"/>
        <v>1.4979299085232478</v>
      </c>
      <c r="H598" s="69">
        <f t="shared" ca="1" si="130"/>
        <v>0.98995358758476593</v>
      </c>
      <c r="I598" s="69">
        <f t="shared" ca="1" si="130"/>
        <v>-0.26136126974362339</v>
      </c>
      <c r="J598" s="69">
        <f t="shared" ca="1" si="130"/>
        <v>-1.1649245312788861</v>
      </c>
      <c r="K598" s="69">
        <f t="shared" ca="1" si="130"/>
        <v>1.5138507664673877</v>
      </c>
      <c r="L598" s="69">
        <f t="shared" ca="1" si="130"/>
        <v>0.48093622939641029</v>
      </c>
      <c r="N598" s="69">
        <f t="shared" ca="1" si="132"/>
        <v>-0.14473722191113614</v>
      </c>
      <c r="O598" s="69">
        <f t="shared" ca="1" si="133"/>
        <v>0.94112110808413618</v>
      </c>
      <c r="P598" s="69">
        <f t="shared" ca="1" si="134"/>
        <v>0.51777700897988332</v>
      </c>
      <c r="Q598" s="69">
        <f t="shared" ca="1" si="135"/>
        <v>0.89480690963535858</v>
      </c>
      <c r="R598" s="69">
        <f t="shared" ca="1" si="136"/>
        <v>-0.31485405409190187</v>
      </c>
      <c r="S598" s="69">
        <f t="shared" ca="1" si="137"/>
        <v>1.5307568807800562</v>
      </c>
      <c r="T598" s="69">
        <f t="shared" ca="1" si="138"/>
        <v>0.98512254986957604</v>
      </c>
      <c r="U598" s="69">
        <f t="shared" ca="1" si="139"/>
        <v>-0.23832114286591374</v>
      </c>
      <c r="V598" s="69">
        <f t="shared" ca="1" si="140"/>
        <v>-1.1710341248524834</v>
      </c>
      <c r="W598" s="69">
        <f t="shared" ca="1" si="141"/>
        <v>1.5148321232914868</v>
      </c>
      <c r="X598" s="69">
        <f t="shared" ca="1" si="142"/>
        <v>0.50810471977084581</v>
      </c>
    </row>
    <row r="599" spans="2:24" x14ac:dyDescent="0.2">
      <c r="B599" s="69">
        <f t="shared" ca="1" si="131"/>
        <v>2.1462006728964766</v>
      </c>
      <c r="C599" s="69">
        <f t="shared" ca="1" si="130"/>
        <v>-0.78669590655904198</v>
      </c>
      <c r="D599" s="69">
        <f t="shared" ca="1" si="130"/>
        <v>0.51919791105957069</v>
      </c>
      <c r="E599" s="69">
        <f t="shared" ca="1" si="130"/>
        <v>-1.8340835641296844</v>
      </c>
      <c r="F599" s="69">
        <f t="shared" ca="1" si="130"/>
        <v>-5.6749171559790486E-2</v>
      </c>
      <c r="G599" s="69">
        <f t="shared" ca="1" si="130"/>
        <v>0.21495320503681978</v>
      </c>
      <c r="H599" s="69">
        <f t="shared" ca="1" si="130"/>
        <v>-1.5428459745959482</v>
      </c>
      <c r="I599" s="69">
        <f t="shared" ca="1" si="130"/>
        <v>0.94081167905054031</v>
      </c>
      <c r="J599" s="69">
        <f t="shared" ca="1" si="130"/>
        <v>1.0193030010285258</v>
      </c>
      <c r="K599" s="69">
        <f t="shared" ca="1" si="130"/>
        <v>0.60877684451276026</v>
      </c>
      <c r="L599" s="69">
        <f t="shared" ca="1" si="130"/>
        <v>-2.1720649345555492</v>
      </c>
      <c r="N599" s="69">
        <f t="shared" ca="1" si="132"/>
        <v>2.1839687167345856</v>
      </c>
      <c r="O599" s="69">
        <f t="shared" ca="1" si="133"/>
        <v>-0.81318946964192862</v>
      </c>
      <c r="P599" s="69">
        <f t="shared" ca="1" si="134"/>
        <v>0.46145584622248065</v>
      </c>
      <c r="Q599" s="69">
        <f t="shared" ca="1" si="135"/>
        <v>-1.7849748852679255</v>
      </c>
      <c r="R599" s="69">
        <f t="shared" ca="1" si="136"/>
        <v>-6.3043856967439388E-2</v>
      </c>
      <c r="S599" s="69">
        <f t="shared" ca="1" si="137"/>
        <v>0.24778017729362825</v>
      </c>
      <c r="T599" s="69">
        <f t="shared" ca="1" si="138"/>
        <v>-1.5476770123111381</v>
      </c>
      <c r="U599" s="69">
        <f t="shared" ca="1" si="139"/>
        <v>0.96385180592824993</v>
      </c>
      <c r="V599" s="69">
        <f t="shared" ca="1" si="140"/>
        <v>1.0131934074549285</v>
      </c>
      <c r="W599" s="69">
        <f t="shared" ca="1" si="141"/>
        <v>0.60975820133685921</v>
      </c>
      <c r="X599" s="69">
        <f t="shared" ca="1" si="142"/>
        <v>-2.1448964441811138</v>
      </c>
    </row>
    <row r="600" spans="2:24" x14ac:dyDescent="0.2">
      <c r="B600" s="69">
        <f t="shared" ca="1" si="131"/>
        <v>0.27720115921380917</v>
      </c>
      <c r="C600" s="69">
        <f t="shared" ca="1" si="130"/>
        <v>-0.58859035380590297</v>
      </c>
      <c r="D600" s="69">
        <f t="shared" ca="1" si="130"/>
        <v>-1.8723733031233807</v>
      </c>
      <c r="E600" s="69">
        <f t="shared" ca="1" si="130"/>
        <v>-3.1725340428285209</v>
      </c>
      <c r="F600" s="69">
        <f t="shared" ca="1" si="130"/>
        <v>1.3759059152808397</v>
      </c>
      <c r="G600" s="69">
        <f t="shared" ca="1" si="130"/>
        <v>-0.567044073413005</v>
      </c>
      <c r="H600" s="69">
        <f t="shared" ca="1" si="130"/>
        <v>-0.2236392830484607</v>
      </c>
      <c r="I600" s="69">
        <f t="shared" ca="1" si="130"/>
        <v>1.2393861730822039E-2</v>
      </c>
      <c r="J600" s="69">
        <f t="shared" ca="1" si="130"/>
        <v>0.46892293445736749</v>
      </c>
      <c r="K600" s="69">
        <f t="shared" ca="1" si="130"/>
        <v>9.2167154947965513E-2</v>
      </c>
      <c r="L600" s="69">
        <f t="shared" ca="1" si="130"/>
        <v>-0.67527936127899324</v>
      </c>
      <c r="N600" s="69">
        <f t="shared" ca="1" si="132"/>
        <v>0.314969203051918</v>
      </c>
      <c r="O600" s="69">
        <f t="shared" ca="1" si="133"/>
        <v>-0.61508391688878961</v>
      </c>
      <c r="P600" s="69">
        <f t="shared" ca="1" si="134"/>
        <v>-1.9301153679604708</v>
      </c>
      <c r="Q600" s="69">
        <f t="shared" ca="1" si="135"/>
        <v>-3.1234253639667622</v>
      </c>
      <c r="R600" s="69">
        <f t="shared" ca="1" si="136"/>
        <v>1.3696112298731908</v>
      </c>
      <c r="S600" s="69">
        <f t="shared" ca="1" si="137"/>
        <v>-0.53421710115619647</v>
      </c>
      <c r="T600" s="69">
        <f t="shared" ca="1" si="138"/>
        <v>-0.22847032076365054</v>
      </c>
      <c r="U600" s="69">
        <f t="shared" ca="1" si="139"/>
        <v>3.5433988608531697E-2</v>
      </c>
      <c r="V600" s="69">
        <f t="shared" ca="1" si="140"/>
        <v>0.46281334088377019</v>
      </c>
      <c r="W600" s="69">
        <f t="shared" ca="1" si="141"/>
        <v>9.3148511772064457E-2</v>
      </c>
      <c r="X600" s="69">
        <f t="shared" ca="1" si="142"/>
        <v>-0.64811087090455777</v>
      </c>
    </row>
    <row r="601" spans="2:24" x14ac:dyDescent="0.2">
      <c r="B601" s="69">
        <f t="shared" ca="1" si="131"/>
        <v>0.34545979680939365</v>
      </c>
      <c r="C601" s="69">
        <f t="shared" ca="1" si="130"/>
        <v>2.4456962944645655</v>
      </c>
      <c r="D601" s="69">
        <f t="shared" ca="1" si="130"/>
        <v>-0.36837044883390807</v>
      </c>
      <c r="E601" s="69">
        <f t="shared" ca="1" si="130"/>
        <v>-0.77906835809844521</v>
      </c>
      <c r="F601" s="69">
        <f t="shared" ca="1" si="130"/>
        <v>-1.6392949643106576</v>
      </c>
      <c r="G601" s="69">
        <f t="shared" ca="1" si="130"/>
        <v>0.97653876061990696</v>
      </c>
      <c r="H601" s="69">
        <f t="shared" ca="1" si="130"/>
        <v>0.60138289726769611</v>
      </c>
      <c r="I601" s="69">
        <f t="shared" ca="1" si="130"/>
        <v>1.9246610390983543</v>
      </c>
      <c r="J601" s="69">
        <f t="shared" ca="1" si="130"/>
        <v>-2.0448549816487631</v>
      </c>
      <c r="K601" s="69">
        <f t="shared" ca="1" si="130"/>
        <v>0.40457294166897195</v>
      </c>
      <c r="L601" s="69">
        <f t="shared" ca="1" si="130"/>
        <v>0.95612493357099226</v>
      </c>
      <c r="N601" s="69">
        <f t="shared" ca="1" si="132"/>
        <v>0.38322784064750248</v>
      </c>
      <c r="O601" s="69">
        <f t="shared" ca="1" si="133"/>
        <v>2.4192027313816786</v>
      </c>
      <c r="P601" s="69">
        <f t="shared" ca="1" si="134"/>
        <v>-0.42611251367099812</v>
      </c>
      <c r="Q601" s="69">
        <f t="shared" ca="1" si="135"/>
        <v>-0.72995967923668625</v>
      </c>
      <c r="R601" s="69">
        <f t="shared" ca="1" si="136"/>
        <v>-1.6455896497183065</v>
      </c>
      <c r="S601" s="69">
        <f t="shared" ca="1" si="137"/>
        <v>1.0093657328767154</v>
      </c>
      <c r="T601" s="69">
        <f t="shared" ca="1" si="138"/>
        <v>0.59655185955250623</v>
      </c>
      <c r="U601" s="69">
        <f t="shared" ca="1" si="139"/>
        <v>1.9477011659760639</v>
      </c>
      <c r="V601" s="69">
        <f t="shared" ca="1" si="140"/>
        <v>-2.0509645752223604</v>
      </c>
      <c r="W601" s="69">
        <f t="shared" ca="1" si="141"/>
        <v>0.4055542984930709</v>
      </c>
      <c r="X601" s="69">
        <f t="shared" ca="1" si="142"/>
        <v>0.98329342394542774</v>
      </c>
    </row>
    <row r="602" spans="2:24" x14ac:dyDescent="0.2">
      <c r="B602" s="69">
        <f t="shared" ca="1" si="131"/>
        <v>-0.22218856982515273</v>
      </c>
      <c r="C602" s="69">
        <f t="shared" ca="1" si="130"/>
        <v>-0.17015355827401779</v>
      </c>
      <c r="D602" s="69">
        <f t="shared" ca="1" si="130"/>
        <v>-0.83724913267210943</v>
      </c>
      <c r="E602" s="69">
        <f t="shared" ca="1" si="130"/>
        <v>1.1794565397056664</v>
      </c>
      <c r="F602" s="69">
        <f t="shared" ca="1" si="130"/>
        <v>-0.36354783797157275</v>
      </c>
      <c r="G602" s="69">
        <f t="shared" ca="1" si="130"/>
        <v>-0.83800371523336481</v>
      </c>
      <c r="H602" s="69">
        <f t="shared" ca="1" si="130"/>
        <v>1.6089075715907333</v>
      </c>
      <c r="I602" s="69">
        <f t="shared" ca="1" si="130"/>
        <v>0.31714782783674783</v>
      </c>
      <c r="J602" s="69">
        <f t="shared" ca="1" si="130"/>
        <v>0.90081604554995831</v>
      </c>
      <c r="K602" s="69">
        <f t="shared" ca="1" si="130"/>
        <v>1.2168124200518451</v>
      </c>
      <c r="L602" s="69">
        <f t="shared" ca="1" si="130"/>
        <v>-0.29962949000441635</v>
      </c>
      <c r="N602" s="69">
        <f t="shared" ca="1" si="132"/>
        <v>-0.18442052598704389</v>
      </c>
      <c r="O602" s="69">
        <f t="shared" ca="1" si="133"/>
        <v>-0.19664712135690449</v>
      </c>
      <c r="P602" s="69">
        <f t="shared" ca="1" si="134"/>
        <v>-0.89499119750919942</v>
      </c>
      <c r="Q602" s="69">
        <f t="shared" ca="1" si="135"/>
        <v>1.2285652185674254</v>
      </c>
      <c r="R602" s="69">
        <f t="shared" ca="1" si="136"/>
        <v>-0.36984252337922163</v>
      </c>
      <c r="S602" s="69">
        <f t="shared" ca="1" si="137"/>
        <v>-0.80517674297655628</v>
      </c>
      <c r="T602" s="69">
        <f t="shared" ca="1" si="138"/>
        <v>1.6040765338755434</v>
      </c>
      <c r="U602" s="69">
        <f t="shared" ca="1" si="139"/>
        <v>0.34018795471445751</v>
      </c>
      <c r="V602" s="69">
        <f t="shared" ca="1" si="140"/>
        <v>0.89470645197636101</v>
      </c>
      <c r="W602" s="69">
        <f t="shared" ca="1" si="141"/>
        <v>1.2177937768759441</v>
      </c>
      <c r="X602" s="69">
        <f t="shared" ca="1" si="142"/>
        <v>-0.27246099962998088</v>
      </c>
    </row>
    <row r="603" spans="2:24" x14ac:dyDescent="0.2">
      <c r="B603" s="69">
        <f t="shared" ca="1" si="131"/>
        <v>-0.19894836922647524</v>
      </c>
      <c r="C603" s="69">
        <f t="shared" ca="1" si="130"/>
        <v>-6.1545750738300133E-2</v>
      </c>
      <c r="D603" s="69">
        <f t="shared" ca="1" si="130"/>
        <v>1.1725942614248694</v>
      </c>
      <c r="E603" s="69">
        <f t="shared" ca="1" si="130"/>
        <v>1.2712289504993655</v>
      </c>
      <c r="F603" s="69">
        <f t="shared" ca="1" si="130"/>
        <v>0.12683224446904365</v>
      </c>
      <c r="G603" s="69">
        <f t="shared" ca="1" si="130"/>
        <v>0.19895256894295665</v>
      </c>
      <c r="H603" s="69">
        <f t="shared" ca="1" si="130"/>
        <v>-0.37133873594464356</v>
      </c>
      <c r="I603" s="69">
        <f t="shared" ca="1" si="130"/>
        <v>-0.1445010267312275</v>
      </c>
      <c r="J603" s="69">
        <f t="shared" ca="1" si="130"/>
        <v>0.43971148336206262</v>
      </c>
      <c r="K603" s="69">
        <f t="shared" ca="1" si="130"/>
        <v>0.41846099224391092</v>
      </c>
      <c r="L603" s="69">
        <f t="shared" ca="1" si="130"/>
        <v>-1.8736931380362543</v>
      </c>
      <c r="N603" s="69">
        <f t="shared" ca="1" si="132"/>
        <v>-0.16118032538836641</v>
      </c>
      <c r="O603" s="69">
        <f t="shared" ca="1" si="133"/>
        <v>-8.8039313821186821E-2</v>
      </c>
      <c r="P603" s="69">
        <f t="shared" ca="1" si="134"/>
        <v>1.1148521965877793</v>
      </c>
      <c r="Q603" s="69">
        <f t="shared" ca="1" si="135"/>
        <v>1.3203376293611244</v>
      </c>
      <c r="R603" s="69">
        <f t="shared" ca="1" si="136"/>
        <v>0.12053755906139475</v>
      </c>
      <c r="S603" s="69">
        <f t="shared" ca="1" si="137"/>
        <v>0.23177954119976513</v>
      </c>
      <c r="T603" s="69">
        <f t="shared" ca="1" si="138"/>
        <v>-0.3761697736598334</v>
      </c>
      <c r="U603" s="69">
        <f t="shared" ca="1" si="139"/>
        <v>-0.12146089985351785</v>
      </c>
      <c r="V603" s="69">
        <f t="shared" ca="1" si="140"/>
        <v>0.43360188978846531</v>
      </c>
      <c r="W603" s="69">
        <f t="shared" ca="1" si="141"/>
        <v>0.41944234906800987</v>
      </c>
      <c r="X603" s="69">
        <f t="shared" ca="1" si="142"/>
        <v>-1.8465246476618187</v>
      </c>
    </row>
    <row r="604" spans="2:24" x14ac:dyDescent="0.2">
      <c r="B604" s="69">
        <f t="shared" ca="1" si="131"/>
        <v>9.3979646195471098E-2</v>
      </c>
      <c r="C604" s="69">
        <f t="shared" ca="1" si="130"/>
        <v>0.16895058704590385</v>
      </c>
      <c r="D604" s="69">
        <f t="shared" ca="1" si="130"/>
        <v>-0.39022171841518044</v>
      </c>
      <c r="E604" s="69">
        <f t="shared" ca="1" si="130"/>
        <v>-1.3914112021034526</v>
      </c>
      <c r="F604" s="69">
        <f t="shared" ca="1" si="130"/>
        <v>2.4181200703585302</v>
      </c>
      <c r="G604" s="69">
        <f t="shared" ca="1" si="130"/>
        <v>-2.188063230392177</v>
      </c>
      <c r="H604" s="69">
        <f t="shared" ca="1" si="130"/>
        <v>0.23226539935110654</v>
      </c>
      <c r="I604" s="69">
        <f t="shared" ca="1" si="130"/>
        <v>1.5299735381615189</v>
      </c>
      <c r="J604" s="69">
        <f t="shared" ca="1" si="130"/>
        <v>1.0528654331752085</v>
      </c>
      <c r="K604" s="69">
        <f t="shared" ca="1" si="130"/>
        <v>-1.5860477519263119</v>
      </c>
      <c r="L604" s="69">
        <f t="shared" ca="1" si="130"/>
        <v>-0.17188325311024052</v>
      </c>
      <c r="N604" s="69">
        <f t="shared" ca="1" si="132"/>
        <v>0.13174769003357992</v>
      </c>
      <c r="O604" s="69">
        <f t="shared" ca="1" si="133"/>
        <v>0.14245702396301715</v>
      </c>
      <c r="P604" s="69">
        <f t="shared" ca="1" si="134"/>
        <v>-0.44796378325227049</v>
      </c>
      <c r="Q604" s="69">
        <f t="shared" ca="1" si="135"/>
        <v>-1.3423025232416936</v>
      </c>
      <c r="R604" s="69">
        <f t="shared" ca="1" si="136"/>
        <v>2.4118253849508813</v>
      </c>
      <c r="S604" s="69">
        <f t="shared" ca="1" si="137"/>
        <v>-2.1552362581353686</v>
      </c>
      <c r="T604" s="69">
        <f t="shared" ca="1" si="138"/>
        <v>0.22743436163591671</v>
      </c>
      <c r="U604" s="69">
        <f t="shared" ca="1" si="139"/>
        <v>1.5530136650392286</v>
      </c>
      <c r="V604" s="69">
        <f t="shared" ca="1" si="140"/>
        <v>1.0467558396016112</v>
      </c>
      <c r="W604" s="69">
        <f t="shared" ca="1" si="141"/>
        <v>-1.5850663951022128</v>
      </c>
      <c r="X604" s="69">
        <f t="shared" ca="1" si="142"/>
        <v>-0.14471476273580505</v>
      </c>
    </row>
    <row r="605" spans="2:24" x14ac:dyDescent="0.2">
      <c r="B605" s="69">
        <f t="shared" ca="1" si="131"/>
        <v>0.30802880540637451</v>
      </c>
      <c r="C605" s="69">
        <f t="shared" ca="1" si="130"/>
        <v>-1.3098726768434203</v>
      </c>
      <c r="D605" s="69">
        <f t="shared" ref="C605:L668" ca="1" si="143">NORMINV(RAND(),$C$7,$F$7)</f>
        <v>-1.8328432588497539</v>
      </c>
      <c r="E605" s="69">
        <f t="shared" ca="1" si="143"/>
        <v>1.1046715938766949</v>
      </c>
      <c r="F605" s="69">
        <f t="shared" ca="1" si="143"/>
        <v>0.49158630994900249</v>
      </c>
      <c r="G605" s="69">
        <f t="shared" ca="1" si="143"/>
        <v>-0.96041284563178275</v>
      </c>
      <c r="H605" s="69">
        <f t="shared" ca="1" si="143"/>
        <v>0.19114099075673735</v>
      </c>
      <c r="I605" s="69">
        <f t="shared" ca="1" si="143"/>
        <v>-0.27035205882690844</v>
      </c>
      <c r="J605" s="69">
        <f t="shared" ca="1" si="143"/>
        <v>4.1767125168320325E-2</v>
      </c>
      <c r="K605" s="69">
        <f t="shared" ca="1" si="143"/>
        <v>0.46634090903845354</v>
      </c>
      <c r="L605" s="69">
        <f t="shared" ca="1" si="143"/>
        <v>0.24485490745854302</v>
      </c>
      <c r="N605" s="69">
        <f t="shared" ca="1" si="132"/>
        <v>0.34579684924448334</v>
      </c>
      <c r="O605" s="69">
        <f t="shared" ca="1" si="133"/>
        <v>-1.336366239926307</v>
      </c>
      <c r="P605" s="69">
        <f t="shared" ca="1" si="134"/>
        <v>-1.890585323686844</v>
      </c>
      <c r="Q605" s="69">
        <f t="shared" ca="1" si="135"/>
        <v>1.1537802727384538</v>
      </c>
      <c r="R605" s="69">
        <f t="shared" ca="1" si="136"/>
        <v>0.48529162454135361</v>
      </c>
      <c r="S605" s="69">
        <f t="shared" ca="1" si="137"/>
        <v>-0.92758587337497422</v>
      </c>
      <c r="T605" s="69">
        <f t="shared" ca="1" si="138"/>
        <v>0.18630995304154752</v>
      </c>
      <c r="U605" s="69">
        <f t="shared" ca="1" si="139"/>
        <v>-0.24731193194919879</v>
      </c>
      <c r="V605" s="69">
        <f t="shared" ca="1" si="140"/>
        <v>3.5657531594722992E-2</v>
      </c>
      <c r="W605" s="69">
        <f t="shared" ca="1" si="141"/>
        <v>0.46732226586255249</v>
      </c>
      <c r="X605" s="69">
        <f t="shared" ca="1" si="142"/>
        <v>0.27202339783297852</v>
      </c>
    </row>
    <row r="606" spans="2:24" x14ac:dyDescent="0.2">
      <c r="B606" s="69">
        <f t="shared" ca="1" si="131"/>
        <v>0.89241312459503419</v>
      </c>
      <c r="C606" s="69">
        <f t="shared" ca="1" si="143"/>
        <v>0.55587027050215965</v>
      </c>
      <c r="D606" s="69">
        <f t="shared" ca="1" si="143"/>
        <v>-5.6709805443914484E-2</v>
      </c>
      <c r="E606" s="69">
        <f t="shared" ca="1" si="143"/>
        <v>0.25937157071594319</v>
      </c>
      <c r="F606" s="69">
        <f t="shared" ca="1" si="143"/>
        <v>-1.1369144856960316</v>
      </c>
      <c r="G606" s="69">
        <f t="shared" ca="1" si="143"/>
        <v>-1.4157212979864848</v>
      </c>
      <c r="H606" s="69">
        <f t="shared" ca="1" si="143"/>
        <v>1.495443928549629</v>
      </c>
      <c r="I606" s="69">
        <f t="shared" ca="1" si="143"/>
        <v>-0.81244489014927668</v>
      </c>
      <c r="J606" s="69">
        <f t="shared" ca="1" si="143"/>
        <v>0.24237244223028484</v>
      </c>
      <c r="K606" s="69">
        <f t="shared" ca="1" si="143"/>
        <v>-1.19888251188081</v>
      </c>
      <c r="L606" s="69">
        <f t="shared" ca="1" si="143"/>
        <v>6.7671077873782709E-2</v>
      </c>
      <c r="N606" s="69">
        <f t="shared" ca="1" si="132"/>
        <v>0.93018116843314302</v>
      </c>
      <c r="O606" s="69">
        <f t="shared" ca="1" si="133"/>
        <v>0.52937670741927301</v>
      </c>
      <c r="P606" s="69">
        <f t="shared" ca="1" si="134"/>
        <v>-0.11445187028100451</v>
      </c>
      <c r="Q606" s="69">
        <f t="shared" ca="1" si="135"/>
        <v>0.30848024957770215</v>
      </c>
      <c r="R606" s="69">
        <f t="shared" ca="1" si="136"/>
        <v>-1.1432091711036805</v>
      </c>
      <c r="S606" s="69">
        <f t="shared" ca="1" si="137"/>
        <v>-1.3828943257296764</v>
      </c>
      <c r="T606" s="69">
        <f t="shared" ca="1" si="138"/>
        <v>1.4906128908344392</v>
      </c>
      <c r="U606" s="69">
        <f t="shared" ca="1" si="139"/>
        <v>-0.78940476327156706</v>
      </c>
      <c r="V606" s="69">
        <f t="shared" ca="1" si="140"/>
        <v>0.23626284865668751</v>
      </c>
      <c r="W606" s="69">
        <f t="shared" ca="1" si="141"/>
        <v>-1.1979011550567109</v>
      </c>
      <c r="X606" s="69">
        <f t="shared" ca="1" si="142"/>
        <v>9.4839568248218181E-2</v>
      </c>
    </row>
    <row r="607" spans="2:24" x14ac:dyDescent="0.2">
      <c r="B607" s="69">
        <f t="shared" ca="1" si="131"/>
        <v>-0.48394160411216247</v>
      </c>
      <c r="C607" s="69">
        <f t="shared" ca="1" si="143"/>
        <v>0.40509658244515434</v>
      </c>
      <c r="D607" s="69">
        <f t="shared" ca="1" si="143"/>
        <v>-1.3062263140554971</v>
      </c>
      <c r="E607" s="69">
        <f t="shared" ca="1" si="143"/>
        <v>-0.63982027142823839</v>
      </c>
      <c r="F607" s="69">
        <f t="shared" ca="1" si="143"/>
        <v>0.74160525313162629</v>
      </c>
      <c r="G607" s="69">
        <f t="shared" ca="1" si="143"/>
        <v>-1.4275619356474227</v>
      </c>
      <c r="H607" s="69">
        <f t="shared" ca="1" si="143"/>
        <v>-1.3075291225074153</v>
      </c>
      <c r="I607" s="69">
        <f t="shared" ca="1" si="143"/>
        <v>-0.37299145034109171</v>
      </c>
      <c r="J607" s="69">
        <f t="shared" ca="1" si="143"/>
        <v>1.1251749469537664</v>
      </c>
      <c r="K607" s="69">
        <f t="shared" ca="1" si="143"/>
        <v>0.80894501474996217</v>
      </c>
      <c r="L607" s="69">
        <f t="shared" ca="1" si="143"/>
        <v>0.93803735430008917</v>
      </c>
      <c r="N607" s="69">
        <f t="shared" ca="1" si="132"/>
        <v>-0.44617356027405364</v>
      </c>
      <c r="O607" s="69">
        <f t="shared" ca="1" si="133"/>
        <v>0.37860301936226765</v>
      </c>
      <c r="P607" s="69">
        <f t="shared" ca="1" si="134"/>
        <v>-1.3639683788925872</v>
      </c>
      <c r="Q607" s="69">
        <f t="shared" ca="1" si="135"/>
        <v>-0.59071159256647943</v>
      </c>
      <c r="R607" s="69">
        <f t="shared" ca="1" si="136"/>
        <v>0.7353105677239774</v>
      </c>
      <c r="S607" s="69">
        <f t="shared" ca="1" si="137"/>
        <v>-1.3947349633906143</v>
      </c>
      <c r="T607" s="69">
        <f t="shared" ca="1" si="138"/>
        <v>-1.3123601602226052</v>
      </c>
      <c r="U607" s="69">
        <f t="shared" ca="1" si="139"/>
        <v>-0.34995132346338204</v>
      </c>
      <c r="V607" s="69">
        <f t="shared" ca="1" si="140"/>
        <v>1.1190653533801691</v>
      </c>
      <c r="W607" s="69">
        <f t="shared" ca="1" si="141"/>
        <v>0.80992637157406111</v>
      </c>
      <c r="X607" s="69">
        <f t="shared" ca="1" si="142"/>
        <v>0.96520584467452464</v>
      </c>
    </row>
    <row r="608" spans="2:24" x14ac:dyDescent="0.2">
      <c r="B608" s="69">
        <f t="shared" ca="1" si="131"/>
        <v>-0.62889482169247202</v>
      </c>
      <c r="C608" s="69">
        <f t="shared" ca="1" si="143"/>
        <v>-1.2768061784134888</v>
      </c>
      <c r="D608" s="69">
        <f t="shared" ca="1" si="143"/>
        <v>8.5880834433069903E-2</v>
      </c>
      <c r="E608" s="69">
        <f t="shared" ca="1" si="143"/>
        <v>1.8576722540488504</v>
      </c>
      <c r="F608" s="69">
        <f t="shared" ca="1" si="143"/>
        <v>-0.4228052831945478</v>
      </c>
      <c r="G608" s="69">
        <f t="shared" ca="1" si="143"/>
        <v>0.54867317766402612</v>
      </c>
      <c r="H608" s="69">
        <f t="shared" ca="1" si="143"/>
        <v>0.49086951455284439</v>
      </c>
      <c r="I608" s="69">
        <f t="shared" ca="1" si="143"/>
        <v>-0.82281538611193505</v>
      </c>
      <c r="J608" s="69">
        <f t="shared" ca="1" si="143"/>
        <v>0.34059254803888583</v>
      </c>
      <c r="K608" s="69">
        <f t="shared" ca="1" si="143"/>
        <v>2.4742909960074737</v>
      </c>
      <c r="L608" s="69">
        <f t="shared" ca="1" si="143"/>
        <v>-0.44348404870888658</v>
      </c>
      <c r="N608" s="69">
        <f t="shared" ca="1" si="132"/>
        <v>-0.59112677785436318</v>
      </c>
      <c r="O608" s="69">
        <f t="shared" ca="1" si="133"/>
        <v>-1.3032997414963754</v>
      </c>
      <c r="P608" s="69">
        <f t="shared" ca="1" si="134"/>
        <v>2.8138769595979871E-2</v>
      </c>
      <c r="Q608" s="69">
        <f t="shared" ca="1" si="135"/>
        <v>1.9067809329106093</v>
      </c>
      <c r="R608" s="69">
        <f t="shared" ca="1" si="136"/>
        <v>-0.42909996860219668</v>
      </c>
      <c r="S608" s="69">
        <f t="shared" ca="1" si="137"/>
        <v>0.58150014992083465</v>
      </c>
      <c r="T608" s="69">
        <f t="shared" ca="1" si="138"/>
        <v>0.48603847683765455</v>
      </c>
      <c r="U608" s="69">
        <f t="shared" ca="1" si="139"/>
        <v>-0.79977525923422543</v>
      </c>
      <c r="V608" s="69">
        <f t="shared" ca="1" si="140"/>
        <v>0.33448295446528853</v>
      </c>
      <c r="W608" s="69">
        <f t="shared" ca="1" si="141"/>
        <v>2.4752723528315728</v>
      </c>
      <c r="X608" s="69">
        <f t="shared" ca="1" si="142"/>
        <v>-0.41631555833445111</v>
      </c>
    </row>
    <row r="609" spans="2:24" x14ac:dyDescent="0.2">
      <c r="B609" s="69">
        <f t="shared" ca="1" si="131"/>
        <v>-0.52350025037233994</v>
      </c>
      <c r="C609" s="69">
        <f t="shared" ca="1" si="143"/>
        <v>-1.8942787442690459</v>
      </c>
      <c r="D609" s="69">
        <f t="shared" ca="1" si="143"/>
        <v>1.174451356333629</v>
      </c>
      <c r="E609" s="69">
        <f t="shared" ca="1" si="143"/>
        <v>-0.83491144443755738</v>
      </c>
      <c r="F609" s="69">
        <f t="shared" ca="1" si="143"/>
        <v>-0.18906879992517733</v>
      </c>
      <c r="G609" s="69">
        <f t="shared" ca="1" si="143"/>
        <v>0.50538461707022808</v>
      </c>
      <c r="H609" s="69">
        <f t="shared" ca="1" si="143"/>
        <v>0.35176535224337091</v>
      </c>
      <c r="I609" s="69">
        <f t="shared" ca="1" si="143"/>
        <v>-0.39557334403176925</v>
      </c>
      <c r="J609" s="69">
        <f t="shared" ca="1" si="143"/>
        <v>-0.36044169604209614</v>
      </c>
      <c r="K609" s="69">
        <f t="shared" ca="1" si="143"/>
        <v>7.2870284702239926E-2</v>
      </c>
      <c r="L609" s="69">
        <f t="shared" ca="1" si="143"/>
        <v>0.69268368470426067</v>
      </c>
      <c r="N609" s="69">
        <f t="shared" ca="1" si="132"/>
        <v>-0.4857322065342311</v>
      </c>
      <c r="O609" s="69">
        <f t="shared" ca="1" si="133"/>
        <v>-1.9207723073519325</v>
      </c>
      <c r="P609" s="69">
        <f t="shared" ca="1" si="134"/>
        <v>1.1167092914965389</v>
      </c>
      <c r="Q609" s="69">
        <f t="shared" ca="1" si="135"/>
        <v>-0.78580276557579842</v>
      </c>
      <c r="R609" s="69">
        <f t="shared" ca="1" si="136"/>
        <v>-0.19536348533282624</v>
      </c>
      <c r="S609" s="69">
        <f t="shared" ca="1" si="137"/>
        <v>0.53821158932703661</v>
      </c>
      <c r="T609" s="69">
        <f t="shared" ca="1" si="138"/>
        <v>0.34693431452818108</v>
      </c>
      <c r="U609" s="69">
        <f t="shared" ca="1" si="139"/>
        <v>-0.37253321715405957</v>
      </c>
      <c r="V609" s="69">
        <f t="shared" ca="1" si="140"/>
        <v>-0.36655128961569344</v>
      </c>
      <c r="W609" s="69">
        <f t="shared" ca="1" si="141"/>
        <v>7.3851641526338885E-2</v>
      </c>
      <c r="X609" s="69">
        <f t="shared" ca="1" si="142"/>
        <v>0.71985217507869614</v>
      </c>
    </row>
    <row r="610" spans="2:24" x14ac:dyDescent="0.2">
      <c r="B610" s="69">
        <f t="shared" ca="1" si="131"/>
        <v>2.5548008501257293E-2</v>
      </c>
      <c r="C610" s="69">
        <f t="shared" ca="1" si="143"/>
        <v>-0.68508774866193378</v>
      </c>
      <c r="D610" s="69">
        <f t="shared" ca="1" si="143"/>
        <v>-0.50495350805518191</v>
      </c>
      <c r="E610" s="69">
        <f t="shared" ca="1" si="143"/>
        <v>1.6943981864215185</v>
      </c>
      <c r="F610" s="69">
        <f t="shared" ca="1" si="143"/>
        <v>-1.0635394627352326</v>
      </c>
      <c r="G610" s="69">
        <f t="shared" ca="1" si="143"/>
        <v>0.36545438874267833</v>
      </c>
      <c r="H610" s="69">
        <f t="shared" ca="1" si="143"/>
        <v>0.41485862420966951</v>
      </c>
      <c r="I610" s="69">
        <f t="shared" ca="1" si="143"/>
        <v>1.086212777899267</v>
      </c>
      <c r="J610" s="69">
        <f t="shared" ca="1" si="143"/>
        <v>-0.28070106849089027</v>
      </c>
      <c r="K610" s="69">
        <f t="shared" ca="1" si="143"/>
        <v>-0.70009868859264313</v>
      </c>
      <c r="L610" s="69">
        <f t="shared" ca="1" si="143"/>
        <v>0.97199823675089247</v>
      </c>
      <c r="N610" s="69">
        <f t="shared" ca="1" si="132"/>
        <v>6.3316052339366116E-2</v>
      </c>
      <c r="O610" s="69">
        <f t="shared" ca="1" si="133"/>
        <v>-0.71158131174482042</v>
      </c>
      <c r="P610" s="69">
        <f t="shared" ca="1" si="134"/>
        <v>-0.5626955728922719</v>
      </c>
      <c r="Q610" s="69">
        <f t="shared" ca="1" si="135"/>
        <v>1.7435068652832775</v>
      </c>
      <c r="R610" s="69">
        <f t="shared" ca="1" si="136"/>
        <v>-1.0698341481428815</v>
      </c>
      <c r="S610" s="69">
        <f t="shared" ca="1" si="137"/>
        <v>0.3982813609994868</v>
      </c>
      <c r="T610" s="69">
        <f t="shared" ca="1" si="138"/>
        <v>0.41002758649447968</v>
      </c>
      <c r="U610" s="69">
        <f t="shared" ca="1" si="139"/>
        <v>1.1092529047769766</v>
      </c>
      <c r="V610" s="69">
        <f t="shared" ca="1" si="140"/>
        <v>-0.28681066206448758</v>
      </c>
      <c r="W610" s="69">
        <f t="shared" ca="1" si="141"/>
        <v>-0.69911733176854418</v>
      </c>
      <c r="X610" s="69">
        <f t="shared" ca="1" si="142"/>
        <v>0.99916672712532795</v>
      </c>
    </row>
    <row r="611" spans="2:24" x14ac:dyDescent="0.2">
      <c r="B611" s="69">
        <f t="shared" ca="1" si="131"/>
        <v>0.69077772227740553</v>
      </c>
      <c r="C611" s="69">
        <f t="shared" ca="1" si="143"/>
        <v>-0.6187869945815726</v>
      </c>
      <c r="D611" s="69">
        <f t="shared" ca="1" si="143"/>
        <v>-1.4974957519284124</v>
      </c>
      <c r="E611" s="69">
        <f t="shared" ca="1" si="143"/>
        <v>0.72728032441713664</v>
      </c>
      <c r="F611" s="69">
        <f t="shared" ca="1" si="143"/>
        <v>-1.3010032308959358</v>
      </c>
      <c r="G611" s="69">
        <f t="shared" ca="1" si="143"/>
        <v>-0.53340885393107618</v>
      </c>
      <c r="H611" s="69">
        <f t="shared" ca="1" si="143"/>
        <v>-2.9804309176410193</v>
      </c>
      <c r="I611" s="69">
        <f t="shared" ca="1" si="143"/>
        <v>3.7025598880777583E-2</v>
      </c>
      <c r="J611" s="69">
        <f t="shared" ca="1" si="143"/>
        <v>-4.4524128940885206E-2</v>
      </c>
      <c r="K611" s="69">
        <f t="shared" ca="1" si="143"/>
        <v>1.8477670674021556</v>
      </c>
      <c r="L611" s="69">
        <f t="shared" ca="1" si="143"/>
        <v>-0.80539351686197758</v>
      </c>
      <c r="N611" s="69">
        <f t="shared" ca="1" si="132"/>
        <v>0.72854576611551436</v>
      </c>
      <c r="O611" s="69">
        <f t="shared" ca="1" si="133"/>
        <v>-0.64528055766445924</v>
      </c>
      <c r="P611" s="69">
        <f t="shared" ca="1" si="134"/>
        <v>-1.5552378167655025</v>
      </c>
      <c r="Q611" s="69">
        <f t="shared" ca="1" si="135"/>
        <v>0.7763890032788956</v>
      </c>
      <c r="R611" s="69">
        <f t="shared" ca="1" si="136"/>
        <v>-1.3072979163035847</v>
      </c>
      <c r="S611" s="69">
        <f t="shared" ca="1" si="137"/>
        <v>-0.50058188167426765</v>
      </c>
      <c r="T611" s="69">
        <f t="shared" ca="1" si="138"/>
        <v>-2.9852619553562092</v>
      </c>
      <c r="U611" s="69">
        <f t="shared" ca="1" si="139"/>
        <v>6.0065725758487239E-2</v>
      </c>
      <c r="V611" s="69">
        <f t="shared" ca="1" si="140"/>
        <v>-5.0633722514482539E-2</v>
      </c>
      <c r="W611" s="69">
        <f t="shared" ca="1" si="141"/>
        <v>1.8487484242262546</v>
      </c>
      <c r="X611" s="69">
        <f t="shared" ca="1" si="142"/>
        <v>-0.7782250264875421</v>
      </c>
    </row>
    <row r="612" spans="2:24" x14ac:dyDescent="0.2">
      <c r="B612" s="69">
        <f t="shared" ca="1" si="131"/>
        <v>0.88970895692950247</v>
      </c>
      <c r="C612" s="69">
        <f t="shared" ca="1" si="143"/>
        <v>0.30224339819443236</v>
      </c>
      <c r="D612" s="69">
        <f t="shared" ca="1" si="143"/>
        <v>0.13950769000877894</v>
      </c>
      <c r="E612" s="69">
        <f t="shared" ca="1" si="143"/>
        <v>1.2100564209687907</v>
      </c>
      <c r="F612" s="69">
        <f t="shared" ca="1" si="143"/>
        <v>-0.85541059272406461</v>
      </c>
      <c r="G612" s="69">
        <f t="shared" ca="1" si="143"/>
        <v>1.1319189512262329</v>
      </c>
      <c r="H612" s="69">
        <f t="shared" ca="1" si="143"/>
        <v>-0.15036462338048678</v>
      </c>
      <c r="I612" s="69">
        <f t="shared" ca="1" si="143"/>
        <v>1.3906825132160283</v>
      </c>
      <c r="J612" s="69">
        <f t="shared" ca="1" si="143"/>
        <v>4.6798162729323337E-3</v>
      </c>
      <c r="K612" s="69">
        <f t="shared" ca="1" si="143"/>
        <v>-6.3867240270565839E-2</v>
      </c>
      <c r="L612" s="69">
        <f t="shared" ca="1" si="143"/>
        <v>-1.5779753117835789</v>
      </c>
      <c r="N612" s="69">
        <f t="shared" ca="1" si="132"/>
        <v>0.9274770007676113</v>
      </c>
      <c r="O612" s="69">
        <f t="shared" ca="1" si="133"/>
        <v>0.27574983511154566</v>
      </c>
      <c r="P612" s="69">
        <f t="shared" ca="1" si="134"/>
        <v>8.1765625171688908E-2</v>
      </c>
      <c r="Q612" s="69">
        <f t="shared" ca="1" si="135"/>
        <v>1.2591650998305497</v>
      </c>
      <c r="R612" s="69">
        <f t="shared" ca="1" si="136"/>
        <v>-0.86170527813171349</v>
      </c>
      <c r="S612" s="69">
        <f t="shared" ca="1" si="137"/>
        <v>1.1647459234830413</v>
      </c>
      <c r="T612" s="69">
        <f t="shared" ca="1" si="138"/>
        <v>-0.15519566109567662</v>
      </c>
      <c r="U612" s="69">
        <f t="shared" ca="1" si="139"/>
        <v>1.4137226400937379</v>
      </c>
      <c r="V612" s="69">
        <f t="shared" ca="1" si="140"/>
        <v>-1.4297773006649965E-3</v>
      </c>
      <c r="W612" s="69">
        <f t="shared" ca="1" si="141"/>
        <v>-6.2885883446466895E-2</v>
      </c>
      <c r="X612" s="69">
        <f t="shared" ca="1" si="142"/>
        <v>-1.5508068214091433</v>
      </c>
    </row>
    <row r="613" spans="2:24" x14ac:dyDescent="0.2">
      <c r="B613" s="69">
        <f t="shared" ca="1" si="131"/>
        <v>-0.99484954806120196</v>
      </c>
      <c r="C613" s="69">
        <f t="shared" ca="1" si="143"/>
        <v>0.36541788068692677</v>
      </c>
      <c r="D613" s="69">
        <f t="shared" ca="1" si="143"/>
        <v>0.21784424963485863</v>
      </c>
      <c r="E613" s="69">
        <f t="shared" ca="1" si="143"/>
        <v>-0.67627791262481562</v>
      </c>
      <c r="F613" s="69">
        <f t="shared" ca="1" si="143"/>
        <v>-0.16411685085254574</v>
      </c>
      <c r="G613" s="69">
        <f t="shared" ca="1" si="143"/>
        <v>1.0123824601427398</v>
      </c>
      <c r="H613" s="69">
        <f t="shared" ca="1" si="143"/>
        <v>0.46317073387638308</v>
      </c>
      <c r="I613" s="69">
        <f t="shared" ca="1" si="143"/>
        <v>1.4002145373652799E-2</v>
      </c>
      <c r="J613" s="69">
        <f t="shared" ca="1" si="143"/>
        <v>1.9751025901411681</v>
      </c>
      <c r="K613" s="69">
        <f t="shared" ca="1" si="143"/>
        <v>0.73465656644456601</v>
      </c>
      <c r="L613" s="69">
        <f t="shared" ca="1" si="143"/>
        <v>0.81968848021927299</v>
      </c>
      <c r="N613" s="69">
        <f t="shared" ca="1" si="132"/>
        <v>-0.95708150422309313</v>
      </c>
      <c r="O613" s="69">
        <f t="shared" ca="1" si="133"/>
        <v>0.33892431760404007</v>
      </c>
      <c r="P613" s="69">
        <f t="shared" ca="1" si="134"/>
        <v>0.16010218479776861</v>
      </c>
      <c r="Q613" s="69">
        <f t="shared" ca="1" si="135"/>
        <v>-0.62716923376305667</v>
      </c>
      <c r="R613" s="69">
        <f t="shared" ca="1" si="136"/>
        <v>-0.17041153626019465</v>
      </c>
      <c r="S613" s="69">
        <f t="shared" ca="1" si="137"/>
        <v>1.0452094323995482</v>
      </c>
      <c r="T613" s="69">
        <f t="shared" ca="1" si="138"/>
        <v>0.45833969616119324</v>
      </c>
      <c r="U613" s="69">
        <f t="shared" ca="1" si="139"/>
        <v>3.7042272251362453E-2</v>
      </c>
      <c r="V613" s="69">
        <f t="shared" ca="1" si="140"/>
        <v>1.9689929965675708</v>
      </c>
      <c r="W613" s="69">
        <f t="shared" ca="1" si="141"/>
        <v>0.73563792326866495</v>
      </c>
      <c r="X613" s="69">
        <f t="shared" ca="1" si="142"/>
        <v>0.84685697059370846</v>
      </c>
    </row>
    <row r="614" spans="2:24" x14ac:dyDescent="0.2">
      <c r="B614" s="69">
        <f t="shared" ca="1" si="131"/>
        <v>1.080343852320224</v>
      </c>
      <c r="C614" s="69">
        <f t="shared" ca="1" si="143"/>
        <v>1.5726288928758274</v>
      </c>
      <c r="D614" s="69">
        <f t="shared" ca="1" si="143"/>
        <v>0.69838781209734635</v>
      </c>
      <c r="E614" s="69">
        <f t="shared" ca="1" si="143"/>
        <v>0.26084479415064377</v>
      </c>
      <c r="F614" s="69">
        <f t="shared" ca="1" si="143"/>
        <v>-2.6314178655185261</v>
      </c>
      <c r="G614" s="69">
        <f t="shared" ca="1" si="143"/>
        <v>0.529913890089726</v>
      </c>
      <c r="H614" s="69">
        <f t="shared" ca="1" si="143"/>
        <v>-0.32072825215490142</v>
      </c>
      <c r="I614" s="69">
        <f t="shared" ca="1" si="143"/>
        <v>1.011008646996316</v>
      </c>
      <c r="J614" s="69">
        <f t="shared" ca="1" si="143"/>
        <v>0.20156367574318232</v>
      </c>
      <c r="K614" s="69">
        <f t="shared" ca="1" si="143"/>
        <v>-0.5624739063691474</v>
      </c>
      <c r="L614" s="69">
        <f t="shared" ca="1" si="143"/>
        <v>-0.56134413422286922</v>
      </c>
      <c r="N614" s="69">
        <f t="shared" ca="1" si="132"/>
        <v>1.1181118961583327</v>
      </c>
      <c r="O614" s="69">
        <f t="shared" ca="1" si="133"/>
        <v>1.5461353297929408</v>
      </c>
      <c r="P614" s="69">
        <f t="shared" ca="1" si="134"/>
        <v>0.64064574726025636</v>
      </c>
      <c r="Q614" s="69">
        <f t="shared" ca="1" si="135"/>
        <v>0.30995347301240272</v>
      </c>
      <c r="R614" s="69">
        <f t="shared" ca="1" si="136"/>
        <v>-2.637712550926175</v>
      </c>
      <c r="S614" s="69">
        <f t="shared" ca="1" si="137"/>
        <v>0.56274086234653453</v>
      </c>
      <c r="T614" s="69">
        <f t="shared" ca="1" si="138"/>
        <v>-0.32555928987009125</v>
      </c>
      <c r="U614" s="69">
        <f t="shared" ca="1" si="139"/>
        <v>1.0340487738740256</v>
      </c>
      <c r="V614" s="69">
        <f t="shared" ca="1" si="140"/>
        <v>0.19545408216958499</v>
      </c>
      <c r="W614" s="69">
        <f t="shared" ca="1" si="141"/>
        <v>-0.56149254954504846</v>
      </c>
      <c r="X614" s="69">
        <f t="shared" ca="1" si="142"/>
        <v>-0.53417564384843375</v>
      </c>
    </row>
    <row r="615" spans="2:24" x14ac:dyDescent="0.2">
      <c r="B615" s="69">
        <f t="shared" ca="1" si="131"/>
        <v>-0.30109126387844204</v>
      </c>
      <c r="C615" s="69">
        <f t="shared" ca="1" si="143"/>
        <v>-0.66534106239871837</v>
      </c>
      <c r="D615" s="69">
        <f t="shared" ca="1" si="143"/>
        <v>-1.089182489555953</v>
      </c>
      <c r="E615" s="69">
        <f t="shared" ca="1" si="143"/>
        <v>0.54510048980841463</v>
      </c>
      <c r="F615" s="69">
        <f t="shared" ca="1" si="143"/>
        <v>-0.18363801099321805</v>
      </c>
      <c r="G615" s="69">
        <f t="shared" ca="1" si="143"/>
        <v>-0.36139023005779597</v>
      </c>
      <c r="H615" s="69">
        <f t="shared" ca="1" si="143"/>
        <v>1.4994270412715902</v>
      </c>
      <c r="I615" s="69">
        <f t="shared" ca="1" si="143"/>
        <v>0.43688364248473338</v>
      </c>
      <c r="J615" s="69">
        <f t="shared" ca="1" si="143"/>
        <v>0.42820147399673275</v>
      </c>
      <c r="K615" s="69">
        <f t="shared" ca="1" si="143"/>
        <v>1.1312119238759875</v>
      </c>
      <c r="L615" s="69">
        <f t="shared" ca="1" si="143"/>
        <v>-1.8597433885286991</v>
      </c>
      <c r="N615" s="69">
        <f t="shared" ca="1" si="132"/>
        <v>-0.26332322004033321</v>
      </c>
      <c r="O615" s="69">
        <f t="shared" ca="1" si="133"/>
        <v>-0.69183462548160501</v>
      </c>
      <c r="P615" s="69">
        <f t="shared" ca="1" si="134"/>
        <v>-1.1469245543930431</v>
      </c>
      <c r="Q615" s="69">
        <f t="shared" ca="1" si="135"/>
        <v>0.59420916867017359</v>
      </c>
      <c r="R615" s="69">
        <f t="shared" ca="1" si="136"/>
        <v>-0.18993269640086696</v>
      </c>
      <c r="S615" s="69">
        <f t="shared" ca="1" si="137"/>
        <v>-0.3285632578009875</v>
      </c>
      <c r="T615" s="69">
        <f t="shared" ca="1" si="138"/>
        <v>1.4945960035564003</v>
      </c>
      <c r="U615" s="69">
        <f t="shared" ca="1" si="139"/>
        <v>0.45992376936244306</v>
      </c>
      <c r="V615" s="69">
        <f t="shared" ca="1" si="140"/>
        <v>0.42209188042313545</v>
      </c>
      <c r="W615" s="69">
        <f t="shared" ca="1" si="141"/>
        <v>1.1321932807000865</v>
      </c>
      <c r="X615" s="69">
        <f t="shared" ca="1" si="142"/>
        <v>-1.8325748981542636</v>
      </c>
    </row>
    <row r="616" spans="2:24" x14ac:dyDescent="0.2">
      <c r="B616" s="69">
        <f t="shared" ca="1" si="131"/>
        <v>0.72711304739367233</v>
      </c>
      <c r="C616" s="69">
        <f t="shared" ca="1" si="143"/>
        <v>1.7449428128817897</v>
      </c>
      <c r="D616" s="69">
        <f t="shared" ca="1" si="143"/>
        <v>-0.89044300451331349</v>
      </c>
      <c r="E616" s="69">
        <f t="shared" ca="1" si="143"/>
        <v>-0.42798898576618</v>
      </c>
      <c r="F616" s="69">
        <f t="shared" ca="1" si="143"/>
        <v>-1.6900444763510063</v>
      </c>
      <c r="G616" s="69">
        <f t="shared" ca="1" si="143"/>
        <v>0.71356510134979045</v>
      </c>
      <c r="H616" s="69">
        <f t="shared" ca="1" si="143"/>
        <v>-0.85327805039362725</v>
      </c>
      <c r="I616" s="69">
        <f t="shared" ca="1" si="143"/>
        <v>0.46911858864362832</v>
      </c>
      <c r="J616" s="69">
        <f t="shared" ca="1" si="143"/>
        <v>-0.22333675552596541</v>
      </c>
      <c r="K616" s="69">
        <f t="shared" ca="1" si="143"/>
        <v>0.75904560332048077</v>
      </c>
      <c r="L616" s="69">
        <f t="shared" ca="1" si="143"/>
        <v>0.29865916853386304</v>
      </c>
      <c r="N616" s="69">
        <f t="shared" ca="1" si="132"/>
        <v>0.76488109123178116</v>
      </c>
      <c r="O616" s="69">
        <f t="shared" ca="1" si="133"/>
        <v>1.718449249798903</v>
      </c>
      <c r="P616" s="69">
        <f t="shared" ca="1" si="134"/>
        <v>-0.94818506935040348</v>
      </c>
      <c r="Q616" s="69">
        <f t="shared" ca="1" si="135"/>
        <v>-0.37888030690442104</v>
      </c>
      <c r="R616" s="69">
        <f t="shared" ca="1" si="136"/>
        <v>-1.6963391617586552</v>
      </c>
      <c r="S616" s="69">
        <f t="shared" ca="1" si="137"/>
        <v>0.74639207360659898</v>
      </c>
      <c r="T616" s="69">
        <f t="shared" ca="1" si="138"/>
        <v>-0.85810908810881714</v>
      </c>
      <c r="U616" s="69">
        <f t="shared" ca="1" si="139"/>
        <v>0.492158715521338</v>
      </c>
      <c r="V616" s="69">
        <f t="shared" ca="1" si="140"/>
        <v>-0.22944634909956274</v>
      </c>
      <c r="W616" s="69">
        <f t="shared" ca="1" si="141"/>
        <v>0.76002696014457971</v>
      </c>
      <c r="X616" s="69">
        <f t="shared" ca="1" si="142"/>
        <v>0.32582765890829851</v>
      </c>
    </row>
    <row r="617" spans="2:24" x14ac:dyDescent="0.2">
      <c r="B617" s="69">
        <f t="shared" ca="1" si="131"/>
        <v>-0.19771445709416788</v>
      </c>
      <c r="C617" s="69">
        <f t="shared" ca="1" si="143"/>
        <v>3.73159264111411E-2</v>
      </c>
      <c r="D617" s="69">
        <f t="shared" ca="1" si="143"/>
        <v>2.0491959508031257</v>
      </c>
      <c r="E617" s="69">
        <f t="shared" ca="1" si="143"/>
        <v>-1.7859577311284707</v>
      </c>
      <c r="F617" s="69">
        <f t="shared" ca="1" si="143"/>
        <v>2.8474820220475573E-2</v>
      </c>
      <c r="G617" s="69">
        <f t="shared" ca="1" si="143"/>
        <v>6.9278220157195092E-2</v>
      </c>
      <c r="H617" s="69">
        <f t="shared" ca="1" si="143"/>
        <v>1.6439856345135091</v>
      </c>
      <c r="I617" s="69">
        <f t="shared" ca="1" si="143"/>
        <v>1.6180985421517378</v>
      </c>
      <c r="J617" s="69">
        <f t="shared" ca="1" si="143"/>
        <v>-0.14230287563578412</v>
      </c>
      <c r="K617" s="69">
        <f t="shared" ca="1" si="143"/>
        <v>5.9452782966042429E-2</v>
      </c>
      <c r="L617" s="69">
        <f t="shared" ca="1" si="143"/>
        <v>-0.5212155673106027</v>
      </c>
      <c r="N617" s="69">
        <f t="shared" ca="1" si="132"/>
        <v>-0.15994641325605907</v>
      </c>
      <c r="O617" s="69">
        <f t="shared" ca="1" si="133"/>
        <v>1.0822363328254415E-2</v>
      </c>
      <c r="P617" s="69">
        <f t="shared" ca="1" si="134"/>
        <v>1.9914538859660356</v>
      </c>
      <c r="Q617" s="69">
        <f t="shared" ca="1" si="135"/>
        <v>-1.7368490522667117</v>
      </c>
      <c r="R617" s="69">
        <f t="shared" ca="1" si="136"/>
        <v>2.2180134812826678E-2</v>
      </c>
      <c r="S617" s="69">
        <f t="shared" ca="1" si="137"/>
        <v>0.10210519241400356</v>
      </c>
      <c r="T617" s="69">
        <f t="shared" ca="1" si="138"/>
        <v>1.6391545967983192</v>
      </c>
      <c r="U617" s="69">
        <f t="shared" ca="1" si="139"/>
        <v>1.6411386690294474</v>
      </c>
      <c r="V617" s="69">
        <f t="shared" ca="1" si="140"/>
        <v>-0.14841246920938145</v>
      </c>
      <c r="W617" s="69">
        <f t="shared" ca="1" si="141"/>
        <v>6.0434139790141381E-2</v>
      </c>
      <c r="X617" s="69">
        <f t="shared" ca="1" si="142"/>
        <v>-0.49404707693616723</v>
      </c>
    </row>
    <row r="618" spans="2:24" x14ac:dyDescent="0.2">
      <c r="B618" s="69">
        <f t="shared" ca="1" si="131"/>
        <v>-0.6101351134796833</v>
      </c>
      <c r="C618" s="69">
        <f t="shared" ca="1" si="143"/>
        <v>-0.77893279203033228</v>
      </c>
      <c r="D618" s="69">
        <f t="shared" ca="1" si="143"/>
        <v>-0.9355160463383777</v>
      </c>
      <c r="E618" s="69">
        <f t="shared" ca="1" si="143"/>
        <v>0.56513021397556806</v>
      </c>
      <c r="F618" s="69">
        <f t="shared" ca="1" si="143"/>
        <v>-2.2861920075883824E-2</v>
      </c>
      <c r="G618" s="69">
        <f t="shared" ca="1" si="143"/>
        <v>0.66562234377009433</v>
      </c>
      <c r="H618" s="69">
        <f t="shared" ca="1" si="143"/>
        <v>-0.85350679700896981</v>
      </c>
      <c r="I618" s="69">
        <f t="shared" ca="1" si="143"/>
        <v>-0.60063742303857381</v>
      </c>
      <c r="J618" s="69">
        <f t="shared" ca="1" si="143"/>
        <v>0.18163196762760531</v>
      </c>
      <c r="K618" s="69">
        <f t="shared" ca="1" si="143"/>
        <v>-0.63941464022008565</v>
      </c>
      <c r="L618" s="69">
        <f t="shared" ca="1" si="143"/>
        <v>-0.72386561489313628</v>
      </c>
      <c r="N618" s="69">
        <f t="shared" ca="1" si="132"/>
        <v>-0.57236706964157447</v>
      </c>
      <c r="O618" s="69">
        <f t="shared" ca="1" si="133"/>
        <v>-0.80542635511321892</v>
      </c>
      <c r="P618" s="69">
        <f t="shared" ca="1" si="134"/>
        <v>-0.9932581111754677</v>
      </c>
      <c r="Q618" s="69">
        <f t="shared" ca="1" si="135"/>
        <v>0.61423889283732702</v>
      </c>
      <c r="R618" s="69">
        <f t="shared" ca="1" si="136"/>
        <v>-2.9156605483532719E-2</v>
      </c>
      <c r="S618" s="69">
        <f t="shared" ca="1" si="137"/>
        <v>0.69844931602690286</v>
      </c>
      <c r="T618" s="69">
        <f t="shared" ca="1" si="138"/>
        <v>-0.8583378347241597</v>
      </c>
      <c r="U618" s="69">
        <f t="shared" ca="1" si="139"/>
        <v>-0.57759729616086419</v>
      </c>
      <c r="V618" s="69">
        <f t="shared" ca="1" si="140"/>
        <v>0.17552237405400797</v>
      </c>
      <c r="W618" s="69">
        <f t="shared" ca="1" si="141"/>
        <v>-0.63843328339598671</v>
      </c>
      <c r="X618" s="69">
        <f t="shared" ca="1" si="142"/>
        <v>-0.69669712451870081</v>
      </c>
    </row>
    <row r="619" spans="2:24" x14ac:dyDescent="0.2">
      <c r="B619" s="69">
        <f t="shared" ca="1" si="131"/>
        <v>-1.1876217044440078</v>
      </c>
      <c r="C619" s="69">
        <f t="shared" ca="1" si="143"/>
        <v>-1.9964309075755591</v>
      </c>
      <c r="D619" s="69">
        <f t="shared" ca="1" si="143"/>
        <v>1.5392740403701592</v>
      </c>
      <c r="E619" s="69">
        <f t="shared" ca="1" si="143"/>
        <v>0.61961683341466534</v>
      </c>
      <c r="F619" s="69">
        <f t="shared" ca="1" si="143"/>
        <v>-0.19319724110931649</v>
      </c>
      <c r="G619" s="69">
        <f t="shared" ca="1" si="143"/>
        <v>0.29435790291603592</v>
      </c>
      <c r="H619" s="69">
        <f t="shared" ca="1" si="143"/>
        <v>-1.773207261260688</v>
      </c>
      <c r="I619" s="69">
        <f t="shared" ca="1" si="143"/>
        <v>1.4065267184796633</v>
      </c>
      <c r="J619" s="69">
        <f t="shared" ca="1" si="143"/>
        <v>-0.63564256269964414</v>
      </c>
      <c r="K619" s="69">
        <f t="shared" ca="1" si="143"/>
        <v>0.3977587301500799</v>
      </c>
      <c r="L619" s="69">
        <f t="shared" ca="1" si="143"/>
        <v>-0.67568393334203258</v>
      </c>
      <c r="N619" s="69">
        <f t="shared" ca="1" si="132"/>
        <v>-1.1498536606058991</v>
      </c>
      <c r="O619" s="69">
        <f t="shared" ca="1" si="133"/>
        <v>-2.0229244706584457</v>
      </c>
      <c r="P619" s="69">
        <f t="shared" ca="1" si="134"/>
        <v>1.4815319755330691</v>
      </c>
      <c r="Q619" s="69">
        <f t="shared" ca="1" si="135"/>
        <v>0.66872551227642429</v>
      </c>
      <c r="R619" s="69">
        <f t="shared" ca="1" si="136"/>
        <v>-0.1994919265169654</v>
      </c>
      <c r="S619" s="69">
        <f t="shared" ca="1" si="137"/>
        <v>0.32718487517284439</v>
      </c>
      <c r="T619" s="69">
        <f t="shared" ca="1" si="138"/>
        <v>-1.7780382989758778</v>
      </c>
      <c r="U619" s="69">
        <f t="shared" ca="1" si="139"/>
        <v>1.4295668453573729</v>
      </c>
      <c r="V619" s="69">
        <f t="shared" ca="1" si="140"/>
        <v>-0.64175215627324145</v>
      </c>
      <c r="W619" s="69">
        <f t="shared" ca="1" si="141"/>
        <v>0.39874008697417884</v>
      </c>
      <c r="X619" s="69">
        <f t="shared" ca="1" si="142"/>
        <v>-0.64851544296759711</v>
      </c>
    </row>
    <row r="620" spans="2:24" x14ac:dyDescent="0.2">
      <c r="B620" s="69">
        <f t="shared" ca="1" si="131"/>
        <v>0.83046723479616891</v>
      </c>
      <c r="C620" s="69">
        <f t="shared" ca="1" si="143"/>
        <v>0.29813181763386454</v>
      </c>
      <c r="D620" s="69">
        <f t="shared" ca="1" si="143"/>
        <v>-0.40180647709194389</v>
      </c>
      <c r="E620" s="69">
        <f t="shared" ca="1" si="143"/>
        <v>1.7103100992625317</v>
      </c>
      <c r="F620" s="69">
        <f t="shared" ca="1" si="143"/>
        <v>-1.2080913369883579</v>
      </c>
      <c r="G620" s="69">
        <f t="shared" ca="1" si="143"/>
        <v>1.7293331294016308</v>
      </c>
      <c r="H620" s="69">
        <f t="shared" ca="1" si="143"/>
        <v>1.3584933841956459</v>
      </c>
      <c r="I620" s="69">
        <f t="shared" ca="1" si="143"/>
        <v>-0.99122154847736899</v>
      </c>
      <c r="J620" s="69">
        <f t="shared" ca="1" si="143"/>
        <v>-0.50510962728691966</v>
      </c>
      <c r="K620" s="69">
        <f t="shared" ca="1" si="143"/>
        <v>0.66755317192610875</v>
      </c>
      <c r="L620" s="69">
        <f t="shared" ca="1" si="143"/>
        <v>-1.0236697943936339</v>
      </c>
      <c r="N620" s="69">
        <f t="shared" ca="1" si="132"/>
        <v>0.86823527863427774</v>
      </c>
      <c r="O620" s="69">
        <f t="shared" ca="1" si="133"/>
        <v>0.27163825455097784</v>
      </c>
      <c r="P620" s="69">
        <f t="shared" ca="1" si="134"/>
        <v>-0.45954854192903394</v>
      </c>
      <c r="Q620" s="69">
        <f t="shared" ca="1" si="135"/>
        <v>1.7594187781242907</v>
      </c>
      <c r="R620" s="69">
        <f t="shared" ca="1" si="136"/>
        <v>-1.2143860223960068</v>
      </c>
      <c r="S620" s="69">
        <f t="shared" ca="1" si="137"/>
        <v>1.7621601016584392</v>
      </c>
      <c r="T620" s="69">
        <f t="shared" ca="1" si="138"/>
        <v>1.353662346480456</v>
      </c>
      <c r="U620" s="69">
        <f t="shared" ca="1" si="139"/>
        <v>-0.96818142159965936</v>
      </c>
      <c r="V620" s="69">
        <f t="shared" ca="1" si="140"/>
        <v>-0.51121922086051697</v>
      </c>
      <c r="W620" s="69">
        <f t="shared" ca="1" si="141"/>
        <v>0.66853452875020769</v>
      </c>
      <c r="X620" s="69">
        <f t="shared" ca="1" si="142"/>
        <v>-0.99650130401919845</v>
      </c>
    </row>
    <row r="621" spans="2:24" x14ac:dyDescent="0.2">
      <c r="B621" s="69">
        <f t="shared" ca="1" si="131"/>
        <v>0.40487597090209398</v>
      </c>
      <c r="C621" s="69">
        <f t="shared" ca="1" si="143"/>
        <v>-2.0514019613630792</v>
      </c>
      <c r="D621" s="69">
        <f t="shared" ca="1" si="143"/>
        <v>-1.1414626431485078</v>
      </c>
      <c r="E621" s="69">
        <f t="shared" ca="1" si="143"/>
        <v>-8.3791094432106888E-2</v>
      </c>
      <c r="F621" s="69">
        <f t="shared" ca="1" si="143"/>
        <v>0.22677626201651369</v>
      </c>
      <c r="G621" s="69">
        <f t="shared" ca="1" si="143"/>
        <v>0.45852076205576608</v>
      </c>
      <c r="H621" s="69">
        <f t="shared" ca="1" si="143"/>
        <v>1.7957145421586078</v>
      </c>
      <c r="I621" s="69">
        <f t="shared" ca="1" si="143"/>
        <v>1.2787186629515233</v>
      </c>
      <c r="J621" s="69">
        <f t="shared" ca="1" si="143"/>
        <v>0.53622728268620767</v>
      </c>
      <c r="K621" s="69">
        <f t="shared" ca="1" si="143"/>
        <v>-0.18249692518443603</v>
      </c>
      <c r="L621" s="69">
        <f t="shared" ca="1" si="143"/>
        <v>-0.19695642414025999</v>
      </c>
      <c r="N621" s="69">
        <f t="shared" ca="1" si="132"/>
        <v>0.44264401474020282</v>
      </c>
      <c r="O621" s="69">
        <f t="shared" ca="1" si="133"/>
        <v>-2.077895524445966</v>
      </c>
      <c r="P621" s="69">
        <f t="shared" ca="1" si="134"/>
        <v>-1.1992047079855979</v>
      </c>
      <c r="Q621" s="69">
        <f t="shared" ca="1" si="135"/>
        <v>-3.4682415570347944E-2</v>
      </c>
      <c r="R621" s="69">
        <f t="shared" ca="1" si="136"/>
        <v>0.22048157660886478</v>
      </c>
      <c r="S621" s="69">
        <f t="shared" ca="1" si="137"/>
        <v>0.49134773431257456</v>
      </c>
      <c r="T621" s="69">
        <f t="shared" ca="1" si="138"/>
        <v>1.7908835044434179</v>
      </c>
      <c r="U621" s="69">
        <f t="shared" ca="1" si="139"/>
        <v>1.3017587898292329</v>
      </c>
      <c r="V621" s="69">
        <f t="shared" ca="1" si="140"/>
        <v>0.53011768911261037</v>
      </c>
      <c r="W621" s="69">
        <f t="shared" ca="1" si="141"/>
        <v>-0.18151556836033708</v>
      </c>
      <c r="X621" s="69">
        <f t="shared" ca="1" si="142"/>
        <v>-0.16978793376582452</v>
      </c>
    </row>
    <row r="622" spans="2:24" x14ac:dyDescent="0.2">
      <c r="B622" s="69">
        <f t="shared" ca="1" si="131"/>
        <v>-2.0430031942640561</v>
      </c>
      <c r="C622" s="69">
        <f t="shared" ca="1" si="143"/>
        <v>2.0099479374971394</v>
      </c>
      <c r="D622" s="69">
        <f t="shared" ca="1" si="143"/>
        <v>1.159300510366079</v>
      </c>
      <c r="E622" s="69">
        <f t="shared" ca="1" si="143"/>
        <v>1.6237193451433387</v>
      </c>
      <c r="F622" s="69">
        <f t="shared" ca="1" si="143"/>
        <v>0.46245628802902311</v>
      </c>
      <c r="G622" s="69">
        <f t="shared" ca="1" si="143"/>
        <v>2.9569194374066892</v>
      </c>
      <c r="H622" s="69">
        <f t="shared" ca="1" si="143"/>
        <v>-1.4969779380568671</v>
      </c>
      <c r="I622" s="69">
        <f t="shared" ca="1" si="143"/>
        <v>1.3210728280308783</v>
      </c>
      <c r="J622" s="69">
        <f t="shared" ca="1" si="143"/>
        <v>-0.10398503508713229</v>
      </c>
      <c r="K622" s="69">
        <f t="shared" ca="1" si="143"/>
        <v>-0.70676640298132254</v>
      </c>
      <c r="L622" s="69">
        <f t="shared" ca="1" si="143"/>
        <v>1.0624600770731283</v>
      </c>
      <c r="N622" s="69">
        <f t="shared" ca="1" si="132"/>
        <v>-2.0052351504259471</v>
      </c>
      <c r="O622" s="69">
        <f t="shared" ca="1" si="133"/>
        <v>1.9834543744142528</v>
      </c>
      <c r="P622" s="69">
        <f t="shared" ca="1" si="134"/>
        <v>1.1015584455289888</v>
      </c>
      <c r="Q622" s="69">
        <f t="shared" ca="1" si="135"/>
        <v>1.6728280240050977</v>
      </c>
      <c r="R622" s="69">
        <f t="shared" ca="1" si="136"/>
        <v>0.45616160262137423</v>
      </c>
      <c r="S622" s="69">
        <f t="shared" ca="1" si="137"/>
        <v>2.9897464096634976</v>
      </c>
      <c r="T622" s="69">
        <f t="shared" ca="1" si="138"/>
        <v>-1.501808975772057</v>
      </c>
      <c r="U622" s="69">
        <f t="shared" ca="1" si="139"/>
        <v>1.344112954908588</v>
      </c>
      <c r="V622" s="69">
        <f t="shared" ca="1" si="140"/>
        <v>-0.11009462866072962</v>
      </c>
      <c r="W622" s="69">
        <f t="shared" ca="1" si="141"/>
        <v>-0.70578504615722359</v>
      </c>
      <c r="X622" s="69">
        <f t="shared" ca="1" si="142"/>
        <v>1.0896285674475639</v>
      </c>
    </row>
    <row r="623" spans="2:24" x14ac:dyDescent="0.2">
      <c r="B623" s="69">
        <f t="shared" ca="1" si="131"/>
        <v>-0.25891158376869294</v>
      </c>
      <c r="C623" s="69">
        <f t="shared" ca="1" si="143"/>
        <v>-0.3083493705220654</v>
      </c>
      <c r="D623" s="69">
        <f t="shared" ca="1" si="143"/>
        <v>-0.75290416980144659</v>
      </c>
      <c r="E623" s="69">
        <f t="shared" ca="1" si="143"/>
        <v>-0.13177000749026613</v>
      </c>
      <c r="F623" s="69">
        <f t="shared" ca="1" si="143"/>
        <v>-2.078688572429539</v>
      </c>
      <c r="G623" s="69">
        <f t="shared" ca="1" si="143"/>
        <v>1.7620054045748932</v>
      </c>
      <c r="H623" s="69">
        <f t="shared" ca="1" si="143"/>
        <v>-1.0654550794218716</v>
      </c>
      <c r="I623" s="69">
        <f t="shared" ca="1" si="143"/>
        <v>0.45674694530240612</v>
      </c>
      <c r="J623" s="69">
        <f t="shared" ca="1" si="143"/>
        <v>1.0535558498857369</v>
      </c>
      <c r="K623" s="69">
        <f t="shared" ca="1" si="143"/>
        <v>0.35657592499680851</v>
      </c>
      <c r="L623" s="69">
        <f t="shared" ca="1" si="143"/>
        <v>1.3113282823409091</v>
      </c>
      <c r="N623" s="69">
        <f t="shared" ca="1" si="132"/>
        <v>-0.22114353993058411</v>
      </c>
      <c r="O623" s="69">
        <f t="shared" ca="1" si="133"/>
        <v>-0.3348429336049521</v>
      </c>
      <c r="P623" s="69">
        <f t="shared" ca="1" si="134"/>
        <v>-0.81064623463853658</v>
      </c>
      <c r="Q623" s="69">
        <f t="shared" ca="1" si="135"/>
        <v>-8.2661328628507183E-2</v>
      </c>
      <c r="R623" s="69">
        <f t="shared" ca="1" si="136"/>
        <v>-2.0849832578371879</v>
      </c>
      <c r="S623" s="69">
        <f t="shared" ca="1" si="137"/>
        <v>1.7948323768317016</v>
      </c>
      <c r="T623" s="69">
        <f t="shared" ca="1" si="138"/>
        <v>-1.0702861171370615</v>
      </c>
      <c r="U623" s="69">
        <f t="shared" ca="1" si="139"/>
        <v>0.47978707218011579</v>
      </c>
      <c r="V623" s="69">
        <f t="shared" ca="1" si="140"/>
        <v>1.0474462563121396</v>
      </c>
      <c r="W623" s="69">
        <f t="shared" ca="1" si="141"/>
        <v>0.35755728182090746</v>
      </c>
      <c r="X623" s="69">
        <f t="shared" ca="1" si="142"/>
        <v>1.3384967727153447</v>
      </c>
    </row>
    <row r="624" spans="2:24" x14ac:dyDescent="0.2">
      <c r="B624" s="69">
        <f t="shared" ca="1" si="131"/>
        <v>-1.2254009455905719</v>
      </c>
      <c r="C624" s="69">
        <f t="shared" ca="1" si="143"/>
        <v>7.6171009476918752E-2</v>
      </c>
      <c r="D624" s="69">
        <f t="shared" ca="1" si="143"/>
        <v>0.83913984871469016</v>
      </c>
      <c r="E624" s="69">
        <f t="shared" ca="1" si="143"/>
        <v>-1.1432619998220108</v>
      </c>
      <c r="F624" s="69">
        <f t="shared" ca="1" si="143"/>
        <v>-0.55762240727976542</v>
      </c>
      <c r="G624" s="69">
        <f t="shared" ca="1" si="143"/>
        <v>-0.6307460872451216</v>
      </c>
      <c r="H624" s="69">
        <f t="shared" ca="1" si="143"/>
        <v>-9.8712372241560084E-2</v>
      </c>
      <c r="I624" s="69">
        <f t="shared" ca="1" si="143"/>
        <v>0.24827611076968986</v>
      </c>
      <c r="J624" s="69">
        <f t="shared" ca="1" si="143"/>
        <v>0.54226503760243649</v>
      </c>
      <c r="K624" s="69">
        <f t="shared" ca="1" si="143"/>
        <v>1.691839342571843E-2</v>
      </c>
      <c r="L624" s="69">
        <f t="shared" ca="1" si="143"/>
        <v>-0.81766837823940297</v>
      </c>
      <c r="N624" s="69">
        <f t="shared" ca="1" si="132"/>
        <v>-1.1876329017524632</v>
      </c>
      <c r="O624" s="69">
        <f t="shared" ca="1" si="133"/>
        <v>4.9677446394032071E-2</v>
      </c>
      <c r="P624" s="69">
        <f t="shared" ca="1" si="134"/>
        <v>0.78139778387760017</v>
      </c>
      <c r="Q624" s="69">
        <f t="shared" ca="1" si="135"/>
        <v>-1.0941533209602519</v>
      </c>
      <c r="R624" s="69">
        <f t="shared" ca="1" si="136"/>
        <v>-0.5639170926874143</v>
      </c>
      <c r="S624" s="69">
        <f t="shared" ca="1" si="137"/>
        <v>-0.59791911498831307</v>
      </c>
      <c r="T624" s="69">
        <f t="shared" ca="1" si="138"/>
        <v>-0.10354340995674993</v>
      </c>
      <c r="U624" s="69">
        <f t="shared" ca="1" si="139"/>
        <v>0.27131623764739954</v>
      </c>
      <c r="V624" s="69">
        <f t="shared" ca="1" si="140"/>
        <v>0.53615544402883919</v>
      </c>
      <c r="W624" s="69">
        <f t="shared" ca="1" si="141"/>
        <v>1.7899750249817381E-2</v>
      </c>
      <c r="X624" s="69">
        <f t="shared" ca="1" si="142"/>
        <v>-0.7904998878649675</v>
      </c>
    </row>
    <row r="625" spans="2:24" x14ac:dyDescent="0.2">
      <c r="B625" s="69">
        <f t="shared" ca="1" si="131"/>
        <v>-0.36996235621588713</v>
      </c>
      <c r="C625" s="69">
        <f t="shared" ca="1" si="143"/>
        <v>-0.12413811304220551</v>
      </c>
      <c r="D625" s="69">
        <f t="shared" ca="1" si="143"/>
        <v>1.3603340880025372</v>
      </c>
      <c r="E625" s="69">
        <f t="shared" ca="1" si="143"/>
        <v>1.5614710880860476</v>
      </c>
      <c r="F625" s="69">
        <f t="shared" ca="1" si="143"/>
        <v>0.44828697276595997</v>
      </c>
      <c r="G625" s="69">
        <f t="shared" ca="1" si="143"/>
        <v>0.71070899130884957</v>
      </c>
      <c r="H625" s="69">
        <f t="shared" ca="1" si="143"/>
        <v>9.3525184362523744E-2</v>
      </c>
      <c r="I625" s="69">
        <f t="shared" ca="1" si="143"/>
        <v>6.6955232393466874E-2</v>
      </c>
      <c r="J625" s="69">
        <f t="shared" ca="1" si="143"/>
        <v>0.95451877182628475</v>
      </c>
      <c r="K625" s="69">
        <f t="shared" ca="1" si="143"/>
        <v>1.2803131359000186</v>
      </c>
      <c r="L625" s="69">
        <f t="shared" ca="1" si="143"/>
        <v>0.90855400754754967</v>
      </c>
      <c r="N625" s="69">
        <f t="shared" ca="1" si="132"/>
        <v>-0.3321943123777783</v>
      </c>
      <c r="O625" s="69">
        <f t="shared" ca="1" si="133"/>
        <v>-0.15063167612509221</v>
      </c>
      <c r="P625" s="69">
        <f t="shared" ca="1" si="134"/>
        <v>1.3025920231654471</v>
      </c>
      <c r="Q625" s="69">
        <f t="shared" ca="1" si="135"/>
        <v>1.6105797669478066</v>
      </c>
      <c r="R625" s="69">
        <f t="shared" ca="1" si="136"/>
        <v>0.44199228735831109</v>
      </c>
      <c r="S625" s="69">
        <f t="shared" ca="1" si="137"/>
        <v>0.7435359635656581</v>
      </c>
      <c r="T625" s="69">
        <f t="shared" ca="1" si="138"/>
        <v>8.8694146647333896E-2</v>
      </c>
      <c r="U625" s="69">
        <f t="shared" ca="1" si="139"/>
        <v>8.9995359271176523E-2</v>
      </c>
      <c r="V625" s="69">
        <f t="shared" ca="1" si="140"/>
        <v>0.94840917825268745</v>
      </c>
      <c r="W625" s="69">
        <f t="shared" ca="1" si="141"/>
        <v>1.2812944927241177</v>
      </c>
      <c r="X625" s="69">
        <f t="shared" ca="1" si="142"/>
        <v>0.93572249792198514</v>
      </c>
    </row>
    <row r="626" spans="2:24" x14ac:dyDescent="0.2">
      <c r="B626" s="69">
        <f t="shared" ca="1" si="131"/>
        <v>0.10893324162999675</v>
      </c>
      <c r="C626" s="69">
        <f t="shared" ca="1" si="143"/>
        <v>1.4427390044330006</v>
      </c>
      <c r="D626" s="69">
        <f t="shared" ca="1" si="143"/>
        <v>2.9072692547278085</v>
      </c>
      <c r="E626" s="69">
        <f t="shared" ca="1" si="143"/>
        <v>0.74802152025113122</v>
      </c>
      <c r="F626" s="69">
        <f t="shared" ca="1" si="143"/>
        <v>1.9399473622667276</v>
      </c>
      <c r="G626" s="69">
        <f t="shared" ca="1" si="143"/>
        <v>-0.2643522304253636</v>
      </c>
      <c r="H626" s="69">
        <f t="shared" ca="1" si="143"/>
        <v>-1.3846063939903159</v>
      </c>
      <c r="I626" s="69">
        <f t="shared" ca="1" si="143"/>
        <v>-0.3214944825557618</v>
      </c>
      <c r="J626" s="69">
        <f t="shared" ca="1" si="143"/>
        <v>-0.20475719884247703</v>
      </c>
      <c r="K626" s="69">
        <f t="shared" ca="1" si="143"/>
        <v>-0.20666889609406647</v>
      </c>
      <c r="L626" s="69">
        <f t="shared" ca="1" si="143"/>
        <v>6.6734242013861106E-2</v>
      </c>
      <c r="N626" s="69">
        <f t="shared" ca="1" si="132"/>
        <v>0.14670128546810557</v>
      </c>
      <c r="O626" s="69">
        <f t="shared" ca="1" si="133"/>
        <v>1.416245441350114</v>
      </c>
      <c r="P626" s="69">
        <f t="shared" ca="1" si="134"/>
        <v>2.8495271898907184</v>
      </c>
      <c r="Q626" s="69">
        <f t="shared" ca="1" si="135"/>
        <v>0.79713019911289018</v>
      </c>
      <c r="R626" s="69">
        <f t="shared" ca="1" si="136"/>
        <v>1.9336526768590787</v>
      </c>
      <c r="S626" s="69">
        <f t="shared" ca="1" si="137"/>
        <v>-0.23152525816855513</v>
      </c>
      <c r="T626" s="69">
        <f t="shared" ca="1" si="138"/>
        <v>-1.3894374317055058</v>
      </c>
      <c r="U626" s="69">
        <f t="shared" ca="1" si="139"/>
        <v>-0.29845435567805212</v>
      </c>
      <c r="V626" s="69">
        <f t="shared" ca="1" si="140"/>
        <v>-0.21086679241607437</v>
      </c>
      <c r="W626" s="69">
        <f t="shared" ca="1" si="141"/>
        <v>-0.20568753926996752</v>
      </c>
      <c r="X626" s="69">
        <f t="shared" ca="1" si="142"/>
        <v>9.3902732388296578E-2</v>
      </c>
    </row>
    <row r="627" spans="2:24" x14ac:dyDescent="0.2">
      <c r="B627" s="69">
        <f t="shared" ca="1" si="131"/>
        <v>-0.33155606685926586</v>
      </c>
      <c r="C627" s="69">
        <f t="shared" ca="1" si="143"/>
        <v>1.0694980163970065</v>
      </c>
      <c r="D627" s="69">
        <f t="shared" ca="1" si="143"/>
        <v>0.62849868135012144</v>
      </c>
      <c r="E627" s="69">
        <f t="shared" ca="1" si="143"/>
        <v>-0.64372734307957957</v>
      </c>
      <c r="F627" s="69">
        <f t="shared" ca="1" si="143"/>
        <v>-0.33035024321887357</v>
      </c>
      <c r="G627" s="69">
        <f t="shared" ca="1" si="143"/>
        <v>0.40340574759265474</v>
      </c>
      <c r="H627" s="69">
        <f t="shared" ca="1" si="143"/>
        <v>-0.33727360272188123</v>
      </c>
      <c r="I627" s="69">
        <f t="shared" ca="1" si="143"/>
        <v>-0.70191260078103901</v>
      </c>
      <c r="J627" s="69">
        <f t="shared" ca="1" si="143"/>
        <v>-1.6113528900207803</v>
      </c>
      <c r="K627" s="69">
        <f t="shared" ca="1" si="143"/>
        <v>-0.4777040131952584</v>
      </c>
      <c r="L627" s="69">
        <f t="shared" ca="1" si="143"/>
        <v>-1.2979378427003916</v>
      </c>
      <c r="N627" s="69">
        <f t="shared" ca="1" si="132"/>
        <v>-0.29378802302115703</v>
      </c>
      <c r="O627" s="69">
        <f t="shared" ca="1" si="133"/>
        <v>1.0430044533141198</v>
      </c>
      <c r="P627" s="69">
        <f t="shared" ca="1" si="134"/>
        <v>0.57075661651303145</v>
      </c>
      <c r="Q627" s="69">
        <f t="shared" ca="1" si="135"/>
        <v>-0.59461866421782061</v>
      </c>
      <c r="R627" s="69">
        <f t="shared" ca="1" si="136"/>
        <v>-0.33664492862652245</v>
      </c>
      <c r="S627" s="69">
        <f t="shared" ca="1" si="137"/>
        <v>0.43623271984946321</v>
      </c>
      <c r="T627" s="69">
        <f t="shared" ca="1" si="138"/>
        <v>-0.34210464043707106</v>
      </c>
      <c r="U627" s="69">
        <f t="shared" ca="1" si="139"/>
        <v>-0.67887247390332939</v>
      </c>
      <c r="V627" s="69">
        <f t="shared" ca="1" si="140"/>
        <v>-1.6174624835943776</v>
      </c>
      <c r="W627" s="69">
        <f t="shared" ca="1" si="141"/>
        <v>-0.47672265637115946</v>
      </c>
      <c r="X627" s="69">
        <f t="shared" ca="1" si="142"/>
        <v>-1.270769352325956</v>
      </c>
    </row>
    <row r="628" spans="2:24" x14ac:dyDescent="0.2">
      <c r="B628" s="69">
        <f t="shared" ca="1" si="131"/>
        <v>1.7973957404435279</v>
      </c>
      <c r="C628" s="69">
        <f t="shared" ca="1" si="143"/>
        <v>0.21761956535354152</v>
      </c>
      <c r="D628" s="69">
        <f t="shared" ca="1" si="143"/>
        <v>0.42046271803504476</v>
      </c>
      <c r="E628" s="69">
        <f t="shared" ca="1" si="143"/>
        <v>-1.4326802439011685</v>
      </c>
      <c r="F628" s="69">
        <f t="shared" ca="1" si="143"/>
        <v>-0.47984609696058128</v>
      </c>
      <c r="G628" s="69">
        <f t="shared" ca="1" si="143"/>
        <v>-0.36476982374607497</v>
      </c>
      <c r="H628" s="69">
        <f t="shared" ca="1" si="143"/>
        <v>-0.9016964277792886</v>
      </c>
      <c r="I628" s="69">
        <f t="shared" ca="1" si="143"/>
        <v>0.87253922772988124</v>
      </c>
      <c r="J628" s="69">
        <f t="shared" ca="1" si="143"/>
        <v>-1.1844452933304841</v>
      </c>
      <c r="K628" s="69">
        <f t="shared" ca="1" si="143"/>
        <v>-0.57932707380411674</v>
      </c>
      <c r="L628" s="69">
        <f t="shared" ca="1" si="143"/>
        <v>1.1355674402366419E-2</v>
      </c>
      <c r="N628" s="69">
        <f t="shared" ca="1" si="132"/>
        <v>1.8351637842816366</v>
      </c>
      <c r="O628" s="69">
        <f t="shared" ca="1" si="133"/>
        <v>0.19112600227065482</v>
      </c>
      <c r="P628" s="69">
        <f t="shared" ca="1" si="134"/>
        <v>0.36272065319795471</v>
      </c>
      <c r="Q628" s="69">
        <f t="shared" ca="1" si="135"/>
        <v>-1.3835715650394096</v>
      </c>
      <c r="R628" s="69">
        <f t="shared" ca="1" si="136"/>
        <v>-0.48614078236823016</v>
      </c>
      <c r="S628" s="69">
        <f t="shared" ca="1" si="137"/>
        <v>-0.3319428514892665</v>
      </c>
      <c r="T628" s="69">
        <f t="shared" ca="1" si="138"/>
        <v>-0.90652746549447849</v>
      </c>
      <c r="U628" s="69">
        <f t="shared" ca="1" si="139"/>
        <v>0.89557935460759086</v>
      </c>
      <c r="V628" s="69">
        <f t="shared" ca="1" si="140"/>
        <v>-1.1905548869040814</v>
      </c>
      <c r="W628" s="69">
        <f t="shared" ca="1" si="141"/>
        <v>-0.5783457169800178</v>
      </c>
      <c r="X628" s="69">
        <f t="shared" ca="1" si="142"/>
        <v>3.85241647768019E-2</v>
      </c>
    </row>
    <row r="629" spans="2:24" x14ac:dyDescent="0.2">
      <c r="B629" s="69">
        <f t="shared" ca="1" si="131"/>
        <v>1.7880360783111429</v>
      </c>
      <c r="C629" s="69">
        <f t="shared" ca="1" si="143"/>
        <v>-1.2842084072968938</v>
      </c>
      <c r="D629" s="69">
        <f t="shared" ca="1" si="143"/>
        <v>0.53950770556018213</v>
      </c>
      <c r="E629" s="69">
        <f t="shared" ca="1" si="143"/>
        <v>-0.93195607215653509</v>
      </c>
      <c r="F629" s="69">
        <f t="shared" ca="1" si="143"/>
        <v>0.69488278065873099</v>
      </c>
      <c r="G629" s="69">
        <f t="shared" ca="1" si="143"/>
        <v>-0.23616195913863502</v>
      </c>
      <c r="H629" s="69">
        <f t="shared" ca="1" si="143"/>
        <v>-0.59396570478261679</v>
      </c>
      <c r="I629" s="69">
        <f t="shared" ca="1" si="143"/>
        <v>-1.4810243711395985</v>
      </c>
      <c r="J629" s="69">
        <f t="shared" ca="1" si="143"/>
        <v>-1.0462245814756053</v>
      </c>
      <c r="K629" s="69">
        <f t="shared" ca="1" si="143"/>
        <v>-0.99592292401140237</v>
      </c>
      <c r="L629" s="69">
        <f t="shared" ca="1" si="143"/>
        <v>1.2633892663226181</v>
      </c>
      <c r="N629" s="69">
        <f t="shared" ca="1" si="132"/>
        <v>1.8258041221492516</v>
      </c>
      <c r="O629" s="69">
        <f t="shared" ca="1" si="133"/>
        <v>-1.3107019703797804</v>
      </c>
      <c r="P629" s="69">
        <f t="shared" ca="1" si="134"/>
        <v>0.48176564072309208</v>
      </c>
      <c r="Q629" s="69">
        <f t="shared" ca="1" si="135"/>
        <v>-0.88284739329477613</v>
      </c>
      <c r="R629" s="69">
        <f t="shared" ca="1" si="136"/>
        <v>0.68858809525108211</v>
      </c>
      <c r="S629" s="69">
        <f t="shared" ca="1" si="137"/>
        <v>-0.20333498688182655</v>
      </c>
      <c r="T629" s="69">
        <f t="shared" ca="1" si="138"/>
        <v>-0.59879674249780668</v>
      </c>
      <c r="U629" s="69">
        <f t="shared" ca="1" si="139"/>
        <v>-1.4579842442618889</v>
      </c>
      <c r="V629" s="69">
        <f t="shared" ca="1" si="140"/>
        <v>-1.0523341750492026</v>
      </c>
      <c r="W629" s="69">
        <f t="shared" ca="1" si="141"/>
        <v>-0.99494156718730342</v>
      </c>
      <c r="X629" s="69">
        <f t="shared" ca="1" si="142"/>
        <v>1.2905577566970536</v>
      </c>
    </row>
    <row r="630" spans="2:24" x14ac:dyDescent="0.2">
      <c r="B630" s="69">
        <f t="shared" ca="1" si="131"/>
        <v>0.56582599234245035</v>
      </c>
      <c r="C630" s="69">
        <f t="shared" ca="1" si="143"/>
        <v>-1.2924353780049573</v>
      </c>
      <c r="D630" s="69">
        <f t="shared" ca="1" si="143"/>
        <v>0.94157744867196269</v>
      </c>
      <c r="E630" s="69">
        <f t="shared" ca="1" si="143"/>
        <v>-0.43581550922623696</v>
      </c>
      <c r="F630" s="69">
        <f t="shared" ca="1" si="143"/>
        <v>0.66444349078204024</v>
      </c>
      <c r="G630" s="69">
        <f t="shared" ca="1" si="143"/>
        <v>0.70162782571949334</v>
      </c>
      <c r="H630" s="69">
        <f t="shared" ca="1" si="143"/>
        <v>-0.10597234564860722</v>
      </c>
      <c r="I630" s="69">
        <f t="shared" ref="C630:L693" ca="1" si="144">NORMINV(RAND(),$C$7,$F$7)</f>
        <v>-1.0482102623929728</v>
      </c>
      <c r="J630" s="69">
        <f t="shared" ca="1" si="144"/>
        <v>-0.51224390134123443</v>
      </c>
      <c r="K630" s="69">
        <f t="shared" ca="1" si="144"/>
        <v>-0.46759124561599674</v>
      </c>
      <c r="L630" s="69">
        <f t="shared" ca="1" si="144"/>
        <v>-0.194850498916596</v>
      </c>
      <c r="N630" s="69">
        <f t="shared" ca="1" si="132"/>
        <v>0.60359403618055918</v>
      </c>
      <c r="O630" s="69">
        <f t="shared" ca="1" si="133"/>
        <v>-1.318928941087844</v>
      </c>
      <c r="P630" s="69">
        <f t="shared" ca="1" si="134"/>
        <v>0.8838353838348727</v>
      </c>
      <c r="Q630" s="69">
        <f t="shared" ca="1" si="135"/>
        <v>-0.386706830364478</v>
      </c>
      <c r="R630" s="69">
        <f t="shared" ca="1" si="136"/>
        <v>0.65814880537439135</v>
      </c>
      <c r="S630" s="69">
        <f t="shared" ca="1" si="137"/>
        <v>0.73445479797630187</v>
      </c>
      <c r="T630" s="69">
        <f t="shared" ca="1" si="138"/>
        <v>-0.11080338336379707</v>
      </c>
      <c r="U630" s="69">
        <f t="shared" ca="1" si="139"/>
        <v>-1.0251701355152631</v>
      </c>
      <c r="V630" s="69">
        <f t="shared" ca="1" si="140"/>
        <v>-0.51835349491483174</v>
      </c>
      <c r="W630" s="69">
        <f t="shared" ca="1" si="141"/>
        <v>-0.4666098887918978</v>
      </c>
      <c r="X630" s="69">
        <f t="shared" ca="1" si="142"/>
        <v>-0.16768200854216053</v>
      </c>
    </row>
    <row r="631" spans="2:24" x14ac:dyDescent="0.2">
      <c r="B631" s="69">
        <f t="shared" ca="1" si="131"/>
        <v>-0.5553859446173639</v>
      </c>
      <c r="C631" s="69">
        <f t="shared" ca="1" si="144"/>
        <v>-1.3119048738481149</v>
      </c>
      <c r="D631" s="69">
        <f t="shared" ca="1" si="144"/>
        <v>-0.52883921796729627</v>
      </c>
      <c r="E631" s="69">
        <f t="shared" ca="1" si="144"/>
        <v>0.6728136157836021</v>
      </c>
      <c r="F631" s="69">
        <f t="shared" ca="1" si="144"/>
        <v>-0.74504003733298618</v>
      </c>
      <c r="G631" s="69">
        <f t="shared" ca="1" si="144"/>
        <v>0.4730533769647382</v>
      </c>
      <c r="H631" s="69">
        <f t="shared" ca="1" si="144"/>
        <v>0.84376508550310803</v>
      </c>
      <c r="I631" s="69">
        <f t="shared" ca="1" si="144"/>
        <v>0.87475919729885154</v>
      </c>
      <c r="J631" s="69">
        <f t="shared" ca="1" si="144"/>
        <v>-5.1371054073196913E-2</v>
      </c>
      <c r="K631" s="69">
        <f t="shared" ca="1" si="144"/>
        <v>-0.89984965460178823</v>
      </c>
      <c r="L631" s="69">
        <f t="shared" ca="1" si="144"/>
        <v>-0.45876939162752217</v>
      </c>
      <c r="N631" s="69">
        <f t="shared" ca="1" si="132"/>
        <v>-0.51761790077925507</v>
      </c>
      <c r="O631" s="69">
        <f t="shared" ca="1" si="133"/>
        <v>-1.3383984369310016</v>
      </c>
      <c r="P631" s="69">
        <f t="shared" ca="1" si="134"/>
        <v>-0.58658128280438626</v>
      </c>
      <c r="Q631" s="69">
        <f t="shared" ca="1" si="135"/>
        <v>0.72192229464536106</v>
      </c>
      <c r="R631" s="69">
        <f t="shared" ca="1" si="136"/>
        <v>-0.75133472274063506</v>
      </c>
      <c r="S631" s="69">
        <f t="shared" ca="1" si="137"/>
        <v>0.50588034922154668</v>
      </c>
      <c r="T631" s="69">
        <f t="shared" ca="1" si="138"/>
        <v>0.83893404778791814</v>
      </c>
      <c r="U631" s="69">
        <f t="shared" ca="1" si="139"/>
        <v>0.89779932417656116</v>
      </c>
      <c r="V631" s="69">
        <f t="shared" ca="1" si="140"/>
        <v>-5.7480647646794246E-2</v>
      </c>
      <c r="W631" s="69">
        <f t="shared" ca="1" si="141"/>
        <v>-0.89886829777768928</v>
      </c>
      <c r="X631" s="69">
        <f t="shared" ca="1" si="142"/>
        <v>-0.4316009012530867</v>
      </c>
    </row>
    <row r="632" spans="2:24" x14ac:dyDescent="0.2">
      <c r="B632" s="69">
        <f t="shared" ca="1" si="131"/>
        <v>1.412447856929234</v>
      </c>
      <c r="C632" s="69">
        <f t="shared" ca="1" si="144"/>
        <v>-3.6118914062535923E-2</v>
      </c>
      <c r="D632" s="69">
        <f t="shared" ca="1" si="144"/>
        <v>0.72909840486118549</v>
      </c>
      <c r="E632" s="69">
        <f t="shared" ca="1" si="144"/>
        <v>1.8152380281803835</v>
      </c>
      <c r="F632" s="69">
        <f t="shared" ca="1" si="144"/>
        <v>1.2044017960208317</v>
      </c>
      <c r="G632" s="69">
        <f t="shared" ca="1" si="144"/>
        <v>0.6290310647004157</v>
      </c>
      <c r="H632" s="69">
        <f t="shared" ca="1" si="144"/>
        <v>-1.3358312700922015</v>
      </c>
      <c r="I632" s="69">
        <f t="shared" ca="1" si="144"/>
        <v>-1.3459221838398252</v>
      </c>
      <c r="J632" s="69">
        <f t="shared" ca="1" si="144"/>
        <v>-0.55273315593613004</v>
      </c>
      <c r="K632" s="69">
        <f t="shared" ca="1" si="144"/>
        <v>-1.5271375701864951</v>
      </c>
      <c r="L632" s="69">
        <f t="shared" ca="1" si="144"/>
        <v>-3.0690318968037475</v>
      </c>
      <c r="N632" s="69">
        <f t="shared" ca="1" si="132"/>
        <v>1.4502159007673427</v>
      </c>
      <c r="O632" s="69">
        <f t="shared" ca="1" si="133"/>
        <v>-6.2612477145422604E-2</v>
      </c>
      <c r="P632" s="69">
        <f t="shared" ca="1" si="134"/>
        <v>0.6713563400240955</v>
      </c>
      <c r="Q632" s="69">
        <f t="shared" ca="1" si="135"/>
        <v>1.8643467070421424</v>
      </c>
      <c r="R632" s="69">
        <f t="shared" ca="1" si="136"/>
        <v>1.1981071106131829</v>
      </c>
      <c r="S632" s="69">
        <f t="shared" ca="1" si="137"/>
        <v>0.66185803695722423</v>
      </c>
      <c r="T632" s="69">
        <f t="shared" ca="1" si="138"/>
        <v>-1.3406623078073914</v>
      </c>
      <c r="U632" s="69">
        <f t="shared" ca="1" si="139"/>
        <v>-1.3228820569621156</v>
      </c>
      <c r="V632" s="69">
        <f t="shared" ca="1" si="140"/>
        <v>-0.55884274950972734</v>
      </c>
      <c r="W632" s="69">
        <f t="shared" ca="1" si="141"/>
        <v>-1.526156213362396</v>
      </c>
      <c r="X632" s="69">
        <f t="shared" ca="1" si="142"/>
        <v>-3.0418634064293122</v>
      </c>
    </row>
    <row r="633" spans="2:24" x14ac:dyDescent="0.2">
      <c r="B633" s="69">
        <f t="shared" ca="1" si="131"/>
        <v>0.53975875673999352</v>
      </c>
      <c r="C633" s="69">
        <f t="shared" ca="1" si="144"/>
        <v>1.338820601394576</v>
      </c>
      <c r="D633" s="69">
        <f t="shared" ca="1" si="144"/>
        <v>-1.4314518484382959</v>
      </c>
      <c r="E633" s="69">
        <f t="shared" ca="1" si="144"/>
        <v>0.17038639735933694</v>
      </c>
      <c r="F633" s="69">
        <f t="shared" ca="1" si="144"/>
        <v>-0.79423221568495905</v>
      </c>
      <c r="G633" s="69">
        <f t="shared" ca="1" si="144"/>
        <v>-0.17891783738067363</v>
      </c>
      <c r="H633" s="69">
        <f t="shared" ca="1" si="144"/>
        <v>0.75206931838249502</v>
      </c>
      <c r="I633" s="69">
        <f t="shared" ca="1" si="144"/>
        <v>-0.70094541527312182</v>
      </c>
      <c r="J633" s="69">
        <f t="shared" ca="1" si="144"/>
        <v>-0.49586900812083806</v>
      </c>
      <c r="K633" s="69">
        <f t="shared" ca="1" si="144"/>
        <v>0.34950483037388735</v>
      </c>
      <c r="L633" s="69">
        <f t="shared" ca="1" si="144"/>
        <v>-1.4563120449256433</v>
      </c>
      <c r="N633" s="69">
        <f t="shared" ca="1" si="132"/>
        <v>0.57752680057810235</v>
      </c>
      <c r="O633" s="69">
        <f t="shared" ca="1" si="133"/>
        <v>1.3123270383116894</v>
      </c>
      <c r="P633" s="69">
        <f t="shared" ca="1" si="134"/>
        <v>-1.489193913275386</v>
      </c>
      <c r="Q633" s="69">
        <f t="shared" ca="1" si="135"/>
        <v>0.21949507622109588</v>
      </c>
      <c r="R633" s="69">
        <f t="shared" ca="1" si="136"/>
        <v>-0.80052690109260793</v>
      </c>
      <c r="S633" s="69">
        <f t="shared" ca="1" si="137"/>
        <v>-0.14609086512386515</v>
      </c>
      <c r="T633" s="69">
        <f t="shared" ca="1" si="138"/>
        <v>0.74723828066730513</v>
      </c>
      <c r="U633" s="69">
        <f t="shared" ca="1" si="139"/>
        <v>-0.6779052883954122</v>
      </c>
      <c r="V633" s="69">
        <f t="shared" ca="1" si="140"/>
        <v>-0.50197860169443542</v>
      </c>
      <c r="W633" s="69">
        <f t="shared" ca="1" si="141"/>
        <v>0.3504861871979863</v>
      </c>
      <c r="X633" s="69">
        <f t="shared" ca="1" si="142"/>
        <v>-1.4291435545512077</v>
      </c>
    </row>
    <row r="634" spans="2:24" x14ac:dyDescent="0.2">
      <c r="B634" s="69">
        <f t="shared" ca="1" si="131"/>
        <v>0.22267686238978113</v>
      </c>
      <c r="C634" s="69">
        <f t="shared" ca="1" si="144"/>
        <v>-1.7917089196501961</v>
      </c>
      <c r="D634" s="69">
        <f t="shared" ca="1" si="144"/>
        <v>-0.82889246323039123</v>
      </c>
      <c r="E634" s="69">
        <f t="shared" ca="1" si="144"/>
        <v>-1.3410143287023382</v>
      </c>
      <c r="F634" s="69">
        <f t="shared" ca="1" si="144"/>
        <v>-2.1065318824248096</v>
      </c>
      <c r="G634" s="69">
        <f t="shared" ca="1" si="144"/>
        <v>-1.690904201418854</v>
      </c>
      <c r="H634" s="69">
        <f t="shared" ca="1" si="144"/>
        <v>-0.44153526333620829</v>
      </c>
      <c r="I634" s="69">
        <f t="shared" ca="1" si="144"/>
        <v>-0.38646448929733479</v>
      </c>
      <c r="J634" s="69">
        <f t="shared" ca="1" si="144"/>
        <v>-0.3028189667940443</v>
      </c>
      <c r="K634" s="69">
        <f t="shared" ca="1" si="144"/>
        <v>-1.148725990248066</v>
      </c>
      <c r="L634" s="69">
        <f t="shared" ca="1" si="144"/>
        <v>-1.1333604376639352</v>
      </c>
      <c r="N634" s="69">
        <f t="shared" ca="1" si="132"/>
        <v>0.26044490622788996</v>
      </c>
      <c r="O634" s="69">
        <f t="shared" ca="1" si="133"/>
        <v>-1.8182024827330827</v>
      </c>
      <c r="P634" s="69">
        <f t="shared" ca="1" si="134"/>
        <v>-0.88663452806748122</v>
      </c>
      <c r="Q634" s="69">
        <f t="shared" ca="1" si="135"/>
        <v>-1.2919056498405792</v>
      </c>
      <c r="R634" s="69">
        <f t="shared" ca="1" si="136"/>
        <v>-2.1128265678324585</v>
      </c>
      <c r="S634" s="69">
        <f t="shared" ca="1" si="137"/>
        <v>-1.6580772291620456</v>
      </c>
      <c r="T634" s="69">
        <f t="shared" ca="1" si="138"/>
        <v>-0.44636630105139813</v>
      </c>
      <c r="U634" s="69">
        <f t="shared" ca="1" si="139"/>
        <v>-0.36342436241962511</v>
      </c>
      <c r="V634" s="69">
        <f t="shared" ca="1" si="140"/>
        <v>-0.3089285603676416</v>
      </c>
      <c r="W634" s="69">
        <f t="shared" ca="1" si="141"/>
        <v>-1.1477446334239669</v>
      </c>
      <c r="X634" s="69">
        <f t="shared" ca="1" si="142"/>
        <v>-1.1061919472894997</v>
      </c>
    </row>
    <row r="635" spans="2:24" x14ac:dyDescent="0.2">
      <c r="B635" s="69">
        <f t="shared" ca="1" si="131"/>
        <v>0.63893877992248027</v>
      </c>
      <c r="C635" s="69">
        <f t="shared" ca="1" si="144"/>
        <v>1.3893167522110834</v>
      </c>
      <c r="D635" s="69">
        <f t="shared" ca="1" si="144"/>
        <v>-0.33875790658622307</v>
      </c>
      <c r="E635" s="69">
        <f t="shared" ca="1" si="144"/>
        <v>-1.4807129836474044</v>
      </c>
      <c r="F635" s="69">
        <f t="shared" ca="1" si="144"/>
        <v>1.8943365555391769</v>
      </c>
      <c r="G635" s="69">
        <f t="shared" ca="1" si="144"/>
        <v>0.55833211897897095</v>
      </c>
      <c r="H635" s="69">
        <f t="shared" ca="1" si="144"/>
        <v>0.45784124651864699</v>
      </c>
      <c r="I635" s="69">
        <f t="shared" ca="1" si="144"/>
        <v>0.1612414739621762</v>
      </c>
      <c r="J635" s="69">
        <f t="shared" ca="1" si="144"/>
        <v>-1.0173104864162141</v>
      </c>
      <c r="K635" s="69">
        <f t="shared" ca="1" si="144"/>
        <v>0.20237041328208905</v>
      </c>
      <c r="L635" s="69">
        <f t="shared" ca="1" si="144"/>
        <v>-0.1935365727486712</v>
      </c>
      <c r="N635" s="69">
        <f t="shared" ca="1" si="132"/>
        <v>0.6767068237605891</v>
      </c>
      <c r="O635" s="69">
        <f t="shared" ca="1" si="133"/>
        <v>1.3628231891281968</v>
      </c>
      <c r="P635" s="69">
        <f t="shared" ca="1" si="134"/>
        <v>-0.39649997142331311</v>
      </c>
      <c r="Q635" s="69">
        <f t="shared" ca="1" si="135"/>
        <v>-1.4316043047856455</v>
      </c>
      <c r="R635" s="69">
        <f t="shared" ca="1" si="136"/>
        <v>1.888041870131528</v>
      </c>
      <c r="S635" s="69">
        <f t="shared" ca="1" si="137"/>
        <v>0.59115909123577948</v>
      </c>
      <c r="T635" s="69">
        <f t="shared" ca="1" si="138"/>
        <v>0.45301020880345716</v>
      </c>
      <c r="U635" s="69">
        <f t="shared" ca="1" si="139"/>
        <v>0.18428160083988585</v>
      </c>
      <c r="V635" s="69">
        <f t="shared" ca="1" si="140"/>
        <v>-1.0234200799898114</v>
      </c>
      <c r="W635" s="69">
        <f t="shared" ca="1" si="141"/>
        <v>0.20335177010618799</v>
      </c>
      <c r="X635" s="69">
        <f t="shared" ca="1" si="142"/>
        <v>-0.16636808237423573</v>
      </c>
    </row>
    <row r="636" spans="2:24" x14ac:dyDescent="0.2">
      <c r="B636" s="69">
        <f t="shared" ca="1" si="131"/>
        <v>1.2730579094798971</v>
      </c>
      <c r="C636" s="69">
        <f t="shared" ca="1" si="144"/>
        <v>0.84177150277374435</v>
      </c>
      <c r="D636" s="69">
        <f t="shared" ca="1" si="144"/>
        <v>-1.888342814754066</v>
      </c>
      <c r="E636" s="69">
        <f t="shared" ca="1" si="144"/>
        <v>-1.0749898615729805</v>
      </c>
      <c r="F636" s="69">
        <f t="shared" ca="1" si="144"/>
        <v>-0.6778586476350652</v>
      </c>
      <c r="G636" s="69">
        <f t="shared" ca="1" si="144"/>
        <v>-1.4971485477786941</v>
      </c>
      <c r="H636" s="69">
        <f t="shared" ca="1" si="144"/>
        <v>0.44394103593519807</v>
      </c>
      <c r="I636" s="69">
        <f t="shared" ca="1" si="144"/>
        <v>-0.18056501618736925</v>
      </c>
      <c r="J636" s="69">
        <f t="shared" ca="1" si="144"/>
        <v>-0.38470981534049586</v>
      </c>
      <c r="K636" s="69">
        <f t="shared" ca="1" si="144"/>
        <v>-3.8342160660166109E-2</v>
      </c>
      <c r="L636" s="69">
        <f t="shared" ca="1" si="144"/>
        <v>-2.0317863358604145E-2</v>
      </c>
      <c r="N636" s="69">
        <f t="shared" ca="1" si="132"/>
        <v>1.3108259533180058</v>
      </c>
      <c r="O636" s="69">
        <f t="shared" ca="1" si="133"/>
        <v>0.81527793969085771</v>
      </c>
      <c r="P636" s="69">
        <f t="shared" ca="1" si="134"/>
        <v>-1.9460848795911561</v>
      </c>
      <c r="Q636" s="69">
        <f t="shared" ca="1" si="135"/>
        <v>-1.0258811827112215</v>
      </c>
      <c r="R636" s="69">
        <f t="shared" ca="1" si="136"/>
        <v>-0.68415333304271408</v>
      </c>
      <c r="S636" s="69">
        <f t="shared" ca="1" si="137"/>
        <v>-1.4643215755218857</v>
      </c>
      <c r="T636" s="69">
        <f t="shared" ca="1" si="138"/>
        <v>0.43910999822000824</v>
      </c>
      <c r="U636" s="69">
        <f t="shared" ca="1" si="139"/>
        <v>-0.1575248893096596</v>
      </c>
      <c r="V636" s="69">
        <f t="shared" ca="1" si="140"/>
        <v>-0.39081940891409317</v>
      </c>
      <c r="W636" s="69">
        <f t="shared" ca="1" si="141"/>
        <v>-3.7360803836067158E-2</v>
      </c>
      <c r="X636" s="69">
        <f t="shared" ca="1" si="142"/>
        <v>6.8506270158313343E-3</v>
      </c>
    </row>
    <row r="637" spans="2:24" x14ac:dyDescent="0.2">
      <c r="B637" s="69">
        <f t="shared" ca="1" si="131"/>
        <v>-0.78055885645231704</v>
      </c>
      <c r="C637" s="69">
        <f t="shared" ca="1" si="144"/>
        <v>-0.45358193284491094</v>
      </c>
      <c r="D637" s="69">
        <f t="shared" ca="1" si="144"/>
        <v>1.8984382457666857</v>
      </c>
      <c r="E637" s="69">
        <f t="shared" ca="1" si="144"/>
        <v>-1.2033670735309403</v>
      </c>
      <c r="F637" s="69">
        <f t="shared" ca="1" si="144"/>
        <v>-2.3051595565483507</v>
      </c>
      <c r="G637" s="69">
        <f t="shared" ca="1" si="144"/>
        <v>-1.5635680295365406</v>
      </c>
      <c r="H637" s="69">
        <f t="shared" ca="1" si="144"/>
        <v>-0.70678712456628767</v>
      </c>
      <c r="I637" s="69">
        <f t="shared" ca="1" si="144"/>
        <v>-1.6122392829682202</v>
      </c>
      <c r="J637" s="69">
        <f t="shared" ca="1" si="144"/>
        <v>-0.33027870160653477</v>
      </c>
      <c r="K637" s="69">
        <f t="shared" ca="1" si="144"/>
        <v>-1.2661306313512437</v>
      </c>
      <c r="L637" s="69">
        <f t="shared" ca="1" si="144"/>
        <v>-0.11733797968330256</v>
      </c>
      <c r="N637" s="69">
        <f t="shared" ca="1" si="132"/>
        <v>-0.74279081261420821</v>
      </c>
      <c r="O637" s="69">
        <f t="shared" ca="1" si="133"/>
        <v>-0.48007549592779764</v>
      </c>
      <c r="P637" s="69">
        <f t="shared" ca="1" si="134"/>
        <v>1.8406961809295956</v>
      </c>
      <c r="Q637" s="69">
        <f t="shared" ca="1" si="135"/>
        <v>-1.1542583946691813</v>
      </c>
      <c r="R637" s="69">
        <f t="shared" ca="1" si="136"/>
        <v>-2.3114542419559996</v>
      </c>
      <c r="S637" s="69">
        <f t="shared" ca="1" si="137"/>
        <v>-1.5307410572797322</v>
      </c>
      <c r="T637" s="69">
        <f t="shared" ca="1" si="138"/>
        <v>-0.71161816228147756</v>
      </c>
      <c r="U637" s="69">
        <f t="shared" ca="1" si="139"/>
        <v>-1.5891991560905105</v>
      </c>
      <c r="V637" s="69">
        <f t="shared" ca="1" si="140"/>
        <v>-0.33638829518013208</v>
      </c>
      <c r="W637" s="69">
        <f t="shared" ca="1" si="141"/>
        <v>-1.2651492745271447</v>
      </c>
      <c r="X637" s="69">
        <f t="shared" ca="1" si="142"/>
        <v>-9.016948930886709E-2</v>
      </c>
    </row>
    <row r="638" spans="2:24" x14ac:dyDescent="0.2">
      <c r="B638" s="69">
        <f t="shared" ca="1" si="131"/>
        <v>-0.67839630189441646</v>
      </c>
      <c r="C638" s="69">
        <f t="shared" ca="1" si="144"/>
        <v>-0.60795036154688775</v>
      </c>
      <c r="D638" s="69">
        <f t="shared" ca="1" si="144"/>
        <v>-1.1050093287709344</v>
      </c>
      <c r="E638" s="69">
        <f t="shared" ca="1" si="144"/>
        <v>-0.79716720019261111</v>
      </c>
      <c r="F638" s="69">
        <f t="shared" ca="1" si="144"/>
        <v>1.239211000097951</v>
      </c>
      <c r="G638" s="69">
        <f t="shared" ca="1" si="144"/>
        <v>-3.0181167566090941</v>
      </c>
      <c r="H638" s="69">
        <f t="shared" ca="1" si="144"/>
        <v>3.2541309387160204</v>
      </c>
      <c r="I638" s="69">
        <f t="shared" ca="1" si="144"/>
        <v>0.75615637066907082</v>
      </c>
      <c r="J638" s="69">
        <f t="shared" ca="1" si="144"/>
        <v>-4.6187336548181711E-2</v>
      </c>
      <c r="K638" s="69">
        <f t="shared" ca="1" si="144"/>
        <v>-1.1104693763220528</v>
      </c>
      <c r="L638" s="69">
        <f t="shared" ca="1" si="144"/>
        <v>0.21242589562005984</v>
      </c>
      <c r="N638" s="69">
        <f t="shared" ca="1" si="132"/>
        <v>-0.64062825805630763</v>
      </c>
      <c r="O638" s="69">
        <f t="shared" ca="1" si="133"/>
        <v>-0.63444392462977439</v>
      </c>
      <c r="P638" s="69">
        <f t="shared" ca="1" si="134"/>
        <v>-1.1627513936080245</v>
      </c>
      <c r="Q638" s="69">
        <f t="shared" ca="1" si="135"/>
        <v>-0.74805852133085216</v>
      </c>
      <c r="R638" s="69">
        <f t="shared" ca="1" si="136"/>
        <v>1.2329163146903022</v>
      </c>
      <c r="S638" s="69">
        <f t="shared" ca="1" si="137"/>
        <v>-2.9852897843522856</v>
      </c>
      <c r="T638" s="69">
        <f t="shared" ca="1" si="138"/>
        <v>3.2492999010008305</v>
      </c>
      <c r="U638" s="69">
        <f t="shared" ca="1" si="139"/>
        <v>0.77919649754678044</v>
      </c>
      <c r="V638" s="69">
        <f t="shared" ca="1" si="140"/>
        <v>-5.2296930121779044E-2</v>
      </c>
      <c r="W638" s="69">
        <f t="shared" ca="1" si="141"/>
        <v>-1.1094880194979537</v>
      </c>
      <c r="X638" s="69">
        <f t="shared" ca="1" si="142"/>
        <v>0.23959438599449531</v>
      </c>
    </row>
    <row r="639" spans="2:24" x14ac:dyDescent="0.2">
      <c r="B639" s="69">
        <f t="shared" ca="1" si="131"/>
        <v>0.16006892933628583</v>
      </c>
      <c r="C639" s="69">
        <f t="shared" ca="1" si="144"/>
        <v>0.72669202197711902</v>
      </c>
      <c r="D639" s="69">
        <f t="shared" ca="1" si="144"/>
        <v>-0.32764175029977194</v>
      </c>
      <c r="E639" s="69">
        <f t="shared" ca="1" si="144"/>
        <v>-0.50132061430112129</v>
      </c>
      <c r="F639" s="69">
        <f t="shared" ca="1" si="144"/>
        <v>-5.3328665605949711E-2</v>
      </c>
      <c r="G639" s="69">
        <f t="shared" ca="1" si="144"/>
        <v>1.2738123930430336</v>
      </c>
      <c r="H639" s="69">
        <f t="shared" ca="1" si="144"/>
        <v>-0.61239828402608953</v>
      </c>
      <c r="I639" s="69">
        <f t="shared" ca="1" si="144"/>
        <v>-1.9972337633633814</v>
      </c>
      <c r="J639" s="69">
        <f t="shared" ca="1" si="144"/>
        <v>-0.2118677849098371</v>
      </c>
      <c r="K639" s="69">
        <f t="shared" ca="1" si="144"/>
        <v>-0.14048716821798587</v>
      </c>
      <c r="L639" s="69">
        <f t="shared" ca="1" si="144"/>
        <v>-0.79404637748844653</v>
      </c>
      <c r="N639" s="69">
        <f t="shared" ca="1" si="132"/>
        <v>0.19783697317439464</v>
      </c>
      <c r="O639" s="69">
        <f t="shared" ca="1" si="133"/>
        <v>0.70019845889423238</v>
      </c>
      <c r="P639" s="69">
        <f t="shared" ca="1" si="134"/>
        <v>-0.38538381513686198</v>
      </c>
      <c r="Q639" s="69">
        <f t="shared" ca="1" si="135"/>
        <v>-0.45221193543936233</v>
      </c>
      <c r="R639" s="69">
        <f t="shared" ca="1" si="136"/>
        <v>-5.9623351013598606E-2</v>
      </c>
      <c r="S639" s="69">
        <f t="shared" ca="1" si="137"/>
        <v>1.306639365299842</v>
      </c>
      <c r="T639" s="69">
        <f t="shared" ca="1" si="138"/>
        <v>-0.61722932174127942</v>
      </c>
      <c r="U639" s="69">
        <f t="shared" ca="1" si="139"/>
        <v>-1.9741936364856718</v>
      </c>
      <c r="V639" s="69">
        <f t="shared" ca="1" si="140"/>
        <v>-0.21797737848343443</v>
      </c>
      <c r="W639" s="69">
        <f t="shared" ca="1" si="141"/>
        <v>-0.13950581139388693</v>
      </c>
      <c r="X639" s="69">
        <f t="shared" ca="1" si="142"/>
        <v>-0.76687788711401106</v>
      </c>
    </row>
    <row r="640" spans="2:24" x14ac:dyDescent="0.2">
      <c r="B640" s="69">
        <f t="shared" ca="1" si="131"/>
        <v>-0.41067803055181934</v>
      </c>
      <c r="C640" s="69">
        <f t="shared" ca="1" si="144"/>
        <v>1.2258229712269024</v>
      </c>
      <c r="D640" s="69">
        <f t="shared" ca="1" si="144"/>
        <v>0.38476833896791945</v>
      </c>
      <c r="E640" s="69">
        <f t="shared" ca="1" si="144"/>
        <v>0.82476389298856156</v>
      </c>
      <c r="F640" s="69">
        <f t="shared" ca="1" si="144"/>
        <v>-0.83841214526876651</v>
      </c>
      <c r="G640" s="69">
        <f t="shared" ca="1" si="144"/>
        <v>1.1042547313252891</v>
      </c>
      <c r="H640" s="69">
        <f t="shared" ca="1" si="144"/>
        <v>0.38156053610457985</v>
      </c>
      <c r="I640" s="69">
        <f t="shared" ca="1" si="144"/>
        <v>-0.88502541273506574</v>
      </c>
      <c r="J640" s="69">
        <f t="shared" ca="1" si="144"/>
        <v>-0.1018073575631212</v>
      </c>
      <c r="K640" s="69">
        <f t="shared" ca="1" si="144"/>
        <v>0.80945480612689147</v>
      </c>
      <c r="L640" s="69">
        <f t="shared" ca="1" si="144"/>
        <v>-1.6644967917293889</v>
      </c>
      <c r="N640" s="69">
        <f t="shared" ca="1" si="132"/>
        <v>-0.37290998671371051</v>
      </c>
      <c r="O640" s="69">
        <f t="shared" ca="1" si="133"/>
        <v>1.1993294081440158</v>
      </c>
      <c r="P640" s="69">
        <f t="shared" ca="1" si="134"/>
        <v>0.32702627413082941</v>
      </c>
      <c r="Q640" s="69">
        <f t="shared" ca="1" si="135"/>
        <v>0.87387257185032052</v>
      </c>
      <c r="R640" s="69">
        <f t="shared" ca="1" si="136"/>
        <v>-0.84470683067641539</v>
      </c>
      <c r="S640" s="69">
        <f t="shared" ca="1" si="137"/>
        <v>1.1370817035820975</v>
      </c>
      <c r="T640" s="69">
        <f t="shared" ca="1" si="138"/>
        <v>0.37672949838939002</v>
      </c>
      <c r="U640" s="69">
        <f t="shared" ca="1" si="139"/>
        <v>-0.86198528585735612</v>
      </c>
      <c r="V640" s="69">
        <f t="shared" ca="1" si="140"/>
        <v>-0.10791695113671854</v>
      </c>
      <c r="W640" s="69">
        <f t="shared" ca="1" si="141"/>
        <v>0.81043616295099041</v>
      </c>
      <c r="X640" s="69">
        <f t="shared" ca="1" si="142"/>
        <v>-1.6373283013549533</v>
      </c>
    </row>
    <row r="641" spans="2:24" x14ac:dyDescent="0.2">
      <c r="B641" s="69">
        <f t="shared" ca="1" si="131"/>
        <v>-1.0343807752063403</v>
      </c>
      <c r="C641" s="69">
        <f t="shared" ca="1" si="144"/>
        <v>-1.5031271625698517</v>
      </c>
      <c r="D641" s="69">
        <f t="shared" ca="1" si="144"/>
        <v>-0.20347165429603445</v>
      </c>
      <c r="E641" s="69">
        <f t="shared" ca="1" si="144"/>
        <v>-0.31899284782633286</v>
      </c>
      <c r="F641" s="69">
        <f t="shared" ca="1" si="144"/>
        <v>-0.21849904617754226</v>
      </c>
      <c r="G641" s="69">
        <f t="shared" ca="1" si="144"/>
        <v>1.1467458549359961</v>
      </c>
      <c r="H641" s="69">
        <f t="shared" ca="1" si="144"/>
        <v>-0.77125234241388563</v>
      </c>
      <c r="I641" s="69">
        <f t="shared" ca="1" si="144"/>
        <v>-0.5807238373586856</v>
      </c>
      <c r="J641" s="69">
        <f t="shared" ca="1" si="144"/>
        <v>0.53414029770686255</v>
      </c>
      <c r="K641" s="69">
        <f t="shared" ca="1" si="144"/>
        <v>0.93465421984585695</v>
      </c>
      <c r="L641" s="69">
        <f t="shared" ca="1" si="144"/>
        <v>0.7644057154005911</v>
      </c>
      <c r="N641" s="69">
        <f t="shared" ca="1" si="132"/>
        <v>-0.99661273136823147</v>
      </c>
      <c r="O641" s="69">
        <f t="shared" ca="1" si="133"/>
        <v>-1.5296207256527383</v>
      </c>
      <c r="P641" s="69">
        <f t="shared" ca="1" si="134"/>
        <v>-0.26121371913312447</v>
      </c>
      <c r="Q641" s="69">
        <f t="shared" ca="1" si="135"/>
        <v>-0.2698841689645739</v>
      </c>
      <c r="R641" s="69">
        <f t="shared" ca="1" si="136"/>
        <v>-0.22479373158519117</v>
      </c>
      <c r="S641" s="69">
        <f t="shared" ca="1" si="137"/>
        <v>1.1795728271928045</v>
      </c>
      <c r="T641" s="69">
        <f t="shared" ca="1" si="138"/>
        <v>-0.77608338012907552</v>
      </c>
      <c r="U641" s="69">
        <f t="shared" ca="1" si="139"/>
        <v>-0.55768371048097598</v>
      </c>
      <c r="V641" s="69">
        <f t="shared" ca="1" si="140"/>
        <v>0.52803070413326525</v>
      </c>
      <c r="W641" s="69">
        <f t="shared" ca="1" si="141"/>
        <v>0.93563557666995589</v>
      </c>
      <c r="X641" s="69">
        <f t="shared" ca="1" si="142"/>
        <v>0.79157420577502657</v>
      </c>
    </row>
    <row r="642" spans="2:24" x14ac:dyDescent="0.2">
      <c r="B642" s="69">
        <f t="shared" ca="1" si="131"/>
        <v>0.20772022354663724</v>
      </c>
      <c r="C642" s="69">
        <f t="shared" ca="1" si="144"/>
        <v>0.14271940470910083</v>
      </c>
      <c r="D642" s="69">
        <f t="shared" ca="1" si="144"/>
        <v>-0.44325726532876142</v>
      </c>
      <c r="E642" s="69">
        <f t="shared" ca="1" si="144"/>
        <v>8.3890041455615058E-2</v>
      </c>
      <c r="F642" s="69">
        <f t="shared" ca="1" si="144"/>
        <v>2.0452476510417354</v>
      </c>
      <c r="G642" s="69">
        <f t="shared" ca="1" si="144"/>
        <v>-9.233242090635628E-2</v>
      </c>
      <c r="H642" s="69">
        <f t="shared" ca="1" si="144"/>
        <v>-0.75471023691409167</v>
      </c>
      <c r="I642" s="69">
        <f t="shared" ca="1" si="144"/>
        <v>-0.56565239664535438</v>
      </c>
      <c r="J642" s="69">
        <f t="shared" ca="1" si="144"/>
        <v>-1.3022775692652258</v>
      </c>
      <c r="K642" s="69">
        <f t="shared" ca="1" si="144"/>
        <v>-0.12290390128713587</v>
      </c>
      <c r="L642" s="69">
        <f t="shared" ca="1" si="144"/>
        <v>0.99106693869561679</v>
      </c>
      <c r="N642" s="69">
        <f t="shared" ca="1" si="132"/>
        <v>0.24548826738474605</v>
      </c>
      <c r="O642" s="69">
        <f t="shared" ca="1" si="133"/>
        <v>0.11622584162621415</v>
      </c>
      <c r="P642" s="69">
        <f t="shared" ca="1" si="134"/>
        <v>-0.50099933016585141</v>
      </c>
      <c r="Q642" s="69">
        <f t="shared" ca="1" si="135"/>
        <v>0.132998720317374</v>
      </c>
      <c r="R642" s="69">
        <f t="shared" ca="1" si="136"/>
        <v>2.0389529656340866</v>
      </c>
      <c r="S642" s="69">
        <f t="shared" ca="1" si="137"/>
        <v>-5.95054486495478E-2</v>
      </c>
      <c r="T642" s="69">
        <f t="shared" ca="1" si="138"/>
        <v>-0.75954127462928156</v>
      </c>
      <c r="U642" s="69">
        <f t="shared" ca="1" si="139"/>
        <v>-0.54261226976764476</v>
      </c>
      <c r="V642" s="69">
        <f t="shared" ca="1" si="140"/>
        <v>-1.3083871628388231</v>
      </c>
      <c r="W642" s="69">
        <f t="shared" ca="1" si="141"/>
        <v>-0.12192254446303691</v>
      </c>
      <c r="X642" s="69">
        <f t="shared" ca="1" si="142"/>
        <v>1.0182354290700524</v>
      </c>
    </row>
    <row r="643" spans="2:24" x14ac:dyDescent="0.2">
      <c r="B643" s="69">
        <f t="shared" ca="1" si="131"/>
        <v>-0.50758607292956126</v>
      </c>
      <c r="C643" s="69">
        <f t="shared" ca="1" si="144"/>
        <v>-0.10052456178695224</v>
      </c>
      <c r="D643" s="69">
        <f t="shared" ca="1" si="144"/>
        <v>0.59518631694157642</v>
      </c>
      <c r="E643" s="69">
        <f t="shared" ca="1" si="144"/>
        <v>0.47555354865629312</v>
      </c>
      <c r="F643" s="69">
        <f t="shared" ca="1" si="144"/>
        <v>2.1250910990600804</v>
      </c>
      <c r="G643" s="69">
        <f t="shared" ca="1" si="144"/>
        <v>0.57127645417164863</v>
      </c>
      <c r="H643" s="69">
        <f t="shared" ca="1" si="144"/>
        <v>1.928788662174417</v>
      </c>
      <c r="I643" s="69">
        <f t="shared" ca="1" si="144"/>
        <v>0.67829644961447022</v>
      </c>
      <c r="J643" s="69">
        <f t="shared" ca="1" si="144"/>
        <v>-1.0107354414533063</v>
      </c>
      <c r="K643" s="69">
        <f t="shared" ca="1" si="144"/>
        <v>0.5569412893509943</v>
      </c>
      <c r="L643" s="69">
        <f t="shared" ca="1" si="144"/>
        <v>1.4392064728178697</v>
      </c>
      <c r="N643" s="69">
        <f t="shared" ca="1" si="132"/>
        <v>-0.46981802909145243</v>
      </c>
      <c r="O643" s="69">
        <f t="shared" ca="1" si="133"/>
        <v>-0.12701812486983893</v>
      </c>
      <c r="P643" s="69">
        <f t="shared" ca="1" si="134"/>
        <v>0.53744425210448643</v>
      </c>
      <c r="Q643" s="69">
        <f t="shared" ca="1" si="135"/>
        <v>0.52466222751805203</v>
      </c>
      <c r="R643" s="69">
        <f t="shared" ca="1" si="136"/>
        <v>2.1187964136524315</v>
      </c>
      <c r="S643" s="69">
        <f t="shared" ca="1" si="137"/>
        <v>0.60410342642845716</v>
      </c>
      <c r="T643" s="69">
        <f t="shared" ca="1" si="138"/>
        <v>1.9239576244592271</v>
      </c>
      <c r="U643" s="69">
        <f t="shared" ca="1" si="139"/>
        <v>0.70133657649217984</v>
      </c>
      <c r="V643" s="69">
        <f t="shared" ca="1" si="140"/>
        <v>-1.0168450350269036</v>
      </c>
      <c r="W643" s="69">
        <f t="shared" ca="1" si="141"/>
        <v>0.55792264617509324</v>
      </c>
      <c r="X643" s="69">
        <f t="shared" ca="1" si="142"/>
        <v>1.4663749631923053</v>
      </c>
    </row>
    <row r="644" spans="2:24" x14ac:dyDescent="0.2">
      <c r="B644" s="69">
        <f t="shared" ca="1" si="131"/>
        <v>-0.76977192818719553</v>
      </c>
      <c r="C644" s="69">
        <f t="shared" ca="1" si="144"/>
        <v>0.79590090462792407</v>
      </c>
      <c r="D644" s="69">
        <f t="shared" ca="1" si="144"/>
        <v>2.9442855191924093</v>
      </c>
      <c r="E644" s="69">
        <f t="shared" ca="1" si="144"/>
        <v>0.69675638624834157</v>
      </c>
      <c r="F644" s="69">
        <f t="shared" ca="1" si="144"/>
        <v>0.27833309632329994</v>
      </c>
      <c r="G644" s="69">
        <f t="shared" ca="1" si="144"/>
        <v>-1.3586107748632577</v>
      </c>
      <c r="H644" s="69">
        <f t="shared" ca="1" si="144"/>
        <v>-1.4171959968375885</v>
      </c>
      <c r="I644" s="69">
        <f t="shared" ca="1" si="144"/>
        <v>-1.2005810011173024</v>
      </c>
      <c r="J644" s="69">
        <f t="shared" ca="1" si="144"/>
        <v>0.78657145485123892</v>
      </c>
      <c r="K644" s="69">
        <f t="shared" ca="1" si="144"/>
        <v>0.15087240681583119</v>
      </c>
      <c r="L644" s="69">
        <f t="shared" ca="1" si="144"/>
        <v>0.18035667254906435</v>
      </c>
      <c r="N644" s="69">
        <f t="shared" ca="1" si="132"/>
        <v>-0.7320038843490867</v>
      </c>
      <c r="O644" s="69">
        <f t="shared" ca="1" si="133"/>
        <v>0.76940734154503743</v>
      </c>
      <c r="P644" s="69">
        <f t="shared" ca="1" si="134"/>
        <v>2.8865434543553192</v>
      </c>
      <c r="Q644" s="69">
        <f t="shared" ca="1" si="135"/>
        <v>0.74586506511010053</v>
      </c>
      <c r="R644" s="69">
        <f t="shared" ca="1" si="136"/>
        <v>0.27203841091565106</v>
      </c>
      <c r="S644" s="69">
        <f t="shared" ca="1" si="137"/>
        <v>-1.3257838026064492</v>
      </c>
      <c r="T644" s="69">
        <f t="shared" ca="1" si="138"/>
        <v>-1.4220270345527783</v>
      </c>
      <c r="U644" s="69">
        <f t="shared" ca="1" si="139"/>
        <v>-1.1775408742395927</v>
      </c>
      <c r="V644" s="69">
        <f t="shared" ca="1" si="140"/>
        <v>0.78046186127764161</v>
      </c>
      <c r="W644" s="69">
        <f t="shared" ca="1" si="141"/>
        <v>0.15185376363993014</v>
      </c>
      <c r="X644" s="69">
        <f t="shared" ca="1" si="142"/>
        <v>0.20752516292349982</v>
      </c>
    </row>
    <row r="645" spans="2:24" x14ac:dyDescent="0.2">
      <c r="B645" s="69">
        <f t="shared" ca="1" si="131"/>
        <v>1.3769521604453545</v>
      </c>
      <c r="C645" s="69">
        <f t="shared" ca="1" si="144"/>
        <v>-1.1875738393622726</v>
      </c>
      <c r="D645" s="69">
        <f t="shared" ca="1" si="144"/>
        <v>-4.120232508173232E-2</v>
      </c>
      <c r="E645" s="69">
        <f t="shared" ca="1" si="144"/>
        <v>0.94573062274062947</v>
      </c>
      <c r="F645" s="69">
        <f t="shared" ca="1" si="144"/>
        <v>0.38142972164678346</v>
      </c>
      <c r="G645" s="69">
        <f t="shared" ca="1" si="144"/>
        <v>-1.4048655875707663</v>
      </c>
      <c r="H645" s="69">
        <f t="shared" ca="1" si="144"/>
        <v>-1.1246961747196997</v>
      </c>
      <c r="I645" s="69">
        <f t="shared" ca="1" si="144"/>
        <v>-0.44968728060319102</v>
      </c>
      <c r="J645" s="69">
        <f t="shared" ca="1" si="144"/>
        <v>-1.1468408806999613</v>
      </c>
      <c r="K645" s="69">
        <f t="shared" ca="1" si="144"/>
        <v>0.98120905288569804</v>
      </c>
      <c r="L645" s="69">
        <f t="shared" ca="1" si="144"/>
        <v>-0.36354989726106268</v>
      </c>
      <c r="N645" s="69">
        <f t="shared" ca="1" si="132"/>
        <v>1.4147202042834632</v>
      </c>
      <c r="O645" s="69">
        <f t="shared" ca="1" si="133"/>
        <v>-1.2140674024451592</v>
      </c>
      <c r="P645" s="69">
        <f t="shared" ca="1" si="134"/>
        <v>-9.8944389918822345E-2</v>
      </c>
      <c r="Q645" s="69">
        <f t="shared" ca="1" si="135"/>
        <v>0.99483930160238843</v>
      </c>
      <c r="R645" s="69">
        <f t="shared" ca="1" si="136"/>
        <v>0.37513503623913458</v>
      </c>
      <c r="S645" s="69">
        <f t="shared" ca="1" si="137"/>
        <v>-1.3720386153139579</v>
      </c>
      <c r="T645" s="69">
        <f t="shared" ca="1" si="138"/>
        <v>-1.1295272124348896</v>
      </c>
      <c r="U645" s="69">
        <f t="shared" ca="1" si="139"/>
        <v>-0.42664715372548134</v>
      </c>
      <c r="V645" s="69">
        <f t="shared" ca="1" si="140"/>
        <v>-1.1529504742735586</v>
      </c>
      <c r="W645" s="69">
        <f t="shared" ca="1" si="141"/>
        <v>0.98219040970979699</v>
      </c>
      <c r="X645" s="69">
        <f t="shared" ca="1" si="142"/>
        <v>-0.33638140688662721</v>
      </c>
    </row>
    <row r="646" spans="2:24" x14ac:dyDescent="0.2">
      <c r="B646" s="69">
        <f t="shared" ca="1" si="131"/>
        <v>-0.28941252955938795</v>
      </c>
      <c r="C646" s="69">
        <f t="shared" ca="1" si="144"/>
        <v>-0.52678386902131313</v>
      </c>
      <c r="D646" s="69">
        <f t="shared" ca="1" si="144"/>
        <v>0.18721681944563195</v>
      </c>
      <c r="E646" s="69">
        <f t="shared" ca="1" si="144"/>
        <v>-0.74933470640139721</v>
      </c>
      <c r="F646" s="69">
        <f t="shared" ca="1" si="144"/>
        <v>1.0809211028041701</v>
      </c>
      <c r="G646" s="69">
        <f t="shared" ca="1" si="144"/>
        <v>0.35515898753754932</v>
      </c>
      <c r="H646" s="69">
        <f t="shared" ca="1" si="144"/>
        <v>-0.72864200272071122</v>
      </c>
      <c r="I646" s="69">
        <f t="shared" ca="1" si="144"/>
        <v>-0.20771002044443165</v>
      </c>
      <c r="J646" s="69">
        <f t="shared" ca="1" si="144"/>
        <v>-0.24035737492489626</v>
      </c>
      <c r="K646" s="69">
        <f t="shared" ca="1" si="144"/>
        <v>0.3612465582937881</v>
      </c>
      <c r="L646" s="69">
        <f t="shared" ca="1" si="144"/>
        <v>7.0099668613441367E-4</v>
      </c>
      <c r="N646" s="69">
        <f t="shared" ca="1" si="132"/>
        <v>-0.25164448572127912</v>
      </c>
      <c r="O646" s="69">
        <f t="shared" ca="1" si="133"/>
        <v>-0.55327743210419977</v>
      </c>
      <c r="P646" s="69">
        <f t="shared" ca="1" si="134"/>
        <v>0.12947475460854191</v>
      </c>
      <c r="Q646" s="69">
        <f t="shared" ca="1" si="135"/>
        <v>-0.70022602753963825</v>
      </c>
      <c r="R646" s="69">
        <f t="shared" ca="1" si="136"/>
        <v>1.0746264173965212</v>
      </c>
      <c r="S646" s="69">
        <f t="shared" ca="1" si="137"/>
        <v>0.38798595979435779</v>
      </c>
      <c r="T646" s="69">
        <f t="shared" ca="1" si="138"/>
        <v>-0.73347304043590111</v>
      </c>
      <c r="U646" s="69">
        <f t="shared" ca="1" si="139"/>
        <v>-0.184669893566722</v>
      </c>
      <c r="V646" s="69">
        <f t="shared" ca="1" si="140"/>
        <v>-0.24646696849849359</v>
      </c>
      <c r="W646" s="69">
        <f t="shared" ca="1" si="141"/>
        <v>0.36222791511788704</v>
      </c>
      <c r="X646" s="69">
        <f t="shared" ca="1" si="142"/>
        <v>2.7869487060569891E-2</v>
      </c>
    </row>
    <row r="647" spans="2:24" x14ac:dyDescent="0.2">
      <c r="B647" s="69">
        <f t="shared" ca="1" si="131"/>
        <v>1.1716998877617872</v>
      </c>
      <c r="C647" s="69">
        <f t="shared" ca="1" si="144"/>
        <v>0.17109922973060862</v>
      </c>
      <c r="D647" s="69">
        <f t="shared" ca="1" si="144"/>
        <v>-1.695655813646624</v>
      </c>
      <c r="E647" s="69">
        <f t="shared" ca="1" si="144"/>
        <v>1.9781289481927296</v>
      </c>
      <c r="F647" s="69">
        <f t="shared" ca="1" si="144"/>
        <v>-0.55880599595212721</v>
      </c>
      <c r="G647" s="69">
        <f t="shared" ca="1" si="144"/>
        <v>-0.68465737063877041</v>
      </c>
      <c r="H647" s="69">
        <f t="shared" ca="1" si="144"/>
        <v>2.3582789768224908</v>
      </c>
      <c r="I647" s="69">
        <f t="shared" ca="1" si="144"/>
        <v>-0.59939689515480998</v>
      </c>
      <c r="J647" s="69">
        <f t="shared" ca="1" si="144"/>
        <v>0.90071792838755005</v>
      </c>
      <c r="K647" s="69">
        <f t="shared" ca="1" si="144"/>
        <v>-0.68063979499140015</v>
      </c>
      <c r="L647" s="69">
        <f t="shared" ca="1" si="144"/>
        <v>-0.77309430156962611</v>
      </c>
      <c r="N647" s="69">
        <f t="shared" ca="1" si="132"/>
        <v>1.209467931599896</v>
      </c>
      <c r="O647" s="69">
        <f t="shared" ca="1" si="133"/>
        <v>0.14460566664772193</v>
      </c>
      <c r="P647" s="69">
        <f t="shared" ca="1" si="134"/>
        <v>-1.7533978784837141</v>
      </c>
      <c r="Q647" s="69">
        <f t="shared" ca="1" si="135"/>
        <v>2.0272376270544883</v>
      </c>
      <c r="R647" s="69">
        <f t="shared" ca="1" si="136"/>
        <v>-0.56510068135977609</v>
      </c>
      <c r="S647" s="69">
        <f t="shared" ca="1" si="137"/>
        <v>-0.65183039838196188</v>
      </c>
      <c r="T647" s="69">
        <f t="shared" ca="1" si="138"/>
        <v>2.3534479391073009</v>
      </c>
      <c r="U647" s="69">
        <f t="shared" ca="1" si="139"/>
        <v>-0.57635676827710036</v>
      </c>
      <c r="V647" s="69">
        <f t="shared" ca="1" si="140"/>
        <v>0.89460833481395274</v>
      </c>
      <c r="W647" s="69">
        <f t="shared" ca="1" si="141"/>
        <v>-0.6796584381673012</v>
      </c>
      <c r="X647" s="69">
        <f t="shared" ca="1" si="142"/>
        <v>-0.74592581119519064</v>
      </c>
    </row>
    <row r="648" spans="2:24" x14ac:dyDescent="0.2">
      <c r="B648" s="69">
        <f t="shared" ca="1" si="131"/>
        <v>-0.7056378450079408</v>
      </c>
      <c r="C648" s="69">
        <f t="shared" ca="1" si="144"/>
        <v>0.21049187029578512</v>
      </c>
      <c r="D648" s="69">
        <f t="shared" ca="1" si="144"/>
        <v>-0.12111860437131033</v>
      </c>
      <c r="E648" s="69">
        <f t="shared" ca="1" si="144"/>
        <v>0.4834664340714569</v>
      </c>
      <c r="F648" s="69">
        <f t="shared" ca="1" si="144"/>
        <v>-0.11216440877774336</v>
      </c>
      <c r="G648" s="69">
        <f t="shared" ca="1" si="144"/>
        <v>0.70011426017267131</v>
      </c>
      <c r="H648" s="69">
        <f t="shared" ca="1" si="144"/>
        <v>0.79736186450069901</v>
      </c>
      <c r="I648" s="69">
        <f t="shared" ca="1" si="144"/>
        <v>1.8271018811202622</v>
      </c>
      <c r="J648" s="69">
        <f t="shared" ca="1" si="144"/>
        <v>-0.54642891815277983</v>
      </c>
      <c r="K648" s="69">
        <f t="shared" ca="1" si="144"/>
        <v>0.37267068730848124</v>
      </c>
      <c r="L648" s="69">
        <f t="shared" ca="1" si="144"/>
        <v>0.23511137517242994</v>
      </c>
      <c r="N648" s="69">
        <f t="shared" ca="1" si="132"/>
        <v>-0.66786980116983197</v>
      </c>
      <c r="O648" s="69">
        <f t="shared" ca="1" si="133"/>
        <v>0.18399830721289842</v>
      </c>
      <c r="P648" s="69">
        <f t="shared" ca="1" si="134"/>
        <v>-0.17886066920840038</v>
      </c>
      <c r="Q648" s="69">
        <f t="shared" ca="1" si="135"/>
        <v>0.5325751129332158</v>
      </c>
      <c r="R648" s="69">
        <f t="shared" ca="1" si="136"/>
        <v>-0.11845909418539226</v>
      </c>
      <c r="S648" s="69">
        <f t="shared" ca="1" si="137"/>
        <v>0.73294123242947984</v>
      </c>
      <c r="T648" s="69">
        <f t="shared" ca="1" si="138"/>
        <v>0.79253082678550912</v>
      </c>
      <c r="U648" s="69">
        <f t="shared" ca="1" si="139"/>
        <v>1.8501420079979718</v>
      </c>
      <c r="V648" s="69">
        <f t="shared" ca="1" si="140"/>
        <v>-0.55253851172637714</v>
      </c>
      <c r="W648" s="69">
        <f t="shared" ca="1" si="141"/>
        <v>0.37365204413258019</v>
      </c>
      <c r="X648" s="69">
        <f t="shared" ca="1" si="142"/>
        <v>0.26227986554686544</v>
      </c>
    </row>
    <row r="649" spans="2:24" x14ac:dyDescent="0.2">
      <c r="B649" s="69">
        <f t="shared" ca="1" si="131"/>
        <v>-1.080185246927631</v>
      </c>
      <c r="C649" s="69">
        <f t="shared" ca="1" si="144"/>
        <v>-0.25144880988429008</v>
      </c>
      <c r="D649" s="69">
        <f t="shared" ca="1" si="144"/>
        <v>0.4924033574723603</v>
      </c>
      <c r="E649" s="69">
        <f t="shared" ca="1" si="144"/>
        <v>-1.0717672909488238</v>
      </c>
      <c r="F649" s="69">
        <f t="shared" ca="1" si="144"/>
        <v>-0.69285906636954375</v>
      </c>
      <c r="G649" s="69">
        <f t="shared" ca="1" si="144"/>
        <v>-2.1186649914048279</v>
      </c>
      <c r="H649" s="69">
        <f t="shared" ca="1" si="144"/>
        <v>-0.44452211864621305</v>
      </c>
      <c r="I649" s="69">
        <f t="shared" ca="1" si="144"/>
        <v>-0.12160309274259623</v>
      </c>
      <c r="J649" s="69">
        <f t="shared" ca="1" si="144"/>
        <v>1.3203786695198496</v>
      </c>
      <c r="K649" s="69">
        <f t="shared" ca="1" si="144"/>
        <v>-1.3643999662905348</v>
      </c>
      <c r="L649" s="69">
        <f t="shared" ca="1" si="144"/>
        <v>-0.39245088413093682</v>
      </c>
      <c r="N649" s="69">
        <f t="shared" ca="1" si="132"/>
        <v>-1.0424172030895222</v>
      </c>
      <c r="O649" s="69">
        <f t="shared" ca="1" si="133"/>
        <v>-0.27794237296717678</v>
      </c>
      <c r="P649" s="69">
        <f t="shared" ca="1" si="134"/>
        <v>0.43466129263527026</v>
      </c>
      <c r="Q649" s="69">
        <f t="shared" ca="1" si="135"/>
        <v>-1.0226586120870649</v>
      </c>
      <c r="R649" s="69">
        <f t="shared" ca="1" si="136"/>
        <v>-0.69915375177719263</v>
      </c>
      <c r="S649" s="69">
        <f t="shared" ca="1" si="137"/>
        <v>-2.0858380191480195</v>
      </c>
      <c r="T649" s="69">
        <f t="shared" ca="1" si="138"/>
        <v>-0.44935315636140288</v>
      </c>
      <c r="U649" s="69">
        <f t="shared" ca="1" si="139"/>
        <v>-9.8562965864886581E-2</v>
      </c>
      <c r="V649" s="69">
        <f t="shared" ca="1" si="140"/>
        <v>1.3142690759462523</v>
      </c>
      <c r="W649" s="69">
        <f t="shared" ca="1" si="141"/>
        <v>-1.3634186094664358</v>
      </c>
      <c r="X649" s="69">
        <f t="shared" ca="1" si="142"/>
        <v>-0.36528239375650134</v>
      </c>
    </row>
    <row r="650" spans="2:24" x14ac:dyDescent="0.2">
      <c r="B650" s="69">
        <f t="shared" ref="B650:B713" ca="1" si="145">NORMINV(RAND(),$C$7,$F$7)</f>
        <v>0.40384925549340522</v>
      </c>
      <c r="C650" s="69">
        <f t="shared" ca="1" si="144"/>
        <v>-2.2497456703596601</v>
      </c>
      <c r="D650" s="69">
        <f t="shared" ca="1" si="144"/>
        <v>0.95514750506869417</v>
      </c>
      <c r="E650" s="69">
        <f t="shared" ca="1" si="144"/>
        <v>0.97890690747250297</v>
      </c>
      <c r="F650" s="69">
        <f t="shared" ca="1" si="144"/>
        <v>0.98627919730066127</v>
      </c>
      <c r="G650" s="69">
        <f t="shared" ca="1" si="144"/>
        <v>0.80984919859667337</v>
      </c>
      <c r="H650" s="69">
        <f t="shared" ca="1" si="144"/>
        <v>0.1702512702392201</v>
      </c>
      <c r="I650" s="69">
        <f t="shared" ca="1" si="144"/>
        <v>-0.46789082027554474</v>
      </c>
      <c r="J650" s="69">
        <f t="shared" ca="1" si="144"/>
        <v>0.1427745184672834</v>
      </c>
      <c r="K650" s="69">
        <f t="shared" ca="1" si="144"/>
        <v>-1.6368073394105958</v>
      </c>
      <c r="L650" s="69">
        <f t="shared" ca="1" si="144"/>
        <v>1.4529010449288575</v>
      </c>
      <c r="N650" s="69">
        <f t="shared" ref="N650:N713" ca="1" si="146">B650-$B$1010</f>
        <v>0.44161729933151406</v>
      </c>
      <c r="O650" s="69">
        <f t="shared" ref="O650:O713" ca="1" si="147">C650-$C$1010</f>
        <v>-2.276239233442547</v>
      </c>
      <c r="P650" s="69">
        <f t="shared" ref="P650:P713" ca="1" si="148">D650-$D$1010</f>
        <v>0.89740544023160418</v>
      </c>
      <c r="Q650" s="69">
        <f t="shared" ref="Q650:Q713" ca="1" si="149">E650-$E$1010</f>
        <v>1.0280155863342619</v>
      </c>
      <c r="R650" s="69">
        <f t="shared" ref="R650:R713" ca="1" si="150">F650-$F$1010</f>
        <v>0.97998451189301239</v>
      </c>
      <c r="S650" s="69">
        <f t="shared" ref="S650:S713" ca="1" si="151">G650-$G$1010</f>
        <v>0.8426761708534819</v>
      </c>
      <c r="T650" s="69">
        <f t="shared" ref="T650:T713" ca="1" si="152">H650-$H$1010</f>
        <v>0.16542023252403026</v>
      </c>
      <c r="U650" s="69">
        <f t="shared" ref="U650:U713" ca="1" si="153">I650-$I$1010</f>
        <v>-0.44485069339783506</v>
      </c>
      <c r="V650" s="69">
        <f t="shared" ref="V650:V713" ca="1" si="154">J650-$J$1010</f>
        <v>0.13666492489368606</v>
      </c>
      <c r="W650" s="69">
        <f t="shared" ref="W650:W713" ca="1" si="155">K650-$K$1010</f>
        <v>-1.6358259825864967</v>
      </c>
      <c r="X650" s="69">
        <f t="shared" ref="X650:X713" ca="1" si="156">L650-$L$1010</f>
        <v>1.4800695353032931</v>
      </c>
    </row>
    <row r="651" spans="2:24" x14ac:dyDescent="0.2">
      <c r="B651" s="69">
        <f t="shared" ca="1" si="145"/>
        <v>-0.29702549932096101</v>
      </c>
      <c r="C651" s="69">
        <f t="shared" ca="1" si="144"/>
        <v>0.95549267368551039</v>
      </c>
      <c r="D651" s="69">
        <f t="shared" ca="1" si="144"/>
        <v>1.4413834020994551</v>
      </c>
      <c r="E651" s="69">
        <f t="shared" ca="1" si="144"/>
        <v>-0.56242927815873434</v>
      </c>
      <c r="F651" s="69">
        <f t="shared" ca="1" si="144"/>
        <v>1.1226351296426984</v>
      </c>
      <c r="G651" s="69">
        <f t="shared" ca="1" si="144"/>
        <v>0.26413437955097108</v>
      </c>
      <c r="H651" s="69">
        <f t="shared" ca="1" si="144"/>
        <v>-0.40877815534258094</v>
      </c>
      <c r="I651" s="69">
        <f t="shared" ca="1" si="144"/>
        <v>-9.7074389581993409E-2</v>
      </c>
      <c r="J651" s="69">
        <f t="shared" ca="1" si="144"/>
        <v>0.25725707884117771</v>
      </c>
      <c r="K651" s="69">
        <f t="shared" ca="1" si="144"/>
        <v>0.13082208116315711</v>
      </c>
      <c r="L651" s="69">
        <f t="shared" ca="1" si="144"/>
        <v>-1.167687097190206</v>
      </c>
      <c r="N651" s="69">
        <f t="shared" ca="1" si="146"/>
        <v>-0.25925745548285217</v>
      </c>
      <c r="O651" s="69">
        <f t="shared" ca="1" si="147"/>
        <v>0.92899911060262375</v>
      </c>
      <c r="P651" s="69">
        <f t="shared" ca="1" si="148"/>
        <v>1.383641337262365</v>
      </c>
      <c r="Q651" s="69">
        <f t="shared" ca="1" si="149"/>
        <v>-0.51332059929697538</v>
      </c>
      <c r="R651" s="69">
        <f t="shared" ca="1" si="150"/>
        <v>1.1163404442350495</v>
      </c>
      <c r="S651" s="69">
        <f t="shared" ca="1" si="151"/>
        <v>0.29696135180777955</v>
      </c>
      <c r="T651" s="69">
        <f t="shared" ca="1" si="152"/>
        <v>-0.41360919305777077</v>
      </c>
      <c r="U651" s="69">
        <f t="shared" ca="1" si="153"/>
        <v>-7.403426270428376E-2</v>
      </c>
      <c r="V651" s="69">
        <f t="shared" ca="1" si="154"/>
        <v>0.25114748526758041</v>
      </c>
      <c r="W651" s="69">
        <f t="shared" ca="1" si="155"/>
        <v>0.13180343798725605</v>
      </c>
      <c r="X651" s="69">
        <f t="shared" ca="1" si="156"/>
        <v>-1.1405186068157704</v>
      </c>
    </row>
    <row r="652" spans="2:24" x14ac:dyDescent="0.2">
      <c r="B652" s="69">
        <f t="shared" ca="1" si="145"/>
        <v>-1.4074449607628283</v>
      </c>
      <c r="C652" s="69">
        <f t="shared" ca="1" si="144"/>
        <v>-0.96289367197441089</v>
      </c>
      <c r="D652" s="69">
        <f t="shared" ca="1" si="144"/>
        <v>0.50211416884347559</v>
      </c>
      <c r="E652" s="69">
        <f t="shared" ca="1" si="144"/>
        <v>0.42410625376416899</v>
      </c>
      <c r="F652" s="69">
        <f t="shared" ca="1" si="144"/>
        <v>0.50837324807826567</v>
      </c>
      <c r="G652" s="69">
        <f t="shared" ca="1" si="144"/>
        <v>-1.7639156573311059</v>
      </c>
      <c r="H652" s="69">
        <f t="shared" ca="1" si="144"/>
        <v>-1.4478757932587705</v>
      </c>
      <c r="I652" s="69">
        <f t="shared" ca="1" si="144"/>
        <v>0.35599229952610989</v>
      </c>
      <c r="J652" s="69">
        <f t="shared" ca="1" si="144"/>
        <v>4.1707531684765098E-2</v>
      </c>
      <c r="K652" s="69">
        <f t="shared" ca="1" si="144"/>
        <v>0.62407540755989932</v>
      </c>
      <c r="L652" s="69">
        <f t="shared" ca="1" si="144"/>
        <v>-1.1791550150439498</v>
      </c>
      <c r="N652" s="69">
        <f t="shared" ca="1" si="146"/>
        <v>-1.3696769169247196</v>
      </c>
      <c r="O652" s="69">
        <f t="shared" ca="1" si="147"/>
        <v>-0.98938723505729753</v>
      </c>
      <c r="P652" s="69">
        <f t="shared" ca="1" si="148"/>
        <v>0.44437210400638555</v>
      </c>
      <c r="Q652" s="69">
        <f t="shared" ca="1" si="149"/>
        <v>0.47321493262592795</v>
      </c>
      <c r="R652" s="69">
        <f t="shared" ca="1" si="150"/>
        <v>0.50207856267061679</v>
      </c>
      <c r="S652" s="69">
        <f t="shared" ca="1" si="151"/>
        <v>-1.7310886850742975</v>
      </c>
      <c r="T652" s="69">
        <f t="shared" ca="1" si="152"/>
        <v>-1.4527068309739604</v>
      </c>
      <c r="U652" s="69">
        <f t="shared" ca="1" si="153"/>
        <v>0.37903242640381957</v>
      </c>
      <c r="V652" s="69">
        <f t="shared" ca="1" si="154"/>
        <v>3.5597938111167765E-2</v>
      </c>
      <c r="W652" s="69">
        <f t="shared" ca="1" si="155"/>
        <v>0.62505676438399826</v>
      </c>
      <c r="X652" s="69">
        <f t="shared" ca="1" si="156"/>
        <v>-1.1519865246695142</v>
      </c>
    </row>
    <row r="653" spans="2:24" x14ac:dyDescent="0.2">
      <c r="B653" s="69">
        <f t="shared" ca="1" si="145"/>
        <v>1.8521616982928952</v>
      </c>
      <c r="C653" s="69">
        <f t="shared" ca="1" si="144"/>
        <v>0.10272475907176477</v>
      </c>
      <c r="D653" s="69">
        <f t="shared" ca="1" si="144"/>
        <v>-0.81487496069853071</v>
      </c>
      <c r="E653" s="69">
        <f t="shared" ca="1" si="144"/>
        <v>-0.41237803325131223</v>
      </c>
      <c r="F653" s="69">
        <f t="shared" ca="1" si="144"/>
        <v>-1.2391411786450268</v>
      </c>
      <c r="G653" s="69">
        <f t="shared" ca="1" si="144"/>
        <v>0.57192684764448298</v>
      </c>
      <c r="H653" s="69">
        <f t="shared" ca="1" si="144"/>
        <v>-2.0690063408595947</v>
      </c>
      <c r="I653" s="69">
        <f t="shared" ca="1" si="144"/>
        <v>0.44289891604035703</v>
      </c>
      <c r="J653" s="69">
        <f t="shared" ca="1" si="144"/>
        <v>-0.52061889196034628</v>
      </c>
      <c r="K653" s="69">
        <f t="shared" ca="1" si="144"/>
        <v>-0.11423618218208612</v>
      </c>
      <c r="L653" s="69">
        <f t="shared" ca="1" si="144"/>
        <v>-1.9881928703349474</v>
      </c>
      <c r="N653" s="69">
        <f t="shared" ca="1" si="146"/>
        <v>1.889929742131004</v>
      </c>
      <c r="O653" s="69">
        <f t="shared" ca="1" si="147"/>
        <v>7.6231195988878092E-2</v>
      </c>
      <c r="P653" s="69">
        <f t="shared" ca="1" si="148"/>
        <v>-0.87261702553562071</v>
      </c>
      <c r="Q653" s="69">
        <f t="shared" ca="1" si="149"/>
        <v>-0.36326935438955327</v>
      </c>
      <c r="R653" s="69">
        <f t="shared" ca="1" si="150"/>
        <v>-1.2454358640526757</v>
      </c>
      <c r="S653" s="69">
        <f t="shared" ca="1" si="151"/>
        <v>0.60475381990129151</v>
      </c>
      <c r="T653" s="69">
        <f t="shared" ca="1" si="152"/>
        <v>-2.0738373785747846</v>
      </c>
      <c r="U653" s="69">
        <f t="shared" ca="1" si="153"/>
        <v>0.4659390429180667</v>
      </c>
      <c r="V653" s="69">
        <f t="shared" ca="1" si="154"/>
        <v>-0.52672848553394358</v>
      </c>
      <c r="W653" s="69">
        <f t="shared" ca="1" si="155"/>
        <v>-0.11325482535798717</v>
      </c>
      <c r="X653" s="69">
        <f t="shared" ca="1" si="156"/>
        <v>-1.9610243799605118</v>
      </c>
    </row>
    <row r="654" spans="2:24" x14ac:dyDescent="0.2">
      <c r="B654" s="69">
        <f t="shared" ca="1" si="145"/>
        <v>-0.9871443870134865</v>
      </c>
      <c r="C654" s="69">
        <f t="shared" ca="1" si="144"/>
        <v>0.37128256134315596</v>
      </c>
      <c r="D654" s="69">
        <f t="shared" ca="1" si="144"/>
        <v>2.1217352765651194</v>
      </c>
      <c r="E654" s="69">
        <f t="shared" ca="1" si="144"/>
        <v>0.20871787389057544</v>
      </c>
      <c r="F654" s="69">
        <f t="shared" ca="1" si="144"/>
        <v>-0.70554823792217836</v>
      </c>
      <c r="G654" s="69">
        <f t="shared" ca="1" si="144"/>
        <v>-0.91633394771292354</v>
      </c>
      <c r="H654" s="69">
        <f t="shared" ca="1" si="144"/>
        <v>0.49996895632699373</v>
      </c>
      <c r="I654" s="69">
        <f t="shared" ca="1" si="144"/>
        <v>-1.8179078207508894</v>
      </c>
      <c r="J654" s="69">
        <f t="shared" ca="1" si="144"/>
        <v>-2.8981607759056476</v>
      </c>
      <c r="K654" s="69">
        <f t="shared" ca="1" si="144"/>
        <v>3.6745323644571656E-2</v>
      </c>
      <c r="L654" s="69">
        <f t="shared" ca="1" si="144"/>
        <v>0.47656881354103842</v>
      </c>
      <c r="N654" s="69">
        <f t="shared" ca="1" si="146"/>
        <v>-0.94937634317537767</v>
      </c>
      <c r="O654" s="69">
        <f t="shared" ca="1" si="147"/>
        <v>0.34478899826026926</v>
      </c>
      <c r="P654" s="69">
        <f t="shared" ca="1" si="148"/>
        <v>2.0639932117280293</v>
      </c>
      <c r="Q654" s="69">
        <f t="shared" ca="1" si="149"/>
        <v>0.2578265527523344</v>
      </c>
      <c r="R654" s="69">
        <f t="shared" ca="1" si="150"/>
        <v>-0.71184292332982724</v>
      </c>
      <c r="S654" s="69">
        <f t="shared" ca="1" si="151"/>
        <v>-0.88350697545611501</v>
      </c>
      <c r="T654" s="69">
        <f t="shared" ca="1" si="152"/>
        <v>0.4951379186118039</v>
      </c>
      <c r="U654" s="69">
        <f t="shared" ca="1" si="153"/>
        <v>-1.7948676938731798</v>
      </c>
      <c r="V654" s="69">
        <f t="shared" ca="1" si="154"/>
        <v>-2.9042703694792449</v>
      </c>
      <c r="W654" s="69">
        <f t="shared" ca="1" si="155"/>
        <v>3.7726680468670608E-2</v>
      </c>
      <c r="X654" s="69">
        <f t="shared" ca="1" si="156"/>
        <v>0.50373730391547389</v>
      </c>
    </row>
    <row r="655" spans="2:24" x14ac:dyDescent="0.2">
      <c r="B655" s="69">
        <f t="shared" ca="1" si="145"/>
        <v>-1.3966376785089305</v>
      </c>
      <c r="C655" s="69">
        <f t="shared" ca="1" si="144"/>
        <v>0.33238502562356748</v>
      </c>
      <c r="D655" s="69">
        <f t="shared" ca="1" si="144"/>
        <v>1.2032858754270706</v>
      </c>
      <c r="E655" s="69">
        <f t="shared" ca="1" si="144"/>
        <v>-0.88632453632550057</v>
      </c>
      <c r="F655" s="69">
        <f t="shared" ca="1" si="144"/>
        <v>0.96598823698915981</v>
      </c>
      <c r="G655" s="69">
        <f t="shared" ca="1" si="144"/>
        <v>-0.94458468085748271</v>
      </c>
      <c r="H655" s="69">
        <f t="shared" ca="1" si="144"/>
        <v>-0.52694920850176985</v>
      </c>
      <c r="I655" s="69">
        <f t="shared" ca="1" si="144"/>
        <v>-0.29631182781654275</v>
      </c>
      <c r="J655" s="69">
        <f t="shared" ca="1" si="144"/>
        <v>-1.2824865802817351</v>
      </c>
      <c r="K655" s="69">
        <f t="shared" ca="1" si="144"/>
        <v>0.45698267311587609</v>
      </c>
      <c r="L655" s="69">
        <f t="shared" ca="1" si="144"/>
        <v>-4.6752205301960059E-3</v>
      </c>
      <c r="N655" s="69">
        <f t="shared" ca="1" si="146"/>
        <v>-1.3588696346708218</v>
      </c>
      <c r="O655" s="69">
        <f t="shared" ca="1" si="147"/>
        <v>0.30589146254068078</v>
      </c>
      <c r="P655" s="69">
        <f t="shared" ca="1" si="148"/>
        <v>1.1455438105899804</v>
      </c>
      <c r="Q655" s="69">
        <f t="shared" ca="1" si="149"/>
        <v>-0.83721585746374161</v>
      </c>
      <c r="R655" s="69">
        <f t="shared" ca="1" si="150"/>
        <v>0.95969355158151093</v>
      </c>
      <c r="S655" s="69">
        <f t="shared" ca="1" si="151"/>
        <v>-0.91175770860067418</v>
      </c>
      <c r="T655" s="69">
        <f t="shared" ca="1" si="152"/>
        <v>-0.53178024621695974</v>
      </c>
      <c r="U655" s="69">
        <f t="shared" ca="1" si="153"/>
        <v>-0.27327170093883307</v>
      </c>
      <c r="V655" s="69">
        <f t="shared" ca="1" si="154"/>
        <v>-1.2885961738553324</v>
      </c>
      <c r="W655" s="69">
        <f t="shared" ca="1" si="155"/>
        <v>0.45796402993997504</v>
      </c>
      <c r="X655" s="69">
        <f t="shared" ca="1" si="156"/>
        <v>2.2493269844239473E-2</v>
      </c>
    </row>
    <row r="656" spans="2:24" x14ac:dyDescent="0.2">
      <c r="B656" s="69">
        <f t="shared" ca="1" si="145"/>
        <v>0.75334803385950555</v>
      </c>
      <c r="C656" s="69">
        <f t="shared" ca="1" si="144"/>
        <v>1.4624594052094175</v>
      </c>
      <c r="D656" s="69">
        <f t="shared" ref="C656:L719" ca="1" si="157">NORMINV(RAND(),$C$7,$F$7)</f>
        <v>-0.96767180762722738</v>
      </c>
      <c r="E656" s="69">
        <f t="shared" ca="1" si="157"/>
        <v>0.22493981038962341</v>
      </c>
      <c r="F656" s="69">
        <f t="shared" ca="1" si="157"/>
        <v>1.0606683376917987</v>
      </c>
      <c r="G656" s="69">
        <f t="shared" ca="1" si="157"/>
        <v>0.17864513530186418</v>
      </c>
      <c r="H656" s="69">
        <f t="shared" ca="1" si="157"/>
        <v>0.20494700169012711</v>
      </c>
      <c r="I656" s="69">
        <f t="shared" ca="1" si="157"/>
        <v>-0.50305907287116736</v>
      </c>
      <c r="J656" s="69">
        <f t="shared" ca="1" si="157"/>
        <v>-0.84760349901588361</v>
      </c>
      <c r="K656" s="69">
        <f t="shared" ca="1" si="157"/>
        <v>0.91484229001350081</v>
      </c>
      <c r="L656" s="69">
        <f t="shared" ca="1" si="157"/>
        <v>-1.1083160237296348</v>
      </c>
      <c r="N656" s="69">
        <f t="shared" ca="1" si="146"/>
        <v>0.79111607769761438</v>
      </c>
      <c r="O656" s="69">
        <f t="shared" ca="1" si="147"/>
        <v>1.4359658421265309</v>
      </c>
      <c r="P656" s="69">
        <f t="shared" ca="1" si="148"/>
        <v>-1.0254138724643174</v>
      </c>
      <c r="Q656" s="69">
        <f t="shared" ca="1" si="149"/>
        <v>0.27404848925138237</v>
      </c>
      <c r="R656" s="69">
        <f t="shared" ca="1" si="150"/>
        <v>1.0543736522841498</v>
      </c>
      <c r="S656" s="69">
        <f t="shared" ca="1" si="151"/>
        <v>0.21147210755867266</v>
      </c>
      <c r="T656" s="69">
        <f t="shared" ca="1" si="152"/>
        <v>0.20011596397493728</v>
      </c>
      <c r="U656" s="69">
        <f t="shared" ca="1" si="153"/>
        <v>-0.48001894599345768</v>
      </c>
      <c r="V656" s="69">
        <f t="shared" ca="1" si="154"/>
        <v>-0.85371309258948092</v>
      </c>
      <c r="W656" s="69">
        <f t="shared" ca="1" si="155"/>
        <v>0.91582364683759976</v>
      </c>
      <c r="X656" s="69">
        <f t="shared" ca="1" si="156"/>
        <v>-1.0811475333551992</v>
      </c>
    </row>
    <row r="657" spans="2:24" x14ac:dyDescent="0.2">
      <c r="B657" s="69">
        <f t="shared" ca="1" si="145"/>
        <v>-0.91368571517986474</v>
      </c>
      <c r="C657" s="69">
        <f t="shared" ca="1" si="157"/>
        <v>-0.29946327009709711</v>
      </c>
      <c r="D657" s="69">
        <f t="shared" ca="1" si="157"/>
        <v>2.4272087547211236</v>
      </c>
      <c r="E657" s="69">
        <f t="shared" ca="1" si="157"/>
        <v>-1.5440782990125719</v>
      </c>
      <c r="F657" s="69">
        <f t="shared" ca="1" si="157"/>
        <v>5.4398437768335937E-2</v>
      </c>
      <c r="G657" s="69">
        <f t="shared" ca="1" si="157"/>
        <v>-0.21017043388551213</v>
      </c>
      <c r="H657" s="69">
        <f t="shared" ca="1" si="157"/>
        <v>0.34434191049948409</v>
      </c>
      <c r="I657" s="69">
        <f t="shared" ca="1" si="157"/>
        <v>-0.24248016555577298</v>
      </c>
      <c r="J657" s="69">
        <f t="shared" ca="1" si="157"/>
        <v>-1.3047061745280102</v>
      </c>
      <c r="K657" s="69">
        <f t="shared" ca="1" si="157"/>
        <v>-2.4257287056449579</v>
      </c>
      <c r="L657" s="69">
        <f t="shared" ca="1" si="157"/>
        <v>-0.2172982893406821</v>
      </c>
      <c r="N657" s="69">
        <f t="shared" ca="1" si="146"/>
        <v>-0.87591767134175591</v>
      </c>
      <c r="O657" s="69">
        <f t="shared" ca="1" si="147"/>
        <v>-0.32595683317998381</v>
      </c>
      <c r="P657" s="69">
        <f t="shared" ca="1" si="148"/>
        <v>2.3694666898840335</v>
      </c>
      <c r="Q657" s="69">
        <f t="shared" ca="1" si="149"/>
        <v>-1.4949696201508129</v>
      </c>
      <c r="R657" s="69">
        <f t="shared" ca="1" si="150"/>
        <v>4.8103752360687042E-2</v>
      </c>
      <c r="S657" s="69">
        <f t="shared" ca="1" si="151"/>
        <v>-0.17734346162870365</v>
      </c>
      <c r="T657" s="69">
        <f t="shared" ca="1" si="152"/>
        <v>0.33951087278429426</v>
      </c>
      <c r="U657" s="69">
        <f t="shared" ca="1" si="153"/>
        <v>-0.21944003867806333</v>
      </c>
      <c r="V657" s="69">
        <f t="shared" ca="1" si="154"/>
        <v>-1.3108157681016075</v>
      </c>
      <c r="W657" s="69">
        <f t="shared" ca="1" si="155"/>
        <v>-2.4247473488208588</v>
      </c>
      <c r="X657" s="69">
        <f t="shared" ca="1" si="156"/>
        <v>-0.19012979896624663</v>
      </c>
    </row>
    <row r="658" spans="2:24" x14ac:dyDescent="0.2">
      <c r="B658" s="69">
        <f t="shared" ca="1" si="145"/>
        <v>4.6632924500836288E-2</v>
      </c>
      <c r="C658" s="69">
        <f t="shared" ca="1" si="157"/>
        <v>2.5047305266814375</v>
      </c>
      <c r="D658" s="69">
        <f t="shared" ca="1" si="157"/>
        <v>1.4555718346413322</v>
      </c>
      <c r="E658" s="69">
        <f t="shared" ca="1" si="157"/>
        <v>0.95825309554898608</v>
      </c>
      <c r="F658" s="69">
        <f t="shared" ca="1" si="157"/>
        <v>-0.2085959200902324</v>
      </c>
      <c r="G658" s="69">
        <f t="shared" ca="1" si="157"/>
        <v>1.0385412672874461</v>
      </c>
      <c r="H658" s="69">
        <f t="shared" ca="1" si="157"/>
        <v>0.72395777951061724</v>
      </c>
      <c r="I658" s="69">
        <f t="shared" ca="1" si="157"/>
        <v>-0.73526804955493785</v>
      </c>
      <c r="J658" s="69">
        <f t="shared" ca="1" si="157"/>
        <v>-1.4479592541755599</v>
      </c>
      <c r="K658" s="69">
        <f t="shared" ca="1" si="157"/>
        <v>0.56946895880981296</v>
      </c>
      <c r="L658" s="69">
        <f t="shared" ca="1" si="157"/>
        <v>-1.2563469283260411</v>
      </c>
      <c r="N658" s="69">
        <f t="shared" ca="1" si="146"/>
        <v>8.4400968338945115E-2</v>
      </c>
      <c r="O658" s="69">
        <f t="shared" ca="1" si="147"/>
        <v>2.4782369635985506</v>
      </c>
      <c r="P658" s="69">
        <f t="shared" ca="1" si="148"/>
        <v>1.3978297698042421</v>
      </c>
      <c r="Q658" s="69">
        <f t="shared" ca="1" si="149"/>
        <v>1.007361774410745</v>
      </c>
      <c r="R658" s="69">
        <f t="shared" ca="1" si="150"/>
        <v>-0.2148906054978813</v>
      </c>
      <c r="S658" s="69">
        <f t="shared" ca="1" si="151"/>
        <v>1.0713682395442545</v>
      </c>
      <c r="T658" s="69">
        <f t="shared" ca="1" si="152"/>
        <v>0.71912674179542735</v>
      </c>
      <c r="U658" s="69">
        <f t="shared" ca="1" si="153"/>
        <v>-0.71222792267722823</v>
      </c>
      <c r="V658" s="69">
        <f t="shared" ca="1" si="154"/>
        <v>-1.4540688477491572</v>
      </c>
      <c r="W658" s="69">
        <f t="shared" ca="1" si="155"/>
        <v>0.57045031563391191</v>
      </c>
      <c r="X658" s="69">
        <f t="shared" ca="1" si="156"/>
        <v>-1.2291784379516055</v>
      </c>
    </row>
    <row r="659" spans="2:24" x14ac:dyDescent="0.2">
      <c r="B659" s="69">
        <f t="shared" ca="1" si="145"/>
        <v>0.10046303987561452</v>
      </c>
      <c r="C659" s="69">
        <f t="shared" ca="1" si="157"/>
        <v>0.850552937770093</v>
      </c>
      <c r="D659" s="69">
        <f t="shared" ca="1" si="157"/>
        <v>0.10158542567092393</v>
      </c>
      <c r="E659" s="69">
        <f t="shared" ca="1" si="157"/>
        <v>1.1382156734362694</v>
      </c>
      <c r="F659" s="69">
        <f t="shared" ca="1" si="157"/>
        <v>0.43343538284289301</v>
      </c>
      <c r="G659" s="69">
        <f t="shared" ca="1" si="157"/>
        <v>0.2451445022518422</v>
      </c>
      <c r="H659" s="69">
        <f t="shared" ca="1" si="157"/>
        <v>0.56778931555299594</v>
      </c>
      <c r="I659" s="69">
        <f t="shared" ca="1" si="157"/>
        <v>6.57093715205877E-2</v>
      </c>
      <c r="J659" s="69">
        <f t="shared" ca="1" si="157"/>
        <v>-0.21406657324182363</v>
      </c>
      <c r="K659" s="69">
        <f t="shared" ca="1" si="157"/>
        <v>0.78007307162482142</v>
      </c>
      <c r="L659" s="69">
        <f t="shared" ca="1" si="157"/>
        <v>0.29964031912747563</v>
      </c>
      <c r="N659" s="69">
        <f t="shared" ca="1" si="146"/>
        <v>0.13823108371372334</v>
      </c>
      <c r="O659" s="69">
        <f t="shared" ca="1" si="147"/>
        <v>0.82405937468720636</v>
      </c>
      <c r="P659" s="69">
        <f t="shared" ca="1" si="148"/>
        <v>4.3843360833833903E-2</v>
      </c>
      <c r="Q659" s="69">
        <f t="shared" ca="1" si="149"/>
        <v>1.1873243522980284</v>
      </c>
      <c r="R659" s="69">
        <f t="shared" ca="1" si="150"/>
        <v>0.42714069743524413</v>
      </c>
      <c r="S659" s="69">
        <f t="shared" ca="1" si="151"/>
        <v>0.27797147450865067</v>
      </c>
      <c r="T659" s="69">
        <f t="shared" ca="1" si="152"/>
        <v>0.56295827783780605</v>
      </c>
      <c r="U659" s="69">
        <f t="shared" ca="1" si="153"/>
        <v>8.874949839829735E-2</v>
      </c>
      <c r="V659" s="69">
        <f t="shared" ca="1" si="154"/>
        <v>-0.22017616681542096</v>
      </c>
      <c r="W659" s="69">
        <f t="shared" ca="1" si="155"/>
        <v>0.78105442844892037</v>
      </c>
      <c r="X659" s="69">
        <f t="shared" ca="1" si="156"/>
        <v>0.3268088095019111</v>
      </c>
    </row>
    <row r="660" spans="2:24" x14ac:dyDescent="0.2">
      <c r="B660" s="69">
        <f t="shared" ca="1" si="145"/>
        <v>0.7256328337157506</v>
      </c>
      <c r="C660" s="69">
        <f t="shared" ca="1" si="157"/>
        <v>0.36067145786604632</v>
      </c>
      <c r="D660" s="69">
        <f t="shared" ca="1" si="157"/>
        <v>0.15860249996642448</v>
      </c>
      <c r="E660" s="69">
        <f t="shared" ca="1" si="157"/>
        <v>-0.73475218077826121</v>
      </c>
      <c r="F660" s="69">
        <f t="shared" ca="1" si="157"/>
        <v>-0.2805509011738031</v>
      </c>
      <c r="G660" s="69">
        <f t="shared" ca="1" si="157"/>
        <v>-0.8415071472587411</v>
      </c>
      <c r="H660" s="69">
        <f t="shared" ca="1" si="157"/>
        <v>1.4028883311503846</v>
      </c>
      <c r="I660" s="69">
        <f t="shared" ca="1" si="157"/>
        <v>-1.1011506676885707</v>
      </c>
      <c r="J660" s="69">
        <f t="shared" ca="1" si="157"/>
        <v>0.57912848816495432</v>
      </c>
      <c r="K660" s="69">
        <f t="shared" ca="1" si="157"/>
        <v>0.7491541153308432</v>
      </c>
      <c r="L660" s="69">
        <f t="shared" ca="1" si="157"/>
        <v>0.92839877941756743</v>
      </c>
      <c r="N660" s="69">
        <f t="shared" ca="1" si="146"/>
        <v>0.76340087755385944</v>
      </c>
      <c r="O660" s="69">
        <f t="shared" ca="1" si="147"/>
        <v>0.33417789478315962</v>
      </c>
      <c r="P660" s="69">
        <f t="shared" ca="1" si="148"/>
        <v>0.10086043512933444</v>
      </c>
      <c r="Q660" s="69">
        <f t="shared" ca="1" si="149"/>
        <v>-0.68564350191650225</v>
      </c>
      <c r="R660" s="69">
        <f t="shared" ca="1" si="150"/>
        <v>-0.28684558658145198</v>
      </c>
      <c r="S660" s="69">
        <f t="shared" ca="1" si="151"/>
        <v>-0.80868017500193257</v>
      </c>
      <c r="T660" s="69">
        <f t="shared" ca="1" si="152"/>
        <v>1.3980572934351947</v>
      </c>
      <c r="U660" s="69">
        <f t="shared" ca="1" si="153"/>
        <v>-1.0781105408108611</v>
      </c>
      <c r="V660" s="69">
        <f t="shared" ca="1" si="154"/>
        <v>0.57301889459135702</v>
      </c>
      <c r="W660" s="69">
        <f t="shared" ca="1" si="155"/>
        <v>0.75013547215494214</v>
      </c>
      <c r="X660" s="69">
        <f t="shared" ca="1" si="156"/>
        <v>0.9555672697920029</v>
      </c>
    </row>
    <row r="661" spans="2:24" x14ac:dyDescent="0.2">
      <c r="B661" s="69">
        <f t="shared" ca="1" si="145"/>
        <v>-0.15408270165084922</v>
      </c>
      <c r="C661" s="69">
        <f t="shared" ca="1" si="157"/>
        <v>1.6546517810935768E-3</v>
      </c>
      <c r="D661" s="69">
        <f t="shared" ca="1" si="157"/>
        <v>0.20036222163586462</v>
      </c>
      <c r="E661" s="69">
        <f t="shared" ca="1" si="157"/>
        <v>3.4103950488893503E-2</v>
      </c>
      <c r="F661" s="69">
        <f t="shared" ca="1" si="157"/>
        <v>-0.31097487121098705</v>
      </c>
      <c r="G661" s="69">
        <f t="shared" ca="1" si="157"/>
        <v>-0.89900540920638461</v>
      </c>
      <c r="H661" s="69">
        <f t="shared" ca="1" si="157"/>
        <v>1.5626682625916283E-3</v>
      </c>
      <c r="I661" s="69">
        <f t="shared" ca="1" si="157"/>
        <v>-2.2185197852861465</v>
      </c>
      <c r="J661" s="69">
        <f t="shared" ca="1" si="157"/>
        <v>-1.5910453211375515</v>
      </c>
      <c r="K661" s="69">
        <f t="shared" ca="1" si="157"/>
        <v>-0.95834256503453852</v>
      </c>
      <c r="L661" s="69">
        <f t="shared" ca="1" si="157"/>
        <v>0.53680121026482264</v>
      </c>
      <c r="N661" s="69">
        <f t="shared" ca="1" si="146"/>
        <v>-0.1163146578127404</v>
      </c>
      <c r="O661" s="69">
        <f t="shared" ca="1" si="147"/>
        <v>-2.483891130179311E-2</v>
      </c>
      <c r="P661" s="69">
        <f t="shared" ca="1" si="148"/>
        <v>0.1426201567987746</v>
      </c>
      <c r="Q661" s="69">
        <f t="shared" ca="1" si="149"/>
        <v>8.3212629350652448E-2</v>
      </c>
      <c r="R661" s="69">
        <f t="shared" ca="1" si="150"/>
        <v>-0.31726955661863593</v>
      </c>
      <c r="S661" s="69">
        <f t="shared" ca="1" si="151"/>
        <v>-0.86617843694957608</v>
      </c>
      <c r="T661" s="69">
        <f t="shared" ca="1" si="152"/>
        <v>-3.2683694525982173E-3</v>
      </c>
      <c r="U661" s="69">
        <f t="shared" ca="1" si="153"/>
        <v>-2.1954796584084368</v>
      </c>
      <c r="V661" s="69">
        <f t="shared" ca="1" si="154"/>
        <v>-1.5971549147111488</v>
      </c>
      <c r="W661" s="69">
        <f t="shared" ca="1" si="155"/>
        <v>-0.95736120821043957</v>
      </c>
      <c r="X661" s="69">
        <f t="shared" ca="1" si="156"/>
        <v>0.56396970063925811</v>
      </c>
    </row>
    <row r="662" spans="2:24" x14ac:dyDescent="0.2">
      <c r="B662" s="69">
        <f t="shared" ca="1" si="145"/>
        <v>-9.4854121690850834E-2</v>
      </c>
      <c r="C662" s="69">
        <f t="shared" ca="1" si="157"/>
        <v>-0.83599536671330843</v>
      </c>
      <c r="D662" s="69">
        <f t="shared" ca="1" si="157"/>
        <v>2.5291362860226842E-2</v>
      </c>
      <c r="E662" s="69">
        <f t="shared" ca="1" si="157"/>
        <v>1.1552392497803314</v>
      </c>
      <c r="F662" s="69">
        <f t="shared" ca="1" si="157"/>
        <v>-0.42709587846128161</v>
      </c>
      <c r="G662" s="69">
        <f t="shared" ca="1" si="157"/>
        <v>-1.7178363311285367</v>
      </c>
      <c r="H662" s="69">
        <f t="shared" ca="1" si="157"/>
        <v>-0.41482645137863694</v>
      </c>
      <c r="I662" s="69">
        <f t="shared" ca="1" si="157"/>
        <v>-1.4777131777293797</v>
      </c>
      <c r="J662" s="69">
        <f t="shared" ca="1" si="157"/>
        <v>8.9323583979374871E-2</v>
      </c>
      <c r="K662" s="69">
        <f t="shared" ca="1" si="157"/>
        <v>-1.2914240732506088</v>
      </c>
      <c r="L662" s="69">
        <f t="shared" ca="1" si="157"/>
        <v>1.5192026749106311</v>
      </c>
      <c r="N662" s="69">
        <f t="shared" ca="1" si="146"/>
        <v>-5.7086077852742015E-2</v>
      </c>
      <c r="O662" s="69">
        <f t="shared" ca="1" si="147"/>
        <v>-0.86248892979619507</v>
      </c>
      <c r="P662" s="69">
        <f t="shared" ca="1" si="148"/>
        <v>-3.2450701976863186E-2</v>
      </c>
      <c r="Q662" s="69">
        <f t="shared" ca="1" si="149"/>
        <v>1.2043479286420904</v>
      </c>
      <c r="R662" s="69">
        <f t="shared" ca="1" si="150"/>
        <v>-0.43339056386893049</v>
      </c>
      <c r="S662" s="69">
        <f t="shared" ca="1" si="151"/>
        <v>-1.6850093588717283</v>
      </c>
      <c r="T662" s="69">
        <f t="shared" ca="1" si="152"/>
        <v>-0.41965748909382677</v>
      </c>
      <c r="U662" s="69">
        <f t="shared" ca="1" si="153"/>
        <v>-1.4546730508516701</v>
      </c>
      <c r="V662" s="69">
        <f t="shared" ca="1" si="154"/>
        <v>8.3213990405777538E-2</v>
      </c>
      <c r="W662" s="69">
        <f t="shared" ca="1" si="155"/>
        <v>-1.2904427164265098</v>
      </c>
      <c r="X662" s="69">
        <f t="shared" ca="1" si="156"/>
        <v>1.5463711652850667</v>
      </c>
    </row>
    <row r="663" spans="2:24" x14ac:dyDescent="0.2">
      <c r="B663" s="69">
        <f t="shared" ca="1" si="145"/>
        <v>0.18601950739942155</v>
      </c>
      <c r="C663" s="69">
        <f t="shared" ca="1" si="157"/>
        <v>-0.47558205076333948</v>
      </c>
      <c r="D663" s="69">
        <f t="shared" ca="1" si="157"/>
        <v>0.61022157533567811</v>
      </c>
      <c r="E663" s="69">
        <f t="shared" ca="1" si="157"/>
        <v>-0.17487456156539763</v>
      </c>
      <c r="F663" s="69">
        <f t="shared" ca="1" si="157"/>
        <v>1.5321727332886952</v>
      </c>
      <c r="G663" s="69">
        <f t="shared" ca="1" si="157"/>
        <v>-2.5197098930801111E-2</v>
      </c>
      <c r="H663" s="69">
        <f t="shared" ca="1" si="157"/>
        <v>1.0006470414872342</v>
      </c>
      <c r="I663" s="69">
        <f t="shared" ca="1" si="157"/>
        <v>-9.7516130280133034E-2</v>
      </c>
      <c r="J663" s="69">
        <f t="shared" ca="1" si="157"/>
        <v>-0.54066093969049689</v>
      </c>
      <c r="K663" s="69">
        <f t="shared" ca="1" si="157"/>
        <v>-1.3432271421412296</v>
      </c>
      <c r="L663" s="69">
        <f t="shared" ca="1" si="157"/>
        <v>1.9568193182088021</v>
      </c>
      <c r="N663" s="69">
        <f t="shared" ca="1" si="146"/>
        <v>0.22378755123753036</v>
      </c>
      <c r="O663" s="69">
        <f t="shared" ca="1" si="147"/>
        <v>-0.50207561384622612</v>
      </c>
      <c r="P663" s="69">
        <f t="shared" ca="1" si="148"/>
        <v>0.55247951049858812</v>
      </c>
      <c r="Q663" s="69">
        <f t="shared" ca="1" si="149"/>
        <v>-0.1257658827036387</v>
      </c>
      <c r="R663" s="69">
        <f t="shared" ca="1" si="150"/>
        <v>1.5258780478810463</v>
      </c>
      <c r="S663" s="69">
        <f t="shared" ca="1" si="151"/>
        <v>7.6298733260073692E-3</v>
      </c>
      <c r="T663" s="69">
        <f t="shared" ca="1" si="152"/>
        <v>0.99581600377204427</v>
      </c>
      <c r="U663" s="69">
        <f t="shared" ca="1" si="153"/>
        <v>-7.4476003402423385E-2</v>
      </c>
      <c r="V663" s="69">
        <f t="shared" ca="1" si="154"/>
        <v>-0.54677053326409419</v>
      </c>
      <c r="W663" s="69">
        <f t="shared" ca="1" si="155"/>
        <v>-1.3422457853171306</v>
      </c>
      <c r="X663" s="69">
        <f t="shared" ca="1" si="156"/>
        <v>1.9839878085832376</v>
      </c>
    </row>
    <row r="664" spans="2:24" x14ac:dyDescent="0.2">
      <c r="B664" s="69">
        <f t="shared" ca="1" si="145"/>
        <v>-0.63948082512352156</v>
      </c>
      <c r="C664" s="69">
        <f t="shared" ca="1" si="157"/>
        <v>1.3607602581150982</v>
      </c>
      <c r="D664" s="69">
        <f t="shared" ca="1" si="157"/>
        <v>0.66827864162761597</v>
      </c>
      <c r="E664" s="69">
        <f t="shared" ca="1" si="157"/>
        <v>0.9904647917368139</v>
      </c>
      <c r="F664" s="69">
        <f t="shared" ca="1" si="157"/>
        <v>0.28581950210524509</v>
      </c>
      <c r="G664" s="69">
        <f t="shared" ca="1" si="157"/>
        <v>-0.71037370863288096</v>
      </c>
      <c r="H664" s="69">
        <f t="shared" ca="1" si="157"/>
        <v>0.44656616474406197</v>
      </c>
      <c r="I664" s="69">
        <f t="shared" ca="1" si="157"/>
        <v>0.49830117610946267</v>
      </c>
      <c r="J664" s="69">
        <f t="shared" ca="1" si="157"/>
        <v>-0.57035178126938013</v>
      </c>
      <c r="K664" s="69">
        <f t="shared" ca="1" si="157"/>
        <v>0.91027007979315722</v>
      </c>
      <c r="L664" s="69">
        <f t="shared" ca="1" si="157"/>
        <v>-0.47439534309777975</v>
      </c>
      <c r="N664" s="69">
        <f t="shared" ca="1" si="146"/>
        <v>-0.60171278128541272</v>
      </c>
      <c r="O664" s="69">
        <f t="shared" ca="1" si="147"/>
        <v>1.3342666950322115</v>
      </c>
      <c r="P664" s="69">
        <f t="shared" ca="1" si="148"/>
        <v>0.61053657679052598</v>
      </c>
      <c r="Q664" s="69">
        <f t="shared" ca="1" si="149"/>
        <v>1.0395734705985729</v>
      </c>
      <c r="R664" s="69">
        <f t="shared" ca="1" si="150"/>
        <v>0.27952481669759621</v>
      </c>
      <c r="S664" s="69">
        <f t="shared" ca="1" si="151"/>
        <v>-0.67754673637607243</v>
      </c>
      <c r="T664" s="69">
        <f t="shared" ca="1" si="152"/>
        <v>0.44173512702887213</v>
      </c>
      <c r="U664" s="69">
        <f t="shared" ca="1" si="153"/>
        <v>0.52134130298717229</v>
      </c>
      <c r="V664" s="69">
        <f t="shared" ca="1" si="154"/>
        <v>-0.57646137484297744</v>
      </c>
      <c r="W664" s="69">
        <f t="shared" ca="1" si="155"/>
        <v>0.91125143661725616</v>
      </c>
      <c r="X664" s="69">
        <f t="shared" ca="1" si="156"/>
        <v>-0.44722685272334428</v>
      </c>
    </row>
    <row r="665" spans="2:24" x14ac:dyDescent="0.2">
      <c r="B665" s="69">
        <f t="shared" ca="1" si="145"/>
        <v>0.14197534061203254</v>
      </c>
      <c r="C665" s="69">
        <f t="shared" ca="1" si="157"/>
        <v>0.41071558068195702</v>
      </c>
      <c r="D665" s="69">
        <f t="shared" ca="1" si="157"/>
        <v>0.52524720509632583</v>
      </c>
      <c r="E665" s="69">
        <f t="shared" ca="1" si="157"/>
        <v>-0.96885440482025786</v>
      </c>
      <c r="F665" s="69">
        <f t="shared" ca="1" si="157"/>
        <v>1.1304655572339686</v>
      </c>
      <c r="G665" s="69">
        <f t="shared" ca="1" si="157"/>
        <v>-0.83983844171387345</v>
      </c>
      <c r="H665" s="69">
        <f t="shared" ca="1" si="157"/>
        <v>1.6197241834686333</v>
      </c>
      <c r="I665" s="69">
        <f t="shared" ca="1" si="157"/>
        <v>-0.54270850395358694</v>
      </c>
      <c r="J665" s="69">
        <f t="shared" ca="1" si="157"/>
        <v>-0.33543158323479116</v>
      </c>
      <c r="K665" s="69">
        <f t="shared" ca="1" si="157"/>
        <v>1.4276550817793345</v>
      </c>
      <c r="L665" s="69">
        <f t="shared" ca="1" si="157"/>
        <v>2.1522600931039446E-2</v>
      </c>
      <c r="N665" s="69">
        <f t="shared" ca="1" si="146"/>
        <v>0.17974338445014137</v>
      </c>
      <c r="O665" s="69">
        <f t="shared" ca="1" si="147"/>
        <v>0.38422201759907032</v>
      </c>
      <c r="P665" s="69">
        <f t="shared" ca="1" si="148"/>
        <v>0.46750514025923579</v>
      </c>
      <c r="Q665" s="69">
        <f t="shared" ca="1" si="149"/>
        <v>-0.91974572595849891</v>
      </c>
      <c r="R665" s="69">
        <f t="shared" ca="1" si="150"/>
        <v>1.1241708718263197</v>
      </c>
      <c r="S665" s="69">
        <f t="shared" ca="1" si="151"/>
        <v>-0.80701146945706492</v>
      </c>
      <c r="T665" s="69">
        <f t="shared" ca="1" si="152"/>
        <v>1.6148931457534434</v>
      </c>
      <c r="U665" s="69">
        <f t="shared" ca="1" si="153"/>
        <v>-0.51966837707587732</v>
      </c>
      <c r="V665" s="69">
        <f t="shared" ca="1" si="154"/>
        <v>-0.34154117680838847</v>
      </c>
      <c r="W665" s="69">
        <f t="shared" ca="1" si="155"/>
        <v>1.4286364386034336</v>
      </c>
      <c r="X665" s="69">
        <f t="shared" ca="1" si="156"/>
        <v>4.8691091305474929E-2</v>
      </c>
    </row>
    <row r="666" spans="2:24" x14ac:dyDescent="0.2">
      <c r="B666" s="69">
        <f t="shared" ca="1" si="145"/>
        <v>0.59215081202083775</v>
      </c>
      <c r="C666" s="69">
        <f t="shared" ca="1" si="157"/>
        <v>1.5133692363535087</v>
      </c>
      <c r="D666" s="69">
        <f t="shared" ca="1" si="157"/>
        <v>0.5570698163099832</v>
      </c>
      <c r="E666" s="69">
        <f t="shared" ca="1" si="157"/>
        <v>-9.2472800101893751E-2</v>
      </c>
      <c r="F666" s="69">
        <f t="shared" ca="1" si="157"/>
        <v>-0.15372599281343696</v>
      </c>
      <c r="G666" s="69">
        <f t="shared" ca="1" si="157"/>
        <v>-0.1474222970411822</v>
      </c>
      <c r="H666" s="69">
        <f t="shared" ca="1" si="157"/>
        <v>-1.3790752778550011</v>
      </c>
      <c r="I666" s="69">
        <f t="shared" ca="1" si="157"/>
        <v>-0.79084835143019205</v>
      </c>
      <c r="J666" s="69">
        <f t="shared" ca="1" si="157"/>
        <v>-1.6552226175106697</v>
      </c>
      <c r="K666" s="69">
        <f t="shared" ca="1" si="157"/>
        <v>-0.43631578977945962</v>
      </c>
      <c r="L666" s="69">
        <f t="shared" ca="1" si="157"/>
        <v>1.1272246993001769</v>
      </c>
      <c r="N666" s="69">
        <f t="shared" ca="1" si="146"/>
        <v>0.62991885585894658</v>
      </c>
      <c r="O666" s="69">
        <f t="shared" ca="1" si="147"/>
        <v>1.4868756732706221</v>
      </c>
      <c r="P666" s="69">
        <f t="shared" ca="1" si="148"/>
        <v>0.49932775147289316</v>
      </c>
      <c r="Q666" s="69">
        <f t="shared" ca="1" si="149"/>
        <v>-4.3364121240134806E-2</v>
      </c>
      <c r="R666" s="69">
        <f t="shared" ca="1" si="150"/>
        <v>-0.16002067822108587</v>
      </c>
      <c r="S666" s="69">
        <f t="shared" ca="1" si="151"/>
        <v>-0.11459532478437373</v>
      </c>
      <c r="T666" s="69">
        <f t="shared" ca="1" si="152"/>
        <v>-1.3839063155701909</v>
      </c>
      <c r="U666" s="69">
        <f t="shared" ca="1" si="153"/>
        <v>-0.76780822455248243</v>
      </c>
      <c r="V666" s="69">
        <f t="shared" ca="1" si="154"/>
        <v>-1.661332211084267</v>
      </c>
      <c r="W666" s="69">
        <f t="shared" ca="1" si="155"/>
        <v>-0.43533443295536067</v>
      </c>
      <c r="X666" s="69">
        <f t="shared" ca="1" si="156"/>
        <v>1.1543931896746125</v>
      </c>
    </row>
    <row r="667" spans="2:24" x14ac:dyDescent="0.2">
      <c r="B667" s="69">
        <f t="shared" ca="1" si="145"/>
        <v>1.5630685910727211</v>
      </c>
      <c r="C667" s="69">
        <f t="shared" ca="1" si="157"/>
        <v>0.86776938355691924</v>
      </c>
      <c r="D667" s="69">
        <f t="shared" ca="1" si="157"/>
        <v>-0.234384608553734</v>
      </c>
      <c r="E667" s="69">
        <f t="shared" ca="1" si="157"/>
        <v>-1.7401935779131559</v>
      </c>
      <c r="F667" s="69">
        <f t="shared" ca="1" si="157"/>
        <v>0.48730885102611682</v>
      </c>
      <c r="G667" s="69">
        <f t="shared" ca="1" si="157"/>
        <v>-0.70241895262166432</v>
      </c>
      <c r="H667" s="69">
        <f t="shared" ca="1" si="157"/>
        <v>-0.3152404918400174</v>
      </c>
      <c r="I667" s="69">
        <f t="shared" ca="1" si="157"/>
        <v>0.10906011779156281</v>
      </c>
      <c r="J667" s="69">
        <f t="shared" ca="1" si="157"/>
        <v>0.85829892982199951</v>
      </c>
      <c r="K667" s="69">
        <f t="shared" ca="1" si="157"/>
        <v>-0.41182589124768421</v>
      </c>
      <c r="L667" s="69">
        <f t="shared" ca="1" si="157"/>
        <v>-0.74192871724478571</v>
      </c>
      <c r="N667" s="69">
        <f t="shared" ca="1" si="146"/>
        <v>1.6008366349108298</v>
      </c>
      <c r="O667" s="69">
        <f t="shared" ca="1" si="147"/>
        <v>0.8412758204740326</v>
      </c>
      <c r="P667" s="69">
        <f t="shared" ca="1" si="148"/>
        <v>-0.29212667339082404</v>
      </c>
      <c r="Q667" s="69">
        <f t="shared" ca="1" si="149"/>
        <v>-1.6910848990513969</v>
      </c>
      <c r="R667" s="69">
        <f t="shared" ca="1" si="150"/>
        <v>0.48101416561846794</v>
      </c>
      <c r="S667" s="69">
        <f t="shared" ca="1" si="151"/>
        <v>-0.66959198036485579</v>
      </c>
      <c r="T667" s="69">
        <f t="shared" ca="1" si="152"/>
        <v>-0.32007152955520723</v>
      </c>
      <c r="U667" s="69">
        <f t="shared" ca="1" si="153"/>
        <v>0.13210024466927248</v>
      </c>
      <c r="V667" s="69">
        <f t="shared" ca="1" si="154"/>
        <v>0.85218933624840221</v>
      </c>
      <c r="W667" s="69">
        <f t="shared" ca="1" si="155"/>
        <v>-0.41084453442358526</v>
      </c>
      <c r="X667" s="69">
        <f t="shared" ca="1" si="156"/>
        <v>-0.71476022687035023</v>
      </c>
    </row>
    <row r="668" spans="2:24" x14ac:dyDescent="0.2">
      <c r="B668" s="69">
        <f t="shared" ca="1" si="145"/>
        <v>-0.88419179826226191</v>
      </c>
      <c r="C668" s="69">
        <f t="shared" ca="1" si="157"/>
        <v>-0.97160387420470951</v>
      </c>
      <c r="D668" s="69">
        <f t="shared" ca="1" si="157"/>
        <v>-0.73571241593492487</v>
      </c>
      <c r="E668" s="69">
        <f t="shared" ca="1" si="157"/>
        <v>-0.62512544620073351</v>
      </c>
      <c r="F668" s="69">
        <f t="shared" ca="1" si="157"/>
        <v>-0.51157028581021113</v>
      </c>
      <c r="G668" s="69">
        <f t="shared" ca="1" si="157"/>
        <v>0.25710371949145999</v>
      </c>
      <c r="H668" s="69">
        <f t="shared" ca="1" si="157"/>
        <v>-9.8402763046964714E-2</v>
      </c>
      <c r="I668" s="69">
        <f t="shared" ca="1" si="157"/>
        <v>1.5260895383841855</v>
      </c>
      <c r="J668" s="69">
        <f t="shared" ca="1" si="157"/>
        <v>0.63769162269699053</v>
      </c>
      <c r="K668" s="69">
        <f t="shared" ca="1" si="157"/>
        <v>-0.36003193250444798</v>
      </c>
      <c r="L668" s="69">
        <f t="shared" ca="1" si="157"/>
        <v>-1.0582868625682531</v>
      </c>
      <c r="N668" s="69">
        <f t="shared" ca="1" si="146"/>
        <v>-0.84642375442415307</v>
      </c>
      <c r="O668" s="69">
        <f t="shared" ca="1" si="147"/>
        <v>-0.99809743728759615</v>
      </c>
      <c r="P668" s="69">
        <f t="shared" ca="1" si="148"/>
        <v>-0.79345448077201486</v>
      </c>
      <c r="Q668" s="69">
        <f t="shared" ca="1" si="149"/>
        <v>-0.57601676733897456</v>
      </c>
      <c r="R668" s="69">
        <f t="shared" ca="1" si="150"/>
        <v>-0.51786497121786002</v>
      </c>
      <c r="S668" s="69">
        <f t="shared" ca="1" si="151"/>
        <v>0.28993069174826847</v>
      </c>
      <c r="T668" s="69">
        <f t="shared" ca="1" si="152"/>
        <v>-0.10323380076215456</v>
      </c>
      <c r="U668" s="69">
        <f t="shared" ca="1" si="153"/>
        <v>1.5491296652618951</v>
      </c>
      <c r="V668" s="69">
        <f t="shared" ca="1" si="154"/>
        <v>0.63158202912339323</v>
      </c>
      <c r="W668" s="69">
        <f t="shared" ca="1" si="155"/>
        <v>-0.35905057568034904</v>
      </c>
      <c r="X668" s="69">
        <f t="shared" ca="1" si="156"/>
        <v>-1.0311183721938175</v>
      </c>
    </row>
    <row r="669" spans="2:24" x14ac:dyDescent="0.2">
      <c r="B669" s="69">
        <f t="shared" ca="1" si="145"/>
        <v>0.46239537302534606</v>
      </c>
      <c r="C669" s="69">
        <f t="shared" ca="1" si="157"/>
        <v>0.71537456185563653</v>
      </c>
      <c r="D669" s="69">
        <f t="shared" ca="1" si="157"/>
        <v>-0.8329173871053831</v>
      </c>
      <c r="E669" s="69">
        <f t="shared" ca="1" si="157"/>
        <v>1.4804091204565193</v>
      </c>
      <c r="F669" s="69">
        <f t="shared" ca="1" si="157"/>
        <v>0.95278148797422102</v>
      </c>
      <c r="G669" s="69">
        <f t="shared" ca="1" si="157"/>
        <v>-5.6663964038221208E-2</v>
      </c>
      <c r="H669" s="69">
        <f t="shared" ca="1" si="157"/>
        <v>-0.849618946514894</v>
      </c>
      <c r="I669" s="69">
        <f t="shared" ca="1" si="157"/>
        <v>1.3099962389071054</v>
      </c>
      <c r="J669" s="69">
        <f t="shared" ca="1" si="157"/>
        <v>-0.69912051602241543</v>
      </c>
      <c r="K669" s="69">
        <f t="shared" ca="1" si="157"/>
        <v>0.17120350206293236</v>
      </c>
      <c r="L669" s="69">
        <f t="shared" ca="1" si="157"/>
        <v>1.228993400205004</v>
      </c>
      <c r="N669" s="69">
        <f t="shared" ca="1" si="146"/>
        <v>0.50016341686345489</v>
      </c>
      <c r="O669" s="69">
        <f t="shared" ca="1" si="147"/>
        <v>0.68888099877274989</v>
      </c>
      <c r="P669" s="69">
        <f t="shared" ca="1" si="148"/>
        <v>-0.89065945194247309</v>
      </c>
      <c r="Q669" s="69">
        <f t="shared" ca="1" si="149"/>
        <v>1.5295177993182782</v>
      </c>
      <c r="R669" s="69">
        <f t="shared" ca="1" si="150"/>
        <v>0.94648680256657214</v>
      </c>
      <c r="S669" s="69">
        <f t="shared" ca="1" si="151"/>
        <v>-2.3836991781412728E-2</v>
      </c>
      <c r="T669" s="69">
        <f t="shared" ca="1" si="152"/>
        <v>-0.85444998423008389</v>
      </c>
      <c r="U669" s="69">
        <f t="shared" ca="1" si="153"/>
        <v>1.333036365784815</v>
      </c>
      <c r="V669" s="69">
        <f t="shared" ca="1" si="154"/>
        <v>-0.70523010959601273</v>
      </c>
      <c r="W669" s="69">
        <f t="shared" ca="1" si="155"/>
        <v>0.17218485888703131</v>
      </c>
      <c r="X669" s="69">
        <f t="shared" ca="1" si="156"/>
        <v>1.2561618905794396</v>
      </c>
    </row>
    <row r="670" spans="2:24" x14ac:dyDescent="0.2">
      <c r="B670" s="69">
        <f t="shared" ca="1" si="145"/>
        <v>0.35927188285274597</v>
      </c>
      <c r="C670" s="69">
        <f t="shared" ca="1" si="157"/>
        <v>-2.4313018976139515</v>
      </c>
      <c r="D670" s="69">
        <f t="shared" ca="1" si="157"/>
        <v>6.7871240906636224E-2</v>
      </c>
      <c r="E670" s="69">
        <f t="shared" ca="1" si="157"/>
        <v>-2.0651620601383049</v>
      </c>
      <c r="F670" s="69">
        <f t="shared" ca="1" si="157"/>
        <v>-0.87352864633280813</v>
      </c>
      <c r="G670" s="69">
        <f t="shared" ca="1" si="157"/>
        <v>-1.0460615809831366</v>
      </c>
      <c r="H670" s="69">
        <f t="shared" ca="1" si="157"/>
        <v>1.1051079944074609</v>
      </c>
      <c r="I670" s="69">
        <f t="shared" ca="1" si="157"/>
        <v>0.10961457294012704</v>
      </c>
      <c r="J670" s="69">
        <f t="shared" ca="1" si="157"/>
        <v>0.7510103950992324</v>
      </c>
      <c r="K670" s="69">
        <f t="shared" ca="1" si="157"/>
        <v>-1.492224092151232</v>
      </c>
      <c r="L670" s="69">
        <f t="shared" ca="1" si="157"/>
        <v>0.55952704867774827</v>
      </c>
      <c r="N670" s="69">
        <f t="shared" ca="1" si="146"/>
        <v>0.39703992669085481</v>
      </c>
      <c r="O670" s="69">
        <f t="shared" ca="1" si="147"/>
        <v>-2.4577954606968384</v>
      </c>
      <c r="P670" s="69">
        <f t="shared" ca="1" si="148"/>
        <v>1.0129176069546192E-2</v>
      </c>
      <c r="Q670" s="69">
        <f t="shared" ca="1" si="149"/>
        <v>-2.0160533812765462</v>
      </c>
      <c r="R670" s="69">
        <f t="shared" ca="1" si="150"/>
        <v>-0.87982333174045702</v>
      </c>
      <c r="S670" s="69">
        <f t="shared" ca="1" si="151"/>
        <v>-1.0132346087263282</v>
      </c>
      <c r="T670" s="69">
        <f t="shared" ca="1" si="152"/>
        <v>1.100276956692271</v>
      </c>
      <c r="U670" s="69">
        <f t="shared" ca="1" si="153"/>
        <v>0.1326546998178367</v>
      </c>
      <c r="V670" s="69">
        <f t="shared" ca="1" si="154"/>
        <v>0.74490080152563509</v>
      </c>
      <c r="W670" s="69">
        <f t="shared" ca="1" si="155"/>
        <v>-1.4912427353271329</v>
      </c>
      <c r="X670" s="69">
        <f t="shared" ca="1" si="156"/>
        <v>0.58669553905218375</v>
      </c>
    </row>
    <row r="671" spans="2:24" x14ac:dyDescent="0.2">
      <c r="B671" s="69">
        <f t="shared" ca="1" si="145"/>
        <v>0.47429467003434655</v>
      </c>
      <c r="C671" s="69">
        <f t="shared" ca="1" si="157"/>
        <v>-1.6798890536600666</v>
      </c>
      <c r="D671" s="69">
        <f t="shared" ca="1" si="157"/>
        <v>0.65030043006117244</v>
      </c>
      <c r="E671" s="69">
        <f t="shared" ca="1" si="157"/>
        <v>-0.75351477533874389</v>
      </c>
      <c r="F671" s="69">
        <f t="shared" ca="1" si="157"/>
        <v>7.2638086952560146E-2</v>
      </c>
      <c r="G671" s="69">
        <f t="shared" ca="1" si="157"/>
        <v>0.62573364284971256</v>
      </c>
      <c r="H671" s="69">
        <f t="shared" ca="1" si="157"/>
        <v>0.5544045392002821</v>
      </c>
      <c r="I671" s="69">
        <f t="shared" ca="1" si="157"/>
        <v>-0.27246078085181918</v>
      </c>
      <c r="J671" s="69">
        <f t="shared" ca="1" si="157"/>
        <v>-0.16767957343557574</v>
      </c>
      <c r="K671" s="69">
        <f t="shared" ca="1" si="157"/>
        <v>-0.16203307516682303</v>
      </c>
      <c r="L671" s="69">
        <f t="shared" ca="1" si="157"/>
        <v>0.11408216859768561</v>
      </c>
      <c r="N671" s="69">
        <f t="shared" ca="1" si="146"/>
        <v>0.51206271387245539</v>
      </c>
      <c r="O671" s="69">
        <f t="shared" ca="1" si="147"/>
        <v>-1.7063826167429532</v>
      </c>
      <c r="P671" s="69">
        <f t="shared" ca="1" si="148"/>
        <v>0.59255836522408245</v>
      </c>
      <c r="Q671" s="69">
        <f t="shared" ca="1" si="149"/>
        <v>-0.70440609647698493</v>
      </c>
      <c r="R671" s="69">
        <f t="shared" ca="1" si="150"/>
        <v>6.6343401544911251E-2</v>
      </c>
      <c r="S671" s="69">
        <f t="shared" ca="1" si="151"/>
        <v>0.65856061510652109</v>
      </c>
      <c r="T671" s="69">
        <f t="shared" ca="1" si="152"/>
        <v>0.54957350148509221</v>
      </c>
      <c r="U671" s="69">
        <f t="shared" ca="1" si="153"/>
        <v>-0.24942065397410954</v>
      </c>
      <c r="V671" s="69">
        <f t="shared" ca="1" si="154"/>
        <v>-0.17378916700917307</v>
      </c>
      <c r="W671" s="69">
        <f t="shared" ca="1" si="155"/>
        <v>-0.16105171834272408</v>
      </c>
      <c r="X671" s="69">
        <f t="shared" ca="1" si="156"/>
        <v>0.14125065897212108</v>
      </c>
    </row>
    <row r="672" spans="2:24" x14ac:dyDescent="0.2">
      <c r="B672" s="69">
        <f t="shared" ca="1" si="145"/>
        <v>0.49544676926906411</v>
      </c>
      <c r="C672" s="69">
        <f t="shared" ca="1" si="157"/>
        <v>-0.89684270787258569</v>
      </c>
      <c r="D672" s="69">
        <f t="shared" ca="1" si="157"/>
        <v>8.471935312247833E-2</v>
      </c>
      <c r="E672" s="69">
        <f t="shared" ca="1" si="157"/>
        <v>-5.2059150677743318E-2</v>
      </c>
      <c r="F672" s="69">
        <f t="shared" ca="1" si="157"/>
        <v>1.1688344745353438</v>
      </c>
      <c r="G672" s="69">
        <f t="shared" ca="1" si="157"/>
        <v>0.50742132617150637</v>
      </c>
      <c r="H672" s="69">
        <f t="shared" ca="1" si="157"/>
        <v>0.67478169943721744</v>
      </c>
      <c r="I672" s="69">
        <f t="shared" ca="1" si="157"/>
        <v>-0.32762400827600568</v>
      </c>
      <c r="J672" s="69">
        <f t="shared" ca="1" si="157"/>
        <v>0.5101328981304013</v>
      </c>
      <c r="K672" s="69">
        <f t="shared" ca="1" si="157"/>
        <v>1.1857818868141041</v>
      </c>
      <c r="L672" s="69">
        <f t="shared" ca="1" si="157"/>
        <v>0.40781542800888987</v>
      </c>
      <c r="N672" s="69">
        <f t="shared" ca="1" si="146"/>
        <v>0.53321481310717289</v>
      </c>
      <c r="O672" s="69">
        <f t="shared" ca="1" si="147"/>
        <v>-0.92333627095547233</v>
      </c>
      <c r="P672" s="69">
        <f t="shared" ca="1" si="148"/>
        <v>2.6977288285388298E-2</v>
      </c>
      <c r="Q672" s="69">
        <f t="shared" ca="1" si="149"/>
        <v>-2.9504718159843735E-3</v>
      </c>
      <c r="R672" s="69">
        <f t="shared" ca="1" si="150"/>
        <v>1.162539789127695</v>
      </c>
      <c r="S672" s="69">
        <f t="shared" ca="1" si="151"/>
        <v>0.5402482984283149</v>
      </c>
      <c r="T672" s="69">
        <f t="shared" ca="1" si="152"/>
        <v>0.66995066172202755</v>
      </c>
      <c r="U672" s="69">
        <f t="shared" ca="1" si="153"/>
        <v>-0.30458388139829601</v>
      </c>
      <c r="V672" s="69">
        <f t="shared" ca="1" si="154"/>
        <v>0.504023304556804</v>
      </c>
      <c r="W672" s="69">
        <f t="shared" ca="1" si="155"/>
        <v>1.1867632436382032</v>
      </c>
      <c r="X672" s="69">
        <f t="shared" ca="1" si="156"/>
        <v>0.43498391838332534</v>
      </c>
    </row>
    <row r="673" spans="2:24" x14ac:dyDescent="0.2">
      <c r="B673" s="69">
        <f t="shared" ca="1" si="145"/>
        <v>0.3515118979819013</v>
      </c>
      <c r="C673" s="69">
        <f t="shared" ca="1" si="157"/>
        <v>0.5128976372854922</v>
      </c>
      <c r="D673" s="69">
        <f t="shared" ca="1" si="157"/>
        <v>-0.52855718628722126</v>
      </c>
      <c r="E673" s="69">
        <f t="shared" ca="1" si="157"/>
        <v>-0.71354715824417336</v>
      </c>
      <c r="F673" s="69">
        <f t="shared" ca="1" si="157"/>
        <v>6.5835029937566583E-2</v>
      </c>
      <c r="G673" s="69">
        <f t="shared" ca="1" si="157"/>
        <v>1.1575320791762871</v>
      </c>
      <c r="H673" s="69">
        <f t="shared" ca="1" si="157"/>
        <v>0.97270197603934472</v>
      </c>
      <c r="I673" s="69">
        <f t="shared" ca="1" si="157"/>
        <v>-1.220274568373632</v>
      </c>
      <c r="J673" s="69">
        <f t="shared" ca="1" si="157"/>
        <v>0.27509301226505622</v>
      </c>
      <c r="K673" s="69">
        <f t="shared" ca="1" si="157"/>
        <v>0.13867896283336328</v>
      </c>
      <c r="L673" s="69">
        <f t="shared" ca="1" si="157"/>
        <v>-1.3484554397180919</v>
      </c>
      <c r="N673" s="69">
        <f t="shared" ca="1" si="146"/>
        <v>0.38927994182001013</v>
      </c>
      <c r="O673" s="69">
        <f t="shared" ca="1" si="147"/>
        <v>0.48640407420260551</v>
      </c>
      <c r="P673" s="69">
        <f t="shared" ca="1" si="148"/>
        <v>-0.58629925112431125</v>
      </c>
      <c r="Q673" s="69">
        <f t="shared" ca="1" si="149"/>
        <v>-0.6644384793824144</v>
      </c>
      <c r="R673" s="69">
        <f t="shared" ca="1" si="150"/>
        <v>5.9540344529917688E-2</v>
      </c>
      <c r="S673" s="69">
        <f t="shared" ca="1" si="151"/>
        <v>1.1903590514330955</v>
      </c>
      <c r="T673" s="69">
        <f t="shared" ca="1" si="152"/>
        <v>0.96787093832415483</v>
      </c>
      <c r="U673" s="69">
        <f t="shared" ca="1" si="153"/>
        <v>-1.1972344414959224</v>
      </c>
      <c r="V673" s="69">
        <f t="shared" ca="1" si="154"/>
        <v>0.26898341869145892</v>
      </c>
      <c r="W673" s="69">
        <f t="shared" ca="1" si="155"/>
        <v>0.13966031965746223</v>
      </c>
      <c r="X673" s="69">
        <f t="shared" ca="1" si="156"/>
        <v>-1.3212869493436563</v>
      </c>
    </row>
    <row r="674" spans="2:24" x14ac:dyDescent="0.2">
      <c r="B674" s="69">
        <f t="shared" ca="1" si="145"/>
        <v>-0.33718150757632254</v>
      </c>
      <c r="C674" s="69">
        <f t="shared" ca="1" si="157"/>
        <v>-1.4349775523347361</v>
      </c>
      <c r="D674" s="69">
        <f t="shared" ca="1" si="157"/>
        <v>-0.65100947832405254</v>
      </c>
      <c r="E674" s="69">
        <f t="shared" ca="1" si="157"/>
        <v>0.64589761255455491</v>
      </c>
      <c r="F674" s="69">
        <f t="shared" ca="1" si="157"/>
        <v>0.33699729822109115</v>
      </c>
      <c r="G674" s="69">
        <f t="shared" ca="1" si="157"/>
        <v>-1.3983223417977242</v>
      </c>
      <c r="H674" s="69">
        <f t="shared" ca="1" si="157"/>
        <v>0.61570970558089677</v>
      </c>
      <c r="I674" s="69">
        <f t="shared" ca="1" si="157"/>
        <v>-1.3285141373731804</v>
      </c>
      <c r="J674" s="69">
        <f t="shared" ca="1" si="157"/>
        <v>2.7881438231468314</v>
      </c>
      <c r="K674" s="69">
        <f t="shared" ca="1" si="157"/>
        <v>1.1674813027978825</v>
      </c>
      <c r="L674" s="69">
        <f t="shared" ca="1" si="157"/>
        <v>-0.1184358865489694</v>
      </c>
      <c r="N674" s="69">
        <f t="shared" ca="1" si="146"/>
        <v>-0.2994134637382137</v>
      </c>
      <c r="O674" s="69">
        <f t="shared" ca="1" si="147"/>
        <v>-1.4614711154176228</v>
      </c>
      <c r="P674" s="69">
        <f t="shared" ca="1" si="148"/>
        <v>-0.70875154316114253</v>
      </c>
      <c r="Q674" s="69">
        <f t="shared" ca="1" si="149"/>
        <v>0.69500629141631387</v>
      </c>
      <c r="R674" s="69">
        <f t="shared" ca="1" si="150"/>
        <v>0.33070261281344226</v>
      </c>
      <c r="S674" s="69">
        <f t="shared" ca="1" si="151"/>
        <v>-1.3654953695409158</v>
      </c>
      <c r="T674" s="69">
        <f t="shared" ca="1" si="152"/>
        <v>0.61087866786570688</v>
      </c>
      <c r="U674" s="69">
        <f t="shared" ca="1" si="153"/>
        <v>-1.3054740104954707</v>
      </c>
      <c r="V674" s="69">
        <f t="shared" ca="1" si="154"/>
        <v>2.7820342295732341</v>
      </c>
      <c r="W674" s="69">
        <f t="shared" ca="1" si="155"/>
        <v>1.1684626596219816</v>
      </c>
      <c r="X674" s="69">
        <f t="shared" ca="1" si="156"/>
        <v>-9.1267396174533916E-2</v>
      </c>
    </row>
    <row r="675" spans="2:24" x14ac:dyDescent="0.2">
      <c r="B675" s="69">
        <f t="shared" ca="1" si="145"/>
        <v>-1.0348323812617628</v>
      </c>
      <c r="C675" s="69">
        <f t="shared" ca="1" si="157"/>
        <v>-0.17964570132406474</v>
      </c>
      <c r="D675" s="69">
        <f t="shared" ca="1" si="157"/>
        <v>-5.6530512569765733E-2</v>
      </c>
      <c r="E675" s="69">
        <f t="shared" ca="1" si="157"/>
        <v>-0.22964987743635706</v>
      </c>
      <c r="F675" s="69">
        <f t="shared" ca="1" si="157"/>
        <v>-7.2783647665323553E-2</v>
      </c>
      <c r="G675" s="69">
        <f t="shared" ca="1" si="157"/>
        <v>1.5041441128194573</v>
      </c>
      <c r="H675" s="69">
        <f t="shared" ca="1" si="157"/>
        <v>0.83507433394872654</v>
      </c>
      <c r="I675" s="69">
        <f t="shared" ca="1" si="157"/>
        <v>1.6602621304244582</v>
      </c>
      <c r="J675" s="69">
        <f t="shared" ca="1" si="157"/>
        <v>-1.3567101303218625</v>
      </c>
      <c r="K675" s="69">
        <f t="shared" ca="1" si="157"/>
        <v>0.67640203985522385</v>
      </c>
      <c r="L675" s="69">
        <f t="shared" ca="1" si="157"/>
        <v>2.2665535879766061</v>
      </c>
      <c r="N675" s="69">
        <f t="shared" ca="1" si="146"/>
        <v>-0.99706433742365397</v>
      </c>
      <c r="O675" s="69">
        <f t="shared" ca="1" si="147"/>
        <v>-0.20613926440695143</v>
      </c>
      <c r="P675" s="69">
        <f t="shared" ca="1" si="148"/>
        <v>-0.11427257740685576</v>
      </c>
      <c r="Q675" s="69">
        <f t="shared" ca="1" si="149"/>
        <v>-0.18054119857459811</v>
      </c>
      <c r="R675" s="69">
        <f t="shared" ca="1" si="150"/>
        <v>-7.9078333072972448E-2</v>
      </c>
      <c r="S675" s="69">
        <f t="shared" ca="1" si="151"/>
        <v>1.5369710850762657</v>
      </c>
      <c r="T675" s="69">
        <f t="shared" ca="1" si="152"/>
        <v>0.83024329623353665</v>
      </c>
      <c r="U675" s="69">
        <f t="shared" ca="1" si="153"/>
        <v>1.6833022573021679</v>
      </c>
      <c r="V675" s="69">
        <f t="shared" ca="1" si="154"/>
        <v>-1.3628197238954598</v>
      </c>
      <c r="W675" s="69">
        <f t="shared" ca="1" si="155"/>
        <v>0.67738339667932279</v>
      </c>
      <c r="X675" s="69">
        <f t="shared" ca="1" si="156"/>
        <v>2.2937220783510415</v>
      </c>
    </row>
    <row r="676" spans="2:24" x14ac:dyDescent="0.2">
      <c r="B676" s="69">
        <f t="shared" ca="1" si="145"/>
        <v>-0.60452348319492111</v>
      </c>
      <c r="C676" s="69">
        <f t="shared" ca="1" si="157"/>
        <v>0.57352694561981865</v>
      </c>
      <c r="D676" s="69">
        <f t="shared" ca="1" si="157"/>
        <v>0.89928700189184219</v>
      </c>
      <c r="E676" s="69">
        <f t="shared" ca="1" si="157"/>
        <v>-0.20962867519364736</v>
      </c>
      <c r="F676" s="69">
        <f t="shared" ca="1" si="157"/>
        <v>-0.90889314279291944</v>
      </c>
      <c r="G676" s="69">
        <f t="shared" ca="1" si="157"/>
        <v>9.7030212095752365E-3</v>
      </c>
      <c r="H676" s="69">
        <f t="shared" ca="1" si="157"/>
        <v>-0.39974838616667091</v>
      </c>
      <c r="I676" s="69">
        <f t="shared" ca="1" si="157"/>
        <v>-0.19290718815275806</v>
      </c>
      <c r="J676" s="69">
        <f t="shared" ca="1" si="157"/>
        <v>-1.1179253520111752</v>
      </c>
      <c r="K676" s="69">
        <f t="shared" ca="1" si="157"/>
        <v>-0.15238618204379539</v>
      </c>
      <c r="L676" s="69">
        <f t="shared" ca="1" si="157"/>
        <v>1.9101771717071379</v>
      </c>
      <c r="N676" s="69">
        <f t="shared" ca="1" si="146"/>
        <v>-0.56675543935681227</v>
      </c>
      <c r="O676" s="69">
        <f t="shared" ca="1" si="147"/>
        <v>0.54703338253693201</v>
      </c>
      <c r="P676" s="69">
        <f t="shared" ca="1" si="148"/>
        <v>0.8415449370547522</v>
      </c>
      <c r="Q676" s="69">
        <f t="shared" ca="1" si="149"/>
        <v>-0.1605199963318884</v>
      </c>
      <c r="R676" s="69">
        <f t="shared" ca="1" si="150"/>
        <v>-0.91518782820056832</v>
      </c>
      <c r="S676" s="69">
        <f t="shared" ca="1" si="151"/>
        <v>4.2529993466383718E-2</v>
      </c>
      <c r="T676" s="69">
        <f t="shared" ca="1" si="152"/>
        <v>-0.40457942388186074</v>
      </c>
      <c r="U676" s="69">
        <f t="shared" ca="1" si="153"/>
        <v>-0.16986706127504841</v>
      </c>
      <c r="V676" s="69">
        <f t="shared" ca="1" si="154"/>
        <v>-1.1240349455847725</v>
      </c>
      <c r="W676" s="69">
        <f t="shared" ca="1" si="155"/>
        <v>-0.15140482521969645</v>
      </c>
      <c r="X676" s="69">
        <f t="shared" ca="1" si="156"/>
        <v>1.9373456620815734</v>
      </c>
    </row>
    <row r="677" spans="2:24" x14ac:dyDescent="0.2">
      <c r="B677" s="69">
        <f t="shared" ca="1" si="145"/>
        <v>-0.51494421312642269</v>
      </c>
      <c r="C677" s="69">
        <f t="shared" ca="1" si="157"/>
        <v>-0.910104843860014</v>
      </c>
      <c r="D677" s="69">
        <f t="shared" ca="1" si="157"/>
        <v>0.60391874943136103</v>
      </c>
      <c r="E677" s="69">
        <f t="shared" ca="1" si="157"/>
        <v>-0.69413986554772467</v>
      </c>
      <c r="F677" s="69">
        <f t="shared" ca="1" si="157"/>
        <v>0.15805890627373331</v>
      </c>
      <c r="G677" s="69">
        <f t="shared" ca="1" si="157"/>
        <v>0.86685585485076611</v>
      </c>
      <c r="H677" s="69">
        <f t="shared" ca="1" si="157"/>
        <v>-1.4617959064639305</v>
      </c>
      <c r="I677" s="69">
        <f t="shared" ca="1" si="157"/>
        <v>1.1973941924934628</v>
      </c>
      <c r="J677" s="69">
        <f t="shared" ca="1" si="157"/>
        <v>-2.1281231648471399</v>
      </c>
      <c r="K677" s="69">
        <f t="shared" ca="1" si="157"/>
        <v>1.3365565690574706</v>
      </c>
      <c r="L677" s="69">
        <f t="shared" ca="1" si="157"/>
        <v>1.9145108606238341</v>
      </c>
      <c r="N677" s="69">
        <f t="shared" ca="1" si="146"/>
        <v>-0.47717616928831386</v>
      </c>
      <c r="O677" s="69">
        <f t="shared" ca="1" si="147"/>
        <v>-0.93659840694290064</v>
      </c>
      <c r="P677" s="69">
        <f t="shared" ca="1" si="148"/>
        <v>0.54617668459427104</v>
      </c>
      <c r="Q677" s="69">
        <f t="shared" ca="1" si="149"/>
        <v>-0.64503118668596571</v>
      </c>
      <c r="R677" s="69">
        <f t="shared" ca="1" si="150"/>
        <v>0.1517642208660844</v>
      </c>
      <c r="S677" s="69">
        <f t="shared" ca="1" si="151"/>
        <v>0.89968282710757463</v>
      </c>
      <c r="T677" s="69">
        <f t="shared" ca="1" si="152"/>
        <v>-1.4666269441791204</v>
      </c>
      <c r="U677" s="69">
        <f t="shared" ca="1" si="153"/>
        <v>1.2204343193711724</v>
      </c>
      <c r="V677" s="69">
        <f t="shared" ca="1" si="154"/>
        <v>-2.1342327584207372</v>
      </c>
      <c r="W677" s="69">
        <f t="shared" ca="1" si="155"/>
        <v>1.3375379258815696</v>
      </c>
      <c r="X677" s="69">
        <f t="shared" ca="1" si="156"/>
        <v>1.9416793509982697</v>
      </c>
    </row>
    <row r="678" spans="2:24" x14ac:dyDescent="0.2">
      <c r="B678" s="69">
        <f t="shared" ca="1" si="145"/>
        <v>1.9238666302861928E-2</v>
      </c>
      <c r="C678" s="69">
        <f t="shared" ca="1" si="157"/>
        <v>-0.97495290952423375</v>
      </c>
      <c r="D678" s="69">
        <f t="shared" ca="1" si="157"/>
        <v>-0.7559589071805497</v>
      </c>
      <c r="E678" s="69">
        <f t="shared" ca="1" si="157"/>
        <v>0.54720601923773105</v>
      </c>
      <c r="F678" s="69">
        <f t="shared" ca="1" si="157"/>
        <v>0.38989039325879088</v>
      </c>
      <c r="G678" s="69">
        <f t="shared" ca="1" si="157"/>
        <v>0.39259398433668086</v>
      </c>
      <c r="H678" s="69">
        <f t="shared" ca="1" si="157"/>
        <v>1.6304528277725145</v>
      </c>
      <c r="I678" s="69">
        <f t="shared" ca="1" si="157"/>
        <v>-0.78710043742817126</v>
      </c>
      <c r="J678" s="69">
        <f t="shared" ca="1" si="157"/>
        <v>0.36619941612960916</v>
      </c>
      <c r="K678" s="69">
        <f t="shared" ca="1" si="157"/>
        <v>1.4547444521744524</v>
      </c>
      <c r="L678" s="69">
        <f t="shared" ca="1" si="157"/>
        <v>-0.3665680849092231</v>
      </c>
      <c r="N678" s="69">
        <f t="shared" ca="1" si="146"/>
        <v>5.7006710140970751E-2</v>
      </c>
      <c r="O678" s="69">
        <f t="shared" ca="1" si="147"/>
        <v>-1.0014464726071204</v>
      </c>
      <c r="P678" s="69">
        <f t="shared" ca="1" si="148"/>
        <v>-0.81370097201763969</v>
      </c>
      <c r="Q678" s="69">
        <f t="shared" ca="1" si="149"/>
        <v>0.59631469809949</v>
      </c>
      <c r="R678" s="69">
        <f t="shared" ca="1" si="150"/>
        <v>0.383595707851142</v>
      </c>
      <c r="S678" s="69">
        <f t="shared" ca="1" si="151"/>
        <v>0.42542095659348933</v>
      </c>
      <c r="T678" s="69">
        <f t="shared" ca="1" si="152"/>
        <v>1.6256217900573247</v>
      </c>
      <c r="U678" s="69">
        <f t="shared" ca="1" si="153"/>
        <v>-0.76406031055046164</v>
      </c>
      <c r="V678" s="69">
        <f t="shared" ca="1" si="154"/>
        <v>0.36008982255601185</v>
      </c>
      <c r="W678" s="69">
        <f t="shared" ca="1" si="155"/>
        <v>1.4557258089985514</v>
      </c>
      <c r="X678" s="69">
        <f t="shared" ca="1" si="156"/>
        <v>-0.33939959453478763</v>
      </c>
    </row>
    <row r="679" spans="2:24" x14ac:dyDescent="0.2">
      <c r="B679" s="69">
        <f t="shared" ca="1" si="145"/>
        <v>1.4091194601997785</v>
      </c>
      <c r="C679" s="69">
        <f t="shared" ca="1" si="157"/>
        <v>0.84560758297943295</v>
      </c>
      <c r="D679" s="69">
        <f t="shared" ca="1" si="157"/>
        <v>0.50943098549046184</v>
      </c>
      <c r="E679" s="69">
        <f t="shared" ca="1" si="157"/>
        <v>0.80858825986217764</v>
      </c>
      <c r="F679" s="69">
        <f t="shared" ca="1" si="157"/>
        <v>0.2440598106895871</v>
      </c>
      <c r="G679" s="69">
        <f t="shared" ca="1" si="157"/>
        <v>-0.70324414940218827</v>
      </c>
      <c r="H679" s="69">
        <f t="shared" ca="1" si="157"/>
        <v>-1.0180544349824787</v>
      </c>
      <c r="I679" s="69">
        <f t="shared" ca="1" si="157"/>
        <v>0.52057348303818574</v>
      </c>
      <c r="J679" s="69">
        <f t="shared" ca="1" si="157"/>
        <v>0.98197608896283584</v>
      </c>
      <c r="K679" s="69">
        <f t="shared" ca="1" si="157"/>
        <v>-0.11143570574352564</v>
      </c>
      <c r="L679" s="69">
        <f t="shared" ca="1" si="157"/>
        <v>0.60130765252617724</v>
      </c>
      <c r="N679" s="69">
        <f t="shared" ca="1" si="146"/>
        <v>1.4468875040378872</v>
      </c>
      <c r="O679" s="69">
        <f t="shared" ca="1" si="147"/>
        <v>0.81911401989654631</v>
      </c>
      <c r="P679" s="69">
        <f t="shared" ca="1" si="148"/>
        <v>0.45168892065337179</v>
      </c>
      <c r="Q679" s="69">
        <f t="shared" ca="1" si="149"/>
        <v>0.8576969387239366</v>
      </c>
      <c r="R679" s="69">
        <f t="shared" ca="1" si="150"/>
        <v>0.23776512528193819</v>
      </c>
      <c r="S679" s="69">
        <f t="shared" ca="1" si="151"/>
        <v>-0.67041717714537974</v>
      </c>
      <c r="T679" s="69">
        <f t="shared" ca="1" si="152"/>
        <v>-1.0228854726976686</v>
      </c>
      <c r="U679" s="69">
        <f t="shared" ca="1" si="153"/>
        <v>0.54361360991589536</v>
      </c>
      <c r="V679" s="69">
        <f t="shared" ca="1" si="154"/>
        <v>0.97586649538923853</v>
      </c>
      <c r="W679" s="69">
        <f t="shared" ca="1" si="155"/>
        <v>-0.11045434891942668</v>
      </c>
      <c r="X679" s="69">
        <f t="shared" ca="1" si="156"/>
        <v>0.62847614290061271</v>
      </c>
    </row>
    <row r="680" spans="2:24" x14ac:dyDescent="0.2">
      <c r="B680" s="69">
        <f t="shared" ca="1" si="145"/>
        <v>0.82986632291821572</v>
      </c>
      <c r="C680" s="69">
        <f t="shared" ca="1" si="157"/>
        <v>-0.15051912216924279</v>
      </c>
      <c r="D680" s="69">
        <f t="shared" ca="1" si="157"/>
        <v>5.4869399991635308E-2</v>
      </c>
      <c r="E680" s="69">
        <f t="shared" ca="1" si="157"/>
        <v>0.86707804149812973</v>
      </c>
      <c r="F680" s="69">
        <f t="shared" ca="1" si="157"/>
        <v>0.23604061247984395</v>
      </c>
      <c r="G680" s="69">
        <f t="shared" ca="1" si="157"/>
        <v>-2.0981987783541922</v>
      </c>
      <c r="H680" s="69">
        <f t="shared" ca="1" si="157"/>
        <v>-3.0611537493102714E-3</v>
      </c>
      <c r="I680" s="69">
        <f t="shared" ca="1" si="157"/>
        <v>-0.61682022373750689</v>
      </c>
      <c r="J680" s="69">
        <f t="shared" ca="1" si="157"/>
        <v>-1.2536782750196497E-2</v>
      </c>
      <c r="K680" s="69">
        <f t="shared" ca="1" si="157"/>
        <v>-0.41651421360649432</v>
      </c>
      <c r="L680" s="69">
        <f t="shared" ca="1" si="157"/>
        <v>1.4769793603029264</v>
      </c>
      <c r="N680" s="69">
        <f t="shared" ca="1" si="146"/>
        <v>0.86763436675632455</v>
      </c>
      <c r="O680" s="69">
        <f t="shared" ca="1" si="147"/>
        <v>-0.17701268525212949</v>
      </c>
      <c r="P680" s="69">
        <f t="shared" ca="1" si="148"/>
        <v>-2.8726648454547241E-3</v>
      </c>
      <c r="Q680" s="69">
        <f t="shared" ca="1" si="149"/>
        <v>0.91618672035988868</v>
      </c>
      <c r="R680" s="69">
        <f t="shared" ca="1" si="150"/>
        <v>0.22974592707219504</v>
      </c>
      <c r="S680" s="69">
        <f t="shared" ca="1" si="151"/>
        <v>-2.0653718060973838</v>
      </c>
      <c r="T680" s="69">
        <f t="shared" ca="1" si="152"/>
        <v>-7.892191464500117E-3</v>
      </c>
      <c r="U680" s="69">
        <f t="shared" ca="1" si="153"/>
        <v>-0.59378009685979727</v>
      </c>
      <c r="V680" s="69">
        <f t="shared" ca="1" si="154"/>
        <v>-1.8646376323793828E-2</v>
      </c>
      <c r="W680" s="69">
        <f t="shared" ca="1" si="155"/>
        <v>-0.41553285678239538</v>
      </c>
      <c r="X680" s="69">
        <f t="shared" ca="1" si="156"/>
        <v>1.504147850677362</v>
      </c>
    </row>
    <row r="681" spans="2:24" x14ac:dyDescent="0.2">
      <c r="B681" s="69">
        <f t="shared" ca="1" si="145"/>
        <v>-2.7639758901364286E-2</v>
      </c>
      <c r="C681" s="69">
        <f t="shared" ca="1" si="157"/>
        <v>0.54900897132081528</v>
      </c>
      <c r="D681" s="69">
        <f t="shared" ca="1" si="157"/>
        <v>-0.4309604848942889</v>
      </c>
      <c r="E681" s="69">
        <f t="shared" ca="1" si="157"/>
        <v>1.3316791694956267</v>
      </c>
      <c r="F681" s="69">
        <f t="shared" ca="1" si="157"/>
        <v>-0.63893894261593698</v>
      </c>
      <c r="G681" s="69">
        <f t="shared" ca="1" si="157"/>
        <v>0.51762231782740642</v>
      </c>
      <c r="H681" s="69">
        <f t="shared" ca="1" si="157"/>
        <v>0.82144734917691165</v>
      </c>
      <c r="I681" s="69">
        <f t="shared" ref="C681:L744" ca="1" si="158">NORMINV(RAND(),$C$7,$F$7)</f>
        <v>-1.1212348959732479</v>
      </c>
      <c r="J681" s="69">
        <f t="shared" ca="1" si="158"/>
        <v>-0.87379148507437709</v>
      </c>
      <c r="K681" s="69">
        <f t="shared" ca="1" si="158"/>
        <v>-0.4984458125711001</v>
      </c>
      <c r="L681" s="69">
        <f t="shared" ca="1" si="158"/>
        <v>1.0302577319908788</v>
      </c>
      <c r="N681" s="69">
        <f t="shared" ca="1" si="146"/>
        <v>1.0128284936744534E-2</v>
      </c>
      <c r="O681" s="69">
        <f t="shared" ca="1" si="147"/>
        <v>0.52251540823792864</v>
      </c>
      <c r="P681" s="69">
        <f t="shared" ca="1" si="148"/>
        <v>-0.48870254973137894</v>
      </c>
      <c r="Q681" s="69">
        <f t="shared" ca="1" si="149"/>
        <v>1.3807878483573857</v>
      </c>
      <c r="R681" s="69">
        <f t="shared" ca="1" si="150"/>
        <v>-0.64523362802358586</v>
      </c>
      <c r="S681" s="69">
        <f t="shared" ca="1" si="151"/>
        <v>0.55044929008421495</v>
      </c>
      <c r="T681" s="69">
        <f t="shared" ca="1" si="152"/>
        <v>0.81661631146172176</v>
      </c>
      <c r="U681" s="69">
        <f t="shared" ca="1" si="153"/>
        <v>-1.0981947690955383</v>
      </c>
      <c r="V681" s="69">
        <f t="shared" ca="1" si="154"/>
        <v>-0.8799010786479744</v>
      </c>
      <c r="W681" s="69">
        <f t="shared" ca="1" si="155"/>
        <v>-0.49746445574700116</v>
      </c>
      <c r="X681" s="69">
        <f t="shared" ca="1" si="156"/>
        <v>1.0574262223653144</v>
      </c>
    </row>
    <row r="682" spans="2:24" x14ac:dyDescent="0.2">
      <c r="B682" s="69">
        <f t="shared" ca="1" si="145"/>
        <v>-1.7586719156838999</v>
      </c>
      <c r="C682" s="69">
        <f t="shared" ca="1" si="158"/>
        <v>-0.36062793919473374</v>
      </c>
      <c r="D682" s="69">
        <f t="shared" ca="1" si="158"/>
        <v>-2.1765485391672268</v>
      </c>
      <c r="E682" s="69">
        <f t="shared" ca="1" si="158"/>
        <v>-1.0399982385698576</v>
      </c>
      <c r="F682" s="69">
        <f t="shared" ca="1" si="158"/>
        <v>-1.7676728167340978</v>
      </c>
      <c r="G682" s="69">
        <f t="shared" ca="1" si="158"/>
        <v>1.6980074278288</v>
      </c>
      <c r="H682" s="69">
        <f t="shared" ca="1" si="158"/>
        <v>1.4624316531739319</v>
      </c>
      <c r="I682" s="69">
        <f t="shared" ca="1" si="158"/>
        <v>-1.4794472953748241</v>
      </c>
      <c r="J682" s="69">
        <f t="shared" ca="1" si="158"/>
        <v>1.0580062353532931</v>
      </c>
      <c r="K682" s="69">
        <f t="shared" ca="1" si="158"/>
        <v>1.3919578418485181</v>
      </c>
      <c r="L682" s="69">
        <f t="shared" ca="1" si="158"/>
        <v>1.9695519156696617</v>
      </c>
      <c r="N682" s="69">
        <f t="shared" ca="1" si="146"/>
        <v>-1.7209038718457912</v>
      </c>
      <c r="O682" s="69">
        <f t="shared" ca="1" si="147"/>
        <v>-0.38712150227762043</v>
      </c>
      <c r="P682" s="69">
        <f t="shared" ca="1" si="148"/>
        <v>-2.2342906040043169</v>
      </c>
      <c r="Q682" s="69">
        <f t="shared" ca="1" si="149"/>
        <v>-0.99088955970809867</v>
      </c>
      <c r="R682" s="69">
        <f t="shared" ca="1" si="150"/>
        <v>-1.7739675021417467</v>
      </c>
      <c r="S682" s="69">
        <f t="shared" ca="1" si="151"/>
        <v>1.7308344000856084</v>
      </c>
      <c r="T682" s="69">
        <f t="shared" ca="1" si="152"/>
        <v>1.457600615458742</v>
      </c>
      <c r="U682" s="69">
        <f t="shared" ca="1" si="153"/>
        <v>-1.4564071684971145</v>
      </c>
      <c r="V682" s="69">
        <f t="shared" ca="1" si="154"/>
        <v>1.0518966417796958</v>
      </c>
      <c r="W682" s="69">
        <f t="shared" ca="1" si="155"/>
        <v>1.3929391986726172</v>
      </c>
      <c r="X682" s="69">
        <f t="shared" ca="1" si="156"/>
        <v>1.9967204060440973</v>
      </c>
    </row>
    <row r="683" spans="2:24" x14ac:dyDescent="0.2">
      <c r="B683" s="69">
        <f t="shared" ca="1" si="145"/>
        <v>-2.5044424037973636</v>
      </c>
      <c r="C683" s="69">
        <f t="shared" ca="1" si="158"/>
        <v>1.4034400508149165</v>
      </c>
      <c r="D683" s="69">
        <f t="shared" ca="1" si="158"/>
        <v>-1.2131108416684213</v>
      </c>
      <c r="E683" s="69">
        <f t="shared" ca="1" si="158"/>
        <v>0.11087951571353008</v>
      </c>
      <c r="F683" s="69">
        <f t="shared" ca="1" si="158"/>
        <v>1.5322165281654709</v>
      </c>
      <c r="G683" s="69">
        <f t="shared" ca="1" si="158"/>
        <v>0.63939773575847325</v>
      </c>
      <c r="H683" s="69">
        <f t="shared" ca="1" si="158"/>
        <v>2.2980194820698565</v>
      </c>
      <c r="I683" s="69">
        <f t="shared" ca="1" si="158"/>
        <v>0.90882644198399143</v>
      </c>
      <c r="J683" s="69">
        <f t="shared" ca="1" si="158"/>
        <v>-4.5879450302921759E-2</v>
      </c>
      <c r="K683" s="69">
        <f t="shared" ca="1" si="158"/>
        <v>0.65683617196104993</v>
      </c>
      <c r="L683" s="69">
        <f t="shared" ca="1" si="158"/>
        <v>-0.54846456429383372</v>
      </c>
      <c r="N683" s="69">
        <f t="shared" ca="1" si="146"/>
        <v>-2.4666743599592547</v>
      </c>
      <c r="O683" s="69">
        <f t="shared" ca="1" si="147"/>
        <v>1.3769464877320299</v>
      </c>
      <c r="P683" s="69">
        <f t="shared" ca="1" si="148"/>
        <v>-1.2708529065055114</v>
      </c>
      <c r="Q683" s="69">
        <f t="shared" ca="1" si="149"/>
        <v>0.15998819457528901</v>
      </c>
      <c r="R683" s="69">
        <f t="shared" ca="1" si="150"/>
        <v>1.5259218427578221</v>
      </c>
      <c r="S683" s="69">
        <f t="shared" ca="1" si="151"/>
        <v>0.67222470801528178</v>
      </c>
      <c r="T683" s="69">
        <f t="shared" ca="1" si="152"/>
        <v>2.2931884443546666</v>
      </c>
      <c r="U683" s="69">
        <f t="shared" ca="1" si="153"/>
        <v>0.93186656886170105</v>
      </c>
      <c r="V683" s="69">
        <f t="shared" ca="1" si="154"/>
        <v>-5.1989043876519092E-2</v>
      </c>
      <c r="W683" s="69">
        <f t="shared" ca="1" si="155"/>
        <v>0.65781752878514888</v>
      </c>
      <c r="X683" s="69">
        <f t="shared" ca="1" si="156"/>
        <v>-0.52129607391939825</v>
      </c>
    </row>
    <row r="684" spans="2:24" x14ac:dyDescent="0.2">
      <c r="B684" s="69">
        <f t="shared" ca="1" si="145"/>
        <v>-1.8338938151797415</v>
      </c>
      <c r="C684" s="69">
        <f t="shared" ca="1" si="158"/>
        <v>3.4450024059939062</v>
      </c>
      <c r="D684" s="69">
        <f t="shared" ca="1" si="158"/>
        <v>-0.21506764399373818</v>
      </c>
      <c r="E684" s="69">
        <f t="shared" ca="1" si="158"/>
        <v>-0.60600515713462544</v>
      </c>
      <c r="F684" s="69">
        <f t="shared" ca="1" si="158"/>
        <v>2.1751900180805865</v>
      </c>
      <c r="G684" s="69">
        <f t="shared" ca="1" si="158"/>
        <v>1.2341732958550418</v>
      </c>
      <c r="H684" s="69">
        <f t="shared" ca="1" si="158"/>
        <v>-6.3920953068514197E-2</v>
      </c>
      <c r="I684" s="69">
        <f t="shared" ca="1" si="158"/>
        <v>0.76062382690009067</v>
      </c>
      <c r="J684" s="69">
        <f t="shared" ca="1" si="158"/>
        <v>-1.3407556888032477</v>
      </c>
      <c r="K684" s="69">
        <f t="shared" ca="1" si="158"/>
        <v>0.11277916998120342</v>
      </c>
      <c r="L684" s="69">
        <f t="shared" ca="1" si="158"/>
        <v>0.40532484774773991</v>
      </c>
      <c r="N684" s="69">
        <f t="shared" ca="1" si="146"/>
        <v>-1.7961257713416328</v>
      </c>
      <c r="O684" s="69">
        <f t="shared" ca="1" si="147"/>
        <v>3.4185088429110193</v>
      </c>
      <c r="P684" s="69">
        <f t="shared" ca="1" si="148"/>
        <v>-0.27280970883082822</v>
      </c>
      <c r="Q684" s="69">
        <f t="shared" ca="1" si="149"/>
        <v>-0.55689647827286648</v>
      </c>
      <c r="R684" s="69">
        <f t="shared" ca="1" si="150"/>
        <v>2.1688953326729377</v>
      </c>
      <c r="S684" s="69">
        <f t="shared" ca="1" si="151"/>
        <v>1.2670002681118502</v>
      </c>
      <c r="T684" s="69">
        <f t="shared" ca="1" si="152"/>
        <v>-6.8751990783704045E-2</v>
      </c>
      <c r="U684" s="69">
        <f t="shared" ca="1" si="153"/>
        <v>0.78366395377780029</v>
      </c>
      <c r="V684" s="69">
        <f t="shared" ca="1" si="154"/>
        <v>-1.346865282376845</v>
      </c>
      <c r="W684" s="69">
        <f t="shared" ca="1" si="155"/>
        <v>0.11376052680530238</v>
      </c>
      <c r="X684" s="69">
        <f t="shared" ca="1" si="156"/>
        <v>0.43249333812217539</v>
      </c>
    </row>
    <row r="685" spans="2:24" x14ac:dyDescent="0.2">
      <c r="B685" s="69">
        <f t="shared" ca="1" si="145"/>
        <v>-2.4108681869149513</v>
      </c>
      <c r="C685" s="69">
        <f t="shared" ca="1" si="158"/>
        <v>-0.8528423018341289</v>
      </c>
      <c r="D685" s="69">
        <f t="shared" ca="1" si="158"/>
        <v>8.0899598387917923E-2</v>
      </c>
      <c r="E685" s="69">
        <f t="shared" ca="1" si="158"/>
        <v>1.1355321366197593</v>
      </c>
      <c r="F685" s="69">
        <f t="shared" ca="1" si="158"/>
        <v>-0.3154603493186624</v>
      </c>
      <c r="G685" s="69">
        <f t="shared" ca="1" si="158"/>
        <v>0.58649632762493786</v>
      </c>
      <c r="H685" s="69">
        <f t="shared" ca="1" si="158"/>
        <v>3.2222642095728699E-2</v>
      </c>
      <c r="I685" s="69">
        <f t="shared" ca="1" si="158"/>
        <v>1.0446696159011593</v>
      </c>
      <c r="J685" s="69">
        <f t="shared" ca="1" si="158"/>
        <v>0.17184140641676141</v>
      </c>
      <c r="K685" s="69">
        <f t="shared" ca="1" si="158"/>
        <v>1.4620872945109573</v>
      </c>
      <c r="L685" s="69">
        <f t="shared" ca="1" si="158"/>
        <v>-0.77989505188603847</v>
      </c>
      <c r="N685" s="69">
        <f t="shared" ca="1" si="146"/>
        <v>-2.3731001430768424</v>
      </c>
      <c r="O685" s="69">
        <f t="shared" ca="1" si="147"/>
        <v>-0.87933586491701554</v>
      </c>
      <c r="P685" s="69">
        <f t="shared" ca="1" si="148"/>
        <v>2.3157533550827891E-2</v>
      </c>
      <c r="Q685" s="69">
        <f t="shared" ca="1" si="149"/>
        <v>1.1846408154815182</v>
      </c>
      <c r="R685" s="69">
        <f t="shared" ca="1" si="150"/>
        <v>-0.32175503472631128</v>
      </c>
      <c r="S685" s="69">
        <f t="shared" ca="1" si="151"/>
        <v>0.61932329988174639</v>
      </c>
      <c r="T685" s="69">
        <f t="shared" ca="1" si="152"/>
        <v>2.7391604380538854E-2</v>
      </c>
      <c r="U685" s="69">
        <f t="shared" ca="1" si="153"/>
        <v>1.0677097427788689</v>
      </c>
      <c r="V685" s="69">
        <f t="shared" ca="1" si="154"/>
        <v>0.16573181284316407</v>
      </c>
      <c r="W685" s="69">
        <f t="shared" ca="1" si="155"/>
        <v>1.4630686513350564</v>
      </c>
      <c r="X685" s="69">
        <f t="shared" ca="1" si="156"/>
        <v>-0.752726561511603</v>
      </c>
    </row>
    <row r="686" spans="2:24" x14ac:dyDescent="0.2">
      <c r="B686" s="69">
        <f t="shared" ca="1" si="145"/>
        <v>0.55471182119738205</v>
      </c>
      <c r="C686" s="69">
        <f t="shared" ca="1" si="158"/>
        <v>-1.4885917558468351</v>
      </c>
      <c r="D686" s="69">
        <f t="shared" ca="1" si="158"/>
        <v>0.72934938555032081</v>
      </c>
      <c r="E686" s="69">
        <f t="shared" ca="1" si="158"/>
        <v>0.41418930592835018</v>
      </c>
      <c r="F686" s="69">
        <f t="shared" ca="1" si="158"/>
        <v>0.69553880178617933</v>
      </c>
      <c r="G686" s="69">
        <f t="shared" ca="1" si="158"/>
        <v>0.25715989947608103</v>
      </c>
      <c r="H686" s="69">
        <f t="shared" ca="1" si="158"/>
        <v>0.38294762999744786</v>
      </c>
      <c r="I686" s="69">
        <f t="shared" ca="1" si="158"/>
        <v>-1.1682891225423899</v>
      </c>
      <c r="J686" s="69">
        <f t="shared" ca="1" si="158"/>
        <v>-0.49720710055945183</v>
      </c>
      <c r="K686" s="69">
        <f t="shared" ca="1" si="158"/>
        <v>-0.28481436795497683</v>
      </c>
      <c r="L686" s="69">
        <f t="shared" ca="1" si="158"/>
        <v>-0.47944245907095895</v>
      </c>
      <c r="N686" s="69">
        <f t="shared" ca="1" si="146"/>
        <v>0.59247986503549088</v>
      </c>
      <c r="O686" s="69">
        <f t="shared" ca="1" si="147"/>
        <v>-1.5150853189297218</v>
      </c>
      <c r="P686" s="69">
        <f t="shared" ca="1" si="148"/>
        <v>0.67160732071323082</v>
      </c>
      <c r="Q686" s="69">
        <f t="shared" ca="1" si="149"/>
        <v>0.46329798479010914</v>
      </c>
      <c r="R686" s="69">
        <f t="shared" ca="1" si="150"/>
        <v>0.68924411637853045</v>
      </c>
      <c r="S686" s="69">
        <f t="shared" ca="1" si="151"/>
        <v>0.28998687173288951</v>
      </c>
      <c r="T686" s="69">
        <f t="shared" ca="1" si="152"/>
        <v>0.37811659228225802</v>
      </c>
      <c r="U686" s="69">
        <f t="shared" ca="1" si="153"/>
        <v>-1.1452489956646803</v>
      </c>
      <c r="V686" s="69">
        <f t="shared" ca="1" si="154"/>
        <v>-0.50331669413304914</v>
      </c>
      <c r="W686" s="69">
        <f t="shared" ca="1" si="155"/>
        <v>-0.28383301113087789</v>
      </c>
      <c r="X686" s="69">
        <f t="shared" ca="1" si="156"/>
        <v>-0.45227396869652348</v>
      </c>
    </row>
    <row r="687" spans="2:24" x14ac:dyDescent="0.2">
      <c r="B687" s="69">
        <f t="shared" ca="1" si="145"/>
        <v>-1.4336267150469881</v>
      </c>
      <c r="C687" s="69">
        <f t="shared" ca="1" si="158"/>
        <v>-0.35971151537656371</v>
      </c>
      <c r="D687" s="69">
        <f t="shared" ca="1" si="158"/>
        <v>1.4945664886641143</v>
      </c>
      <c r="E687" s="69">
        <f t="shared" ca="1" si="158"/>
        <v>0.88610409581158633</v>
      </c>
      <c r="F687" s="69">
        <f t="shared" ca="1" si="158"/>
        <v>2.3639206432078592</v>
      </c>
      <c r="G687" s="69">
        <f t="shared" ca="1" si="158"/>
        <v>-0.17786331213640955</v>
      </c>
      <c r="H687" s="69">
        <f t="shared" ca="1" si="158"/>
        <v>-0.40253987538201019</v>
      </c>
      <c r="I687" s="69">
        <f t="shared" ca="1" si="158"/>
        <v>0.41839669165837162</v>
      </c>
      <c r="J687" s="69">
        <f t="shared" ca="1" si="158"/>
        <v>-0.18480477093539144</v>
      </c>
      <c r="K687" s="69">
        <f t="shared" ca="1" si="158"/>
        <v>-0.45152726897119339</v>
      </c>
      <c r="L687" s="69">
        <f t="shared" ca="1" si="158"/>
        <v>0.7375848827773297</v>
      </c>
      <c r="N687" s="69">
        <f t="shared" ca="1" si="146"/>
        <v>-1.3958586712088794</v>
      </c>
      <c r="O687" s="69">
        <f t="shared" ca="1" si="147"/>
        <v>-0.3862050784594504</v>
      </c>
      <c r="P687" s="69">
        <f t="shared" ca="1" si="148"/>
        <v>1.4368244238270242</v>
      </c>
      <c r="Q687" s="69">
        <f t="shared" ca="1" si="149"/>
        <v>0.93521277467334529</v>
      </c>
      <c r="R687" s="69">
        <f t="shared" ca="1" si="150"/>
        <v>2.3576259578002103</v>
      </c>
      <c r="S687" s="69">
        <f t="shared" ca="1" si="151"/>
        <v>-0.14503633987960107</v>
      </c>
      <c r="T687" s="69">
        <f t="shared" ca="1" si="152"/>
        <v>-0.40737091309720003</v>
      </c>
      <c r="U687" s="69">
        <f t="shared" ca="1" si="153"/>
        <v>0.4414368185360813</v>
      </c>
      <c r="V687" s="69">
        <f t="shared" ca="1" si="154"/>
        <v>-0.19091436450898877</v>
      </c>
      <c r="W687" s="69">
        <f t="shared" ca="1" si="155"/>
        <v>-0.45054591214709444</v>
      </c>
      <c r="X687" s="69">
        <f t="shared" ca="1" si="156"/>
        <v>0.76475337315176517</v>
      </c>
    </row>
    <row r="688" spans="2:24" x14ac:dyDescent="0.2">
      <c r="B688" s="69">
        <f t="shared" ca="1" si="145"/>
        <v>0.3123137955848036</v>
      </c>
      <c r="C688" s="69">
        <f t="shared" ca="1" si="158"/>
        <v>1.6368444605439065</v>
      </c>
      <c r="D688" s="69">
        <f t="shared" ca="1" si="158"/>
        <v>-0.7205663451666936</v>
      </c>
      <c r="E688" s="69">
        <f t="shared" ca="1" si="158"/>
        <v>1.1485268013409244</v>
      </c>
      <c r="F688" s="69">
        <f t="shared" ca="1" si="158"/>
        <v>0.75224194333845795</v>
      </c>
      <c r="G688" s="69">
        <f t="shared" ca="1" si="158"/>
        <v>-0.70012212418642239</v>
      </c>
      <c r="H688" s="69">
        <f t="shared" ca="1" si="158"/>
        <v>-1.7326094436647694</v>
      </c>
      <c r="I688" s="69">
        <f t="shared" ca="1" si="158"/>
        <v>1.3544805734749026</v>
      </c>
      <c r="J688" s="69">
        <f t="shared" ca="1" si="158"/>
        <v>0.123954033082694</v>
      </c>
      <c r="K688" s="69">
        <f t="shared" ca="1" si="158"/>
        <v>1.0902217438712263</v>
      </c>
      <c r="L688" s="69">
        <f t="shared" ca="1" si="158"/>
        <v>-0.66118623561218637</v>
      </c>
      <c r="N688" s="69">
        <f t="shared" ca="1" si="146"/>
        <v>0.35008183942291243</v>
      </c>
      <c r="O688" s="69">
        <f t="shared" ca="1" si="147"/>
        <v>1.6103508974610199</v>
      </c>
      <c r="P688" s="69">
        <f t="shared" ca="1" si="148"/>
        <v>-0.77830841000378359</v>
      </c>
      <c r="Q688" s="69">
        <f t="shared" ca="1" si="149"/>
        <v>1.1976354802026834</v>
      </c>
      <c r="R688" s="69">
        <f t="shared" ca="1" si="150"/>
        <v>0.74594725793080907</v>
      </c>
      <c r="S688" s="69">
        <f t="shared" ca="1" si="151"/>
        <v>-0.66729515192961386</v>
      </c>
      <c r="T688" s="69">
        <f t="shared" ca="1" si="152"/>
        <v>-1.7374404813799593</v>
      </c>
      <c r="U688" s="69">
        <f t="shared" ca="1" si="153"/>
        <v>1.3775207003526122</v>
      </c>
      <c r="V688" s="69">
        <f t="shared" ca="1" si="154"/>
        <v>0.11784443950909666</v>
      </c>
      <c r="W688" s="69">
        <f t="shared" ca="1" si="155"/>
        <v>1.0912031006953253</v>
      </c>
      <c r="X688" s="69">
        <f t="shared" ca="1" si="156"/>
        <v>-0.6340177452377509</v>
      </c>
    </row>
    <row r="689" spans="2:24" x14ac:dyDescent="0.2">
      <c r="B689" s="69">
        <f t="shared" ca="1" si="145"/>
        <v>0.92481488883516538</v>
      </c>
      <c r="C689" s="69">
        <f t="shared" ca="1" si="158"/>
        <v>0.23801987890986215</v>
      </c>
      <c r="D689" s="69">
        <f t="shared" ca="1" si="158"/>
        <v>-0.27433950108741795</v>
      </c>
      <c r="E689" s="69">
        <f t="shared" ca="1" si="158"/>
        <v>0.73738221180446828</v>
      </c>
      <c r="F689" s="69">
        <f t="shared" ca="1" si="158"/>
        <v>0.30155226232367016</v>
      </c>
      <c r="G689" s="69">
        <f t="shared" ca="1" si="158"/>
        <v>0.85246206870523411</v>
      </c>
      <c r="H689" s="69">
        <f t="shared" ca="1" si="158"/>
        <v>0.52285054030196121</v>
      </c>
      <c r="I689" s="69">
        <f t="shared" ca="1" si="158"/>
        <v>1.4880660640112653</v>
      </c>
      <c r="J689" s="69">
        <f t="shared" ca="1" si="158"/>
        <v>1.8516912675178618</v>
      </c>
      <c r="K689" s="69">
        <f t="shared" ca="1" si="158"/>
        <v>-0.56384942340124955</v>
      </c>
      <c r="L689" s="69">
        <f t="shared" ca="1" si="158"/>
        <v>-1.4461726992558861</v>
      </c>
      <c r="N689" s="69">
        <f t="shared" ca="1" si="146"/>
        <v>0.96258293267327422</v>
      </c>
      <c r="O689" s="69">
        <f t="shared" ca="1" si="147"/>
        <v>0.21152631582697545</v>
      </c>
      <c r="P689" s="69">
        <f t="shared" ca="1" si="148"/>
        <v>-0.33208156592450799</v>
      </c>
      <c r="Q689" s="69">
        <f t="shared" ca="1" si="149"/>
        <v>0.78649089066622724</v>
      </c>
      <c r="R689" s="69">
        <f t="shared" ca="1" si="150"/>
        <v>0.29525757691602128</v>
      </c>
      <c r="S689" s="69">
        <f t="shared" ca="1" si="151"/>
        <v>0.88528904096204264</v>
      </c>
      <c r="T689" s="69">
        <f t="shared" ca="1" si="152"/>
        <v>0.51801950258677132</v>
      </c>
      <c r="U689" s="69">
        <f t="shared" ca="1" si="153"/>
        <v>1.5111061908889749</v>
      </c>
      <c r="V689" s="69">
        <f t="shared" ca="1" si="154"/>
        <v>1.8455816739442645</v>
      </c>
      <c r="W689" s="69">
        <f t="shared" ca="1" si="155"/>
        <v>-0.56286806657715061</v>
      </c>
      <c r="X689" s="69">
        <f t="shared" ca="1" si="156"/>
        <v>-1.4190042088814505</v>
      </c>
    </row>
    <row r="690" spans="2:24" x14ac:dyDescent="0.2">
      <c r="B690" s="69">
        <f t="shared" ca="1" si="145"/>
        <v>0.28651684213527634</v>
      </c>
      <c r="C690" s="69">
        <f t="shared" ca="1" si="158"/>
        <v>-1.0107597573311269</v>
      </c>
      <c r="D690" s="69">
        <f t="shared" ca="1" si="158"/>
        <v>0.18545150940700381</v>
      </c>
      <c r="E690" s="69">
        <f t="shared" ca="1" si="158"/>
        <v>0.23672872858048871</v>
      </c>
      <c r="F690" s="69">
        <f t="shared" ca="1" si="158"/>
        <v>1.2470427921313323</v>
      </c>
      <c r="G690" s="69">
        <f t="shared" ca="1" si="158"/>
        <v>1.8750088480554719E-2</v>
      </c>
      <c r="H690" s="69">
        <f t="shared" ca="1" si="158"/>
        <v>0.36604878011718567</v>
      </c>
      <c r="I690" s="69">
        <f t="shared" ca="1" si="158"/>
        <v>0.15359483695778667</v>
      </c>
      <c r="J690" s="69">
        <f t="shared" ca="1" si="158"/>
        <v>0.57140373652320509</v>
      </c>
      <c r="K690" s="69">
        <f t="shared" ca="1" si="158"/>
        <v>-2.2644980003686257</v>
      </c>
      <c r="L690" s="69">
        <f t="shared" ca="1" si="158"/>
        <v>-0.45246975737110545</v>
      </c>
      <c r="N690" s="69">
        <f t="shared" ca="1" si="146"/>
        <v>0.32428488597338517</v>
      </c>
      <c r="O690" s="69">
        <f t="shared" ca="1" si="147"/>
        <v>-1.0372533204140135</v>
      </c>
      <c r="P690" s="69">
        <f t="shared" ca="1" si="148"/>
        <v>0.12770944456991379</v>
      </c>
      <c r="Q690" s="69">
        <f t="shared" ca="1" si="149"/>
        <v>0.28583740744224767</v>
      </c>
      <c r="R690" s="69">
        <f t="shared" ca="1" si="150"/>
        <v>1.2407481067236834</v>
      </c>
      <c r="S690" s="69">
        <f t="shared" ca="1" si="151"/>
        <v>5.1577060737363199E-2</v>
      </c>
      <c r="T690" s="69">
        <f t="shared" ca="1" si="152"/>
        <v>0.36121774240199583</v>
      </c>
      <c r="U690" s="69">
        <f t="shared" ca="1" si="153"/>
        <v>0.17663496383549632</v>
      </c>
      <c r="V690" s="69">
        <f t="shared" ca="1" si="154"/>
        <v>0.56529414294960778</v>
      </c>
      <c r="W690" s="69">
        <f t="shared" ca="1" si="155"/>
        <v>-2.2635166435445266</v>
      </c>
      <c r="X690" s="69">
        <f t="shared" ca="1" si="156"/>
        <v>-0.42530126699666998</v>
      </c>
    </row>
    <row r="691" spans="2:24" x14ac:dyDescent="0.2">
      <c r="B691" s="69">
        <f t="shared" ca="1" si="145"/>
        <v>-0.59333578230427975</v>
      </c>
      <c r="C691" s="69">
        <f t="shared" ca="1" si="158"/>
        <v>0.41729356936666867</v>
      </c>
      <c r="D691" s="69">
        <f t="shared" ca="1" si="158"/>
        <v>-1.7952477466803343</v>
      </c>
      <c r="E691" s="69">
        <f t="shared" ca="1" si="158"/>
        <v>-0.42782803270811154</v>
      </c>
      <c r="F691" s="69">
        <f t="shared" ca="1" si="158"/>
        <v>0.14606723461787036</v>
      </c>
      <c r="G691" s="69">
        <f t="shared" ca="1" si="158"/>
        <v>0.72441354797769975</v>
      </c>
      <c r="H691" s="69">
        <f t="shared" ca="1" si="158"/>
        <v>0.27867776751944445</v>
      </c>
      <c r="I691" s="69">
        <f t="shared" ca="1" si="158"/>
        <v>-0.64993178014925146</v>
      </c>
      <c r="J691" s="69">
        <f t="shared" ca="1" si="158"/>
        <v>1.4960193844903538</v>
      </c>
      <c r="K691" s="69">
        <f t="shared" ca="1" si="158"/>
        <v>-1.6202488467451051</v>
      </c>
      <c r="L691" s="69">
        <f t="shared" ca="1" si="158"/>
        <v>0.45465796704525574</v>
      </c>
      <c r="N691" s="69">
        <f t="shared" ca="1" si="146"/>
        <v>-0.55556773846617091</v>
      </c>
      <c r="O691" s="69">
        <f t="shared" ca="1" si="147"/>
        <v>0.39080000628378198</v>
      </c>
      <c r="P691" s="69">
        <f t="shared" ca="1" si="148"/>
        <v>-1.8529898115174244</v>
      </c>
      <c r="Q691" s="69">
        <f t="shared" ca="1" si="149"/>
        <v>-0.37871935384635258</v>
      </c>
      <c r="R691" s="69">
        <f t="shared" ca="1" si="150"/>
        <v>0.13977254921022145</v>
      </c>
      <c r="S691" s="69">
        <f t="shared" ca="1" si="151"/>
        <v>0.75724052023450827</v>
      </c>
      <c r="T691" s="69">
        <f t="shared" ca="1" si="152"/>
        <v>0.27384672980425462</v>
      </c>
      <c r="U691" s="69">
        <f t="shared" ca="1" si="153"/>
        <v>-0.62689165327154184</v>
      </c>
      <c r="V691" s="69">
        <f t="shared" ca="1" si="154"/>
        <v>1.4899097909167565</v>
      </c>
      <c r="W691" s="69">
        <f t="shared" ca="1" si="155"/>
        <v>-1.619267489921006</v>
      </c>
      <c r="X691" s="69">
        <f t="shared" ca="1" si="156"/>
        <v>0.48182645741969121</v>
      </c>
    </row>
    <row r="692" spans="2:24" x14ac:dyDescent="0.2">
      <c r="B692" s="69">
        <f t="shared" ca="1" si="145"/>
        <v>1.7540394386588118</v>
      </c>
      <c r="C692" s="69">
        <f t="shared" ca="1" si="158"/>
        <v>-0.7037910682961841</v>
      </c>
      <c r="D692" s="69">
        <f t="shared" ca="1" si="158"/>
        <v>0.6694554737067917</v>
      </c>
      <c r="E692" s="69">
        <f t="shared" ca="1" si="158"/>
        <v>0.44151657030053815</v>
      </c>
      <c r="F692" s="69">
        <f t="shared" ca="1" si="158"/>
        <v>-0.22314329536421593</v>
      </c>
      <c r="G692" s="69">
        <f t="shared" ca="1" si="158"/>
        <v>-0.51979201846159573</v>
      </c>
      <c r="H692" s="69">
        <f t="shared" ca="1" si="158"/>
        <v>-0.22923121532167381</v>
      </c>
      <c r="I692" s="69">
        <f t="shared" ca="1" si="158"/>
        <v>1.0783344952794782</v>
      </c>
      <c r="J692" s="69">
        <f t="shared" ca="1" si="158"/>
        <v>-0.8518779739988348</v>
      </c>
      <c r="K692" s="69">
        <f t="shared" ca="1" si="158"/>
        <v>-0.80262303192784223</v>
      </c>
      <c r="L692" s="69">
        <f t="shared" ca="1" si="158"/>
        <v>-1.0784220453417903</v>
      </c>
      <c r="N692" s="69">
        <f t="shared" ca="1" si="146"/>
        <v>1.7918074824969206</v>
      </c>
      <c r="O692" s="69">
        <f t="shared" ca="1" si="147"/>
        <v>-0.73028463137907074</v>
      </c>
      <c r="P692" s="69">
        <f t="shared" ca="1" si="148"/>
        <v>0.61171340886970171</v>
      </c>
      <c r="Q692" s="69">
        <f t="shared" ca="1" si="149"/>
        <v>0.49062524916229711</v>
      </c>
      <c r="R692" s="69">
        <f t="shared" ca="1" si="150"/>
        <v>-0.22943798077186484</v>
      </c>
      <c r="S692" s="69">
        <f t="shared" ca="1" si="151"/>
        <v>-0.48696504620478726</v>
      </c>
      <c r="T692" s="69">
        <f t="shared" ca="1" si="152"/>
        <v>-0.23406225303686365</v>
      </c>
      <c r="U692" s="69">
        <f t="shared" ca="1" si="153"/>
        <v>1.1013746221571878</v>
      </c>
      <c r="V692" s="69">
        <f t="shared" ca="1" si="154"/>
        <v>-0.85798756757243211</v>
      </c>
      <c r="W692" s="69">
        <f t="shared" ca="1" si="155"/>
        <v>-0.80164167510374329</v>
      </c>
      <c r="X692" s="69">
        <f t="shared" ca="1" si="156"/>
        <v>-1.0512535549673547</v>
      </c>
    </row>
    <row r="693" spans="2:24" x14ac:dyDescent="0.2">
      <c r="B693" s="69">
        <f t="shared" ca="1" si="145"/>
        <v>-0.25167309048577557</v>
      </c>
      <c r="C693" s="69">
        <f t="shared" ca="1" si="158"/>
        <v>-0.16692643485482844</v>
      </c>
      <c r="D693" s="69">
        <f t="shared" ca="1" si="158"/>
        <v>-0.54905367292577811</v>
      </c>
      <c r="E693" s="69">
        <f t="shared" ca="1" si="158"/>
        <v>-0.39527763356989343</v>
      </c>
      <c r="F693" s="69">
        <f t="shared" ca="1" si="158"/>
        <v>-0.41338138929173562</v>
      </c>
      <c r="G693" s="69">
        <f t="shared" ca="1" si="158"/>
        <v>-1.3615737265493939</v>
      </c>
      <c r="H693" s="69">
        <f t="shared" ca="1" si="158"/>
        <v>0.46533812555096093</v>
      </c>
      <c r="I693" s="69">
        <f t="shared" ca="1" si="158"/>
        <v>-0.34089535772928886</v>
      </c>
      <c r="J693" s="69">
        <f t="shared" ca="1" si="158"/>
        <v>0.58787228185705398</v>
      </c>
      <c r="K693" s="69">
        <f t="shared" ca="1" si="158"/>
        <v>1.2308836843620354</v>
      </c>
      <c r="L693" s="69">
        <f t="shared" ca="1" si="158"/>
        <v>-0.50548934927187728</v>
      </c>
      <c r="N693" s="69">
        <f t="shared" ca="1" si="146"/>
        <v>-0.21390504664766674</v>
      </c>
      <c r="O693" s="69">
        <f t="shared" ca="1" si="147"/>
        <v>-0.19341999793771514</v>
      </c>
      <c r="P693" s="69">
        <f t="shared" ca="1" si="148"/>
        <v>-0.6067957377628681</v>
      </c>
      <c r="Q693" s="69">
        <f t="shared" ca="1" si="149"/>
        <v>-0.34616895470813447</v>
      </c>
      <c r="R693" s="69">
        <f t="shared" ca="1" si="150"/>
        <v>-0.4196760746993845</v>
      </c>
      <c r="S693" s="69">
        <f t="shared" ca="1" si="151"/>
        <v>-1.3287467542925855</v>
      </c>
      <c r="T693" s="69">
        <f t="shared" ca="1" si="152"/>
        <v>0.4605070878357711</v>
      </c>
      <c r="U693" s="69">
        <f t="shared" ca="1" si="153"/>
        <v>-0.31785523085157918</v>
      </c>
      <c r="V693" s="69">
        <f t="shared" ca="1" si="154"/>
        <v>0.58176268828345667</v>
      </c>
      <c r="W693" s="69">
        <f t="shared" ca="1" si="155"/>
        <v>1.2318650411861345</v>
      </c>
      <c r="X693" s="69">
        <f t="shared" ca="1" si="156"/>
        <v>-0.4783208588974418</v>
      </c>
    </row>
    <row r="694" spans="2:24" x14ac:dyDescent="0.2">
      <c r="B694" s="69">
        <f t="shared" ca="1" si="145"/>
        <v>1.8375859154455525</v>
      </c>
      <c r="C694" s="69">
        <f t="shared" ca="1" si="158"/>
        <v>0.72719062490246311</v>
      </c>
      <c r="D694" s="69">
        <f t="shared" ca="1" si="158"/>
        <v>0.64602374437925292</v>
      </c>
      <c r="E694" s="69">
        <f t="shared" ca="1" si="158"/>
        <v>-0.58741156433003949</v>
      </c>
      <c r="F694" s="69">
        <f t="shared" ca="1" si="158"/>
        <v>-0.19359572248374951</v>
      </c>
      <c r="G694" s="69">
        <f t="shared" ca="1" si="158"/>
        <v>1.71898952237562</v>
      </c>
      <c r="H694" s="69">
        <f t="shared" ca="1" si="158"/>
        <v>-1.80940253190751</v>
      </c>
      <c r="I694" s="69">
        <f t="shared" ca="1" si="158"/>
        <v>-0.34416148786274992</v>
      </c>
      <c r="J694" s="69">
        <f t="shared" ca="1" si="158"/>
        <v>0.13843595597931752</v>
      </c>
      <c r="K694" s="69">
        <f t="shared" ca="1" si="158"/>
        <v>-0.82904167603397561</v>
      </c>
      <c r="L694" s="69">
        <f t="shared" ca="1" si="158"/>
        <v>-0.50053330896143911</v>
      </c>
      <c r="N694" s="69">
        <f t="shared" ca="1" si="146"/>
        <v>1.8753539592836612</v>
      </c>
      <c r="O694" s="69">
        <f t="shared" ca="1" si="147"/>
        <v>0.70069706181957647</v>
      </c>
      <c r="P694" s="69">
        <f t="shared" ca="1" si="148"/>
        <v>0.58828167954216293</v>
      </c>
      <c r="Q694" s="69">
        <f t="shared" ca="1" si="149"/>
        <v>-0.53830288546828053</v>
      </c>
      <c r="R694" s="69">
        <f t="shared" ca="1" si="150"/>
        <v>-0.19989040789139842</v>
      </c>
      <c r="S694" s="69">
        <f t="shared" ca="1" si="151"/>
        <v>1.7518164946324284</v>
      </c>
      <c r="T694" s="69">
        <f t="shared" ca="1" si="152"/>
        <v>-1.8142335696226999</v>
      </c>
      <c r="U694" s="69">
        <f t="shared" ca="1" si="153"/>
        <v>-0.32112136098504024</v>
      </c>
      <c r="V694" s="69">
        <f t="shared" ca="1" si="154"/>
        <v>0.13232636240572018</v>
      </c>
      <c r="W694" s="69">
        <f t="shared" ca="1" si="155"/>
        <v>-0.82806031920987666</v>
      </c>
      <c r="X694" s="69">
        <f t="shared" ca="1" si="156"/>
        <v>-0.47336481858700363</v>
      </c>
    </row>
    <row r="695" spans="2:24" x14ac:dyDescent="0.2">
      <c r="B695" s="69">
        <f t="shared" ca="1" si="145"/>
        <v>0.75643596950444836</v>
      </c>
      <c r="C695" s="69">
        <f t="shared" ca="1" si="158"/>
        <v>0.90236645468485843</v>
      </c>
      <c r="D695" s="69">
        <f t="shared" ca="1" si="158"/>
        <v>-1.2331879945947948</v>
      </c>
      <c r="E695" s="69">
        <f t="shared" ca="1" si="158"/>
        <v>-0.56735990886353616</v>
      </c>
      <c r="F695" s="69">
        <f t="shared" ca="1" si="158"/>
        <v>-1.7547319512452424</v>
      </c>
      <c r="G695" s="69">
        <f t="shared" ca="1" si="158"/>
        <v>0.99977639611441227</v>
      </c>
      <c r="H695" s="69">
        <f t="shared" ca="1" si="158"/>
        <v>0.62442509657428336</v>
      </c>
      <c r="I695" s="69">
        <f t="shared" ca="1" si="158"/>
        <v>0.50354054613218935</v>
      </c>
      <c r="J695" s="69">
        <f t="shared" ca="1" si="158"/>
        <v>-0.68282926434605284</v>
      </c>
      <c r="K695" s="69">
        <f t="shared" ca="1" si="158"/>
        <v>0.17840678253352082</v>
      </c>
      <c r="L695" s="69">
        <f t="shared" ca="1" si="158"/>
        <v>0.87839449204270592</v>
      </c>
      <c r="N695" s="69">
        <f t="shared" ca="1" si="146"/>
        <v>0.79420401334255719</v>
      </c>
      <c r="O695" s="69">
        <f t="shared" ca="1" si="147"/>
        <v>0.87587289160197179</v>
      </c>
      <c r="P695" s="69">
        <f t="shared" ca="1" si="148"/>
        <v>-1.2909300594318849</v>
      </c>
      <c r="Q695" s="69">
        <f t="shared" ca="1" si="149"/>
        <v>-0.5182512300017772</v>
      </c>
      <c r="R695" s="69">
        <f t="shared" ca="1" si="150"/>
        <v>-1.7610266366528913</v>
      </c>
      <c r="S695" s="69">
        <f t="shared" ca="1" si="151"/>
        <v>1.0326033683712208</v>
      </c>
      <c r="T695" s="69">
        <f t="shared" ca="1" si="152"/>
        <v>0.61959405885909347</v>
      </c>
      <c r="U695" s="69">
        <f t="shared" ca="1" si="153"/>
        <v>0.52658067300989897</v>
      </c>
      <c r="V695" s="69">
        <f t="shared" ca="1" si="154"/>
        <v>-0.68893885791965015</v>
      </c>
      <c r="W695" s="69">
        <f t="shared" ca="1" si="155"/>
        <v>0.17938813935761977</v>
      </c>
      <c r="X695" s="69">
        <f t="shared" ca="1" si="156"/>
        <v>0.90556298241714139</v>
      </c>
    </row>
    <row r="696" spans="2:24" x14ac:dyDescent="0.2">
      <c r="B696" s="69">
        <f t="shared" ca="1" si="145"/>
        <v>-0.24822928196190633</v>
      </c>
      <c r="C696" s="69">
        <f t="shared" ca="1" si="158"/>
        <v>0.17626676509002567</v>
      </c>
      <c r="D696" s="69">
        <f t="shared" ca="1" si="158"/>
        <v>0.444707165067459</v>
      </c>
      <c r="E696" s="69">
        <f t="shared" ca="1" si="158"/>
        <v>0.14325540323210387</v>
      </c>
      <c r="F696" s="69">
        <f t="shared" ca="1" si="158"/>
        <v>-0.51137346863110544</v>
      </c>
      <c r="G696" s="69">
        <f t="shared" ca="1" si="158"/>
        <v>-0.63756347683989911</v>
      </c>
      <c r="H696" s="69">
        <f t="shared" ca="1" si="158"/>
        <v>9.4018766237909779E-2</v>
      </c>
      <c r="I696" s="69">
        <f t="shared" ca="1" si="158"/>
        <v>1.380815071699262</v>
      </c>
      <c r="J696" s="69">
        <f t="shared" ca="1" si="158"/>
        <v>-8.4045840737800789E-2</v>
      </c>
      <c r="K696" s="69">
        <f t="shared" ca="1" si="158"/>
        <v>-0.6101201580036657</v>
      </c>
      <c r="L696" s="69">
        <f t="shared" ca="1" si="158"/>
        <v>-0.99882910975067818</v>
      </c>
      <c r="N696" s="69">
        <f t="shared" ca="1" si="146"/>
        <v>-0.21046123812379752</v>
      </c>
      <c r="O696" s="69">
        <f t="shared" ca="1" si="147"/>
        <v>0.14977320200713898</v>
      </c>
      <c r="P696" s="69">
        <f t="shared" ca="1" si="148"/>
        <v>0.38696510023036895</v>
      </c>
      <c r="Q696" s="69">
        <f t="shared" ca="1" si="149"/>
        <v>0.1923640820938628</v>
      </c>
      <c r="R696" s="69">
        <f t="shared" ca="1" si="150"/>
        <v>-0.51766815403875432</v>
      </c>
      <c r="S696" s="69">
        <f t="shared" ca="1" si="151"/>
        <v>-0.60473650458309058</v>
      </c>
      <c r="T696" s="69">
        <f t="shared" ca="1" si="152"/>
        <v>8.9187728522719931E-2</v>
      </c>
      <c r="U696" s="69">
        <f t="shared" ca="1" si="153"/>
        <v>1.4038551985769716</v>
      </c>
      <c r="V696" s="69">
        <f t="shared" ca="1" si="154"/>
        <v>-9.0155434311398122E-2</v>
      </c>
      <c r="W696" s="69">
        <f t="shared" ca="1" si="155"/>
        <v>-0.60913880117956676</v>
      </c>
      <c r="X696" s="69">
        <f t="shared" ca="1" si="156"/>
        <v>-0.97166061937624271</v>
      </c>
    </row>
    <row r="697" spans="2:24" x14ac:dyDescent="0.2">
      <c r="B697" s="69">
        <f t="shared" ca="1" si="145"/>
        <v>0.14990792459815436</v>
      </c>
      <c r="C697" s="69">
        <f t="shared" ca="1" si="158"/>
        <v>-0.13128735112261466</v>
      </c>
      <c r="D697" s="69">
        <f t="shared" ca="1" si="158"/>
        <v>-1.7326641666621196</v>
      </c>
      <c r="E697" s="69">
        <f t="shared" ca="1" si="158"/>
        <v>-1.1284741760624744</v>
      </c>
      <c r="F697" s="69">
        <f t="shared" ca="1" si="158"/>
        <v>-1.1614965145028395</v>
      </c>
      <c r="G697" s="69">
        <f t="shared" ca="1" si="158"/>
        <v>-0.11343622373711151</v>
      </c>
      <c r="H697" s="69">
        <f t="shared" ca="1" si="158"/>
        <v>-1.9176734871004402</v>
      </c>
      <c r="I697" s="69">
        <f t="shared" ca="1" si="158"/>
        <v>-1.380194532012716</v>
      </c>
      <c r="J697" s="69">
        <f t="shared" ca="1" si="158"/>
        <v>0.23322912228187154</v>
      </c>
      <c r="K697" s="69">
        <f t="shared" ca="1" si="158"/>
        <v>-0.42356420826748109</v>
      </c>
      <c r="L697" s="69">
        <f t="shared" ca="1" si="158"/>
        <v>-2.3254638405428851</v>
      </c>
      <c r="N697" s="69">
        <f t="shared" ca="1" si="146"/>
        <v>0.18767596843626316</v>
      </c>
      <c r="O697" s="69">
        <f t="shared" ca="1" si="147"/>
        <v>-0.15778091420550136</v>
      </c>
      <c r="P697" s="69">
        <f t="shared" ca="1" si="148"/>
        <v>-1.7904062314992097</v>
      </c>
      <c r="Q697" s="69">
        <f t="shared" ca="1" si="149"/>
        <v>-1.0793654972007154</v>
      </c>
      <c r="R697" s="69">
        <f t="shared" ca="1" si="150"/>
        <v>-1.1677911999104884</v>
      </c>
      <c r="S697" s="69">
        <f t="shared" ca="1" si="151"/>
        <v>-8.060925148030304E-2</v>
      </c>
      <c r="T697" s="69">
        <f t="shared" ca="1" si="152"/>
        <v>-1.9225045248156301</v>
      </c>
      <c r="U697" s="69">
        <f t="shared" ca="1" si="153"/>
        <v>-1.3571544051350064</v>
      </c>
      <c r="V697" s="69">
        <f t="shared" ca="1" si="154"/>
        <v>0.2271195287082742</v>
      </c>
      <c r="W697" s="69">
        <f t="shared" ca="1" si="155"/>
        <v>-0.42258285144338215</v>
      </c>
      <c r="X697" s="69">
        <f t="shared" ca="1" si="156"/>
        <v>-2.2982953501684498</v>
      </c>
    </row>
    <row r="698" spans="2:24" x14ac:dyDescent="0.2">
      <c r="B698" s="69">
        <f t="shared" ca="1" si="145"/>
        <v>-0.53958735053156415</v>
      </c>
      <c r="C698" s="69">
        <f t="shared" ca="1" si="158"/>
        <v>0.53769832944094664</v>
      </c>
      <c r="D698" s="69">
        <f t="shared" ca="1" si="158"/>
        <v>0.36666363858443846</v>
      </c>
      <c r="E698" s="69">
        <f t="shared" ca="1" si="158"/>
        <v>1.7643733381196456</v>
      </c>
      <c r="F698" s="69">
        <f t="shared" ca="1" si="158"/>
        <v>-1.2408111761337972</v>
      </c>
      <c r="G698" s="69">
        <f t="shared" ca="1" si="158"/>
        <v>0.24914488874581187</v>
      </c>
      <c r="H698" s="69">
        <f t="shared" ca="1" si="158"/>
        <v>-2.1932819212227568E-2</v>
      </c>
      <c r="I698" s="69">
        <f t="shared" ca="1" si="158"/>
        <v>0.36296056956072054</v>
      </c>
      <c r="J698" s="69">
        <f t="shared" ca="1" si="158"/>
        <v>1.8437525067774145</v>
      </c>
      <c r="K698" s="69">
        <f t="shared" ca="1" si="158"/>
        <v>-1.0218860330843085</v>
      </c>
      <c r="L698" s="69">
        <f t="shared" ca="1" si="158"/>
        <v>0.2426046420965475</v>
      </c>
      <c r="N698" s="69">
        <f t="shared" ca="1" si="146"/>
        <v>-0.50181930669345531</v>
      </c>
      <c r="O698" s="69">
        <f t="shared" ca="1" si="147"/>
        <v>0.51120476635806</v>
      </c>
      <c r="P698" s="69">
        <f t="shared" ca="1" si="148"/>
        <v>0.30892157374734841</v>
      </c>
      <c r="Q698" s="69">
        <f t="shared" ca="1" si="149"/>
        <v>1.8134820169814045</v>
      </c>
      <c r="R698" s="69">
        <f t="shared" ca="1" si="150"/>
        <v>-1.2471058615414461</v>
      </c>
      <c r="S698" s="69">
        <f t="shared" ca="1" si="151"/>
        <v>0.28197186100262034</v>
      </c>
      <c r="T698" s="69">
        <f t="shared" ca="1" si="152"/>
        <v>-2.6763856927417413E-2</v>
      </c>
      <c r="U698" s="69">
        <f t="shared" ca="1" si="153"/>
        <v>0.38600069643843021</v>
      </c>
      <c r="V698" s="69">
        <f t="shared" ca="1" si="154"/>
        <v>1.8376429132038172</v>
      </c>
      <c r="W698" s="69">
        <f t="shared" ca="1" si="155"/>
        <v>-1.0209046762602094</v>
      </c>
      <c r="X698" s="69">
        <f t="shared" ca="1" si="156"/>
        <v>0.269773132470983</v>
      </c>
    </row>
    <row r="699" spans="2:24" x14ac:dyDescent="0.2">
      <c r="B699" s="69">
        <f t="shared" ca="1" si="145"/>
        <v>0.79414495052860934</v>
      </c>
      <c r="C699" s="69">
        <f t="shared" ca="1" si="158"/>
        <v>1.0586295376467714</v>
      </c>
      <c r="D699" s="69">
        <f t="shared" ca="1" si="158"/>
        <v>-0.10554723900716803</v>
      </c>
      <c r="E699" s="69">
        <f t="shared" ca="1" si="158"/>
        <v>0.86053845098613513</v>
      </c>
      <c r="F699" s="69">
        <f t="shared" ca="1" si="158"/>
        <v>-0.46950032269354619</v>
      </c>
      <c r="G699" s="69">
        <f t="shared" ca="1" si="158"/>
        <v>1.0454156051788537</v>
      </c>
      <c r="H699" s="69">
        <f t="shared" ca="1" si="158"/>
        <v>0.30828880198230985</v>
      </c>
      <c r="I699" s="69">
        <f t="shared" ca="1" si="158"/>
        <v>-0.3823661098206339</v>
      </c>
      <c r="J699" s="69">
        <f t="shared" ca="1" si="158"/>
        <v>-0.4397150221121458</v>
      </c>
      <c r="K699" s="69">
        <f t="shared" ca="1" si="158"/>
        <v>1.6109951631113286</v>
      </c>
      <c r="L699" s="69">
        <f t="shared" ca="1" si="158"/>
        <v>-0.7342736739390503</v>
      </c>
      <c r="N699" s="69">
        <f t="shared" ca="1" si="146"/>
        <v>0.83191299436671817</v>
      </c>
      <c r="O699" s="69">
        <f t="shared" ca="1" si="147"/>
        <v>1.0321359745638847</v>
      </c>
      <c r="P699" s="69">
        <f t="shared" ca="1" si="148"/>
        <v>-0.16328930384425805</v>
      </c>
      <c r="Q699" s="69">
        <f t="shared" ca="1" si="149"/>
        <v>0.90964712984789409</v>
      </c>
      <c r="R699" s="69">
        <f t="shared" ca="1" si="150"/>
        <v>-0.47579500810119507</v>
      </c>
      <c r="S699" s="69">
        <f t="shared" ca="1" si="151"/>
        <v>1.0782425774356621</v>
      </c>
      <c r="T699" s="69">
        <f t="shared" ca="1" si="152"/>
        <v>0.30345776426712001</v>
      </c>
      <c r="U699" s="69">
        <f t="shared" ca="1" si="153"/>
        <v>-0.35932598294292423</v>
      </c>
      <c r="V699" s="69">
        <f t="shared" ca="1" si="154"/>
        <v>-0.44582461568574311</v>
      </c>
      <c r="W699" s="69">
        <f t="shared" ca="1" si="155"/>
        <v>1.6119765199354277</v>
      </c>
      <c r="X699" s="69">
        <f t="shared" ca="1" si="156"/>
        <v>-0.70710518356461483</v>
      </c>
    </row>
    <row r="700" spans="2:24" x14ac:dyDescent="0.2">
      <c r="B700" s="69">
        <f t="shared" ca="1" si="145"/>
        <v>-1.7391339393243945</v>
      </c>
      <c r="C700" s="69">
        <f t="shared" ca="1" si="158"/>
        <v>0.27992450756663156</v>
      </c>
      <c r="D700" s="69">
        <f t="shared" ca="1" si="158"/>
        <v>-0.71451876488216726</v>
      </c>
      <c r="E700" s="69">
        <f t="shared" ca="1" si="158"/>
        <v>0.24903446889199621</v>
      </c>
      <c r="F700" s="69">
        <f t="shared" ca="1" si="158"/>
        <v>9.2855117308183993E-2</v>
      </c>
      <c r="G700" s="69">
        <f t="shared" ca="1" si="158"/>
        <v>1.4009780831271776</v>
      </c>
      <c r="H700" s="69">
        <f t="shared" ca="1" si="158"/>
        <v>1.2363951764605625</v>
      </c>
      <c r="I700" s="69">
        <f t="shared" ca="1" si="158"/>
        <v>0.54556829321753342</v>
      </c>
      <c r="J700" s="69">
        <f t="shared" ca="1" si="158"/>
        <v>7.4938415324477953E-2</v>
      </c>
      <c r="K700" s="69">
        <f t="shared" ca="1" si="158"/>
        <v>0.50137819528012684</v>
      </c>
      <c r="L700" s="69">
        <f t="shared" ca="1" si="158"/>
        <v>0.34779455675440274</v>
      </c>
      <c r="N700" s="69">
        <f t="shared" ca="1" si="146"/>
        <v>-1.7013658954862858</v>
      </c>
      <c r="O700" s="69">
        <f t="shared" ca="1" si="147"/>
        <v>0.25343094448374487</v>
      </c>
      <c r="P700" s="69">
        <f t="shared" ca="1" si="148"/>
        <v>-0.77226082971925725</v>
      </c>
      <c r="Q700" s="69">
        <f t="shared" ca="1" si="149"/>
        <v>0.29814314775375517</v>
      </c>
      <c r="R700" s="69">
        <f t="shared" ca="1" si="150"/>
        <v>8.6560431900535098E-2</v>
      </c>
      <c r="S700" s="69">
        <f t="shared" ca="1" si="151"/>
        <v>1.4338050553839861</v>
      </c>
      <c r="T700" s="69">
        <f t="shared" ca="1" si="152"/>
        <v>1.2315641387453726</v>
      </c>
      <c r="U700" s="69">
        <f t="shared" ca="1" si="153"/>
        <v>0.56860842009524304</v>
      </c>
      <c r="V700" s="69">
        <f t="shared" ca="1" si="154"/>
        <v>6.882882175088062E-2</v>
      </c>
      <c r="W700" s="69">
        <f t="shared" ca="1" si="155"/>
        <v>0.50235955210422578</v>
      </c>
      <c r="X700" s="69">
        <f t="shared" ca="1" si="156"/>
        <v>0.37496304712883821</v>
      </c>
    </row>
    <row r="701" spans="2:24" x14ac:dyDescent="0.2">
      <c r="B701" s="69">
        <f t="shared" ca="1" si="145"/>
        <v>-0.23290668710374471</v>
      </c>
      <c r="C701" s="69">
        <f t="shared" ca="1" si="158"/>
        <v>-0.35801647791151608</v>
      </c>
      <c r="D701" s="69">
        <f t="shared" ca="1" si="158"/>
        <v>1.8638713372829649</v>
      </c>
      <c r="E701" s="69">
        <f t="shared" ca="1" si="158"/>
        <v>2.2891518617792252</v>
      </c>
      <c r="F701" s="69">
        <f t="shared" ca="1" si="158"/>
        <v>-2.9742645331657807E-2</v>
      </c>
      <c r="G701" s="69">
        <f t="shared" ca="1" si="158"/>
        <v>0.17066377710371855</v>
      </c>
      <c r="H701" s="69">
        <f t="shared" ca="1" si="158"/>
        <v>-1.7318564885177394</v>
      </c>
      <c r="I701" s="69">
        <f t="shared" ca="1" si="158"/>
        <v>2.8267153131967822E-2</v>
      </c>
      <c r="J701" s="69">
        <f t="shared" ca="1" si="158"/>
        <v>0.94713509094430048</v>
      </c>
      <c r="K701" s="69">
        <f t="shared" ca="1" si="158"/>
        <v>1.8914271084380432</v>
      </c>
      <c r="L701" s="69">
        <f t="shared" ca="1" si="158"/>
        <v>-0.61419980534590002</v>
      </c>
      <c r="N701" s="69">
        <f t="shared" ca="1" si="146"/>
        <v>-0.1951386432656359</v>
      </c>
      <c r="O701" s="69">
        <f t="shared" ca="1" si="147"/>
        <v>-0.38451004099440278</v>
      </c>
      <c r="P701" s="69">
        <f t="shared" ca="1" si="148"/>
        <v>1.8061292724458748</v>
      </c>
      <c r="Q701" s="69">
        <f t="shared" ca="1" si="149"/>
        <v>2.338260540640984</v>
      </c>
      <c r="R701" s="69">
        <f t="shared" ca="1" si="150"/>
        <v>-3.6037330739306705E-2</v>
      </c>
      <c r="S701" s="69">
        <f t="shared" ca="1" si="151"/>
        <v>0.20349074936052702</v>
      </c>
      <c r="T701" s="69">
        <f t="shared" ca="1" si="152"/>
        <v>-1.7366875262329293</v>
      </c>
      <c r="U701" s="69">
        <f t="shared" ca="1" si="153"/>
        <v>5.1307280009677478E-2</v>
      </c>
      <c r="V701" s="69">
        <f t="shared" ca="1" si="154"/>
        <v>0.94102549737070318</v>
      </c>
      <c r="W701" s="69">
        <f t="shared" ca="1" si="155"/>
        <v>1.8924084652621422</v>
      </c>
      <c r="X701" s="69">
        <f t="shared" ca="1" si="156"/>
        <v>-0.58703131497146455</v>
      </c>
    </row>
    <row r="702" spans="2:24" x14ac:dyDescent="0.2">
      <c r="B702" s="69">
        <f t="shared" ca="1" si="145"/>
        <v>-1.588774510837305</v>
      </c>
      <c r="C702" s="69">
        <f t="shared" ca="1" si="158"/>
        <v>-8.2394032437699175E-2</v>
      </c>
      <c r="D702" s="69">
        <f t="shared" ca="1" si="158"/>
        <v>1.4544039462946623</v>
      </c>
      <c r="E702" s="69">
        <f t="shared" ca="1" si="158"/>
        <v>7.7862933735255963E-2</v>
      </c>
      <c r="F702" s="69">
        <f t="shared" ca="1" si="158"/>
        <v>2.2594460381697163</v>
      </c>
      <c r="G702" s="69">
        <f t="shared" ca="1" si="158"/>
        <v>6.1108081854979658E-2</v>
      </c>
      <c r="H702" s="69">
        <f t="shared" ca="1" si="158"/>
        <v>-0.66429058542220909</v>
      </c>
      <c r="I702" s="69">
        <f t="shared" ca="1" si="158"/>
        <v>-1.0713385163766738</v>
      </c>
      <c r="J702" s="69">
        <f t="shared" ca="1" si="158"/>
        <v>-4.623675176807894E-2</v>
      </c>
      <c r="K702" s="69">
        <f t="shared" ca="1" si="158"/>
        <v>-1.1433948690591778</v>
      </c>
      <c r="L702" s="69">
        <f t="shared" ca="1" si="158"/>
        <v>6.1291413806116149E-2</v>
      </c>
      <c r="N702" s="69">
        <f t="shared" ca="1" si="146"/>
        <v>-1.5510064669991963</v>
      </c>
      <c r="O702" s="69">
        <f t="shared" ca="1" si="147"/>
        <v>-0.10888759552058586</v>
      </c>
      <c r="P702" s="69">
        <f t="shared" ca="1" si="148"/>
        <v>1.3966618814575722</v>
      </c>
      <c r="Q702" s="69">
        <f t="shared" ca="1" si="149"/>
        <v>0.12697161259701489</v>
      </c>
      <c r="R702" s="69">
        <f t="shared" ca="1" si="150"/>
        <v>2.2531513527620675</v>
      </c>
      <c r="S702" s="69">
        <f t="shared" ca="1" si="151"/>
        <v>9.3935054111788138E-2</v>
      </c>
      <c r="T702" s="69">
        <f t="shared" ca="1" si="152"/>
        <v>-0.66912162313739898</v>
      </c>
      <c r="U702" s="69">
        <f t="shared" ca="1" si="153"/>
        <v>-1.0482983894989641</v>
      </c>
      <c r="V702" s="69">
        <f t="shared" ca="1" si="154"/>
        <v>-5.2346345341676273E-2</v>
      </c>
      <c r="W702" s="69">
        <f t="shared" ca="1" si="155"/>
        <v>-1.1424135122350787</v>
      </c>
      <c r="X702" s="69">
        <f t="shared" ca="1" si="156"/>
        <v>8.8459904180551635E-2</v>
      </c>
    </row>
    <row r="703" spans="2:24" x14ac:dyDescent="0.2">
      <c r="B703" s="69">
        <f t="shared" ca="1" si="145"/>
        <v>-0.3629481036341442</v>
      </c>
      <c r="C703" s="69">
        <f t="shared" ca="1" si="158"/>
        <v>-0.65537590476202978</v>
      </c>
      <c r="D703" s="69">
        <f t="shared" ca="1" si="158"/>
        <v>-0.34983078978833815</v>
      </c>
      <c r="E703" s="69">
        <f t="shared" ca="1" si="158"/>
        <v>-0.89230748212806044</v>
      </c>
      <c r="F703" s="69">
        <f t="shared" ca="1" si="158"/>
        <v>-0.12127422641131728</v>
      </c>
      <c r="G703" s="69">
        <f t="shared" ca="1" si="158"/>
        <v>-1.9375651901831177</v>
      </c>
      <c r="H703" s="69">
        <f t="shared" ca="1" si="158"/>
        <v>-0.26566614240423619</v>
      </c>
      <c r="I703" s="69">
        <f t="shared" ca="1" si="158"/>
        <v>1.7317023430224803</v>
      </c>
      <c r="J703" s="69">
        <f t="shared" ca="1" si="158"/>
        <v>1.0081034735417682</v>
      </c>
      <c r="K703" s="69">
        <f t="shared" ca="1" si="158"/>
        <v>-1.011973425538416E-2</v>
      </c>
      <c r="L703" s="69">
        <f t="shared" ca="1" si="158"/>
        <v>-0.71984975779537308</v>
      </c>
      <c r="N703" s="69">
        <f t="shared" ca="1" si="146"/>
        <v>-0.32518005979603537</v>
      </c>
      <c r="O703" s="69">
        <f t="shared" ca="1" si="147"/>
        <v>-0.68186946784491642</v>
      </c>
      <c r="P703" s="69">
        <f t="shared" ca="1" si="148"/>
        <v>-0.40757285462542819</v>
      </c>
      <c r="Q703" s="69">
        <f t="shared" ca="1" si="149"/>
        <v>-0.84319880326630148</v>
      </c>
      <c r="R703" s="69">
        <f t="shared" ca="1" si="150"/>
        <v>-0.12756891181896618</v>
      </c>
      <c r="S703" s="69">
        <f t="shared" ca="1" si="151"/>
        <v>-1.9047382179263093</v>
      </c>
      <c r="T703" s="69">
        <f t="shared" ca="1" si="152"/>
        <v>-0.27049718011942603</v>
      </c>
      <c r="U703" s="69">
        <f t="shared" ca="1" si="153"/>
        <v>1.7547424699001899</v>
      </c>
      <c r="V703" s="69">
        <f t="shared" ca="1" si="154"/>
        <v>1.0019938799681709</v>
      </c>
      <c r="W703" s="69">
        <f t="shared" ca="1" si="155"/>
        <v>-9.1383774312852085E-3</v>
      </c>
      <c r="X703" s="69">
        <f t="shared" ca="1" si="156"/>
        <v>-0.69268126742093761</v>
      </c>
    </row>
    <row r="704" spans="2:24" x14ac:dyDescent="0.2">
      <c r="B704" s="69">
        <f t="shared" ca="1" si="145"/>
        <v>-1.9928603428152427</v>
      </c>
      <c r="C704" s="69">
        <f t="shared" ca="1" si="158"/>
        <v>1.2705691407794395</v>
      </c>
      <c r="D704" s="69">
        <f t="shared" ca="1" si="158"/>
        <v>1.6472302013470339</v>
      </c>
      <c r="E704" s="69">
        <f t="shared" ca="1" si="158"/>
        <v>-0.99579973813251332</v>
      </c>
      <c r="F704" s="69">
        <f t="shared" ca="1" si="158"/>
        <v>0.28222218970429591</v>
      </c>
      <c r="G704" s="69">
        <f t="shared" ca="1" si="158"/>
        <v>1.0086572022580855</v>
      </c>
      <c r="H704" s="69">
        <f t="shared" ca="1" si="158"/>
        <v>1.5599265786101142</v>
      </c>
      <c r="I704" s="69">
        <f t="shared" ca="1" si="158"/>
        <v>-1.87829367459142</v>
      </c>
      <c r="J704" s="69">
        <f t="shared" ca="1" si="158"/>
        <v>-7.1278501228323715E-2</v>
      </c>
      <c r="K704" s="69">
        <f t="shared" ca="1" si="158"/>
        <v>-1.214807023367102</v>
      </c>
      <c r="L704" s="69">
        <f t="shared" ca="1" si="158"/>
        <v>-0.45944906945913044</v>
      </c>
      <c r="N704" s="69">
        <f t="shared" ca="1" si="146"/>
        <v>-1.955092298977134</v>
      </c>
      <c r="O704" s="69">
        <f t="shared" ca="1" si="147"/>
        <v>1.2440755776965529</v>
      </c>
      <c r="P704" s="69">
        <f t="shared" ca="1" si="148"/>
        <v>1.5894881365099438</v>
      </c>
      <c r="Q704" s="69">
        <f t="shared" ca="1" si="149"/>
        <v>-0.94669105927075436</v>
      </c>
      <c r="R704" s="69">
        <f t="shared" ca="1" si="150"/>
        <v>0.27592750429664703</v>
      </c>
      <c r="S704" s="69">
        <f t="shared" ca="1" si="151"/>
        <v>1.0414841745148939</v>
      </c>
      <c r="T704" s="69">
        <f t="shared" ca="1" si="152"/>
        <v>1.5550955408949243</v>
      </c>
      <c r="U704" s="69">
        <f t="shared" ca="1" si="153"/>
        <v>-1.8552535477137104</v>
      </c>
      <c r="V704" s="69">
        <f t="shared" ca="1" si="154"/>
        <v>-7.7388094801921048E-2</v>
      </c>
      <c r="W704" s="69">
        <f t="shared" ca="1" si="155"/>
        <v>-1.2138256665430029</v>
      </c>
      <c r="X704" s="69">
        <f t="shared" ca="1" si="156"/>
        <v>-0.43228057908469497</v>
      </c>
    </row>
    <row r="705" spans="2:24" x14ac:dyDescent="0.2">
      <c r="B705" s="69">
        <f t="shared" ca="1" si="145"/>
        <v>-1.4103573231132851</v>
      </c>
      <c r="C705" s="69">
        <f t="shared" ca="1" si="158"/>
        <v>-0.56517271904001687</v>
      </c>
      <c r="D705" s="69">
        <f t="shared" ca="1" si="158"/>
        <v>-0.11089070289419513</v>
      </c>
      <c r="E705" s="69">
        <f t="shared" ca="1" si="158"/>
        <v>0.6559033487271092</v>
      </c>
      <c r="F705" s="69">
        <f t="shared" ca="1" si="158"/>
        <v>1.5666690395685143</v>
      </c>
      <c r="G705" s="69">
        <f t="shared" ca="1" si="158"/>
        <v>0.121141625671812</v>
      </c>
      <c r="H705" s="69">
        <f t="shared" ca="1" si="158"/>
        <v>-1.3683869391122288</v>
      </c>
      <c r="I705" s="69">
        <f t="shared" ca="1" si="158"/>
        <v>6.6179520875864414E-2</v>
      </c>
      <c r="J705" s="69">
        <f t="shared" ca="1" si="158"/>
        <v>1.6272426112857916</v>
      </c>
      <c r="K705" s="69">
        <f t="shared" ca="1" si="158"/>
        <v>-1.4069259053496364</v>
      </c>
      <c r="L705" s="69">
        <f t="shared" ca="1" si="158"/>
        <v>-0.49326258586636074</v>
      </c>
      <c r="N705" s="69">
        <f t="shared" ca="1" si="146"/>
        <v>-1.3725892792751764</v>
      </c>
      <c r="O705" s="69">
        <f t="shared" ca="1" si="147"/>
        <v>-0.59166628212290351</v>
      </c>
      <c r="P705" s="69">
        <f t="shared" ca="1" si="148"/>
        <v>-0.16863276773128516</v>
      </c>
      <c r="Q705" s="69">
        <f t="shared" ca="1" si="149"/>
        <v>0.70501202758886816</v>
      </c>
      <c r="R705" s="69">
        <f t="shared" ca="1" si="150"/>
        <v>1.5603743541608655</v>
      </c>
      <c r="S705" s="69">
        <f t="shared" ca="1" si="151"/>
        <v>0.15396859792862047</v>
      </c>
      <c r="T705" s="69">
        <f t="shared" ca="1" si="152"/>
        <v>-1.3732179768274186</v>
      </c>
      <c r="U705" s="69">
        <f t="shared" ca="1" si="153"/>
        <v>8.9219647753574077E-2</v>
      </c>
      <c r="V705" s="69">
        <f t="shared" ca="1" si="154"/>
        <v>1.6211330177121943</v>
      </c>
      <c r="W705" s="69">
        <f t="shared" ca="1" si="155"/>
        <v>-1.4059445485255373</v>
      </c>
      <c r="X705" s="69">
        <f t="shared" ca="1" si="156"/>
        <v>-0.46609409549192526</v>
      </c>
    </row>
    <row r="706" spans="2:24" x14ac:dyDescent="0.2">
      <c r="B706" s="69">
        <f t="shared" ca="1" si="145"/>
        <v>0.3656315066252091</v>
      </c>
      <c r="C706" s="69">
        <f t="shared" ca="1" si="158"/>
        <v>-0.33757026128120637</v>
      </c>
      <c r="D706" s="69">
        <f t="shared" ca="1" si="158"/>
        <v>0.50526496337672211</v>
      </c>
      <c r="E706" s="69">
        <f t="shared" ca="1" si="158"/>
        <v>-1.1278191218211862</v>
      </c>
      <c r="F706" s="69">
        <f t="shared" ca="1" si="158"/>
        <v>-0.70697127105164348</v>
      </c>
      <c r="G706" s="69">
        <f t="shared" ca="1" si="158"/>
        <v>1.5076093525523053</v>
      </c>
      <c r="H706" s="69">
        <f t="shared" ca="1" si="158"/>
        <v>-1.5635197492434538</v>
      </c>
      <c r="I706" s="69">
        <f t="shared" ca="1" si="158"/>
        <v>1.8599059491913772</v>
      </c>
      <c r="J706" s="69">
        <f t="shared" ca="1" si="158"/>
        <v>0.55169969498800442</v>
      </c>
      <c r="K706" s="69">
        <f t="shared" ca="1" si="158"/>
        <v>-2.6293763232119016E-2</v>
      </c>
      <c r="L706" s="69">
        <f t="shared" ca="1" si="158"/>
        <v>-0.59860327190317264</v>
      </c>
      <c r="N706" s="69">
        <f t="shared" ca="1" si="146"/>
        <v>0.40339955046331794</v>
      </c>
      <c r="O706" s="69">
        <f t="shared" ca="1" si="147"/>
        <v>-0.36406382436409307</v>
      </c>
      <c r="P706" s="69">
        <f t="shared" ca="1" si="148"/>
        <v>0.44752289853963206</v>
      </c>
      <c r="Q706" s="69">
        <f t="shared" ca="1" si="149"/>
        <v>-1.0787104429594272</v>
      </c>
      <c r="R706" s="69">
        <f t="shared" ca="1" si="150"/>
        <v>-0.71326595645929236</v>
      </c>
      <c r="S706" s="69">
        <f t="shared" ca="1" si="151"/>
        <v>1.5404363248091137</v>
      </c>
      <c r="T706" s="69">
        <f t="shared" ca="1" si="152"/>
        <v>-1.5683507869586437</v>
      </c>
      <c r="U706" s="69">
        <f t="shared" ca="1" si="153"/>
        <v>1.8829460760690868</v>
      </c>
      <c r="V706" s="69">
        <f t="shared" ca="1" si="154"/>
        <v>0.54559010141440711</v>
      </c>
      <c r="W706" s="69">
        <f t="shared" ca="1" si="155"/>
        <v>-2.5312406408020065E-2</v>
      </c>
      <c r="X706" s="69">
        <f t="shared" ca="1" si="156"/>
        <v>-0.57143478152873717</v>
      </c>
    </row>
    <row r="707" spans="2:24" x14ac:dyDescent="0.2">
      <c r="B707" s="69">
        <f t="shared" ca="1" si="145"/>
        <v>0.62167236778240631</v>
      </c>
      <c r="C707" s="69">
        <f t="shared" ca="1" si="158"/>
        <v>2.4541887459029765</v>
      </c>
      <c r="D707" s="69">
        <f t="shared" ref="C707:L770" ca="1" si="159">NORMINV(RAND(),$C$7,$F$7)</f>
        <v>1.6133512770266456</v>
      </c>
      <c r="E707" s="69">
        <f t="shared" ca="1" si="159"/>
        <v>-0.36640272549445707</v>
      </c>
      <c r="F707" s="69">
        <f t="shared" ca="1" si="159"/>
        <v>-1.3291370160114431</v>
      </c>
      <c r="G707" s="69">
        <f t="shared" ca="1" si="159"/>
        <v>0.34834279921760458</v>
      </c>
      <c r="H707" s="69">
        <f t="shared" ca="1" si="159"/>
        <v>0.64783724859473901</v>
      </c>
      <c r="I707" s="69">
        <f t="shared" ca="1" si="159"/>
        <v>-1.4286497816849397</v>
      </c>
      <c r="J707" s="69">
        <f t="shared" ca="1" si="159"/>
        <v>0.73578285272415056</v>
      </c>
      <c r="K707" s="69">
        <f t="shared" ca="1" si="159"/>
        <v>0.47136251333282764</v>
      </c>
      <c r="L707" s="69">
        <f t="shared" ca="1" si="159"/>
        <v>0.77702462251658511</v>
      </c>
      <c r="N707" s="69">
        <f t="shared" ca="1" si="146"/>
        <v>0.65944041162051514</v>
      </c>
      <c r="O707" s="69">
        <f t="shared" ca="1" si="147"/>
        <v>2.4276951828200897</v>
      </c>
      <c r="P707" s="69">
        <f t="shared" ca="1" si="148"/>
        <v>1.5556092121895555</v>
      </c>
      <c r="Q707" s="69">
        <f t="shared" ca="1" si="149"/>
        <v>-0.31729404663269811</v>
      </c>
      <c r="R707" s="69">
        <f t="shared" ca="1" si="150"/>
        <v>-1.335431701419092</v>
      </c>
      <c r="S707" s="69">
        <f t="shared" ca="1" si="151"/>
        <v>0.38116977147441305</v>
      </c>
      <c r="T707" s="69">
        <f t="shared" ca="1" si="152"/>
        <v>0.64300621087954912</v>
      </c>
      <c r="U707" s="69">
        <f t="shared" ca="1" si="153"/>
        <v>-1.4056096548072301</v>
      </c>
      <c r="V707" s="69">
        <f t="shared" ca="1" si="154"/>
        <v>0.72967325915055326</v>
      </c>
      <c r="W707" s="69">
        <f t="shared" ca="1" si="155"/>
        <v>0.47234387015692658</v>
      </c>
      <c r="X707" s="69">
        <f t="shared" ca="1" si="156"/>
        <v>0.80419311289102058</v>
      </c>
    </row>
    <row r="708" spans="2:24" x14ac:dyDescent="0.2">
      <c r="B708" s="69">
        <f t="shared" ca="1" si="145"/>
        <v>0.46732585820529393</v>
      </c>
      <c r="C708" s="69">
        <f t="shared" ca="1" si="159"/>
        <v>-0.72554246960321589</v>
      </c>
      <c r="D708" s="69">
        <f t="shared" ca="1" si="159"/>
        <v>-2.2448353369105591</v>
      </c>
      <c r="E708" s="69">
        <f t="shared" ca="1" si="159"/>
        <v>-5.7575973828358662E-2</v>
      </c>
      <c r="F708" s="69">
        <f t="shared" ca="1" si="159"/>
        <v>-1.160070658888438</v>
      </c>
      <c r="G708" s="69">
        <f t="shared" ca="1" si="159"/>
        <v>1.1055557255539437</v>
      </c>
      <c r="H708" s="69">
        <f t="shared" ca="1" si="159"/>
        <v>-1.654795231681556</v>
      </c>
      <c r="I708" s="69">
        <f t="shared" ca="1" si="159"/>
        <v>-5.3331549300430513E-2</v>
      </c>
      <c r="J708" s="69">
        <f t="shared" ca="1" si="159"/>
        <v>-1.8133816328026047</v>
      </c>
      <c r="K708" s="69">
        <f t="shared" ca="1" si="159"/>
        <v>1.1302968890699716</v>
      </c>
      <c r="L708" s="69">
        <f t="shared" ca="1" si="159"/>
        <v>-0.97471560659344436</v>
      </c>
      <c r="N708" s="69">
        <f t="shared" ca="1" si="146"/>
        <v>0.50509390204340276</v>
      </c>
      <c r="O708" s="69">
        <f t="shared" ca="1" si="147"/>
        <v>-0.75203603268610253</v>
      </c>
      <c r="P708" s="69">
        <f t="shared" ca="1" si="148"/>
        <v>-2.3025774017476492</v>
      </c>
      <c r="Q708" s="69">
        <f t="shared" ca="1" si="149"/>
        <v>-8.4672949665997171E-3</v>
      </c>
      <c r="R708" s="69">
        <f t="shared" ca="1" si="150"/>
        <v>-1.1663653442960868</v>
      </c>
      <c r="S708" s="69">
        <f t="shared" ca="1" si="151"/>
        <v>1.1383826978107521</v>
      </c>
      <c r="T708" s="69">
        <f t="shared" ca="1" si="152"/>
        <v>-1.6596262693967458</v>
      </c>
      <c r="U708" s="69">
        <f t="shared" ca="1" si="153"/>
        <v>-3.0291422422720857E-2</v>
      </c>
      <c r="V708" s="69">
        <f t="shared" ca="1" si="154"/>
        <v>-1.819491226376202</v>
      </c>
      <c r="W708" s="69">
        <f t="shared" ca="1" si="155"/>
        <v>1.1312782458940707</v>
      </c>
      <c r="X708" s="69">
        <f t="shared" ca="1" si="156"/>
        <v>-0.94754711621900889</v>
      </c>
    </row>
    <row r="709" spans="2:24" x14ac:dyDescent="0.2">
      <c r="B709" s="69">
        <f t="shared" ca="1" si="145"/>
        <v>0.39443394977939594</v>
      </c>
      <c r="C709" s="69">
        <f t="shared" ca="1" si="159"/>
        <v>-0.25960354481993475</v>
      </c>
      <c r="D709" s="69">
        <f t="shared" ca="1" si="159"/>
        <v>0.31583226546852211</v>
      </c>
      <c r="E709" s="69">
        <f t="shared" ca="1" si="159"/>
        <v>-3.1030414194459675</v>
      </c>
      <c r="F709" s="69">
        <f t="shared" ca="1" si="159"/>
        <v>-0.64329280481807094</v>
      </c>
      <c r="G709" s="69">
        <f t="shared" ca="1" si="159"/>
        <v>0.36920062848902768</v>
      </c>
      <c r="H709" s="69">
        <f t="shared" ca="1" si="159"/>
        <v>-9.725302145067876E-3</v>
      </c>
      <c r="I709" s="69">
        <f t="shared" ca="1" si="159"/>
        <v>1.0624482471771666</v>
      </c>
      <c r="J709" s="69">
        <f t="shared" ca="1" si="159"/>
        <v>-0.7896955762474116</v>
      </c>
      <c r="K709" s="69">
        <f t="shared" ca="1" si="159"/>
        <v>0.33590984710842176</v>
      </c>
      <c r="L709" s="69">
        <f t="shared" ca="1" si="159"/>
        <v>0.65557312197037976</v>
      </c>
      <c r="N709" s="69">
        <f t="shared" ca="1" si="146"/>
        <v>0.43220199361750478</v>
      </c>
      <c r="O709" s="69">
        <f t="shared" ca="1" si="147"/>
        <v>-0.28609710790282145</v>
      </c>
      <c r="P709" s="69">
        <f t="shared" ca="1" si="148"/>
        <v>0.25809020063143207</v>
      </c>
      <c r="Q709" s="69">
        <f t="shared" ca="1" si="149"/>
        <v>-3.0539327405842087</v>
      </c>
      <c r="R709" s="69">
        <f t="shared" ca="1" si="150"/>
        <v>-0.64958749022571982</v>
      </c>
      <c r="S709" s="69">
        <f t="shared" ca="1" si="151"/>
        <v>0.40202760074583616</v>
      </c>
      <c r="T709" s="69">
        <f t="shared" ca="1" si="152"/>
        <v>-1.4556339860257721E-2</v>
      </c>
      <c r="U709" s="69">
        <f t="shared" ca="1" si="153"/>
        <v>1.0854883740548762</v>
      </c>
      <c r="V709" s="69">
        <f t="shared" ca="1" si="154"/>
        <v>-0.79580516982100891</v>
      </c>
      <c r="W709" s="69">
        <f t="shared" ca="1" si="155"/>
        <v>0.3368912039325207</v>
      </c>
      <c r="X709" s="69">
        <f t="shared" ca="1" si="156"/>
        <v>0.68274161234481523</v>
      </c>
    </row>
    <row r="710" spans="2:24" x14ac:dyDescent="0.2">
      <c r="B710" s="69">
        <f t="shared" ca="1" si="145"/>
        <v>-1.1492046595019871</v>
      </c>
      <c r="C710" s="69">
        <f t="shared" ca="1" si="159"/>
        <v>0.8093474701664588</v>
      </c>
      <c r="D710" s="69">
        <f t="shared" ca="1" si="159"/>
        <v>-0.65194779510037248</v>
      </c>
      <c r="E710" s="69">
        <f t="shared" ca="1" si="159"/>
        <v>-0.28511871983531295</v>
      </c>
      <c r="F710" s="69">
        <f t="shared" ca="1" si="159"/>
        <v>-0.75707723491392154</v>
      </c>
      <c r="G710" s="69">
        <f t="shared" ca="1" si="159"/>
        <v>-1.1775285978820895</v>
      </c>
      <c r="H710" s="69">
        <f t="shared" ca="1" si="159"/>
        <v>0.39224880613573621</v>
      </c>
      <c r="I710" s="69">
        <f t="shared" ca="1" si="159"/>
        <v>-0.42446944300466383</v>
      </c>
      <c r="J710" s="69">
        <f t="shared" ca="1" si="159"/>
        <v>0.73247594184255072</v>
      </c>
      <c r="K710" s="69">
        <f t="shared" ca="1" si="159"/>
        <v>-1.06461713574701</v>
      </c>
      <c r="L710" s="69">
        <f t="shared" ca="1" si="159"/>
        <v>7.2323200334470483E-2</v>
      </c>
      <c r="N710" s="69">
        <f t="shared" ca="1" si="146"/>
        <v>-1.1114366156638784</v>
      </c>
      <c r="O710" s="69">
        <f t="shared" ca="1" si="147"/>
        <v>0.78285390708357216</v>
      </c>
      <c r="P710" s="69">
        <f t="shared" ca="1" si="148"/>
        <v>-0.70968985993746247</v>
      </c>
      <c r="Q710" s="69">
        <f t="shared" ca="1" si="149"/>
        <v>-0.23601004097355399</v>
      </c>
      <c r="R710" s="69">
        <f t="shared" ca="1" si="150"/>
        <v>-0.76337192032157042</v>
      </c>
      <c r="S710" s="69">
        <f t="shared" ca="1" si="151"/>
        <v>-1.1447016256252811</v>
      </c>
      <c r="T710" s="69">
        <f t="shared" ca="1" si="152"/>
        <v>0.38741776842054637</v>
      </c>
      <c r="U710" s="69">
        <f t="shared" ca="1" si="153"/>
        <v>-0.40142931612695415</v>
      </c>
      <c r="V710" s="69">
        <f t="shared" ca="1" si="154"/>
        <v>0.72636634826895341</v>
      </c>
      <c r="W710" s="69">
        <f t="shared" ca="1" si="155"/>
        <v>-1.0636357789229109</v>
      </c>
      <c r="X710" s="69">
        <f t="shared" ca="1" si="156"/>
        <v>9.9491690708905955E-2</v>
      </c>
    </row>
    <row r="711" spans="2:24" x14ac:dyDescent="0.2">
      <c r="B711" s="69">
        <f t="shared" ca="1" si="145"/>
        <v>2.166058604865452</v>
      </c>
      <c r="C711" s="69">
        <f t="shared" ca="1" si="159"/>
        <v>0.60432723053210391</v>
      </c>
      <c r="D711" s="69">
        <f t="shared" ca="1" si="159"/>
        <v>-0.73002385108948542</v>
      </c>
      <c r="E711" s="69">
        <f t="shared" ca="1" si="159"/>
        <v>0.98737079574453923</v>
      </c>
      <c r="F711" s="69">
        <f t="shared" ca="1" si="159"/>
        <v>0.50292572621681486</v>
      </c>
      <c r="G711" s="69">
        <f t="shared" ca="1" si="159"/>
        <v>-0.12588139709187188</v>
      </c>
      <c r="H711" s="69">
        <f t="shared" ca="1" si="159"/>
        <v>-0.27000098904567499</v>
      </c>
      <c r="I711" s="69">
        <f t="shared" ca="1" si="159"/>
        <v>-1.7768753164344757</v>
      </c>
      <c r="J711" s="69">
        <f t="shared" ca="1" si="159"/>
        <v>6.9739084069227991E-2</v>
      </c>
      <c r="K711" s="69">
        <f t="shared" ca="1" si="159"/>
        <v>-0.93847762385646805</v>
      </c>
      <c r="L711" s="69">
        <f t="shared" ca="1" si="159"/>
        <v>-0.34288050270620879</v>
      </c>
      <c r="N711" s="69">
        <f t="shared" ca="1" si="146"/>
        <v>2.2038266487035609</v>
      </c>
      <c r="O711" s="69">
        <f t="shared" ca="1" si="147"/>
        <v>0.57783366744921727</v>
      </c>
      <c r="P711" s="69">
        <f t="shared" ca="1" si="148"/>
        <v>-0.78776591592657541</v>
      </c>
      <c r="Q711" s="69">
        <f t="shared" ca="1" si="149"/>
        <v>1.0364794746062982</v>
      </c>
      <c r="R711" s="69">
        <f t="shared" ca="1" si="150"/>
        <v>0.49663104080916598</v>
      </c>
      <c r="S711" s="69">
        <f t="shared" ca="1" si="151"/>
        <v>-9.3054424835063404E-2</v>
      </c>
      <c r="T711" s="69">
        <f t="shared" ca="1" si="152"/>
        <v>-0.27483202676086482</v>
      </c>
      <c r="U711" s="69">
        <f t="shared" ca="1" si="153"/>
        <v>-1.7538351895567661</v>
      </c>
      <c r="V711" s="69">
        <f t="shared" ca="1" si="154"/>
        <v>6.3629490495630658E-2</v>
      </c>
      <c r="W711" s="69">
        <f t="shared" ca="1" si="155"/>
        <v>-0.9374962670323691</v>
      </c>
      <c r="X711" s="69">
        <f t="shared" ca="1" si="156"/>
        <v>-0.31571201233177332</v>
      </c>
    </row>
    <row r="712" spans="2:24" x14ac:dyDescent="0.2">
      <c r="B712" s="69">
        <f t="shared" ca="1" si="145"/>
        <v>-1.569031409428379</v>
      </c>
      <c r="C712" s="69">
        <f t="shared" ca="1" si="159"/>
        <v>2.2771962408296393</v>
      </c>
      <c r="D712" s="69">
        <f t="shared" ca="1" si="159"/>
        <v>0.94563735162572071</v>
      </c>
      <c r="E712" s="69">
        <f t="shared" ca="1" si="159"/>
        <v>-2.5898641507028287E-2</v>
      </c>
      <c r="F712" s="69">
        <f t="shared" ca="1" si="159"/>
        <v>1.0096036535935249</v>
      </c>
      <c r="G712" s="69">
        <f t="shared" ca="1" si="159"/>
        <v>0.23492553296423213</v>
      </c>
      <c r="H712" s="69">
        <f t="shared" ca="1" si="159"/>
        <v>0.4184028563161401</v>
      </c>
      <c r="I712" s="69">
        <f t="shared" ca="1" si="159"/>
        <v>1.8723401533160595</v>
      </c>
      <c r="J712" s="69">
        <f t="shared" ca="1" si="159"/>
        <v>0.41028262422273371</v>
      </c>
      <c r="K712" s="69">
        <f t="shared" ca="1" si="159"/>
        <v>-1.2887235773981653</v>
      </c>
      <c r="L712" s="69">
        <f t="shared" ca="1" si="159"/>
        <v>0.41638312331236615</v>
      </c>
      <c r="N712" s="69">
        <f t="shared" ca="1" si="146"/>
        <v>-1.5312633655902703</v>
      </c>
      <c r="O712" s="69">
        <f t="shared" ca="1" si="147"/>
        <v>2.2507026777467525</v>
      </c>
      <c r="P712" s="69">
        <f t="shared" ca="1" si="148"/>
        <v>0.88789528678863072</v>
      </c>
      <c r="Q712" s="69">
        <f t="shared" ca="1" si="149"/>
        <v>2.3210037354730657E-2</v>
      </c>
      <c r="R712" s="69">
        <f t="shared" ca="1" si="150"/>
        <v>1.003308968185876</v>
      </c>
      <c r="S712" s="69">
        <f t="shared" ca="1" si="151"/>
        <v>0.2677525052210406</v>
      </c>
      <c r="T712" s="69">
        <f t="shared" ca="1" si="152"/>
        <v>0.41357181860095027</v>
      </c>
      <c r="U712" s="69">
        <f t="shared" ca="1" si="153"/>
        <v>1.8953802801937691</v>
      </c>
      <c r="V712" s="69">
        <f t="shared" ca="1" si="154"/>
        <v>0.4041730306491364</v>
      </c>
      <c r="W712" s="69">
        <f t="shared" ca="1" si="155"/>
        <v>-1.2877422205740663</v>
      </c>
      <c r="X712" s="69">
        <f t="shared" ca="1" si="156"/>
        <v>0.44355161368680163</v>
      </c>
    </row>
    <row r="713" spans="2:24" x14ac:dyDescent="0.2">
      <c r="B713" s="69">
        <f t="shared" ca="1" si="145"/>
        <v>0.74112445176113662</v>
      </c>
      <c r="C713" s="69">
        <f t="shared" ca="1" si="159"/>
        <v>-0.88440959665443453</v>
      </c>
      <c r="D713" s="69">
        <f t="shared" ca="1" si="159"/>
        <v>1.7131665832544243</v>
      </c>
      <c r="E713" s="69">
        <f t="shared" ca="1" si="159"/>
        <v>-1.3507366227161699</v>
      </c>
      <c r="F713" s="69">
        <f t="shared" ca="1" si="159"/>
        <v>-0.87911118646413888</v>
      </c>
      <c r="G713" s="69">
        <f t="shared" ca="1" si="159"/>
        <v>0.23105630567165797</v>
      </c>
      <c r="H713" s="69">
        <f t="shared" ca="1" si="159"/>
        <v>-0.69440547281850573</v>
      </c>
      <c r="I713" s="69">
        <f t="shared" ca="1" si="159"/>
        <v>0.52093395411141763</v>
      </c>
      <c r="J713" s="69">
        <f t="shared" ca="1" si="159"/>
        <v>-1.0001063387953153</v>
      </c>
      <c r="K713" s="69">
        <f t="shared" ca="1" si="159"/>
        <v>-1.6295496920212875</v>
      </c>
      <c r="L713" s="69">
        <f t="shared" ca="1" si="159"/>
        <v>1.2606870077136336</v>
      </c>
      <c r="N713" s="69">
        <f t="shared" ca="1" si="146"/>
        <v>0.77889249559924545</v>
      </c>
      <c r="O713" s="69">
        <f t="shared" ca="1" si="147"/>
        <v>-0.91090315973732117</v>
      </c>
      <c r="P713" s="69">
        <f t="shared" ca="1" si="148"/>
        <v>1.6554245184173342</v>
      </c>
      <c r="Q713" s="69">
        <f t="shared" ca="1" si="149"/>
        <v>-1.3016279438544109</v>
      </c>
      <c r="R713" s="69">
        <f t="shared" ca="1" si="150"/>
        <v>-0.88540587187178776</v>
      </c>
      <c r="S713" s="69">
        <f t="shared" ca="1" si="151"/>
        <v>0.26388327792846644</v>
      </c>
      <c r="T713" s="69">
        <f t="shared" ca="1" si="152"/>
        <v>-0.69923651053369562</v>
      </c>
      <c r="U713" s="69">
        <f t="shared" ca="1" si="153"/>
        <v>0.54397408098912725</v>
      </c>
      <c r="V713" s="69">
        <f t="shared" ca="1" si="154"/>
        <v>-1.0062159323689126</v>
      </c>
      <c r="W713" s="69">
        <f t="shared" ca="1" si="155"/>
        <v>-1.6285683351971885</v>
      </c>
      <c r="X713" s="69">
        <f t="shared" ca="1" si="156"/>
        <v>1.2878554980880692</v>
      </c>
    </row>
    <row r="714" spans="2:24" x14ac:dyDescent="0.2">
      <c r="B714" s="69">
        <f t="shared" ref="B714:B777" ca="1" si="160">NORMINV(RAND(),$C$7,$F$7)</f>
        <v>-0.75264241603238802</v>
      </c>
      <c r="C714" s="69">
        <f t="shared" ca="1" si="159"/>
        <v>1.230632036549216</v>
      </c>
      <c r="D714" s="69">
        <f t="shared" ca="1" si="159"/>
        <v>0.7334751787147451</v>
      </c>
      <c r="E714" s="69">
        <f t="shared" ca="1" si="159"/>
        <v>1.4481914683144868</v>
      </c>
      <c r="F714" s="69">
        <f t="shared" ca="1" si="159"/>
        <v>-0.6852354718220377</v>
      </c>
      <c r="G714" s="69">
        <f t="shared" ca="1" si="159"/>
        <v>0.68610328876148785</v>
      </c>
      <c r="H714" s="69">
        <f t="shared" ca="1" si="159"/>
        <v>0.2099346174738789</v>
      </c>
      <c r="I714" s="69">
        <f t="shared" ca="1" si="159"/>
        <v>-0.24131839790258114</v>
      </c>
      <c r="J714" s="69">
        <f t="shared" ca="1" si="159"/>
        <v>0.27731362483821254</v>
      </c>
      <c r="K714" s="69">
        <f t="shared" ca="1" si="159"/>
        <v>1.9312878762804755</v>
      </c>
      <c r="L714" s="69">
        <f t="shared" ca="1" si="159"/>
        <v>-0.80387543998782107</v>
      </c>
      <c r="N714" s="69">
        <f t="shared" ref="N714:N777" ca="1" si="161">B714-$B$1010</f>
        <v>-0.71487437219427918</v>
      </c>
      <c r="O714" s="69">
        <f t="shared" ref="O714:O777" ca="1" si="162">C714-$C$1010</f>
        <v>1.2041384734663294</v>
      </c>
      <c r="P714" s="69">
        <f t="shared" ref="P714:P777" ca="1" si="163">D714-$D$1010</f>
        <v>0.67573311387765511</v>
      </c>
      <c r="Q714" s="69">
        <f t="shared" ref="Q714:Q777" ca="1" si="164">E714-$E$1010</f>
        <v>1.4973001471762457</v>
      </c>
      <c r="R714" s="69">
        <f t="shared" ref="R714:R777" ca="1" si="165">F714-$F$1010</f>
        <v>-0.69153015722968658</v>
      </c>
      <c r="S714" s="69">
        <f t="shared" ref="S714:S777" ca="1" si="166">G714-$G$1010</f>
        <v>0.71893026101829638</v>
      </c>
      <c r="T714" s="69">
        <f t="shared" ref="T714:T777" ca="1" si="167">H714-$H$1010</f>
        <v>0.20510357975868906</v>
      </c>
      <c r="U714" s="69">
        <f t="shared" ref="U714:U777" ca="1" si="168">I714-$I$1010</f>
        <v>-0.21827827102487149</v>
      </c>
      <c r="V714" s="69">
        <f t="shared" ref="V714:V777" ca="1" si="169">J714-$J$1010</f>
        <v>0.27120403126461523</v>
      </c>
      <c r="W714" s="69">
        <f t="shared" ref="W714:W777" ca="1" si="170">K714-$K$1010</f>
        <v>1.9322692331045745</v>
      </c>
      <c r="X714" s="69">
        <f t="shared" ref="X714:X777" ca="1" si="171">L714-$L$1010</f>
        <v>-0.7767069496133856</v>
      </c>
    </row>
    <row r="715" spans="2:24" x14ac:dyDescent="0.2">
      <c r="B715" s="69">
        <f t="shared" ca="1" si="160"/>
        <v>0.25511070559512483</v>
      </c>
      <c r="C715" s="69">
        <f t="shared" ca="1" si="159"/>
        <v>-1.025413275694353E-3</v>
      </c>
      <c r="D715" s="69">
        <f t="shared" ca="1" si="159"/>
        <v>-0.68931812210109233</v>
      </c>
      <c r="E715" s="69">
        <f t="shared" ca="1" si="159"/>
        <v>-0.82407879500153802</v>
      </c>
      <c r="F715" s="69">
        <f t="shared" ca="1" si="159"/>
        <v>-0.87367266049002801</v>
      </c>
      <c r="G715" s="69">
        <f t="shared" ca="1" si="159"/>
        <v>-0.11231479048878476</v>
      </c>
      <c r="H715" s="69">
        <f t="shared" ca="1" si="159"/>
        <v>0.668989277093612</v>
      </c>
      <c r="I715" s="69">
        <f t="shared" ca="1" si="159"/>
        <v>-0.30310375614910373</v>
      </c>
      <c r="J715" s="69">
        <f t="shared" ca="1" si="159"/>
        <v>1.128811784516607</v>
      </c>
      <c r="K715" s="69">
        <f t="shared" ca="1" si="159"/>
        <v>1.1805940218727833</v>
      </c>
      <c r="L715" s="69">
        <f t="shared" ca="1" si="159"/>
        <v>-0.57179188860553531</v>
      </c>
      <c r="N715" s="69">
        <f t="shared" ca="1" si="161"/>
        <v>0.29287874943323366</v>
      </c>
      <c r="O715" s="69">
        <f t="shared" ca="1" si="162"/>
        <v>-2.7518976358581037E-2</v>
      </c>
      <c r="P715" s="69">
        <f t="shared" ca="1" si="163"/>
        <v>-0.74706018693818232</v>
      </c>
      <c r="Q715" s="69">
        <f t="shared" ca="1" si="164"/>
        <v>-0.77497011613977906</v>
      </c>
      <c r="R715" s="69">
        <f t="shared" ca="1" si="165"/>
        <v>-0.87996734589767689</v>
      </c>
      <c r="S715" s="69">
        <f t="shared" ca="1" si="166"/>
        <v>-7.9487818231976287E-2</v>
      </c>
      <c r="T715" s="69">
        <f t="shared" ca="1" si="167"/>
        <v>0.66415823937842211</v>
      </c>
      <c r="U715" s="69">
        <f t="shared" ca="1" si="168"/>
        <v>-0.28006362927139405</v>
      </c>
      <c r="V715" s="69">
        <f t="shared" ca="1" si="169"/>
        <v>1.1227021909430097</v>
      </c>
      <c r="W715" s="69">
        <f t="shared" ca="1" si="170"/>
        <v>1.1815753786968823</v>
      </c>
      <c r="X715" s="69">
        <f t="shared" ca="1" si="171"/>
        <v>-0.54462339823109984</v>
      </c>
    </row>
    <row r="716" spans="2:24" x14ac:dyDescent="0.2">
      <c r="B716" s="69">
        <f t="shared" ca="1" si="160"/>
        <v>-1.2108200829928357</v>
      </c>
      <c r="C716" s="69">
        <f t="shared" ca="1" si="159"/>
        <v>-1.9494563985142699</v>
      </c>
      <c r="D716" s="69">
        <f t="shared" ca="1" si="159"/>
        <v>0.27951311661844319</v>
      </c>
      <c r="E716" s="69">
        <f t="shared" ca="1" si="159"/>
        <v>1.6479235491515647</v>
      </c>
      <c r="F716" s="69">
        <f t="shared" ca="1" si="159"/>
        <v>0.64438984745497985</v>
      </c>
      <c r="G716" s="69">
        <f t="shared" ca="1" si="159"/>
        <v>-0.27653003985232422</v>
      </c>
      <c r="H716" s="69">
        <f t="shared" ca="1" si="159"/>
        <v>0.97300403142744551</v>
      </c>
      <c r="I716" s="69">
        <f t="shared" ca="1" si="159"/>
        <v>-0.63902110728427308</v>
      </c>
      <c r="J716" s="69">
        <f t="shared" ca="1" si="159"/>
        <v>1.1591592339406145</v>
      </c>
      <c r="K716" s="69">
        <f t="shared" ca="1" si="159"/>
        <v>0.35398642638598182</v>
      </c>
      <c r="L716" s="69">
        <f t="shared" ca="1" si="159"/>
        <v>0.95731434358760137</v>
      </c>
      <c r="N716" s="69">
        <f t="shared" ca="1" si="161"/>
        <v>-1.173052039154727</v>
      </c>
      <c r="O716" s="69">
        <f t="shared" ca="1" si="162"/>
        <v>-1.9759499615971565</v>
      </c>
      <c r="P716" s="69">
        <f t="shared" ca="1" si="163"/>
        <v>0.22177105178135315</v>
      </c>
      <c r="Q716" s="69">
        <f t="shared" ca="1" si="164"/>
        <v>1.6970322280133237</v>
      </c>
      <c r="R716" s="69">
        <f t="shared" ca="1" si="165"/>
        <v>0.63809516204733097</v>
      </c>
      <c r="S716" s="69">
        <f t="shared" ca="1" si="166"/>
        <v>-0.24370306759551574</v>
      </c>
      <c r="T716" s="69">
        <f t="shared" ca="1" si="167"/>
        <v>0.96817299371225563</v>
      </c>
      <c r="U716" s="69">
        <f t="shared" ca="1" si="168"/>
        <v>-0.61598098040656346</v>
      </c>
      <c r="V716" s="69">
        <f t="shared" ca="1" si="169"/>
        <v>1.1530496403670172</v>
      </c>
      <c r="W716" s="69">
        <f t="shared" ca="1" si="170"/>
        <v>0.35496778321008077</v>
      </c>
      <c r="X716" s="69">
        <f t="shared" ca="1" si="171"/>
        <v>0.98448283396203684</v>
      </c>
    </row>
    <row r="717" spans="2:24" x14ac:dyDescent="0.2">
      <c r="B717" s="69">
        <f t="shared" ca="1" si="160"/>
        <v>-0.84403171370238594</v>
      </c>
      <c r="C717" s="69">
        <f t="shared" ca="1" si="159"/>
        <v>-1.6343155864014423</v>
      </c>
      <c r="D717" s="69">
        <f t="shared" ca="1" si="159"/>
        <v>-0.23295781965524978</v>
      </c>
      <c r="E717" s="69">
        <f t="shared" ca="1" si="159"/>
        <v>-2.1933893948353393</v>
      </c>
      <c r="F717" s="69">
        <f t="shared" ca="1" si="159"/>
        <v>0.30670257318964889</v>
      </c>
      <c r="G717" s="69">
        <f t="shared" ca="1" si="159"/>
        <v>1.9063257003071832</v>
      </c>
      <c r="H717" s="69">
        <f t="shared" ca="1" si="159"/>
        <v>-0.41881943666147442</v>
      </c>
      <c r="I717" s="69">
        <f t="shared" ca="1" si="159"/>
        <v>-0.21432918944972593</v>
      </c>
      <c r="J717" s="69">
        <f t="shared" ca="1" si="159"/>
        <v>0.86417499546512122</v>
      </c>
      <c r="K717" s="69">
        <f t="shared" ca="1" si="159"/>
        <v>-0.53766822510414225</v>
      </c>
      <c r="L717" s="69">
        <f t="shared" ca="1" si="159"/>
        <v>-0.82734754505118269</v>
      </c>
      <c r="N717" s="69">
        <f t="shared" ca="1" si="161"/>
        <v>-0.80626366986427711</v>
      </c>
      <c r="O717" s="69">
        <f t="shared" ca="1" si="162"/>
        <v>-1.6608091494843289</v>
      </c>
      <c r="P717" s="69">
        <f t="shared" ca="1" si="163"/>
        <v>-0.2906998844923398</v>
      </c>
      <c r="Q717" s="69">
        <f t="shared" ca="1" si="164"/>
        <v>-2.1442807159735806</v>
      </c>
      <c r="R717" s="69">
        <f t="shared" ca="1" si="165"/>
        <v>0.300407887782</v>
      </c>
      <c r="S717" s="69">
        <f t="shared" ca="1" si="166"/>
        <v>1.9391526725639916</v>
      </c>
      <c r="T717" s="69">
        <f t="shared" ca="1" si="167"/>
        <v>-0.42365047437666425</v>
      </c>
      <c r="U717" s="69">
        <f t="shared" ca="1" si="168"/>
        <v>-0.19128906257201628</v>
      </c>
      <c r="V717" s="69">
        <f t="shared" ca="1" si="169"/>
        <v>0.85806540189152392</v>
      </c>
      <c r="W717" s="69">
        <f t="shared" ca="1" si="170"/>
        <v>-0.53668686828004331</v>
      </c>
      <c r="X717" s="69">
        <f t="shared" ca="1" si="171"/>
        <v>-0.80017905467674721</v>
      </c>
    </row>
    <row r="718" spans="2:24" x14ac:dyDescent="0.2">
      <c r="B718" s="69">
        <f t="shared" ca="1" si="160"/>
        <v>-0.91787279891461993</v>
      </c>
      <c r="C718" s="69">
        <f t="shared" ca="1" si="159"/>
        <v>-0.97749033663989671</v>
      </c>
      <c r="D718" s="69">
        <f t="shared" ca="1" si="159"/>
        <v>1.9995653816726919</v>
      </c>
      <c r="E718" s="69">
        <f t="shared" ca="1" si="159"/>
        <v>-0.61028962953514887</v>
      </c>
      <c r="F718" s="69">
        <f t="shared" ca="1" si="159"/>
        <v>-5.4814112701391624E-2</v>
      </c>
      <c r="G718" s="69">
        <f t="shared" ca="1" si="159"/>
        <v>-0.2168849258472112</v>
      </c>
      <c r="H718" s="69">
        <f t="shared" ca="1" si="159"/>
        <v>1.0465603693502084</v>
      </c>
      <c r="I718" s="69">
        <f t="shared" ca="1" si="159"/>
        <v>0.20144195176853377</v>
      </c>
      <c r="J718" s="69">
        <f t="shared" ca="1" si="159"/>
        <v>-1.2530117044478903</v>
      </c>
      <c r="K718" s="69">
        <f t="shared" ca="1" si="159"/>
        <v>0.61939399488197522</v>
      </c>
      <c r="L718" s="69">
        <f t="shared" ca="1" si="159"/>
        <v>0.2962267751540017</v>
      </c>
      <c r="N718" s="69">
        <f t="shared" ca="1" si="161"/>
        <v>-0.88010475507651109</v>
      </c>
      <c r="O718" s="69">
        <f t="shared" ca="1" si="162"/>
        <v>-1.0039838997227835</v>
      </c>
      <c r="P718" s="69">
        <f t="shared" ca="1" si="163"/>
        <v>1.9418233168356018</v>
      </c>
      <c r="Q718" s="69">
        <f t="shared" ca="1" si="164"/>
        <v>-0.56118095067338991</v>
      </c>
      <c r="R718" s="69">
        <f t="shared" ca="1" si="165"/>
        <v>-6.1108798109040519E-2</v>
      </c>
      <c r="S718" s="69">
        <f t="shared" ca="1" si="166"/>
        <v>-0.18405795359040272</v>
      </c>
      <c r="T718" s="69">
        <f t="shared" ca="1" si="167"/>
        <v>1.0417293316350185</v>
      </c>
      <c r="U718" s="69">
        <f t="shared" ca="1" si="168"/>
        <v>0.22448207864624342</v>
      </c>
      <c r="V718" s="69">
        <f t="shared" ca="1" si="169"/>
        <v>-1.2591212980214876</v>
      </c>
      <c r="W718" s="69">
        <f t="shared" ca="1" si="170"/>
        <v>0.62037535170607416</v>
      </c>
      <c r="X718" s="69">
        <f t="shared" ca="1" si="171"/>
        <v>0.32339526552843717</v>
      </c>
    </row>
    <row r="719" spans="2:24" x14ac:dyDescent="0.2">
      <c r="B719" s="69">
        <f t="shared" ca="1" si="160"/>
        <v>-7.573888511778544E-2</v>
      </c>
      <c r="C719" s="69">
        <f t="shared" ca="1" si="159"/>
        <v>-0.52381910953705135</v>
      </c>
      <c r="D719" s="69">
        <f t="shared" ca="1" si="159"/>
        <v>2.272405956032701</v>
      </c>
      <c r="E719" s="69">
        <f t="shared" ca="1" si="159"/>
        <v>0.22829186289551459</v>
      </c>
      <c r="F719" s="69">
        <f t="shared" ca="1" si="159"/>
        <v>-1.1700267232912509</v>
      </c>
      <c r="G719" s="69">
        <f t="shared" ca="1" si="159"/>
        <v>-0.98383941570234013</v>
      </c>
      <c r="H719" s="69">
        <f t="shared" ca="1" si="159"/>
        <v>-0.84793719382935229</v>
      </c>
      <c r="I719" s="69">
        <f t="shared" ca="1" si="159"/>
        <v>1.9187736891700787E-2</v>
      </c>
      <c r="J719" s="69">
        <f t="shared" ca="1" si="159"/>
        <v>-1.4041829800390915</v>
      </c>
      <c r="K719" s="69">
        <f t="shared" ca="1" si="159"/>
        <v>-0.7010767486550461</v>
      </c>
      <c r="L719" s="69">
        <f t="shared" ca="1" si="159"/>
        <v>1.5712973566691231</v>
      </c>
      <c r="N719" s="69">
        <f t="shared" ca="1" si="161"/>
        <v>-3.797084127967662E-2</v>
      </c>
      <c r="O719" s="69">
        <f t="shared" ca="1" si="162"/>
        <v>-0.55031267261993799</v>
      </c>
      <c r="P719" s="69">
        <f t="shared" ca="1" si="163"/>
        <v>2.2146638911956109</v>
      </c>
      <c r="Q719" s="69">
        <f t="shared" ca="1" si="164"/>
        <v>0.27740054175727352</v>
      </c>
      <c r="R719" s="69">
        <f t="shared" ca="1" si="165"/>
        <v>-1.1763214086988998</v>
      </c>
      <c r="S719" s="69">
        <f t="shared" ca="1" si="166"/>
        <v>-0.9510124434455316</v>
      </c>
      <c r="T719" s="69">
        <f t="shared" ca="1" si="167"/>
        <v>-0.85276823154454218</v>
      </c>
      <c r="U719" s="69">
        <f t="shared" ca="1" si="168"/>
        <v>4.2227863769410443E-2</v>
      </c>
      <c r="V719" s="69">
        <f t="shared" ca="1" si="169"/>
        <v>-1.4102925736126888</v>
      </c>
      <c r="W719" s="69">
        <f t="shared" ca="1" si="170"/>
        <v>-0.70009539183094716</v>
      </c>
      <c r="X719" s="69">
        <f t="shared" ca="1" si="171"/>
        <v>1.5984658470435587</v>
      </c>
    </row>
    <row r="720" spans="2:24" x14ac:dyDescent="0.2">
      <c r="B720" s="69">
        <f t="shared" ca="1" si="160"/>
        <v>0.61297437430150203</v>
      </c>
      <c r="C720" s="69">
        <f t="shared" ca="1" si="159"/>
        <v>1.0437131656074108</v>
      </c>
      <c r="D720" s="69">
        <f t="shared" ca="1" si="159"/>
        <v>-1.251217090560147</v>
      </c>
      <c r="E720" s="69">
        <f t="shared" ca="1" si="159"/>
        <v>0.348606332335679</v>
      </c>
      <c r="F720" s="69">
        <f t="shared" ca="1" si="159"/>
        <v>-0.48180410897093107</v>
      </c>
      <c r="G720" s="69">
        <f t="shared" ca="1" si="159"/>
        <v>-1.104343647970621</v>
      </c>
      <c r="H720" s="69">
        <f t="shared" ca="1" si="159"/>
        <v>1.4813505615239597</v>
      </c>
      <c r="I720" s="69">
        <f t="shared" ca="1" si="159"/>
        <v>0.5909345181889758</v>
      </c>
      <c r="J720" s="69">
        <f t="shared" ca="1" si="159"/>
        <v>0.4348848181744156</v>
      </c>
      <c r="K720" s="69">
        <f t="shared" ca="1" si="159"/>
        <v>-1.7130511020979941E-2</v>
      </c>
      <c r="L720" s="69">
        <f t="shared" ca="1" si="159"/>
        <v>0.35368297372075458</v>
      </c>
      <c r="N720" s="69">
        <f t="shared" ca="1" si="161"/>
        <v>0.65074241813961087</v>
      </c>
      <c r="O720" s="69">
        <f t="shared" ca="1" si="162"/>
        <v>1.0172196025245241</v>
      </c>
      <c r="P720" s="69">
        <f t="shared" ca="1" si="163"/>
        <v>-1.3089591553972371</v>
      </c>
      <c r="Q720" s="69">
        <f t="shared" ca="1" si="164"/>
        <v>0.39771501119743796</v>
      </c>
      <c r="R720" s="69">
        <f t="shared" ca="1" si="165"/>
        <v>-0.48809879437857995</v>
      </c>
      <c r="S720" s="69">
        <f t="shared" ca="1" si="166"/>
        <v>-1.0715166757138126</v>
      </c>
      <c r="T720" s="69">
        <f t="shared" ca="1" si="167"/>
        <v>1.4765195238087698</v>
      </c>
      <c r="U720" s="69">
        <f t="shared" ca="1" si="168"/>
        <v>0.61397464506668542</v>
      </c>
      <c r="V720" s="69">
        <f t="shared" ca="1" si="169"/>
        <v>0.42877522460081829</v>
      </c>
      <c r="W720" s="69">
        <f t="shared" ca="1" si="170"/>
        <v>-1.614915419688099E-2</v>
      </c>
      <c r="X720" s="69">
        <f t="shared" ca="1" si="171"/>
        <v>0.38085146409519005</v>
      </c>
    </row>
    <row r="721" spans="2:24" x14ac:dyDescent="0.2">
      <c r="B721" s="69">
        <f t="shared" ca="1" si="160"/>
        <v>-1.2763431308549833</v>
      </c>
      <c r="C721" s="69">
        <f t="shared" ca="1" si="159"/>
        <v>-1.2355679227372605</v>
      </c>
      <c r="D721" s="69">
        <f t="shared" ca="1" si="159"/>
        <v>-0.39722927903067062</v>
      </c>
      <c r="E721" s="69">
        <f t="shared" ca="1" si="159"/>
        <v>0.76678594349896734</v>
      </c>
      <c r="F721" s="69">
        <f t="shared" ca="1" si="159"/>
        <v>-0.35454679726272781</v>
      </c>
      <c r="G721" s="69">
        <f t="shared" ca="1" si="159"/>
        <v>0.63297192760204302</v>
      </c>
      <c r="H721" s="69">
        <f t="shared" ca="1" si="159"/>
        <v>-0.84908256377100888</v>
      </c>
      <c r="I721" s="69">
        <f t="shared" ca="1" si="159"/>
        <v>-1.6572569550023686</v>
      </c>
      <c r="J721" s="69">
        <f t="shared" ca="1" si="159"/>
        <v>1.7778331698587009</v>
      </c>
      <c r="K721" s="69">
        <f t="shared" ca="1" si="159"/>
        <v>1.0772390818078976</v>
      </c>
      <c r="L721" s="69">
        <f t="shared" ca="1" si="159"/>
        <v>-0.1999063892284329</v>
      </c>
      <c r="N721" s="69">
        <f t="shared" ca="1" si="161"/>
        <v>-1.2385750870168746</v>
      </c>
      <c r="O721" s="69">
        <f t="shared" ca="1" si="162"/>
        <v>-1.2620614858201471</v>
      </c>
      <c r="P721" s="69">
        <f t="shared" ca="1" si="163"/>
        <v>-0.45497134386776067</v>
      </c>
      <c r="Q721" s="69">
        <f t="shared" ca="1" si="164"/>
        <v>0.8158946223607263</v>
      </c>
      <c r="R721" s="69">
        <f t="shared" ca="1" si="165"/>
        <v>-0.36084148267037669</v>
      </c>
      <c r="S721" s="69">
        <f t="shared" ca="1" si="166"/>
        <v>0.66579889985885155</v>
      </c>
      <c r="T721" s="69">
        <f t="shared" ca="1" si="167"/>
        <v>-0.85391360148619877</v>
      </c>
      <c r="U721" s="69">
        <f t="shared" ca="1" si="168"/>
        <v>-1.634216828124659</v>
      </c>
      <c r="V721" s="69">
        <f t="shared" ca="1" si="169"/>
        <v>1.7717235762851036</v>
      </c>
      <c r="W721" s="69">
        <f t="shared" ca="1" si="170"/>
        <v>1.0782204386319967</v>
      </c>
      <c r="X721" s="69">
        <f t="shared" ca="1" si="171"/>
        <v>-0.17273789885399743</v>
      </c>
    </row>
    <row r="722" spans="2:24" x14ac:dyDescent="0.2">
      <c r="B722" s="69">
        <f t="shared" ca="1" si="160"/>
        <v>0.13315289331372007</v>
      </c>
      <c r="C722" s="69">
        <f t="shared" ca="1" si="159"/>
        <v>0.62832039249854832</v>
      </c>
      <c r="D722" s="69">
        <f t="shared" ca="1" si="159"/>
        <v>1.3133244049413249</v>
      </c>
      <c r="E722" s="69">
        <f t="shared" ca="1" si="159"/>
        <v>-0.30025402907258214</v>
      </c>
      <c r="F722" s="69">
        <f t="shared" ca="1" si="159"/>
        <v>-1.5282330242609261</v>
      </c>
      <c r="G722" s="69">
        <f t="shared" ca="1" si="159"/>
        <v>-5.2021890058724679E-2</v>
      </c>
      <c r="H722" s="69">
        <f t="shared" ca="1" si="159"/>
        <v>1.2993233810710114</v>
      </c>
      <c r="I722" s="69">
        <f t="shared" ca="1" si="159"/>
        <v>1.086034702032169</v>
      </c>
      <c r="J722" s="69">
        <f t="shared" ca="1" si="159"/>
        <v>-0.96489459039278502</v>
      </c>
      <c r="K722" s="69">
        <f t="shared" ca="1" si="159"/>
        <v>1.2681593382043879</v>
      </c>
      <c r="L722" s="69">
        <f t="shared" ca="1" si="159"/>
        <v>2.1416433272036532</v>
      </c>
      <c r="N722" s="69">
        <f t="shared" ca="1" si="161"/>
        <v>0.17092093715182888</v>
      </c>
      <c r="O722" s="69">
        <f t="shared" ca="1" si="162"/>
        <v>0.60182682941566168</v>
      </c>
      <c r="P722" s="69">
        <f t="shared" ca="1" si="163"/>
        <v>1.2555823401042348</v>
      </c>
      <c r="Q722" s="69">
        <f t="shared" ca="1" si="164"/>
        <v>-0.25114535021082318</v>
      </c>
      <c r="R722" s="69">
        <f t="shared" ca="1" si="165"/>
        <v>-1.534527709668575</v>
      </c>
      <c r="S722" s="69">
        <f t="shared" ca="1" si="166"/>
        <v>-1.9194917801916199E-2</v>
      </c>
      <c r="T722" s="69">
        <f t="shared" ca="1" si="167"/>
        <v>1.2944923433558215</v>
      </c>
      <c r="U722" s="69">
        <f t="shared" ca="1" si="168"/>
        <v>1.1090748289098786</v>
      </c>
      <c r="V722" s="69">
        <f t="shared" ca="1" si="169"/>
        <v>-0.97100418396638233</v>
      </c>
      <c r="W722" s="69">
        <f t="shared" ca="1" si="170"/>
        <v>1.2691406950284869</v>
      </c>
      <c r="X722" s="69">
        <f t="shared" ca="1" si="171"/>
        <v>2.1688118175780886</v>
      </c>
    </row>
    <row r="723" spans="2:24" x14ac:dyDescent="0.2">
      <c r="B723" s="69">
        <f t="shared" ca="1" si="160"/>
        <v>-0.89699870231549117</v>
      </c>
      <c r="C723" s="69">
        <f t="shared" ca="1" si="159"/>
        <v>-0.6867474503277653</v>
      </c>
      <c r="D723" s="69">
        <f t="shared" ca="1" si="159"/>
        <v>0.34064577791175094</v>
      </c>
      <c r="E723" s="69">
        <f t="shared" ca="1" si="159"/>
        <v>1.4635530869291704E-2</v>
      </c>
      <c r="F723" s="69">
        <f t="shared" ca="1" si="159"/>
        <v>0.12855871709616801</v>
      </c>
      <c r="G723" s="69">
        <f t="shared" ca="1" si="159"/>
        <v>0.77314537990935139</v>
      </c>
      <c r="H723" s="69">
        <f t="shared" ca="1" si="159"/>
        <v>-0.82685538198349517</v>
      </c>
      <c r="I723" s="69">
        <f t="shared" ca="1" si="159"/>
        <v>2.3223054431448853</v>
      </c>
      <c r="J723" s="69">
        <f t="shared" ca="1" si="159"/>
        <v>-0.68484181236709651</v>
      </c>
      <c r="K723" s="69">
        <f t="shared" ca="1" si="159"/>
        <v>-1.3013230734883023</v>
      </c>
      <c r="L723" s="69">
        <f t="shared" ca="1" si="159"/>
        <v>0.82838489355903966</v>
      </c>
      <c r="N723" s="69">
        <f t="shared" ca="1" si="161"/>
        <v>-0.85923065847738234</v>
      </c>
      <c r="O723" s="69">
        <f t="shared" ca="1" si="162"/>
        <v>-0.71324101341065194</v>
      </c>
      <c r="P723" s="69">
        <f t="shared" ca="1" si="163"/>
        <v>0.28290371307466089</v>
      </c>
      <c r="Q723" s="69">
        <f t="shared" ca="1" si="164"/>
        <v>6.3744209731050647E-2</v>
      </c>
      <c r="R723" s="69">
        <f t="shared" ca="1" si="165"/>
        <v>0.12226403168851911</v>
      </c>
      <c r="S723" s="69">
        <f t="shared" ca="1" si="166"/>
        <v>0.80597235216615992</v>
      </c>
      <c r="T723" s="69">
        <f t="shared" ca="1" si="167"/>
        <v>-0.83168641969868506</v>
      </c>
      <c r="U723" s="69">
        <f t="shared" ca="1" si="168"/>
        <v>2.3453455700225949</v>
      </c>
      <c r="V723" s="69">
        <f t="shared" ca="1" si="169"/>
        <v>-0.69095140594069382</v>
      </c>
      <c r="W723" s="69">
        <f t="shared" ca="1" si="170"/>
        <v>-1.3003417166642033</v>
      </c>
      <c r="X723" s="69">
        <f t="shared" ca="1" si="171"/>
        <v>0.85555338393347513</v>
      </c>
    </row>
    <row r="724" spans="2:24" x14ac:dyDescent="0.2">
      <c r="B724" s="69">
        <f t="shared" ca="1" si="160"/>
        <v>1.1362641572957703</v>
      </c>
      <c r="C724" s="69">
        <f t="shared" ca="1" si="159"/>
        <v>-0.85779188917012428</v>
      </c>
      <c r="D724" s="69">
        <f t="shared" ca="1" si="159"/>
        <v>0.40884053073020948</v>
      </c>
      <c r="E724" s="69">
        <f t="shared" ca="1" si="159"/>
        <v>-0.12742714445782993</v>
      </c>
      <c r="F724" s="69">
        <f t="shared" ca="1" si="159"/>
        <v>-0.52605700489481</v>
      </c>
      <c r="G724" s="69">
        <f t="shared" ca="1" si="159"/>
        <v>1.3456296831777694</v>
      </c>
      <c r="H724" s="69">
        <f t="shared" ca="1" si="159"/>
        <v>-0.40344447795037908</v>
      </c>
      <c r="I724" s="69">
        <f t="shared" ca="1" si="159"/>
        <v>0.90197300796698887</v>
      </c>
      <c r="J724" s="69">
        <f t="shared" ca="1" si="159"/>
        <v>1.3212516094998579</v>
      </c>
      <c r="K724" s="69">
        <f t="shared" ca="1" si="159"/>
        <v>0.45264389541009287</v>
      </c>
      <c r="L724" s="69">
        <f t="shared" ca="1" si="159"/>
        <v>1.4535935617546358</v>
      </c>
      <c r="N724" s="69">
        <f t="shared" ca="1" si="161"/>
        <v>1.1740322011338791</v>
      </c>
      <c r="O724" s="69">
        <f t="shared" ca="1" si="162"/>
        <v>-0.88428545225301092</v>
      </c>
      <c r="P724" s="69">
        <f t="shared" ca="1" si="163"/>
        <v>0.35109846589311944</v>
      </c>
      <c r="Q724" s="69">
        <f t="shared" ca="1" si="164"/>
        <v>-7.8318465596070988E-2</v>
      </c>
      <c r="R724" s="69">
        <f t="shared" ca="1" si="165"/>
        <v>-0.53235169030245888</v>
      </c>
      <c r="S724" s="69">
        <f t="shared" ca="1" si="166"/>
        <v>1.3784566554345778</v>
      </c>
      <c r="T724" s="69">
        <f t="shared" ca="1" si="167"/>
        <v>-0.40827551566556891</v>
      </c>
      <c r="U724" s="69">
        <f t="shared" ca="1" si="168"/>
        <v>0.92501313484469849</v>
      </c>
      <c r="V724" s="69">
        <f t="shared" ca="1" si="169"/>
        <v>1.3151420159262606</v>
      </c>
      <c r="W724" s="69">
        <f t="shared" ca="1" si="170"/>
        <v>0.45362525223419181</v>
      </c>
      <c r="X724" s="69">
        <f t="shared" ca="1" si="171"/>
        <v>1.4807620521290714</v>
      </c>
    </row>
    <row r="725" spans="2:24" x14ac:dyDescent="0.2">
      <c r="B725" s="69">
        <f t="shared" ca="1" si="160"/>
        <v>9.8485965220765609E-2</v>
      </c>
      <c r="C725" s="69">
        <f t="shared" ca="1" si="159"/>
        <v>-1.5279538522257772</v>
      </c>
      <c r="D725" s="69">
        <f t="shared" ca="1" si="159"/>
        <v>0.28175452037595455</v>
      </c>
      <c r="E725" s="69">
        <f t="shared" ca="1" si="159"/>
        <v>0.45414413089138117</v>
      </c>
      <c r="F725" s="69">
        <f t="shared" ca="1" si="159"/>
        <v>-0.22542230378954026</v>
      </c>
      <c r="G725" s="69">
        <f t="shared" ca="1" si="159"/>
        <v>1.8678403783730673</v>
      </c>
      <c r="H725" s="69">
        <f t="shared" ca="1" si="159"/>
        <v>-1.4987802122273279</v>
      </c>
      <c r="I725" s="69">
        <f t="shared" ca="1" si="159"/>
        <v>1.4856128570799334</v>
      </c>
      <c r="J725" s="69">
        <f t="shared" ca="1" si="159"/>
        <v>0.74647248656243192</v>
      </c>
      <c r="K725" s="69">
        <f t="shared" ca="1" si="159"/>
        <v>1.1537377945636631</v>
      </c>
      <c r="L725" s="69">
        <f t="shared" ca="1" si="159"/>
        <v>-1.8252922741313284</v>
      </c>
      <c r="N725" s="69">
        <f t="shared" ca="1" si="161"/>
        <v>0.13625400905887441</v>
      </c>
      <c r="O725" s="69">
        <f t="shared" ca="1" si="162"/>
        <v>-1.5544474153086638</v>
      </c>
      <c r="P725" s="69">
        <f t="shared" ca="1" si="163"/>
        <v>0.22401245553886451</v>
      </c>
      <c r="Q725" s="69">
        <f t="shared" ca="1" si="164"/>
        <v>0.50325280975314013</v>
      </c>
      <c r="R725" s="69">
        <f t="shared" ca="1" si="165"/>
        <v>-0.23171698919718917</v>
      </c>
      <c r="S725" s="69">
        <f t="shared" ca="1" si="166"/>
        <v>1.9006673506298757</v>
      </c>
      <c r="T725" s="69">
        <f t="shared" ca="1" si="167"/>
        <v>-1.5036112499425178</v>
      </c>
      <c r="U725" s="69">
        <f t="shared" ca="1" si="168"/>
        <v>1.508652983957643</v>
      </c>
      <c r="V725" s="69">
        <f t="shared" ca="1" si="169"/>
        <v>0.74036289298883462</v>
      </c>
      <c r="W725" s="69">
        <f t="shared" ca="1" si="170"/>
        <v>1.1547191513877622</v>
      </c>
      <c r="X725" s="69">
        <f t="shared" ca="1" si="171"/>
        <v>-1.7981237837568929</v>
      </c>
    </row>
    <row r="726" spans="2:24" x14ac:dyDescent="0.2">
      <c r="B726" s="69">
        <f t="shared" ca="1" si="160"/>
        <v>0.26934824229630211</v>
      </c>
      <c r="C726" s="69">
        <f t="shared" ca="1" si="159"/>
        <v>-0.36609294458368807</v>
      </c>
      <c r="D726" s="69">
        <f t="shared" ca="1" si="159"/>
        <v>-1.5253930650239262</v>
      </c>
      <c r="E726" s="69">
        <f t="shared" ca="1" si="159"/>
        <v>-0.20161765047645319</v>
      </c>
      <c r="F726" s="69">
        <f t="shared" ca="1" si="159"/>
        <v>0.51486778892487595</v>
      </c>
      <c r="G726" s="69">
        <f t="shared" ca="1" si="159"/>
        <v>0.2538070352509143</v>
      </c>
      <c r="H726" s="69">
        <f t="shared" ca="1" si="159"/>
        <v>0.53905961975216898</v>
      </c>
      <c r="I726" s="69">
        <f t="shared" ca="1" si="159"/>
        <v>0.75828263851455247</v>
      </c>
      <c r="J726" s="69">
        <f t="shared" ca="1" si="159"/>
        <v>9.4075084018968191E-2</v>
      </c>
      <c r="K726" s="69">
        <f t="shared" ca="1" si="159"/>
        <v>-6.7780504993011886E-2</v>
      </c>
      <c r="L726" s="69">
        <f t="shared" ca="1" si="159"/>
        <v>0.80563918655276412</v>
      </c>
      <c r="N726" s="69">
        <f t="shared" ca="1" si="161"/>
        <v>0.30711628613441094</v>
      </c>
      <c r="O726" s="69">
        <f t="shared" ca="1" si="162"/>
        <v>-0.39258650766657477</v>
      </c>
      <c r="P726" s="69">
        <f t="shared" ca="1" si="163"/>
        <v>-1.5831351298610163</v>
      </c>
      <c r="Q726" s="69">
        <f t="shared" ca="1" si="164"/>
        <v>-0.15250897161469423</v>
      </c>
      <c r="R726" s="69">
        <f t="shared" ca="1" si="165"/>
        <v>0.50857310351722707</v>
      </c>
      <c r="S726" s="69">
        <f t="shared" ca="1" si="166"/>
        <v>0.28663400750772278</v>
      </c>
      <c r="T726" s="69">
        <f t="shared" ca="1" si="167"/>
        <v>0.53422858203697909</v>
      </c>
      <c r="U726" s="69">
        <f t="shared" ca="1" si="168"/>
        <v>0.78132276539226209</v>
      </c>
      <c r="V726" s="69">
        <f t="shared" ca="1" si="169"/>
        <v>8.7965490445370859E-2</v>
      </c>
      <c r="W726" s="69">
        <f t="shared" ca="1" si="170"/>
        <v>-6.6799148168912942E-2</v>
      </c>
      <c r="X726" s="69">
        <f t="shared" ca="1" si="171"/>
        <v>0.83280767692719959</v>
      </c>
    </row>
    <row r="727" spans="2:24" x14ac:dyDescent="0.2">
      <c r="B727" s="69">
        <f t="shared" ca="1" si="160"/>
        <v>0.3240652419683599</v>
      </c>
      <c r="C727" s="69">
        <f t="shared" ca="1" si="159"/>
        <v>-0.37473006328642799</v>
      </c>
      <c r="D727" s="69">
        <f t="shared" ca="1" si="159"/>
        <v>-0.6800398140101086</v>
      </c>
      <c r="E727" s="69">
        <f t="shared" ca="1" si="159"/>
        <v>0.48373269708368372</v>
      </c>
      <c r="F727" s="69">
        <f t="shared" ca="1" si="159"/>
        <v>-1.8693346450736157</v>
      </c>
      <c r="G727" s="69">
        <f t="shared" ca="1" si="159"/>
        <v>2.1061485574685266</v>
      </c>
      <c r="H727" s="69">
        <f t="shared" ca="1" si="159"/>
        <v>1.6013720471167849</v>
      </c>
      <c r="I727" s="69">
        <f t="shared" ca="1" si="159"/>
        <v>1.9027949643974389</v>
      </c>
      <c r="J727" s="69">
        <f t="shared" ca="1" si="159"/>
        <v>-0.10078836722475058</v>
      </c>
      <c r="K727" s="69">
        <f t="shared" ca="1" si="159"/>
        <v>-1.4815030723420146</v>
      </c>
      <c r="L727" s="69">
        <f t="shared" ca="1" si="159"/>
        <v>1.8880610164035145</v>
      </c>
      <c r="N727" s="69">
        <f t="shared" ca="1" si="161"/>
        <v>0.36183328580646873</v>
      </c>
      <c r="O727" s="69">
        <f t="shared" ca="1" si="162"/>
        <v>-0.40122362636931469</v>
      </c>
      <c r="P727" s="69">
        <f t="shared" ca="1" si="163"/>
        <v>-0.73778187884719859</v>
      </c>
      <c r="Q727" s="69">
        <f t="shared" ca="1" si="164"/>
        <v>0.53284137594544267</v>
      </c>
      <c r="R727" s="69">
        <f t="shared" ca="1" si="165"/>
        <v>-1.8756293304812646</v>
      </c>
      <c r="S727" s="69">
        <f t="shared" ca="1" si="166"/>
        <v>2.138975529725335</v>
      </c>
      <c r="T727" s="69">
        <f t="shared" ca="1" si="167"/>
        <v>1.596541009401595</v>
      </c>
      <c r="U727" s="69">
        <f t="shared" ca="1" si="168"/>
        <v>1.9258350912751485</v>
      </c>
      <c r="V727" s="69">
        <f t="shared" ca="1" si="169"/>
        <v>-0.10689796079834792</v>
      </c>
      <c r="W727" s="69">
        <f t="shared" ca="1" si="170"/>
        <v>-1.4805217155179156</v>
      </c>
      <c r="X727" s="69">
        <f t="shared" ca="1" si="171"/>
        <v>1.9152295067779501</v>
      </c>
    </row>
    <row r="728" spans="2:24" x14ac:dyDescent="0.2">
      <c r="B728" s="69">
        <f t="shared" ca="1" si="160"/>
        <v>-2.4621493095179323</v>
      </c>
      <c r="C728" s="69">
        <f t="shared" ca="1" si="159"/>
        <v>3.096389200550256E-2</v>
      </c>
      <c r="D728" s="69">
        <f t="shared" ca="1" si="159"/>
        <v>-0.48109600678356063</v>
      </c>
      <c r="E728" s="69">
        <f t="shared" ca="1" si="159"/>
        <v>-0.76307569731626745</v>
      </c>
      <c r="F728" s="69">
        <f t="shared" ca="1" si="159"/>
        <v>0.54910443297637712</v>
      </c>
      <c r="G728" s="69">
        <f t="shared" ca="1" si="159"/>
        <v>1.7394937481172801</v>
      </c>
      <c r="H728" s="69">
        <f t="shared" ca="1" si="159"/>
        <v>-0.589270591923582</v>
      </c>
      <c r="I728" s="69">
        <f t="shared" ca="1" si="159"/>
        <v>8.5522689062935822E-2</v>
      </c>
      <c r="J728" s="69">
        <f t="shared" ca="1" si="159"/>
        <v>-3.211221659641237E-2</v>
      </c>
      <c r="K728" s="69">
        <f t="shared" ca="1" si="159"/>
        <v>-0.14729735705717903</v>
      </c>
      <c r="L728" s="69">
        <f t="shared" ca="1" si="159"/>
        <v>-0.39563280091366532</v>
      </c>
      <c r="N728" s="69">
        <f t="shared" ca="1" si="161"/>
        <v>-2.4243812656798234</v>
      </c>
      <c r="O728" s="69">
        <f t="shared" ca="1" si="162"/>
        <v>4.4703289226158752E-3</v>
      </c>
      <c r="P728" s="69">
        <f t="shared" ca="1" si="163"/>
        <v>-0.53883807162065067</v>
      </c>
      <c r="Q728" s="69">
        <f t="shared" ca="1" si="164"/>
        <v>-0.7139670184545085</v>
      </c>
      <c r="R728" s="69">
        <f t="shared" ca="1" si="165"/>
        <v>0.54280974756872824</v>
      </c>
      <c r="S728" s="69">
        <f t="shared" ca="1" si="166"/>
        <v>1.7723207203740885</v>
      </c>
      <c r="T728" s="69">
        <f t="shared" ca="1" si="167"/>
        <v>-0.59410162963877189</v>
      </c>
      <c r="U728" s="69">
        <f t="shared" ca="1" si="168"/>
        <v>0.10856281594064549</v>
      </c>
      <c r="V728" s="69">
        <f t="shared" ca="1" si="169"/>
        <v>-3.8221810170009703E-2</v>
      </c>
      <c r="W728" s="69">
        <f t="shared" ca="1" si="170"/>
        <v>-0.14631600023308008</v>
      </c>
      <c r="X728" s="69">
        <f t="shared" ca="1" si="171"/>
        <v>-0.36846431053922984</v>
      </c>
    </row>
    <row r="729" spans="2:24" x14ac:dyDescent="0.2">
      <c r="B729" s="69">
        <f t="shared" ca="1" si="160"/>
        <v>0.62458445411824981</v>
      </c>
      <c r="C729" s="69">
        <f t="shared" ca="1" si="159"/>
        <v>0.82798470872108565</v>
      </c>
      <c r="D729" s="69">
        <f t="shared" ca="1" si="159"/>
        <v>-1.2655126491031237</v>
      </c>
      <c r="E729" s="69">
        <f t="shared" ca="1" si="159"/>
        <v>-2.1444083492062287</v>
      </c>
      <c r="F729" s="69">
        <f t="shared" ca="1" si="159"/>
        <v>-5.2777011825380256E-2</v>
      </c>
      <c r="G729" s="69">
        <f t="shared" ca="1" si="159"/>
        <v>0.3085638210329551</v>
      </c>
      <c r="H729" s="69">
        <f t="shared" ca="1" si="159"/>
        <v>0.53994546392851395</v>
      </c>
      <c r="I729" s="69">
        <f t="shared" ca="1" si="159"/>
        <v>-0.56056726937661938</v>
      </c>
      <c r="J729" s="69">
        <f t="shared" ca="1" si="159"/>
        <v>0.89746711399708701</v>
      </c>
      <c r="K729" s="69">
        <f t="shared" ca="1" si="159"/>
        <v>-0.76214795537970315</v>
      </c>
      <c r="L729" s="69">
        <f t="shared" ca="1" si="159"/>
        <v>-2.0187476973795171</v>
      </c>
      <c r="N729" s="69">
        <f t="shared" ca="1" si="161"/>
        <v>0.66235249795635864</v>
      </c>
      <c r="O729" s="69">
        <f t="shared" ca="1" si="162"/>
        <v>0.80149114563819901</v>
      </c>
      <c r="P729" s="69">
        <f t="shared" ca="1" si="163"/>
        <v>-1.3232547139402138</v>
      </c>
      <c r="Q729" s="69">
        <f t="shared" ca="1" si="164"/>
        <v>-2.09529967034447</v>
      </c>
      <c r="R729" s="69">
        <f t="shared" ca="1" si="165"/>
        <v>-5.9071697233029151E-2</v>
      </c>
      <c r="S729" s="69">
        <f t="shared" ca="1" si="166"/>
        <v>0.34139079328976357</v>
      </c>
      <c r="T729" s="69">
        <f t="shared" ca="1" si="167"/>
        <v>0.53511442621332406</v>
      </c>
      <c r="U729" s="69">
        <f t="shared" ca="1" si="168"/>
        <v>-0.53752714249890976</v>
      </c>
      <c r="V729" s="69">
        <f t="shared" ca="1" si="169"/>
        <v>0.8913575204234897</v>
      </c>
      <c r="W729" s="69">
        <f t="shared" ca="1" si="170"/>
        <v>-0.7611665985556042</v>
      </c>
      <c r="X729" s="69">
        <f t="shared" ca="1" si="171"/>
        <v>-1.9915792070050815</v>
      </c>
    </row>
    <row r="730" spans="2:24" x14ac:dyDescent="0.2">
      <c r="B730" s="69">
        <f t="shared" ca="1" si="160"/>
        <v>0.68064715245583918</v>
      </c>
      <c r="C730" s="69">
        <f t="shared" ca="1" si="159"/>
        <v>-0.80404935563248281</v>
      </c>
      <c r="D730" s="69">
        <f t="shared" ca="1" si="159"/>
        <v>-0.79581106788707578</v>
      </c>
      <c r="E730" s="69">
        <f t="shared" ca="1" si="159"/>
        <v>0.24470536208942151</v>
      </c>
      <c r="F730" s="69">
        <f t="shared" ca="1" si="159"/>
        <v>1.4887366347971576</v>
      </c>
      <c r="G730" s="69">
        <f t="shared" ca="1" si="159"/>
        <v>0.51478705198452901</v>
      </c>
      <c r="H730" s="69">
        <f t="shared" ca="1" si="159"/>
        <v>1.7746022885980556E-2</v>
      </c>
      <c r="I730" s="69">
        <f t="shared" ca="1" si="159"/>
        <v>-0.86542697507766375</v>
      </c>
      <c r="J730" s="69">
        <f t="shared" ca="1" si="159"/>
        <v>-0.27275540060246822</v>
      </c>
      <c r="K730" s="69">
        <f t="shared" ca="1" si="159"/>
        <v>0.14588774561525994</v>
      </c>
      <c r="L730" s="69">
        <f t="shared" ca="1" si="159"/>
        <v>0.29491235764643975</v>
      </c>
      <c r="N730" s="69">
        <f t="shared" ca="1" si="161"/>
        <v>0.71841519629394801</v>
      </c>
      <c r="O730" s="69">
        <f t="shared" ca="1" si="162"/>
        <v>-0.83054291871536945</v>
      </c>
      <c r="P730" s="69">
        <f t="shared" ca="1" si="163"/>
        <v>-0.85355313272416578</v>
      </c>
      <c r="Q730" s="69">
        <f t="shared" ca="1" si="164"/>
        <v>0.29381404095118047</v>
      </c>
      <c r="R730" s="69">
        <f t="shared" ca="1" si="165"/>
        <v>1.4824419493895087</v>
      </c>
      <c r="S730" s="69">
        <f t="shared" ca="1" si="166"/>
        <v>0.54761402424133754</v>
      </c>
      <c r="T730" s="69">
        <f t="shared" ca="1" si="167"/>
        <v>1.2914985170790712E-2</v>
      </c>
      <c r="U730" s="69">
        <f t="shared" ca="1" si="168"/>
        <v>-0.84238684819995413</v>
      </c>
      <c r="V730" s="69">
        <f t="shared" ca="1" si="169"/>
        <v>-0.27886499417606553</v>
      </c>
      <c r="W730" s="69">
        <f t="shared" ca="1" si="170"/>
        <v>0.14686910243935888</v>
      </c>
      <c r="X730" s="69">
        <f t="shared" ca="1" si="171"/>
        <v>0.32208084802087522</v>
      </c>
    </row>
    <row r="731" spans="2:24" x14ac:dyDescent="0.2">
      <c r="B731" s="69">
        <f t="shared" ca="1" si="160"/>
        <v>0.93393500711493038</v>
      </c>
      <c r="C731" s="69">
        <f t="shared" ca="1" si="159"/>
        <v>0.74152506450551836</v>
      </c>
      <c r="D731" s="69">
        <f t="shared" ca="1" si="159"/>
        <v>0.44051753084385414</v>
      </c>
      <c r="E731" s="69">
        <f t="shared" ca="1" si="159"/>
        <v>1.3253860223481149</v>
      </c>
      <c r="F731" s="69">
        <f t="shared" ca="1" si="159"/>
        <v>-2.291623253949876E-2</v>
      </c>
      <c r="G731" s="69">
        <f t="shared" ca="1" si="159"/>
        <v>3.1363134435000682E-2</v>
      </c>
      <c r="H731" s="69">
        <f t="shared" ca="1" si="159"/>
        <v>1.1924324696279429</v>
      </c>
      <c r="I731" s="69">
        <f t="shared" ca="1" si="159"/>
        <v>-0.78331847982613034</v>
      </c>
      <c r="J731" s="69">
        <f t="shared" ca="1" si="159"/>
        <v>-7.3868134371812652E-2</v>
      </c>
      <c r="K731" s="69">
        <f t="shared" ca="1" si="159"/>
        <v>-0.54286328692260999</v>
      </c>
      <c r="L731" s="69">
        <f t="shared" ca="1" si="159"/>
        <v>0.53248881490623601</v>
      </c>
      <c r="N731" s="69">
        <f t="shared" ca="1" si="161"/>
        <v>0.97170305095303922</v>
      </c>
      <c r="O731" s="69">
        <f t="shared" ca="1" si="162"/>
        <v>0.71503150142263172</v>
      </c>
      <c r="P731" s="69">
        <f t="shared" ca="1" si="163"/>
        <v>0.3827754660067641</v>
      </c>
      <c r="Q731" s="69">
        <f t="shared" ca="1" si="164"/>
        <v>1.3744947012098738</v>
      </c>
      <c r="R731" s="69">
        <f t="shared" ca="1" si="165"/>
        <v>-2.9210917947147655E-2</v>
      </c>
      <c r="S731" s="69">
        <f t="shared" ca="1" si="166"/>
        <v>6.4190106691809162E-2</v>
      </c>
      <c r="T731" s="69">
        <f t="shared" ca="1" si="167"/>
        <v>1.187601431912753</v>
      </c>
      <c r="U731" s="69">
        <f t="shared" ca="1" si="168"/>
        <v>-0.76027835294842072</v>
      </c>
      <c r="V731" s="69">
        <f t="shared" ca="1" si="169"/>
        <v>-7.9977727945409985E-2</v>
      </c>
      <c r="W731" s="69">
        <f t="shared" ca="1" si="170"/>
        <v>-0.54188193009851104</v>
      </c>
      <c r="X731" s="69">
        <f t="shared" ca="1" si="171"/>
        <v>0.55965730528067148</v>
      </c>
    </row>
    <row r="732" spans="2:24" x14ac:dyDescent="0.2">
      <c r="B732" s="69">
        <f t="shared" ca="1" si="160"/>
        <v>-1.0273703529496623</v>
      </c>
      <c r="C732" s="69">
        <f t="shared" ca="1" si="159"/>
        <v>-0.60772243776870094</v>
      </c>
      <c r="D732" s="69">
        <f t="shared" ca="1" si="159"/>
        <v>-0.11953596504898237</v>
      </c>
      <c r="E732" s="69">
        <f t="shared" ca="1" si="159"/>
        <v>2.6868309183566291E-2</v>
      </c>
      <c r="F732" s="69">
        <f t="shared" ca="1" si="159"/>
        <v>-1.0222736284126059</v>
      </c>
      <c r="G732" s="69">
        <f t="shared" ca="1" si="159"/>
        <v>0.20788418868649194</v>
      </c>
      <c r="H732" s="69">
        <f t="shared" ca="1" si="159"/>
        <v>0.17331321970256386</v>
      </c>
      <c r="I732" s="69">
        <f t="shared" ref="C732:L795" ca="1" si="172">NORMINV(RAND(),$C$7,$F$7)</f>
        <v>0.86689547758551333</v>
      </c>
      <c r="J732" s="69">
        <f t="shared" ca="1" si="172"/>
        <v>-5.6636088283709772E-2</v>
      </c>
      <c r="K732" s="69">
        <f t="shared" ca="1" si="172"/>
        <v>0.85848811111862811</v>
      </c>
      <c r="L732" s="69">
        <f t="shared" ca="1" si="172"/>
        <v>1.5269701150645518</v>
      </c>
      <c r="N732" s="69">
        <f t="shared" ca="1" si="161"/>
        <v>-0.98960230911155345</v>
      </c>
      <c r="O732" s="69">
        <f t="shared" ca="1" si="162"/>
        <v>-0.63421600085158758</v>
      </c>
      <c r="P732" s="69">
        <f t="shared" ca="1" si="163"/>
        <v>-0.17727802988607239</v>
      </c>
      <c r="Q732" s="69">
        <f t="shared" ca="1" si="164"/>
        <v>7.5976988045325239E-2</v>
      </c>
      <c r="R732" s="69">
        <f t="shared" ca="1" si="165"/>
        <v>-1.0285683138202548</v>
      </c>
      <c r="S732" s="69">
        <f t="shared" ca="1" si="166"/>
        <v>0.24071116094330042</v>
      </c>
      <c r="T732" s="69">
        <f t="shared" ca="1" si="167"/>
        <v>0.16848218198737402</v>
      </c>
      <c r="U732" s="69">
        <f t="shared" ca="1" si="168"/>
        <v>0.88993560446322295</v>
      </c>
      <c r="V732" s="69">
        <f t="shared" ca="1" si="169"/>
        <v>-6.2745681857307098E-2</v>
      </c>
      <c r="W732" s="69">
        <f t="shared" ca="1" si="170"/>
        <v>0.85946946794272705</v>
      </c>
      <c r="X732" s="69">
        <f t="shared" ca="1" si="171"/>
        <v>1.5541386054389874</v>
      </c>
    </row>
    <row r="733" spans="2:24" x14ac:dyDescent="0.2">
      <c r="B733" s="69">
        <f t="shared" ca="1" si="160"/>
        <v>-0.32402888194557111</v>
      </c>
      <c r="C733" s="69">
        <f t="shared" ca="1" si="172"/>
        <v>0.53276142468268461</v>
      </c>
      <c r="D733" s="69">
        <f t="shared" ca="1" si="172"/>
        <v>0.52170099343138943</v>
      </c>
      <c r="E733" s="69">
        <f t="shared" ca="1" si="172"/>
        <v>-0.86182670336083722</v>
      </c>
      <c r="F733" s="69">
        <f t="shared" ca="1" si="172"/>
        <v>0.43670329212891318</v>
      </c>
      <c r="G733" s="69">
        <f t="shared" ca="1" si="172"/>
        <v>-0.32568319885097546</v>
      </c>
      <c r="H733" s="69">
        <f t="shared" ca="1" si="172"/>
        <v>0.6623235971082565</v>
      </c>
      <c r="I733" s="69">
        <f t="shared" ca="1" si="172"/>
        <v>-0.12751795794244472</v>
      </c>
      <c r="J733" s="69">
        <f t="shared" ca="1" si="172"/>
        <v>-9.1833856408487041E-2</v>
      </c>
      <c r="K733" s="69">
        <f t="shared" ca="1" si="172"/>
        <v>0.69468434262490619</v>
      </c>
      <c r="L733" s="69">
        <f t="shared" ca="1" si="172"/>
        <v>-0.792844041485124</v>
      </c>
      <c r="N733" s="69">
        <f t="shared" ca="1" si="161"/>
        <v>-0.28626083810746228</v>
      </c>
      <c r="O733" s="69">
        <f t="shared" ca="1" si="162"/>
        <v>0.50626786159979797</v>
      </c>
      <c r="P733" s="69">
        <f t="shared" ca="1" si="163"/>
        <v>0.46395892859429938</v>
      </c>
      <c r="Q733" s="69">
        <f t="shared" ca="1" si="164"/>
        <v>-0.81271802449907826</v>
      </c>
      <c r="R733" s="69">
        <f t="shared" ca="1" si="165"/>
        <v>0.4304086067212643</v>
      </c>
      <c r="S733" s="69">
        <f t="shared" ca="1" si="166"/>
        <v>-0.29285622659416699</v>
      </c>
      <c r="T733" s="69">
        <f t="shared" ca="1" si="167"/>
        <v>0.65749255939306661</v>
      </c>
      <c r="U733" s="69">
        <f t="shared" ca="1" si="168"/>
        <v>-0.10447783106473507</v>
      </c>
      <c r="V733" s="69">
        <f t="shared" ca="1" si="169"/>
        <v>-9.7943449982084374E-2</v>
      </c>
      <c r="W733" s="69">
        <f t="shared" ca="1" si="170"/>
        <v>0.69566569944900514</v>
      </c>
      <c r="X733" s="69">
        <f t="shared" ca="1" si="171"/>
        <v>-0.76567555111068852</v>
      </c>
    </row>
    <row r="734" spans="2:24" x14ac:dyDescent="0.2">
      <c r="B734" s="69">
        <f t="shared" ca="1" si="160"/>
        <v>0.6580840904934312</v>
      </c>
      <c r="C734" s="69">
        <f t="shared" ca="1" si="172"/>
        <v>1.7608674057740301</v>
      </c>
      <c r="D734" s="69">
        <f t="shared" ca="1" si="172"/>
        <v>0.29727765342677304</v>
      </c>
      <c r="E734" s="69">
        <f t="shared" ca="1" si="172"/>
        <v>0.22795611476310193</v>
      </c>
      <c r="F734" s="69">
        <f t="shared" ca="1" si="172"/>
        <v>3.9285866934348691E-2</v>
      </c>
      <c r="G734" s="69">
        <f t="shared" ca="1" si="172"/>
        <v>0.37418907962631848</v>
      </c>
      <c r="H734" s="69">
        <f t="shared" ca="1" si="172"/>
        <v>0.18837076817189688</v>
      </c>
      <c r="I734" s="69">
        <f t="shared" ca="1" si="172"/>
        <v>0.54925184007935279</v>
      </c>
      <c r="J734" s="69">
        <f t="shared" ca="1" si="172"/>
        <v>-1.6331243595901512</v>
      </c>
      <c r="K734" s="69">
        <f t="shared" ca="1" si="172"/>
        <v>-0.86235355437033634</v>
      </c>
      <c r="L734" s="69">
        <f t="shared" ca="1" si="172"/>
        <v>-0.28925838281136745</v>
      </c>
      <c r="N734" s="69">
        <f t="shared" ca="1" si="161"/>
        <v>0.69585213433154003</v>
      </c>
      <c r="O734" s="69">
        <f t="shared" ca="1" si="162"/>
        <v>1.7343738426911435</v>
      </c>
      <c r="P734" s="69">
        <f t="shared" ca="1" si="163"/>
        <v>0.23953558858968299</v>
      </c>
      <c r="Q734" s="69">
        <f t="shared" ca="1" si="164"/>
        <v>0.27706479362486086</v>
      </c>
      <c r="R734" s="69">
        <f t="shared" ca="1" si="165"/>
        <v>3.2991181526699796E-2</v>
      </c>
      <c r="S734" s="69">
        <f t="shared" ca="1" si="166"/>
        <v>0.40701605188312695</v>
      </c>
      <c r="T734" s="69">
        <f t="shared" ca="1" si="167"/>
        <v>0.18353973045670705</v>
      </c>
      <c r="U734" s="69">
        <f t="shared" ca="1" si="168"/>
        <v>0.57229196695706241</v>
      </c>
      <c r="V734" s="69">
        <f t="shared" ca="1" si="169"/>
        <v>-1.6392339531637485</v>
      </c>
      <c r="W734" s="69">
        <f t="shared" ca="1" si="170"/>
        <v>-0.86137219754623739</v>
      </c>
      <c r="X734" s="69">
        <f t="shared" ca="1" si="171"/>
        <v>-0.26208989243693198</v>
      </c>
    </row>
    <row r="735" spans="2:24" x14ac:dyDescent="0.2">
      <c r="B735" s="69">
        <f t="shared" ca="1" si="160"/>
        <v>-1.7852934987292342</v>
      </c>
      <c r="C735" s="69">
        <f t="shared" ca="1" si="172"/>
        <v>0.37102219194215896</v>
      </c>
      <c r="D735" s="69">
        <f t="shared" ca="1" si="172"/>
        <v>0.72454205749621647</v>
      </c>
      <c r="E735" s="69">
        <f t="shared" ca="1" si="172"/>
        <v>-0.2920164022263621</v>
      </c>
      <c r="F735" s="69">
        <f t="shared" ca="1" si="172"/>
        <v>-1.337216596916889</v>
      </c>
      <c r="G735" s="69">
        <f t="shared" ca="1" si="172"/>
        <v>-0.78785342087915211</v>
      </c>
      <c r="H735" s="69">
        <f t="shared" ca="1" si="172"/>
        <v>0.86740989999590301</v>
      </c>
      <c r="I735" s="69">
        <f t="shared" ca="1" si="172"/>
        <v>1.4657537655910315</v>
      </c>
      <c r="J735" s="69">
        <f t="shared" ca="1" si="172"/>
        <v>1.2605470860837193</v>
      </c>
      <c r="K735" s="69">
        <f t="shared" ca="1" si="172"/>
        <v>1.7425903115204004</v>
      </c>
      <c r="L735" s="69">
        <f t="shared" ca="1" si="172"/>
        <v>-0.18127179746030558</v>
      </c>
      <c r="N735" s="69">
        <f t="shared" ca="1" si="161"/>
        <v>-1.7475254548911254</v>
      </c>
      <c r="O735" s="69">
        <f t="shared" ca="1" si="162"/>
        <v>0.34452862885927227</v>
      </c>
      <c r="P735" s="69">
        <f t="shared" ca="1" si="163"/>
        <v>0.66679999265912648</v>
      </c>
      <c r="Q735" s="69">
        <f t="shared" ca="1" si="164"/>
        <v>-0.24290772336460315</v>
      </c>
      <c r="R735" s="69">
        <f t="shared" ca="1" si="165"/>
        <v>-1.3435112823245379</v>
      </c>
      <c r="S735" s="69">
        <f t="shared" ca="1" si="166"/>
        <v>-0.75502644862234358</v>
      </c>
      <c r="T735" s="69">
        <f t="shared" ca="1" si="167"/>
        <v>0.86257886228071312</v>
      </c>
      <c r="U735" s="69">
        <f t="shared" ca="1" si="168"/>
        <v>1.4887938924687412</v>
      </c>
      <c r="V735" s="69">
        <f t="shared" ca="1" si="169"/>
        <v>1.254437492510122</v>
      </c>
      <c r="W735" s="69">
        <f t="shared" ca="1" si="170"/>
        <v>1.7435716683444995</v>
      </c>
      <c r="X735" s="69">
        <f t="shared" ca="1" si="171"/>
        <v>-0.15410330708587011</v>
      </c>
    </row>
    <row r="736" spans="2:24" x14ac:dyDescent="0.2">
      <c r="B736" s="69">
        <f t="shared" ca="1" si="160"/>
        <v>-0.51407003309415544</v>
      </c>
      <c r="C736" s="69">
        <f t="shared" ca="1" si="172"/>
        <v>-0.79084353392174445</v>
      </c>
      <c r="D736" s="69">
        <f t="shared" ca="1" si="172"/>
        <v>-0.71785391359395823</v>
      </c>
      <c r="E736" s="69">
        <f t="shared" ca="1" si="172"/>
        <v>0.18497536534065009</v>
      </c>
      <c r="F736" s="69">
        <f t="shared" ca="1" si="172"/>
        <v>0.22452310241819035</v>
      </c>
      <c r="G736" s="69">
        <f t="shared" ca="1" si="172"/>
        <v>1.6773271338442957</v>
      </c>
      <c r="H736" s="69">
        <f t="shared" ca="1" si="172"/>
        <v>4.0621533556721219E-2</v>
      </c>
      <c r="I736" s="69">
        <f t="shared" ca="1" si="172"/>
        <v>-0.40283240966515949</v>
      </c>
      <c r="J736" s="69">
        <f t="shared" ca="1" si="172"/>
        <v>-0.13780433409603302</v>
      </c>
      <c r="K736" s="69">
        <f t="shared" ca="1" si="172"/>
        <v>0.55152609269631836</v>
      </c>
      <c r="L736" s="69">
        <f t="shared" ca="1" si="172"/>
        <v>-0.26603962081885368</v>
      </c>
      <c r="N736" s="69">
        <f t="shared" ca="1" si="161"/>
        <v>-0.47630198925604661</v>
      </c>
      <c r="O736" s="69">
        <f t="shared" ca="1" si="162"/>
        <v>-0.81733709700463109</v>
      </c>
      <c r="P736" s="69">
        <f t="shared" ca="1" si="163"/>
        <v>-0.77559597843104822</v>
      </c>
      <c r="Q736" s="69">
        <f t="shared" ca="1" si="164"/>
        <v>0.23408404420240903</v>
      </c>
      <c r="R736" s="69">
        <f t="shared" ca="1" si="165"/>
        <v>0.21822841701054144</v>
      </c>
      <c r="S736" s="69">
        <f t="shared" ca="1" si="166"/>
        <v>1.7101541061011041</v>
      </c>
      <c r="T736" s="69">
        <f t="shared" ca="1" si="167"/>
        <v>3.5790495841531371E-2</v>
      </c>
      <c r="U736" s="69">
        <f t="shared" ca="1" si="168"/>
        <v>-0.37979228278744981</v>
      </c>
      <c r="V736" s="69">
        <f t="shared" ca="1" si="169"/>
        <v>-0.14391392766963035</v>
      </c>
      <c r="W736" s="69">
        <f t="shared" ca="1" si="170"/>
        <v>0.5525074495204173</v>
      </c>
      <c r="X736" s="69">
        <f t="shared" ca="1" si="171"/>
        <v>-0.23887113044441821</v>
      </c>
    </row>
    <row r="737" spans="2:24" x14ac:dyDescent="0.2">
      <c r="B737" s="69">
        <f t="shared" ca="1" si="160"/>
        <v>-0.9561446249534864</v>
      </c>
      <c r="C737" s="69">
        <f t="shared" ca="1" si="172"/>
        <v>0.41961853752378275</v>
      </c>
      <c r="D737" s="69">
        <f t="shared" ca="1" si="172"/>
        <v>-0.25509631203020572</v>
      </c>
      <c r="E737" s="69">
        <f t="shared" ca="1" si="172"/>
        <v>0.19276680215175579</v>
      </c>
      <c r="F737" s="69">
        <f t="shared" ca="1" si="172"/>
        <v>-1.3285578376583789</v>
      </c>
      <c r="G737" s="69">
        <f t="shared" ca="1" si="172"/>
        <v>-0.12356866812430214</v>
      </c>
      <c r="H737" s="69">
        <f t="shared" ca="1" si="172"/>
        <v>0.93069069887781042</v>
      </c>
      <c r="I737" s="69">
        <f t="shared" ca="1" si="172"/>
        <v>-0.446733488769816</v>
      </c>
      <c r="J737" s="69">
        <f t="shared" ca="1" si="172"/>
        <v>-0.26937691275075698</v>
      </c>
      <c r="K737" s="69">
        <f t="shared" ca="1" si="172"/>
        <v>1.4826064372835102</v>
      </c>
      <c r="L737" s="69">
        <f t="shared" ca="1" si="172"/>
        <v>-0.34222263636193545</v>
      </c>
      <c r="N737" s="69">
        <f t="shared" ca="1" si="161"/>
        <v>-0.91837658111537757</v>
      </c>
      <c r="O737" s="69">
        <f t="shared" ca="1" si="162"/>
        <v>0.39312497444089606</v>
      </c>
      <c r="P737" s="69">
        <f t="shared" ca="1" si="163"/>
        <v>-0.31283837686729576</v>
      </c>
      <c r="Q737" s="69">
        <f t="shared" ca="1" si="164"/>
        <v>0.24187548101351475</v>
      </c>
      <c r="R737" s="69">
        <f t="shared" ca="1" si="165"/>
        <v>-1.3348525230660278</v>
      </c>
      <c r="S737" s="69">
        <f t="shared" ca="1" si="166"/>
        <v>-9.0741695867493671E-2</v>
      </c>
      <c r="T737" s="69">
        <f t="shared" ca="1" si="167"/>
        <v>0.92585966116262053</v>
      </c>
      <c r="U737" s="69">
        <f t="shared" ca="1" si="168"/>
        <v>-0.42369336189210632</v>
      </c>
      <c r="V737" s="69">
        <f t="shared" ca="1" si="169"/>
        <v>-0.27548650632435429</v>
      </c>
      <c r="W737" s="69">
        <f t="shared" ca="1" si="170"/>
        <v>1.4835877941076092</v>
      </c>
      <c r="X737" s="69">
        <f t="shared" ca="1" si="171"/>
        <v>-0.31505414598749998</v>
      </c>
    </row>
    <row r="738" spans="2:24" x14ac:dyDescent="0.2">
      <c r="B738" s="69">
        <f t="shared" ca="1" si="160"/>
        <v>-0.15331655783162565</v>
      </c>
      <c r="C738" s="69">
        <f t="shared" ca="1" si="172"/>
        <v>-1.7694823395212562</v>
      </c>
      <c r="D738" s="69">
        <f t="shared" ca="1" si="172"/>
        <v>0.60857658058847275</v>
      </c>
      <c r="E738" s="69">
        <f t="shared" ca="1" si="172"/>
        <v>-1.1186964236270145</v>
      </c>
      <c r="F738" s="69">
        <f t="shared" ca="1" si="172"/>
        <v>-0.25188674217182938</v>
      </c>
      <c r="G738" s="69">
        <f t="shared" ca="1" si="172"/>
        <v>0.29727406498396214</v>
      </c>
      <c r="H738" s="69">
        <f t="shared" ca="1" si="172"/>
        <v>0.26834516463325675</v>
      </c>
      <c r="I738" s="69">
        <f t="shared" ca="1" si="172"/>
        <v>0.51977109009652622</v>
      </c>
      <c r="J738" s="69">
        <f t="shared" ca="1" si="172"/>
        <v>0.54510362735386164</v>
      </c>
      <c r="K738" s="69">
        <f t="shared" ca="1" si="172"/>
        <v>0.80198489994249111</v>
      </c>
      <c r="L738" s="69">
        <f t="shared" ca="1" si="172"/>
        <v>0.30149787527394512</v>
      </c>
      <c r="N738" s="69">
        <f t="shared" ca="1" si="161"/>
        <v>-0.11554851399351683</v>
      </c>
      <c r="O738" s="69">
        <f t="shared" ca="1" si="162"/>
        <v>-1.7959759026041429</v>
      </c>
      <c r="P738" s="69">
        <f t="shared" ca="1" si="163"/>
        <v>0.55083451575138276</v>
      </c>
      <c r="Q738" s="69">
        <f t="shared" ca="1" si="164"/>
        <v>-1.0695877447652555</v>
      </c>
      <c r="R738" s="69">
        <f t="shared" ca="1" si="165"/>
        <v>-0.25818142757947826</v>
      </c>
      <c r="S738" s="69">
        <f t="shared" ca="1" si="166"/>
        <v>0.33010103724077061</v>
      </c>
      <c r="T738" s="69">
        <f t="shared" ca="1" si="167"/>
        <v>0.26351412691806692</v>
      </c>
      <c r="U738" s="69">
        <f t="shared" ca="1" si="168"/>
        <v>0.54281121697423584</v>
      </c>
      <c r="V738" s="69">
        <f t="shared" ca="1" si="169"/>
        <v>0.53899403378026434</v>
      </c>
      <c r="W738" s="69">
        <f t="shared" ca="1" si="170"/>
        <v>0.80296625676659006</v>
      </c>
      <c r="X738" s="69">
        <f t="shared" ca="1" si="171"/>
        <v>0.32866636564838059</v>
      </c>
    </row>
    <row r="739" spans="2:24" x14ac:dyDescent="0.2">
      <c r="B739" s="69">
        <f t="shared" ca="1" si="160"/>
        <v>-0.1980141802184735</v>
      </c>
      <c r="C739" s="69">
        <f t="shared" ca="1" si="172"/>
        <v>-0.85680407163878824</v>
      </c>
      <c r="D739" s="69">
        <f t="shared" ca="1" si="172"/>
        <v>0.54078754184409916</v>
      </c>
      <c r="E739" s="69">
        <f t="shared" ca="1" si="172"/>
        <v>-0.27904449159414424</v>
      </c>
      <c r="F739" s="69">
        <f t="shared" ca="1" si="172"/>
        <v>-3.3747079911534056E-2</v>
      </c>
      <c r="G739" s="69">
        <f t="shared" ca="1" si="172"/>
        <v>-0.6982243083900509</v>
      </c>
      <c r="H739" s="69">
        <f t="shared" ca="1" si="172"/>
        <v>-0.1530801175230331</v>
      </c>
      <c r="I739" s="69">
        <f t="shared" ca="1" si="172"/>
        <v>1.9691108578452217</v>
      </c>
      <c r="J739" s="69">
        <f t="shared" ca="1" si="172"/>
        <v>0.23494096821051824</v>
      </c>
      <c r="K739" s="69">
        <f t="shared" ca="1" si="172"/>
        <v>0.39561529651604366</v>
      </c>
      <c r="L739" s="69">
        <f t="shared" ca="1" si="172"/>
        <v>0.56521505009009354</v>
      </c>
      <c r="N739" s="69">
        <f t="shared" ca="1" si="161"/>
        <v>-0.16024613638036467</v>
      </c>
      <c r="O739" s="69">
        <f t="shared" ca="1" si="162"/>
        <v>-0.88329763472167488</v>
      </c>
      <c r="P739" s="69">
        <f t="shared" ca="1" si="163"/>
        <v>0.48304547700700912</v>
      </c>
      <c r="Q739" s="69">
        <f t="shared" ca="1" si="164"/>
        <v>-0.22993581273238528</v>
      </c>
      <c r="R739" s="69">
        <f t="shared" ca="1" si="165"/>
        <v>-4.0041765319182951E-2</v>
      </c>
      <c r="S739" s="69">
        <f t="shared" ca="1" si="166"/>
        <v>-0.66539733613324237</v>
      </c>
      <c r="T739" s="69">
        <f t="shared" ca="1" si="167"/>
        <v>-0.15791115523822294</v>
      </c>
      <c r="U739" s="69">
        <f t="shared" ca="1" si="168"/>
        <v>1.9921509847229313</v>
      </c>
      <c r="V739" s="69">
        <f t="shared" ca="1" si="169"/>
        <v>0.22883137463692091</v>
      </c>
      <c r="W739" s="69">
        <f t="shared" ca="1" si="170"/>
        <v>0.3965966533401426</v>
      </c>
      <c r="X739" s="69">
        <f t="shared" ca="1" si="171"/>
        <v>0.59238354046452901</v>
      </c>
    </row>
    <row r="740" spans="2:24" x14ac:dyDescent="0.2">
      <c r="B740" s="69">
        <f t="shared" ca="1" si="160"/>
        <v>1.0961738922425359</v>
      </c>
      <c r="C740" s="69">
        <f t="shared" ca="1" si="172"/>
        <v>1.3653890744535055</v>
      </c>
      <c r="D740" s="69">
        <f t="shared" ca="1" si="172"/>
        <v>-1.0028610875953325</v>
      </c>
      <c r="E740" s="69">
        <f t="shared" ca="1" si="172"/>
        <v>-0.40970138326695715</v>
      </c>
      <c r="F740" s="69">
        <f t="shared" ca="1" si="172"/>
        <v>-9.1747436370746893E-2</v>
      </c>
      <c r="G740" s="69">
        <f t="shared" ca="1" si="172"/>
        <v>1.2245051449344995</v>
      </c>
      <c r="H740" s="69">
        <f t="shared" ca="1" si="172"/>
        <v>-0.11721939879551574</v>
      </c>
      <c r="I740" s="69">
        <f t="shared" ca="1" si="172"/>
        <v>-0.80823246679104555</v>
      </c>
      <c r="J740" s="69">
        <f t="shared" ca="1" si="172"/>
        <v>0.96791735664952727</v>
      </c>
      <c r="K740" s="69">
        <f t="shared" ca="1" si="172"/>
        <v>-2.1937088838864178</v>
      </c>
      <c r="L740" s="69">
        <f t="shared" ca="1" si="172"/>
        <v>-2.0510786120303606</v>
      </c>
      <c r="N740" s="69">
        <f t="shared" ca="1" si="161"/>
        <v>1.1339419360806446</v>
      </c>
      <c r="O740" s="69">
        <f t="shared" ca="1" si="162"/>
        <v>1.3388955113706189</v>
      </c>
      <c r="P740" s="69">
        <f t="shared" ca="1" si="163"/>
        <v>-1.0606031524324226</v>
      </c>
      <c r="Q740" s="69">
        <f t="shared" ca="1" si="164"/>
        <v>-0.36059270440519819</v>
      </c>
      <c r="R740" s="69">
        <f t="shared" ca="1" si="165"/>
        <v>-9.8042121778395788E-2</v>
      </c>
      <c r="S740" s="69">
        <f t="shared" ca="1" si="166"/>
        <v>1.2573321171913079</v>
      </c>
      <c r="T740" s="69">
        <f t="shared" ca="1" si="167"/>
        <v>-0.12205043651070559</v>
      </c>
      <c r="U740" s="69">
        <f t="shared" ca="1" si="168"/>
        <v>-0.78519233991333592</v>
      </c>
      <c r="V740" s="69">
        <f t="shared" ca="1" si="169"/>
        <v>0.96180776307592997</v>
      </c>
      <c r="W740" s="69">
        <f t="shared" ca="1" si="170"/>
        <v>-2.1927275270623188</v>
      </c>
      <c r="X740" s="69">
        <f t="shared" ca="1" si="171"/>
        <v>-2.0239101216559252</v>
      </c>
    </row>
    <row r="741" spans="2:24" x14ac:dyDescent="0.2">
      <c r="B741" s="69">
        <f t="shared" ca="1" si="160"/>
        <v>-2.2196759494818363</v>
      </c>
      <c r="C741" s="69">
        <f t="shared" ca="1" si="172"/>
        <v>-0.78940966541179203</v>
      </c>
      <c r="D741" s="69">
        <f t="shared" ca="1" si="172"/>
        <v>1.5473340032858642</v>
      </c>
      <c r="E741" s="69">
        <f t="shared" ca="1" si="172"/>
        <v>-0.59835256642698897</v>
      </c>
      <c r="F741" s="69">
        <f t="shared" ca="1" si="172"/>
        <v>1.1974080792201309</v>
      </c>
      <c r="G741" s="69">
        <f t="shared" ca="1" si="172"/>
        <v>-1.4298301765936876</v>
      </c>
      <c r="H741" s="69">
        <f t="shared" ca="1" si="172"/>
        <v>-0.20733209856106277</v>
      </c>
      <c r="I741" s="69">
        <f t="shared" ca="1" si="172"/>
        <v>-8.4634708704215633E-2</v>
      </c>
      <c r="J741" s="69">
        <f t="shared" ca="1" si="172"/>
        <v>-1.204182399119907</v>
      </c>
      <c r="K741" s="69">
        <f t="shared" ca="1" si="172"/>
        <v>-0.1935525678474376</v>
      </c>
      <c r="L741" s="69">
        <f t="shared" ca="1" si="172"/>
        <v>0.77645005401620992</v>
      </c>
      <c r="N741" s="69">
        <f t="shared" ca="1" si="161"/>
        <v>-2.1819079056437274</v>
      </c>
      <c r="O741" s="69">
        <f t="shared" ca="1" si="162"/>
        <v>-0.81590322849467867</v>
      </c>
      <c r="P741" s="69">
        <f t="shared" ca="1" si="163"/>
        <v>1.4895919384487741</v>
      </c>
      <c r="Q741" s="69">
        <f t="shared" ca="1" si="164"/>
        <v>-0.54924388756523002</v>
      </c>
      <c r="R741" s="69">
        <f t="shared" ca="1" si="165"/>
        <v>1.191113393812482</v>
      </c>
      <c r="S741" s="69">
        <f t="shared" ca="1" si="166"/>
        <v>-1.3970032043368792</v>
      </c>
      <c r="T741" s="69">
        <f t="shared" ca="1" si="167"/>
        <v>-0.21216313627625261</v>
      </c>
      <c r="U741" s="69">
        <f t="shared" ca="1" si="168"/>
        <v>-6.1594581826505977E-2</v>
      </c>
      <c r="V741" s="69">
        <f t="shared" ca="1" si="169"/>
        <v>-1.2102919926935043</v>
      </c>
      <c r="W741" s="69">
        <f t="shared" ca="1" si="170"/>
        <v>-0.19257121102333866</v>
      </c>
      <c r="X741" s="69">
        <f t="shared" ca="1" si="171"/>
        <v>0.8036185443906454</v>
      </c>
    </row>
    <row r="742" spans="2:24" x14ac:dyDescent="0.2">
      <c r="B742" s="69">
        <f t="shared" ca="1" si="160"/>
        <v>1.5305576580481204</v>
      </c>
      <c r="C742" s="69">
        <f t="shared" ca="1" si="172"/>
        <v>0.96725319661199272</v>
      </c>
      <c r="D742" s="69">
        <f t="shared" ca="1" si="172"/>
        <v>0.63522955042230145</v>
      </c>
      <c r="E742" s="69">
        <f t="shared" ca="1" si="172"/>
        <v>-0.54481057025443824</v>
      </c>
      <c r="F742" s="69">
        <f t="shared" ca="1" si="172"/>
        <v>-1.0433781414338812</v>
      </c>
      <c r="G742" s="69">
        <f t="shared" ca="1" si="172"/>
        <v>-0.59127557294043509</v>
      </c>
      <c r="H742" s="69">
        <f t="shared" ca="1" si="172"/>
        <v>-0.19096865869851753</v>
      </c>
      <c r="I742" s="69">
        <f t="shared" ca="1" si="172"/>
        <v>-0.71831608272347591</v>
      </c>
      <c r="J742" s="69">
        <f t="shared" ca="1" si="172"/>
        <v>-1.0343552373454739</v>
      </c>
      <c r="K742" s="69">
        <f t="shared" ca="1" si="172"/>
        <v>6.1997289067106436E-2</v>
      </c>
      <c r="L742" s="69">
        <f t="shared" ca="1" si="172"/>
        <v>-1.786245285782889</v>
      </c>
      <c r="N742" s="69">
        <f t="shared" ca="1" si="161"/>
        <v>1.5683257018862291</v>
      </c>
      <c r="O742" s="69">
        <f t="shared" ca="1" si="162"/>
        <v>0.94075963352910608</v>
      </c>
      <c r="P742" s="69">
        <f t="shared" ca="1" si="163"/>
        <v>0.57748748558521146</v>
      </c>
      <c r="Q742" s="69">
        <f t="shared" ca="1" si="164"/>
        <v>-0.49570189139267928</v>
      </c>
      <c r="R742" s="69">
        <f t="shared" ca="1" si="165"/>
        <v>-1.0496728268415301</v>
      </c>
      <c r="S742" s="69">
        <f t="shared" ca="1" si="166"/>
        <v>-0.55844860068362656</v>
      </c>
      <c r="T742" s="69">
        <f t="shared" ca="1" si="167"/>
        <v>-0.19579969641370737</v>
      </c>
      <c r="U742" s="69">
        <f t="shared" ca="1" si="168"/>
        <v>-0.69527595584576629</v>
      </c>
      <c r="V742" s="69">
        <f t="shared" ca="1" si="169"/>
        <v>-1.0404648309190712</v>
      </c>
      <c r="W742" s="69">
        <f t="shared" ca="1" si="170"/>
        <v>6.2978645891205387E-2</v>
      </c>
      <c r="X742" s="69">
        <f t="shared" ca="1" si="171"/>
        <v>-1.7590767954084534</v>
      </c>
    </row>
    <row r="743" spans="2:24" x14ac:dyDescent="0.2">
      <c r="B743" s="69">
        <f t="shared" ca="1" si="160"/>
        <v>-0.94661759816622837</v>
      </c>
      <c r="C743" s="69">
        <f t="shared" ca="1" si="172"/>
        <v>1.7317552936240443E-2</v>
      </c>
      <c r="D743" s="69">
        <f t="shared" ca="1" si="172"/>
        <v>-1.1808872022985215</v>
      </c>
      <c r="E743" s="69">
        <f t="shared" ca="1" si="172"/>
        <v>9.4958135371718669E-2</v>
      </c>
      <c r="F743" s="69">
        <f t="shared" ca="1" si="172"/>
        <v>-0.16107442574273972</v>
      </c>
      <c r="G743" s="69">
        <f t="shared" ca="1" si="172"/>
        <v>0.22766643722401092</v>
      </c>
      <c r="H743" s="69">
        <f t="shared" ca="1" si="172"/>
        <v>8.2684315305717515E-2</v>
      </c>
      <c r="I743" s="69">
        <f t="shared" ca="1" si="172"/>
        <v>-0.33424262431504775</v>
      </c>
      <c r="J743" s="69">
        <f t="shared" ca="1" si="172"/>
        <v>1.2431586233818306</v>
      </c>
      <c r="K743" s="69">
        <f t="shared" ca="1" si="172"/>
        <v>-1.8403364252580359</v>
      </c>
      <c r="L743" s="69">
        <f t="shared" ca="1" si="172"/>
        <v>1.026114423725768</v>
      </c>
      <c r="N743" s="69">
        <f t="shared" ca="1" si="161"/>
        <v>-0.90884955432811954</v>
      </c>
      <c r="O743" s="69">
        <f t="shared" ca="1" si="162"/>
        <v>-9.1760101466462421E-3</v>
      </c>
      <c r="P743" s="69">
        <f t="shared" ca="1" si="163"/>
        <v>-1.2386292671356116</v>
      </c>
      <c r="Q743" s="69">
        <f t="shared" ca="1" si="164"/>
        <v>0.14406681423347761</v>
      </c>
      <c r="R743" s="69">
        <f t="shared" ca="1" si="165"/>
        <v>-0.16736911115038863</v>
      </c>
      <c r="S743" s="69">
        <f t="shared" ca="1" si="166"/>
        <v>0.26049340948081939</v>
      </c>
      <c r="T743" s="69">
        <f t="shared" ca="1" si="167"/>
        <v>7.7853277590527667E-2</v>
      </c>
      <c r="U743" s="69">
        <f t="shared" ca="1" si="168"/>
        <v>-0.31120249743733808</v>
      </c>
      <c r="V743" s="69">
        <f t="shared" ca="1" si="169"/>
        <v>1.2370490298082333</v>
      </c>
      <c r="W743" s="69">
        <f t="shared" ca="1" si="170"/>
        <v>-1.8393550684339368</v>
      </c>
      <c r="X743" s="69">
        <f t="shared" ca="1" si="171"/>
        <v>1.0532829141002036</v>
      </c>
    </row>
    <row r="744" spans="2:24" x14ac:dyDescent="0.2">
      <c r="B744" s="69">
        <f t="shared" ca="1" si="160"/>
        <v>-2.2748534628905808</v>
      </c>
      <c r="C744" s="69">
        <f t="shared" ca="1" si="172"/>
        <v>-2.0316576346163986</v>
      </c>
      <c r="D744" s="69">
        <f t="shared" ca="1" si="172"/>
        <v>0.1333743645111975</v>
      </c>
      <c r="E744" s="69">
        <f t="shared" ca="1" si="172"/>
        <v>0.89373197697413087</v>
      </c>
      <c r="F744" s="69">
        <f t="shared" ca="1" si="172"/>
        <v>0.15738880864731916</v>
      </c>
      <c r="G744" s="69">
        <f t="shared" ca="1" si="172"/>
        <v>-0.20683505701215421</v>
      </c>
      <c r="H744" s="69">
        <f t="shared" ca="1" si="172"/>
        <v>-1.2029761056651629</v>
      </c>
      <c r="I744" s="69">
        <f t="shared" ca="1" si="172"/>
        <v>-0.75175436984074639</v>
      </c>
      <c r="J744" s="69">
        <f t="shared" ca="1" si="172"/>
        <v>-0.88975839689027958</v>
      </c>
      <c r="K744" s="69">
        <f t="shared" ca="1" si="172"/>
        <v>0.17940430996805917</v>
      </c>
      <c r="L744" s="69">
        <f t="shared" ca="1" si="172"/>
        <v>1.0785003813218417</v>
      </c>
      <c r="N744" s="69">
        <f t="shared" ca="1" si="161"/>
        <v>-2.2370854190524718</v>
      </c>
      <c r="O744" s="69">
        <f t="shared" ca="1" si="162"/>
        <v>-2.0581511976992855</v>
      </c>
      <c r="P744" s="69">
        <f t="shared" ca="1" si="163"/>
        <v>7.5632299674107464E-2</v>
      </c>
      <c r="Q744" s="69">
        <f t="shared" ca="1" si="164"/>
        <v>0.94284065583588983</v>
      </c>
      <c r="R744" s="69">
        <f t="shared" ca="1" si="165"/>
        <v>0.15109412323967025</v>
      </c>
      <c r="S744" s="69">
        <f t="shared" ca="1" si="166"/>
        <v>-0.17400808475534574</v>
      </c>
      <c r="T744" s="69">
        <f t="shared" ca="1" si="167"/>
        <v>-1.2078071433803528</v>
      </c>
      <c r="U744" s="69">
        <f t="shared" ca="1" si="168"/>
        <v>-0.72871424296303677</v>
      </c>
      <c r="V744" s="69">
        <f t="shared" ca="1" si="169"/>
        <v>-0.89586799046387688</v>
      </c>
      <c r="W744" s="69">
        <f t="shared" ca="1" si="170"/>
        <v>0.18038566679215812</v>
      </c>
      <c r="X744" s="69">
        <f t="shared" ca="1" si="171"/>
        <v>1.1056688716962773</v>
      </c>
    </row>
    <row r="745" spans="2:24" x14ac:dyDescent="0.2">
      <c r="B745" s="69">
        <f t="shared" ca="1" si="160"/>
        <v>-0.56986691229497877</v>
      </c>
      <c r="C745" s="69">
        <f t="shared" ca="1" si="172"/>
        <v>-0.44654991407446598</v>
      </c>
      <c r="D745" s="69">
        <f t="shared" ca="1" si="172"/>
        <v>2.2670977813773763</v>
      </c>
      <c r="E745" s="69">
        <f t="shared" ca="1" si="172"/>
        <v>0.71001492401907917</v>
      </c>
      <c r="F745" s="69">
        <f t="shared" ca="1" si="172"/>
        <v>-0.32033160423195683</v>
      </c>
      <c r="G745" s="69">
        <f t="shared" ca="1" si="172"/>
        <v>0.98624336812736246</v>
      </c>
      <c r="H745" s="69">
        <f t="shared" ca="1" si="172"/>
        <v>-0.87915217378906996</v>
      </c>
      <c r="I745" s="69">
        <f t="shared" ca="1" si="172"/>
        <v>-0.27367280651454806</v>
      </c>
      <c r="J745" s="69">
        <f t="shared" ca="1" si="172"/>
        <v>-0.19916088740313559</v>
      </c>
      <c r="K745" s="69">
        <f t="shared" ca="1" si="172"/>
        <v>0.88605375588446533</v>
      </c>
      <c r="L745" s="69">
        <f t="shared" ca="1" si="172"/>
        <v>-0.31143561254631746</v>
      </c>
      <c r="N745" s="69">
        <f t="shared" ca="1" si="161"/>
        <v>-0.53209886845686993</v>
      </c>
      <c r="O745" s="69">
        <f t="shared" ca="1" si="162"/>
        <v>-0.47304347715735268</v>
      </c>
      <c r="P745" s="69">
        <f t="shared" ca="1" si="163"/>
        <v>2.2093557165402862</v>
      </c>
      <c r="Q745" s="69">
        <f t="shared" ca="1" si="164"/>
        <v>0.75912360288083813</v>
      </c>
      <c r="R745" s="69">
        <f t="shared" ca="1" si="165"/>
        <v>-0.32662628963960572</v>
      </c>
      <c r="S745" s="69">
        <f t="shared" ca="1" si="166"/>
        <v>1.019070340384171</v>
      </c>
      <c r="T745" s="69">
        <f t="shared" ca="1" si="167"/>
        <v>-0.88398321150425985</v>
      </c>
      <c r="U745" s="69">
        <f t="shared" ca="1" si="168"/>
        <v>-0.25063267963683838</v>
      </c>
      <c r="V745" s="69">
        <f t="shared" ca="1" si="169"/>
        <v>-0.20527048097673292</v>
      </c>
      <c r="W745" s="69">
        <f t="shared" ca="1" si="170"/>
        <v>0.88703511270856428</v>
      </c>
      <c r="X745" s="69">
        <f t="shared" ca="1" si="171"/>
        <v>-0.28426712217188199</v>
      </c>
    </row>
    <row r="746" spans="2:24" x14ac:dyDescent="0.2">
      <c r="B746" s="69">
        <f t="shared" ca="1" si="160"/>
        <v>0.33612727747717891</v>
      </c>
      <c r="C746" s="69">
        <f t="shared" ca="1" si="172"/>
        <v>-0.69297290233460729</v>
      </c>
      <c r="D746" s="69">
        <f t="shared" ca="1" si="172"/>
        <v>-0.40294665120285916</v>
      </c>
      <c r="E746" s="69">
        <f t="shared" ca="1" si="172"/>
        <v>0.93560097536956932</v>
      </c>
      <c r="F746" s="69">
        <f t="shared" ca="1" si="172"/>
        <v>-9.5922465888126571E-2</v>
      </c>
      <c r="G746" s="69">
        <f t="shared" ca="1" si="172"/>
        <v>1.1733838556149534</v>
      </c>
      <c r="H746" s="69">
        <f t="shared" ca="1" si="172"/>
        <v>-5.8809725252096975E-2</v>
      </c>
      <c r="I746" s="69">
        <f t="shared" ca="1" si="172"/>
        <v>-7.952945732261861E-2</v>
      </c>
      <c r="J746" s="69">
        <f t="shared" ca="1" si="172"/>
        <v>0.73817330416221882</v>
      </c>
      <c r="K746" s="69">
        <f t="shared" ca="1" si="172"/>
        <v>-1.2312383881794302</v>
      </c>
      <c r="L746" s="69">
        <f t="shared" ca="1" si="172"/>
        <v>-0.26429550350815439</v>
      </c>
      <c r="N746" s="69">
        <f t="shared" ca="1" si="161"/>
        <v>0.37389532131528774</v>
      </c>
      <c r="O746" s="69">
        <f t="shared" ca="1" si="162"/>
        <v>-0.71946646541749393</v>
      </c>
      <c r="P746" s="69">
        <f t="shared" ca="1" si="163"/>
        <v>-0.46068871603994921</v>
      </c>
      <c r="Q746" s="69">
        <f t="shared" ca="1" si="164"/>
        <v>0.98470965423132828</v>
      </c>
      <c r="R746" s="69">
        <f t="shared" ca="1" si="165"/>
        <v>-0.10221715129577547</v>
      </c>
      <c r="S746" s="69">
        <f t="shared" ca="1" si="166"/>
        <v>1.2062108278717618</v>
      </c>
      <c r="T746" s="69">
        <f t="shared" ca="1" si="167"/>
        <v>-6.3640762967286824E-2</v>
      </c>
      <c r="U746" s="69">
        <f t="shared" ca="1" si="168"/>
        <v>-5.6489330444908954E-2</v>
      </c>
      <c r="V746" s="69">
        <f t="shared" ca="1" si="169"/>
        <v>0.73206371058862152</v>
      </c>
      <c r="W746" s="69">
        <f t="shared" ca="1" si="170"/>
        <v>-1.2302570313553312</v>
      </c>
      <c r="X746" s="69">
        <f t="shared" ca="1" si="171"/>
        <v>-0.23712701313371892</v>
      </c>
    </row>
    <row r="747" spans="2:24" x14ac:dyDescent="0.2">
      <c r="B747" s="69">
        <f t="shared" ca="1" si="160"/>
        <v>0.14100195950907882</v>
      </c>
      <c r="C747" s="69">
        <f t="shared" ca="1" si="172"/>
        <v>0.59281369553074792</v>
      </c>
      <c r="D747" s="69">
        <f t="shared" ca="1" si="172"/>
        <v>-1.1593371942400594</v>
      </c>
      <c r="E747" s="69">
        <f t="shared" ca="1" si="172"/>
        <v>0.92677399065825239</v>
      </c>
      <c r="F747" s="69">
        <f t="shared" ca="1" si="172"/>
        <v>-1.9114771466930209</v>
      </c>
      <c r="G747" s="69">
        <f t="shared" ca="1" si="172"/>
        <v>0.65582149463696437</v>
      </c>
      <c r="H747" s="69">
        <f t="shared" ca="1" si="172"/>
        <v>0.10328808649155678</v>
      </c>
      <c r="I747" s="69">
        <f t="shared" ca="1" si="172"/>
        <v>-0.44642548702713469</v>
      </c>
      <c r="J747" s="69">
        <f t="shared" ca="1" si="172"/>
        <v>-1.4550998901146193</v>
      </c>
      <c r="K747" s="69">
        <f t="shared" ca="1" si="172"/>
        <v>0.37327528870918708</v>
      </c>
      <c r="L747" s="69">
        <f t="shared" ca="1" si="172"/>
        <v>6.6654220469077985E-2</v>
      </c>
      <c r="N747" s="69">
        <f t="shared" ca="1" si="161"/>
        <v>0.17877000334718762</v>
      </c>
      <c r="O747" s="69">
        <f t="shared" ca="1" si="162"/>
        <v>0.56632013244786128</v>
      </c>
      <c r="P747" s="69">
        <f t="shared" ca="1" si="163"/>
        <v>-1.2170792590771495</v>
      </c>
      <c r="Q747" s="69">
        <f t="shared" ca="1" si="164"/>
        <v>0.97588266952001135</v>
      </c>
      <c r="R747" s="69">
        <f t="shared" ca="1" si="165"/>
        <v>-1.9177718321006698</v>
      </c>
      <c r="S747" s="69">
        <f t="shared" ca="1" si="166"/>
        <v>0.6886484668937729</v>
      </c>
      <c r="T747" s="69">
        <f t="shared" ca="1" si="167"/>
        <v>9.8457048776366934E-2</v>
      </c>
      <c r="U747" s="69">
        <f t="shared" ca="1" si="168"/>
        <v>-0.42338536014942502</v>
      </c>
      <c r="V747" s="69">
        <f t="shared" ca="1" si="169"/>
        <v>-1.4612094836882166</v>
      </c>
      <c r="W747" s="69">
        <f t="shared" ca="1" si="170"/>
        <v>0.37425664553328603</v>
      </c>
      <c r="X747" s="69">
        <f t="shared" ca="1" si="171"/>
        <v>9.3822710843513457E-2</v>
      </c>
    </row>
    <row r="748" spans="2:24" x14ac:dyDescent="0.2">
      <c r="B748" s="69">
        <f t="shared" ca="1" si="160"/>
        <v>-0.17105611948680247</v>
      </c>
      <c r="C748" s="69">
        <f t="shared" ca="1" si="172"/>
        <v>1.2068672507722373</v>
      </c>
      <c r="D748" s="69">
        <f t="shared" ca="1" si="172"/>
        <v>0.98719071999348218</v>
      </c>
      <c r="E748" s="69">
        <f t="shared" ca="1" si="172"/>
        <v>-0.97373587361168712</v>
      </c>
      <c r="F748" s="69">
        <f t="shared" ca="1" si="172"/>
        <v>-2.2067798982883517</v>
      </c>
      <c r="G748" s="69">
        <f t="shared" ca="1" si="172"/>
        <v>-0.19880923159972769</v>
      </c>
      <c r="H748" s="69">
        <f t="shared" ca="1" si="172"/>
        <v>-1.6453923837019011</v>
      </c>
      <c r="I748" s="69">
        <f t="shared" ca="1" si="172"/>
        <v>-0.24570246713642346</v>
      </c>
      <c r="J748" s="69">
        <f t="shared" ca="1" si="172"/>
        <v>0.21398311701618539</v>
      </c>
      <c r="K748" s="69">
        <f t="shared" ca="1" si="172"/>
        <v>1.8138322592902323</v>
      </c>
      <c r="L748" s="69">
        <f t="shared" ca="1" si="172"/>
        <v>-0.49877547037041842</v>
      </c>
      <c r="N748" s="69">
        <f t="shared" ca="1" si="161"/>
        <v>-0.13328807564869366</v>
      </c>
      <c r="O748" s="69">
        <f t="shared" ca="1" si="162"/>
        <v>1.1803736876893507</v>
      </c>
      <c r="P748" s="69">
        <f t="shared" ca="1" si="163"/>
        <v>0.92944865515639219</v>
      </c>
      <c r="Q748" s="69">
        <f t="shared" ca="1" si="164"/>
        <v>-0.92462719474992816</v>
      </c>
      <c r="R748" s="69">
        <f t="shared" ca="1" si="165"/>
        <v>-2.2130745836960006</v>
      </c>
      <c r="S748" s="69">
        <f t="shared" ca="1" si="166"/>
        <v>-0.16598225934291921</v>
      </c>
      <c r="T748" s="69">
        <f t="shared" ca="1" si="167"/>
        <v>-1.650223421417091</v>
      </c>
      <c r="U748" s="69">
        <f t="shared" ca="1" si="168"/>
        <v>-0.22266234025871381</v>
      </c>
      <c r="V748" s="69">
        <f t="shared" ca="1" si="169"/>
        <v>0.20787352344258805</v>
      </c>
      <c r="W748" s="69">
        <f t="shared" ca="1" si="170"/>
        <v>1.8148136161143313</v>
      </c>
      <c r="X748" s="69">
        <f t="shared" ca="1" si="171"/>
        <v>-0.47160697999598294</v>
      </c>
    </row>
    <row r="749" spans="2:24" x14ac:dyDescent="0.2">
      <c r="B749" s="69">
        <f t="shared" ca="1" si="160"/>
        <v>1.2370403726663908</v>
      </c>
      <c r="C749" s="69">
        <f t="shared" ca="1" si="172"/>
        <v>-0.75175276962630244</v>
      </c>
      <c r="D749" s="69">
        <f t="shared" ca="1" si="172"/>
        <v>0.39617432354438276</v>
      </c>
      <c r="E749" s="69">
        <f t="shared" ca="1" si="172"/>
        <v>-1.3262156168241084</v>
      </c>
      <c r="F749" s="69">
        <f t="shared" ca="1" si="172"/>
        <v>-1.1233386159764576</v>
      </c>
      <c r="G749" s="69">
        <f t="shared" ca="1" si="172"/>
        <v>2.4910255971484117</v>
      </c>
      <c r="H749" s="69">
        <f t="shared" ca="1" si="172"/>
        <v>2.2945659899942257</v>
      </c>
      <c r="I749" s="69">
        <f t="shared" ca="1" si="172"/>
        <v>-0.91490164457605805</v>
      </c>
      <c r="J749" s="69">
        <f t="shared" ca="1" si="172"/>
        <v>-0.78917252406168248</v>
      </c>
      <c r="K749" s="69">
        <f t="shared" ca="1" si="172"/>
        <v>0.21855914233972476</v>
      </c>
      <c r="L749" s="69">
        <f t="shared" ca="1" si="172"/>
        <v>-1.1717657426464529</v>
      </c>
      <c r="N749" s="69">
        <f t="shared" ca="1" si="161"/>
        <v>1.2748084165044995</v>
      </c>
      <c r="O749" s="69">
        <f t="shared" ca="1" si="162"/>
        <v>-0.77824633270918908</v>
      </c>
      <c r="P749" s="69">
        <f t="shared" ca="1" si="163"/>
        <v>0.33843225870729271</v>
      </c>
      <c r="Q749" s="69">
        <f t="shared" ca="1" si="164"/>
        <v>-1.2771069379623494</v>
      </c>
      <c r="R749" s="69">
        <f t="shared" ca="1" si="165"/>
        <v>-1.1296333013841064</v>
      </c>
      <c r="S749" s="69">
        <f t="shared" ca="1" si="166"/>
        <v>2.5238525694052201</v>
      </c>
      <c r="T749" s="69">
        <f t="shared" ca="1" si="167"/>
        <v>2.2897349522790358</v>
      </c>
      <c r="U749" s="69">
        <f t="shared" ca="1" si="168"/>
        <v>-0.89186151769834843</v>
      </c>
      <c r="V749" s="69">
        <f t="shared" ca="1" si="169"/>
        <v>-0.79528211763527978</v>
      </c>
      <c r="W749" s="69">
        <f t="shared" ca="1" si="170"/>
        <v>0.2195404991638237</v>
      </c>
      <c r="X749" s="69">
        <f t="shared" ca="1" si="171"/>
        <v>-1.1445972522720174</v>
      </c>
    </row>
    <row r="750" spans="2:24" x14ac:dyDescent="0.2">
      <c r="B750" s="69">
        <f t="shared" ca="1" si="160"/>
        <v>0.76242572926241547</v>
      </c>
      <c r="C750" s="69">
        <f t="shared" ca="1" si="172"/>
        <v>-1.1614458630115114</v>
      </c>
      <c r="D750" s="69">
        <f t="shared" ca="1" si="172"/>
        <v>-0.98992591756862003</v>
      </c>
      <c r="E750" s="69">
        <f t="shared" ca="1" si="172"/>
        <v>-0.33070087888439981</v>
      </c>
      <c r="F750" s="69">
        <f t="shared" ca="1" si="172"/>
        <v>1.1785461145381944</v>
      </c>
      <c r="G750" s="69">
        <f t="shared" ca="1" si="172"/>
        <v>0.25056989065264279</v>
      </c>
      <c r="H750" s="69">
        <f t="shared" ca="1" si="172"/>
        <v>0.43038020312697428</v>
      </c>
      <c r="I750" s="69">
        <f t="shared" ca="1" si="172"/>
        <v>-0.52541222832780032</v>
      </c>
      <c r="J750" s="69">
        <f t="shared" ca="1" si="172"/>
        <v>0.47616166157032797</v>
      </c>
      <c r="K750" s="69">
        <f t="shared" ca="1" si="172"/>
        <v>-1.8391095470202699</v>
      </c>
      <c r="L750" s="69">
        <f t="shared" ca="1" si="172"/>
        <v>0.12602417179008743</v>
      </c>
      <c r="N750" s="69">
        <f t="shared" ca="1" si="161"/>
        <v>0.80019377310052431</v>
      </c>
      <c r="O750" s="69">
        <f t="shared" ca="1" si="162"/>
        <v>-1.1879394260943981</v>
      </c>
      <c r="P750" s="69">
        <f t="shared" ca="1" si="163"/>
        <v>-1.04766798240571</v>
      </c>
      <c r="Q750" s="69">
        <f t="shared" ca="1" si="164"/>
        <v>-0.28159220002264085</v>
      </c>
      <c r="R750" s="69">
        <f t="shared" ca="1" si="165"/>
        <v>1.1722514291305455</v>
      </c>
      <c r="S750" s="69">
        <f t="shared" ca="1" si="166"/>
        <v>0.28339686290945126</v>
      </c>
      <c r="T750" s="69">
        <f t="shared" ca="1" si="167"/>
        <v>0.42554916541178445</v>
      </c>
      <c r="U750" s="69">
        <f t="shared" ca="1" si="168"/>
        <v>-0.5023721014500907</v>
      </c>
      <c r="V750" s="69">
        <f t="shared" ca="1" si="169"/>
        <v>0.47005206799673066</v>
      </c>
      <c r="W750" s="69">
        <f t="shared" ca="1" si="170"/>
        <v>-1.8381281901961708</v>
      </c>
      <c r="X750" s="69">
        <f t="shared" ca="1" si="171"/>
        <v>0.1531926621645229</v>
      </c>
    </row>
    <row r="751" spans="2:24" x14ac:dyDescent="0.2">
      <c r="B751" s="69">
        <f t="shared" ca="1" si="160"/>
        <v>1.0558247454535248</v>
      </c>
      <c r="C751" s="69">
        <f t="shared" ca="1" si="172"/>
        <v>2.9149488341228715</v>
      </c>
      <c r="D751" s="69">
        <f t="shared" ca="1" si="172"/>
        <v>0.95809230770863774</v>
      </c>
      <c r="E751" s="69">
        <f t="shared" ca="1" si="172"/>
        <v>0.4595154062995091</v>
      </c>
      <c r="F751" s="69">
        <f t="shared" ca="1" si="172"/>
        <v>-0.14283378895452034</v>
      </c>
      <c r="G751" s="69">
        <f t="shared" ca="1" si="172"/>
        <v>-1.1662678115337437</v>
      </c>
      <c r="H751" s="69">
        <f t="shared" ca="1" si="172"/>
        <v>0.43820795679838065</v>
      </c>
      <c r="I751" s="69">
        <f t="shared" ca="1" si="172"/>
        <v>0.17519430093416122</v>
      </c>
      <c r="J751" s="69">
        <f t="shared" ca="1" si="172"/>
        <v>0.42976894477798044</v>
      </c>
      <c r="K751" s="69">
        <f t="shared" ca="1" si="172"/>
        <v>-0.96301219174997144</v>
      </c>
      <c r="L751" s="69">
        <f t="shared" ca="1" si="172"/>
        <v>7.1704622043074359E-2</v>
      </c>
      <c r="N751" s="69">
        <f t="shared" ca="1" si="161"/>
        <v>1.0935927892916335</v>
      </c>
      <c r="O751" s="69">
        <f t="shared" ca="1" si="162"/>
        <v>2.8884552710399847</v>
      </c>
      <c r="P751" s="69">
        <f t="shared" ca="1" si="163"/>
        <v>0.90035024287154775</v>
      </c>
      <c r="Q751" s="69">
        <f t="shared" ca="1" si="164"/>
        <v>0.508624085161268</v>
      </c>
      <c r="R751" s="69">
        <f t="shared" ca="1" si="165"/>
        <v>-0.14912847436216925</v>
      </c>
      <c r="S751" s="69">
        <f t="shared" ca="1" si="166"/>
        <v>-1.1334408392769353</v>
      </c>
      <c r="T751" s="69">
        <f t="shared" ca="1" si="167"/>
        <v>0.43337691908319081</v>
      </c>
      <c r="U751" s="69">
        <f t="shared" ca="1" si="168"/>
        <v>0.19823442781187087</v>
      </c>
      <c r="V751" s="69">
        <f t="shared" ca="1" si="169"/>
        <v>0.42365935120438314</v>
      </c>
      <c r="W751" s="69">
        <f t="shared" ca="1" si="170"/>
        <v>-0.96203083492587249</v>
      </c>
      <c r="X751" s="69">
        <f t="shared" ca="1" si="171"/>
        <v>9.8873112417509845E-2</v>
      </c>
    </row>
    <row r="752" spans="2:24" x14ac:dyDescent="0.2">
      <c r="B752" s="69">
        <f t="shared" ca="1" si="160"/>
        <v>0.1528960525281037</v>
      </c>
      <c r="C752" s="69">
        <f t="shared" ca="1" si="172"/>
        <v>0.18343895645678904</v>
      </c>
      <c r="D752" s="69">
        <f t="shared" ca="1" si="172"/>
        <v>-7.558660548955079E-2</v>
      </c>
      <c r="E752" s="69">
        <f t="shared" ca="1" si="172"/>
        <v>0.29602928016519708</v>
      </c>
      <c r="F752" s="69">
        <f t="shared" ca="1" si="172"/>
        <v>-2.1132032848090483</v>
      </c>
      <c r="G752" s="69">
        <f t="shared" ca="1" si="172"/>
        <v>1.0108197078056986</v>
      </c>
      <c r="H752" s="69">
        <f t="shared" ca="1" si="172"/>
        <v>-0.63274664370497924</v>
      </c>
      <c r="I752" s="69">
        <f t="shared" ca="1" si="172"/>
        <v>-1.3041614461191635</v>
      </c>
      <c r="J752" s="69">
        <f t="shared" ca="1" si="172"/>
        <v>-0.3851244070450569</v>
      </c>
      <c r="K752" s="69">
        <f t="shared" ca="1" si="172"/>
        <v>-0.3604540829034335</v>
      </c>
      <c r="L752" s="69">
        <f t="shared" ca="1" si="172"/>
        <v>-0.74227116979366614</v>
      </c>
      <c r="N752" s="69">
        <f t="shared" ca="1" si="161"/>
        <v>0.19066409636621251</v>
      </c>
      <c r="O752" s="69">
        <f t="shared" ca="1" si="162"/>
        <v>0.15694539337390234</v>
      </c>
      <c r="P752" s="69">
        <f t="shared" ca="1" si="163"/>
        <v>-0.13332867032664081</v>
      </c>
      <c r="Q752" s="69">
        <f t="shared" ca="1" si="164"/>
        <v>0.34513795902695604</v>
      </c>
      <c r="R752" s="69">
        <f t="shared" ca="1" si="165"/>
        <v>-2.1194979702166972</v>
      </c>
      <c r="S752" s="69">
        <f t="shared" ca="1" si="166"/>
        <v>1.043646680062507</v>
      </c>
      <c r="T752" s="69">
        <f t="shared" ca="1" si="167"/>
        <v>-0.63757768142016913</v>
      </c>
      <c r="U752" s="69">
        <f t="shared" ca="1" si="168"/>
        <v>-1.2811213192414539</v>
      </c>
      <c r="V752" s="69">
        <f t="shared" ca="1" si="169"/>
        <v>-0.39123400061865421</v>
      </c>
      <c r="W752" s="69">
        <f t="shared" ca="1" si="170"/>
        <v>-0.35947272607933456</v>
      </c>
      <c r="X752" s="69">
        <f t="shared" ca="1" si="171"/>
        <v>-0.71510267941923067</v>
      </c>
    </row>
    <row r="753" spans="2:24" x14ac:dyDescent="0.2">
      <c r="B753" s="69">
        <f t="shared" ca="1" si="160"/>
        <v>0.34085367350720369</v>
      </c>
      <c r="C753" s="69">
        <f t="shared" ca="1" si="172"/>
        <v>9.4636240473059671E-2</v>
      </c>
      <c r="D753" s="69">
        <f t="shared" ca="1" si="172"/>
        <v>1.0467517024975745</v>
      </c>
      <c r="E753" s="69">
        <f t="shared" ca="1" si="172"/>
        <v>-0.85102738687335044</v>
      </c>
      <c r="F753" s="69">
        <f t="shared" ca="1" si="172"/>
        <v>1.6295197627691393</v>
      </c>
      <c r="G753" s="69">
        <f t="shared" ca="1" si="172"/>
        <v>0.7018044240589475</v>
      </c>
      <c r="H753" s="69">
        <f t="shared" ca="1" si="172"/>
        <v>0.2446048547716474</v>
      </c>
      <c r="I753" s="69">
        <f t="shared" ca="1" si="172"/>
        <v>0.80926947787539094</v>
      </c>
      <c r="J753" s="69">
        <f t="shared" ca="1" si="172"/>
        <v>3.0186891550621699</v>
      </c>
      <c r="K753" s="69">
        <f t="shared" ca="1" si="172"/>
        <v>-1.8109179596770635</v>
      </c>
      <c r="L753" s="69">
        <f t="shared" ca="1" si="172"/>
        <v>0.29513173333613629</v>
      </c>
      <c r="N753" s="69">
        <f t="shared" ca="1" si="161"/>
        <v>0.37862171734531253</v>
      </c>
      <c r="O753" s="69">
        <f t="shared" ca="1" si="162"/>
        <v>6.814267739017299E-2</v>
      </c>
      <c r="P753" s="69">
        <f t="shared" ca="1" si="163"/>
        <v>0.98900963766048455</v>
      </c>
      <c r="Q753" s="69">
        <f t="shared" ca="1" si="164"/>
        <v>-0.80191870801159149</v>
      </c>
      <c r="R753" s="69">
        <f t="shared" ca="1" si="165"/>
        <v>1.6232250773614905</v>
      </c>
      <c r="S753" s="69">
        <f t="shared" ca="1" si="166"/>
        <v>0.73463139631575602</v>
      </c>
      <c r="T753" s="69">
        <f t="shared" ca="1" si="167"/>
        <v>0.23977381705645756</v>
      </c>
      <c r="U753" s="69">
        <f t="shared" ca="1" si="168"/>
        <v>0.83230960475310056</v>
      </c>
      <c r="V753" s="69">
        <f t="shared" ca="1" si="169"/>
        <v>3.0125795614885726</v>
      </c>
      <c r="W753" s="69">
        <f t="shared" ca="1" si="170"/>
        <v>-1.8099366028529644</v>
      </c>
      <c r="X753" s="69">
        <f t="shared" ca="1" si="171"/>
        <v>0.32230022371057176</v>
      </c>
    </row>
    <row r="754" spans="2:24" x14ac:dyDescent="0.2">
      <c r="B754" s="69">
        <f t="shared" ca="1" si="160"/>
        <v>-0.32424020080061589</v>
      </c>
      <c r="C754" s="69">
        <f t="shared" ca="1" si="172"/>
        <v>-5.3612714395496495E-2</v>
      </c>
      <c r="D754" s="69">
        <f t="shared" ca="1" si="172"/>
        <v>-0.94381060521217053</v>
      </c>
      <c r="E754" s="69">
        <f t="shared" ca="1" si="172"/>
        <v>-0.69759339737360559</v>
      </c>
      <c r="F754" s="69">
        <f t="shared" ca="1" si="172"/>
        <v>0.44865044859488723</v>
      </c>
      <c r="G754" s="69">
        <f t="shared" ca="1" si="172"/>
        <v>1.1258268742920832</v>
      </c>
      <c r="H754" s="69">
        <f t="shared" ca="1" si="172"/>
        <v>1.0406176811282295</v>
      </c>
      <c r="I754" s="69">
        <f t="shared" ca="1" si="172"/>
        <v>0.49286595853706977</v>
      </c>
      <c r="J754" s="69">
        <f t="shared" ca="1" si="172"/>
        <v>0.8215211479146759</v>
      </c>
      <c r="K754" s="69">
        <f t="shared" ca="1" si="172"/>
        <v>-0.83907622600544574</v>
      </c>
      <c r="L754" s="69">
        <f t="shared" ca="1" si="172"/>
        <v>-1.269496567448835</v>
      </c>
      <c r="N754" s="69">
        <f t="shared" ca="1" si="161"/>
        <v>-0.28647215696250705</v>
      </c>
      <c r="O754" s="69">
        <f t="shared" ca="1" si="162"/>
        <v>-8.0106277478383184E-2</v>
      </c>
      <c r="P754" s="69">
        <f t="shared" ca="1" si="163"/>
        <v>-1.0015526700492605</v>
      </c>
      <c r="Q754" s="69">
        <f t="shared" ca="1" si="164"/>
        <v>-0.64848471851184664</v>
      </c>
      <c r="R754" s="69">
        <f t="shared" ca="1" si="165"/>
        <v>0.44235576318723835</v>
      </c>
      <c r="S754" s="69">
        <f t="shared" ca="1" si="166"/>
        <v>1.1586538465488916</v>
      </c>
      <c r="T754" s="69">
        <f t="shared" ca="1" si="167"/>
        <v>1.0357866434130396</v>
      </c>
      <c r="U754" s="69">
        <f t="shared" ca="1" si="168"/>
        <v>0.51590608541477945</v>
      </c>
      <c r="V754" s="69">
        <f t="shared" ca="1" si="169"/>
        <v>0.81541155434107859</v>
      </c>
      <c r="W754" s="69">
        <f t="shared" ca="1" si="170"/>
        <v>-0.83809486918134679</v>
      </c>
      <c r="X754" s="69">
        <f t="shared" ca="1" si="171"/>
        <v>-1.2423280770743994</v>
      </c>
    </row>
    <row r="755" spans="2:24" x14ac:dyDescent="0.2">
      <c r="B755" s="69">
        <f t="shared" ca="1" si="160"/>
        <v>1.5569194227781793</v>
      </c>
      <c r="C755" s="69">
        <f t="shared" ca="1" si="172"/>
        <v>0.39870323048068851</v>
      </c>
      <c r="D755" s="69">
        <f t="shared" ca="1" si="172"/>
        <v>0.63294055659464687</v>
      </c>
      <c r="E755" s="69">
        <f t="shared" ca="1" si="172"/>
        <v>1.2290618807510412</v>
      </c>
      <c r="F755" s="69">
        <f t="shared" ca="1" si="172"/>
        <v>2.6248376978142356</v>
      </c>
      <c r="G755" s="69">
        <f t="shared" ca="1" si="172"/>
        <v>0.86158106606944307</v>
      </c>
      <c r="H755" s="69">
        <f t="shared" ca="1" si="172"/>
        <v>1.0666215040399991</v>
      </c>
      <c r="I755" s="69">
        <f t="shared" ca="1" si="172"/>
        <v>-6.8590551579878145E-2</v>
      </c>
      <c r="J755" s="69">
        <f t="shared" ca="1" si="172"/>
        <v>0.71097364361980808</v>
      </c>
      <c r="K755" s="69">
        <f t="shared" ca="1" si="172"/>
        <v>-0.98270271826852407</v>
      </c>
      <c r="L755" s="69">
        <f t="shared" ca="1" si="172"/>
        <v>0.44800558173761929</v>
      </c>
      <c r="N755" s="69">
        <f t="shared" ca="1" si="161"/>
        <v>1.594687466616288</v>
      </c>
      <c r="O755" s="69">
        <f t="shared" ca="1" si="162"/>
        <v>0.37220966739780181</v>
      </c>
      <c r="P755" s="69">
        <f t="shared" ca="1" si="163"/>
        <v>0.57519849175755688</v>
      </c>
      <c r="Q755" s="69">
        <f t="shared" ca="1" si="164"/>
        <v>1.2781705596128001</v>
      </c>
      <c r="R755" s="69">
        <f t="shared" ca="1" si="165"/>
        <v>2.6185430124065867</v>
      </c>
      <c r="S755" s="69">
        <f t="shared" ca="1" si="166"/>
        <v>0.8944080383262516</v>
      </c>
      <c r="T755" s="69">
        <f t="shared" ca="1" si="167"/>
        <v>1.0617904663248092</v>
      </c>
      <c r="U755" s="69">
        <f t="shared" ca="1" si="168"/>
        <v>-4.5550424702168489E-2</v>
      </c>
      <c r="V755" s="69">
        <f t="shared" ca="1" si="169"/>
        <v>0.70486405004621078</v>
      </c>
      <c r="W755" s="69">
        <f t="shared" ca="1" si="170"/>
        <v>-0.98172136144442512</v>
      </c>
      <c r="X755" s="69">
        <f t="shared" ca="1" si="171"/>
        <v>0.47517407211205476</v>
      </c>
    </row>
    <row r="756" spans="2:24" x14ac:dyDescent="0.2">
      <c r="B756" s="69">
        <f t="shared" ca="1" si="160"/>
        <v>-1.0443730622506397</v>
      </c>
      <c r="C756" s="69">
        <f t="shared" ca="1" si="172"/>
        <v>-0.59411981199354824</v>
      </c>
      <c r="D756" s="69">
        <f t="shared" ca="1" si="172"/>
        <v>0.45009637870994101</v>
      </c>
      <c r="E756" s="69">
        <f t="shared" ca="1" si="172"/>
        <v>-1.3888054577977853</v>
      </c>
      <c r="F756" s="69">
        <f t="shared" ca="1" si="172"/>
        <v>-2.1489931905174702</v>
      </c>
      <c r="G756" s="69">
        <f t="shared" ca="1" si="172"/>
        <v>6.3287985266041735E-2</v>
      </c>
      <c r="H756" s="69">
        <f t="shared" ca="1" si="172"/>
        <v>-0.38399428529475998</v>
      </c>
      <c r="I756" s="69">
        <f t="shared" ca="1" si="172"/>
        <v>0.44073305683140701</v>
      </c>
      <c r="J756" s="69">
        <f t="shared" ca="1" si="172"/>
        <v>-1.4281789790679178</v>
      </c>
      <c r="K756" s="69">
        <f t="shared" ca="1" si="172"/>
        <v>-0.72945124130610539</v>
      </c>
      <c r="L756" s="69">
        <f t="shared" ca="1" si="172"/>
        <v>1.4115598090434487</v>
      </c>
      <c r="N756" s="69">
        <f t="shared" ca="1" si="161"/>
        <v>-1.006605018412531</v>
      </c>
      <c r="O756" s="69">
        <f t="shared" ca="1" si="162"/>
        <v>-0.62061337507643488</v>
      </c>
      <c r="P756" s="69">
        <f t="shared" ca="1" si="163"/>
        <v>0.39235431387285097</v>
      </c>
      <c r="Q756" s="69">
        <f t="shared" ca="1" si="164"/>
        <v>-1.3396967789360263</v>
      </c>
      <c r="R756" s="69">
        <f t="shared" ca="1" si="165"/>
        <v>-2.1552878759251191</v>
      </c>
      <c r="S756" s="69">
        <f t="shared" ca="1" si="166"/>
        <v>9.6114957522850208E-2</v>
      </c>
      <c r="T756" s="69">
        <f t="shared" ca="1" si="167"/>
        <v>-0.38882532300994982</v>
      </c>
      <c r="U756" s="69">
        <f t="shared" ca="1" si="168"/>
        <v>0.46377318370911669</v>
      </c>
      <c r="V756" s="69">
        <f t="shared" ca="1" si="169"/>
        <v>-1.4342885726415151</v>
      </c>
      <c r="W756" s="69">
        <f t="shared" ca="1" si="170"/>
        <v>-0.72846988448200645</v>
      </c>
      <c r="X756" s="69">
        <f t="shared" ca="1" si="171"/>
        <v>1.4387282994178843</v>
      </c>
    </row>
    <row r="757" spans="2:24" x14ac:dyDescent="0.2">
      <c r="B757" s="69">
        <f t="shared" ca="1" si="160"/>
        <v>0.35197505969316772</v>
      </c>
      <c r="C757" s="69">
        <f t="shared" ca="1" si="172"/>
        <v>2.6543462501331258E-2</v>
      </c>
      <c r="D757" s="69">
        <f t="shared" ca="1" si="172"/>
        <v>-0.21817802963698546</v>
      </c>
      <c r="E757" s="69">
        <f t="shared" ca="1" si="172"/>
        <v>0.96197434444837815</v>
      </c>
      <c r="F757" s="69">
        <f t="shared" ca="1" si="172"/>
        <v>-0.32736638219654707</v>
      </c>
      <c r="G757" s="69">
        <f t="shared" ca="1" si="172"/>
        <v>2.6103278187679858E-2</v>
      </c>
      <c r="H757" s="69">
        <f t="shared" ca="1" si="172"/>
        <v>1.1142367018459167</v>
      </c>
      <c r="I757" s="69">
        <f t="shared" ca="1" si="172"/>
        <v>-1.505280154076414</v>
      </c>
      <c r="J757" s="69">
        <f t="shared" ca="1" si="172"/>
        <v>0.53363791239802605</v>
      </c>
      <c r="K757" s="69">
        <f t="shared" ca="1" si="172"/>
        <v>0.19446111732655194</v>
      </c>
      <c r="L757" s="69">
        <f t="shared" ca="1" si="172"/>
        <v>0.18179139143220072</v>
      </c>
      <c r="N757" s="69">
        <f t="shared" ca="1" si="161"/>
        <v>0.38974310353127656</v>
      </c>
      <c r="O757" s="69">
        <f t="shared" ca="1" si="162"/>
        <v>4.9899418444573213E-5</v>
      </c>
      <c r="P757" s="69">
        <f t="shared" ca="1" si="163"/>
        <v>-0.27592009447407551</v>
      </c>
      <c r="Q757" s="69">
        <f t="shared" ca="1" si="164"/>
        <v>1.0110830233101371</v>
      </c>
      <c r="R757" s="69">
        <f t="shared" ca="1" si="165"/>
        <v>-0.33366106760419595</v>
      </c>
      <c r="S757" s="69">
        <f t="shared" ca="1" si="166"/>
        <v>5.8930250444488338E-2</v>
      </c>
      <c r="T757" s="69">
        <f t="shared" ca="1" si="167"/>
        <v>1.1094056641307268</v>
      </c>
      <c r="U757" s="69">
        <f t="shared" ca="1" si="168"/>
        <v>-1.4822400271987044</v>
      </c>
      <c r="V757" s="69">
        <f t="shared" ca="1" si="169"/>
        <v>0.52752831882442874</v>
      </c>
      <c r="W757" s="69">
        <f t="shared" ca="1" si="170"/>
        <v>0.19544247415065089</v>
      </c>
      <c r="X757" s="69">
        <f t="shared" ca="1" si="171"/>
        <v>0.20895988180663619</v>
      </c>
    </row>
    <row r="758" spans="2:24" x14ac:dyDescent="0.2">
      <c r="B758" s="69">
        <f t="shared" ca="1" si="160"/>
        <v>-0.51423797067807542</v>
      </c>
      <c r="C758" s="69">
        <f t="shared" ca="1" si="172"/>
        <v>1.1585085878391688</v>
      </c>
      <c r="D758" s="69">
        <f t="shared" ref="C758:L821" ca="1" si="173">NORMINV(RAND(),$C$7,$F$7)</f>
        <v>0.57589216050489922</v>
      </c>
      <c r="E758" s="69">
        <f t="shared" ca="1" si="173"/>
        <v>1.3182996794466735</v>
      </c>
      <c r="F758" s="69">
        <f t="shared" ca="1" si="173"/>
        <v>0.5495584261208486</v>
      </c>
      <c r="G758" s="69">
        <f t="shared" ca="1" si="173"/>
        <v>0.55694646960045047</v>
      </c>
      <c r="H758" s="69">
        <f t="shared" ca="1" si="173"/>
        <v>-0.44221001685528244</v>
      </c>
      <c r="I758" s="69">
        <f t="shared" ca="1" si="173"/>
        <v>0.73110775679992923</v>
      </c>
      <c r="J758" s="69">
        <f t="shared" ca="1" si="173"/>
        <v>1.2504285554459376</v>
      </c>
      <c r="K758" s="69">
        <f t="shared" ca="1" si="173"/>
        <v>2.0673355710315189</v>
      </c>
      <c r="L758" s="69">
        <f t="shared" ca="1" si="173"/>
        <v>-0.12042665949083792</v>
      </c>
      <c r="N758" s="69">
        <f t="shared" ca="1" si="161"/>
        <v>-0.47646992683996658</v>
      </c>
      <c r="O758" s="69">
        <f t="shared" ca="1" si="162"/>
        <v>1.1320150247562821</v>
      </c>
      <c r="P758" s="69">
        <f t="shared" ca="1" si="163"/>
        <v>0.51815009566780923</v>
      </c>
      <c r="Q758" s="69">
        <f t="shared" ca="1" si="164"/>
        <v>1.3674083583084324</v>
      </c>
      <c r="R758" s="69">
        <f t="shared" ca="1" si="165"/>
        <v>0.54326374071319972</v>
      </c>
      <c r="S758" s="69">
        <f t="shared" ca="1" si="166"/>
        <v>0.589773441857259</v>
      </c>
      <c r="T758" s="69">
        <f t="shared" ca="1" si="167"/>
        <v>-0.44704105457047227</v>
      </c>
      <c r="U758" s="69">
        <f t="shared" ca="1" si="168"/>
        <v>0.75414788367763885</v>
      </c>
      <c r="V758" s="69">
        <f t="shared" ca="1" si="169"/>
        <v>1.2443189618723403</v>
      </c>
      <c r="W758" s="69">
        <f t="shared" ca="1" si="170"/>
        <v>2.0683169278556179</v>
      </c>
      <c r="X758" s="69">
        <f t="shared" ca="1" si="171"/>
        <v>-9.3258169116402445E-2</v>
      </c>
    </row>
    <row r="759" spans="2:24" x14ac:dyDescent="0.2">
      <c r="B759" s="69">
        <f t="shared" ca="1" si="160"/>
        <v>1.7860370623065149</v>
      </c>
      <c r="C759" s="69">
        <f t="shared" ca="1" si="173"/>
        <v>2.4617214171046328E-2</v>
      </c>
      <c r="D759" s="69">
        <f t="shared" ca="1" si="173"/>
        <v>-1.4111733256587879</v>
      </c>
      <c r="E759" s="69">
        <f t="shared" ca="1" si="173"/>
        <v>-0.85532051204780701</v>
      </c>
      <c r="F759" s="69">
        <f t="shared" ca="1" si="173"/>
        <v>0.32786617302108295</v>
      </c>
      <c r="G759" s="69">
        <f t="shared" ca="1" si="173"/>
        <v>0.63290952980604509</v>
      </c>
      <c r="H759" s="69">
        <f t="shared" ca="1" si="173"/>
        <v>-1.1169782908992896</v>
      </c>
      <c r="I759" s="69">
        <f t="shared" ca="1" si="173"/>
        <v>5.8882105153557497E-2</v>
      </c>
      <c r="J759" s="69">
        <f t="shared" ca="1" si="173"/>
        <v>-2.8761410955404052E-2</v>
      </c>
      <c r="K759" s="69">
        <f t="shared" ca="1" si="173"/>
        <v>-0.92801831940073509</v>
      </c>
      <c r="L759" s="69">
        <f t="shared" ca="1" si="173"/>
        <v>0.40959036105226332</v>
      </c>
      <c r="N759" s="69">
        <f t="shared" ca="1" si="161"/>
        <v>1.8238051061446237</v>
      </c>
      <c r="O759" s="69">
        <f t="shared" ca="1" si="162"/>
        <v>-1.8763489118403566E-3</v>
      </c>
      <c r="P759" s="69">
        <f t="shared" ca="1" si="163"/>
        <v>-1.468915390495878</v>
      </c>
      <c r="Q759" s="69">
        <f t="shared" ca="1" si="164"/>
        <v>-0.80621183318604805</v>
      </c>
      <c r="R759" s="69">
        <f t="shared" ca="1" si="165"/>
        <v>0.32157148761343407</v>
      </c>
      <c r="S759" s="69">
        <f t="shared" ca="1" si="166"/>
        <v>0.66573650206285362</v>
      </c>
      <c r="T759" s="69">
        <f t="shared" ca="1" si="167"/>
        <v>-1.1218093286144795</v>
      </c>
      <c r="U759" s="69">
        <f t="shared" ca="1" si="168"/>
        <v>8.1922232031267153E-2</v>
      </c>
      <c r="V759" s="69">
        <f t="shared" ca="1" si="169"/>
        <v>-3.4871004529001381E-2</v>
      </c>
      <c r="W759" s="69">
        <f t="shared" ca="1" si="170"/>
        <v>-0.92703696257663615</v>
      </c>
      <c r="X759" s="69">
        <f t="shared" ca="1" si="171"/>
        <v>0.43675885142669879</v>
      </c>
    </row>
    <row r="760" spans="2:24" x14ac:dyDescent="0.2">
      <c r="B760" s="69">
        <f t="shared" ca="1" si="160"/>
        <v>-0.39920119269847748</v>
      </c>
      <c r="C760" s="69">
        <f t="shared" ca="1" si="173"/>
        <v>-2.5608195667734197</v>
      </c>
      <c r="D760" s="69">
        <f t="shared" ca="1" si="173"/>
        <v>-0.1837143433537137</v>
      </c>
      <c r="E760" s="69">
        <f t="shared" ca="1" si="173"/>
        <v>0.71404501990043068</v>
      </c>
      <c r="F760" s="69">
        <f t="shared" ca="1" si="173"/>
        <v>1.8491614117177599</v>
      </c>
      <c r="G760" s="69">
        <f t="shared" ca="1" si="173"/>
        <v>0.53799127214156695</v>
      </c>
      <c r="H760" s="69">
        <f t="shared" ca="1" si="173"/>
        <v>0.52084759616555909</v>
      </c>
      <c r="I760" s="69">
        <f t="shared" ca="1" si="173"/>
        <v>1.2698358145385968</v>
      </c>
      <c r="J760" s="69">
        <f t="shared" ca="1" si="173"/>
        <v>0.10709421513947208</v>
      </c>
      <c r="K760" s="69">
        <f t="shared" ca="1" si="173"/>
        <v>2.2485390951653694</v>
      </c>
      <c r="L760" s="69">
        <f t="shared" ca="1" si="173"/>
        <v>2.023492818706933</v>
      </c>
      <c r="N760" s="69">
        <f t="shared" ca="1" si="161"/>
        <v>-0.36143314886036865</v>
      </c>
      <c r="O760" s="69">
        <f t="shared" ca="1" si="162"/>
        <v>-2.5873131298563066</v>
      </c>
      <c r="P760" s="69">
        <f t="shared" ca="1" si="163"/>
        <v>-0.24145640819080372</v>
      </c>
      <c r="Q760" s="69">
        <f t="shared" ca="1" si="164"/>
        <v>0.76315369876218964</v>
      </c>
      <c r="R760" s="69">
        <f t="shared" ca="1" si="165"/>
        <v>1.8428667263101111</v>
      </c>
      <c r="S760" s="69">
        <f t="shared" ca="1" si="166"/>
        <v>0.57081824439837547</v>
      </c>
      <c r="T760" s="69">
        <f t="shared" ca="1" si="167"/>
        <v>0.5160165584503692</v>
      </c>
      <c r="U760" s="69">
        <f t="shared" ca="1" si="168"/>
        <v>1.2928759414163065</v>
      </c>
      <c r="V760" s="69">
        <f t="shared" ca="1" si="169"/>
        <v>0.10098462156587475</v>
      </c>
      <c r="W760" s="69">
        <f t="shared" ca="1" si="170"/>
        <v>2.2495204519894685</v>
      </c>
      <c r="X760" s="69">
        <f t="shared" ca="1" si="171"/>
        <v>2.0506613090813683</v>
      </c>
    </row>
    <row r="761" spans="2:24" x14ac:dyDescent="0.2">
      <c r="B761" s="69">
        <f t="shared" ca="1" si="160"/>
        <v>-0.84024252468146488</v>
      </c>
      <c r="C761" s="69">
        <f t="shared" ca="1" si="173"/>
        <v>-0.7186631110235604</v>
      </c>
      <c r="D761" s="69">
        <f t="shared" ca="1" si="173"/>
        <v>-0.69567881135595289</v>
      </c>
      <c r="E761" s="69">
        <f t="shared" ca="1" si="173"/>
        <v>-0.11859762289131909</v>
      </c>
      <c r="F761" s="69">
        <f t="shared" ca="1" si="173"/>
        <v>-0.90127146239375522</v>
      </c>
      <c r="G761" s="69">
        <f t="shared" ca="1" si="173"/>
        <v>-2.0727396049769466</v>
      </c>
      <c r="H761" s="69">
        <f t="shared" ca="1" si="173"/>
        <v>-1.6552002454715642</v>
      </c>
      <c r="I761" s="69">
        <f t="shared" ca="1" si="173"/>
        <v>1.4450581545566745</v>
      </c>
      <c r="J761" s="69">
        <f t="shared" ca="1" si="173"/>
        <v>-0.11908201798138361</v>
      </c>
      <c r="K761" s="69">
        <f t="shared" ca="1" si="173"/>
        <v>-1.1089703493232093</v>
      </c>
      <c r="L761" s="69">
        <f t="shared" ca="1" si="173"/>
        <v>0.87465891268105722</v>
      </c>
      <c r="N761" s="69">
        <f t="shared" ca="1" si="161"/>
        <v>-0.80247448084335604</v>
      </c>
      <c r="O761" s="69">
        <f t="shared" ca="1" si="162"/>
        <v>-0.74515667410644704</v>
      </c>
      <c r="P761" s="69">
        <f t="shared" ca="1" si="163"/>
        <v>-0.75342087619304288</v>
      </c>
      <c r="Q761" s="69">
        <f t="shared" ca="1" si="164"/>
        <v>-6.9488944029560143E-2</v>
      </c>
      <c r="R761" s="69">
        <f t="shared" ca="1" si="165"/>
        <v>-0.9075661478014041</v>
      </c>
      <c r="S761" s="69">
        <f t="shared" ca="1" si="166"/>
        <v>-2.0399126327201382</v>
      </c>
      <c r="T761" s="69">
        <f t="shared" ca="1" si="167"/>
        <v>-1.6600312831867541</v>
      </c>
      <c r="U761" s="69">
        <f t="shared" ca="1" si="168"/>
        <v>1.4680982814343841</v>
      </c>
      <c r="V761" s="69">
        <f t="shared" ca="1" si="169"/>
        <v>-0.12519161155498093</v>
      </c>
      <c r="W761" s="69">
        <f t="shared" ca="1" si="170"/>
        <v>-1.1079889924991102</v>
      </c>
      <c r="X761" s="69">
        <f t="shared" ca="1" si="171"/>
        <v>0.90182740305549269</v>
      </c>
    </row>
    <row r="762" spans="2:24" x14ac:dyDescent="0.2">
      <c r="B762" s="69">
        <f t="shared" ca="1" si="160"/>
        <v>0.57741930701469546</v>
      </c>
      <c r="C762" s="69">
        <f t="shared" ca="1" si="173"/>
        <v>-0.13648249124614842</v>
      </c>
      <c r="D762" s="69">
        <f t="shared" ca="1" si="173"/>
        <v>0.22915342141562256</v>
      </c>
      <c r="E762" s="69">
        <f t="shared" ca="1" si="173"/>
        <v>0.56128263011915835</v>
      </c>
      <c r="F762" s="69">
        <f t="shared" ca="1" si="173"/>
        <v>-2.159721243323998E-2</v>
      </c>
      <c r="G762" s="69">
        <f t="shared" ca="1" si="173"/>
        <v>-1.5767956259782618</v>
      </c>
      <c r="H762" s="69">
        <f t="shared" ca="1" si="173"/>
        <v>0.82894176009189335</v>
      </c>
      <c r="I762" s="69">
        <f t="shared" ca="1" si="173"/>
        <v>-0.41551137028908763</v>
      </c>
      <c r="J762" s="69">
        <f t="shared" ca="1" si="173"/>
        <v>1.1205685682730386</v>
      </c>
      <c r="K762" s="69">
        <f t="shared" ca="1" si="173"/>
        <v>-0.77367533638481978</v>
      </c>
      <c r="L762" s="69">
        <f t="shared" ca="1" si="173"/>
        <v>-2.2139708174456163</v>
      </c>
      <c r="N762" s="69">
        <f t="shared" ca="1" si="161"/>
        <v>0.61518735085280429</v>
      </c>
      <c r="O762" s="69">
        <f t="shared" ca="1" si="162"/>
        <v>-0.16297605432903511</v>
      </c>
      <c r="P762" s="69">
        <f t="shared" ca="1" si="163"/>
        <v>0.17141135657853251</v>
      </c>
      <c r="Q762" s="69">
        <f t="shared" ca="1" si="164"/>
        <v>0.61039130898091731</v>
      </c>
      <c r="R762" s="69">
        <f t="shared" ca="1" si="165"/>
        <v>-2.7891897840888875E-2</v>
      </c>
      <c r="S762" s="69">
        <f t="shared" ca="1" si="166"/>
        <v>-1.5439686537214534</v>
      </c>
      <c r="T762" s="69">
        <f t="shared" ca="1" si="167"/>
        <v>0.82411072237670346</v>
      </c>
      <c r="U762" s="69">
        <f t="shared" ca="1" si="168"/>
        <v>-0.39247124341137796</v>
      </c>
      <c r="V762" s="69">
        <f t="shared" ca="1" si="169"/>
        <v>1.1144589746994413</v>
      </c>
      <c r="W762" s="69">
        <f t="shared" ca="1" si="170"/>
        <v>-0.77269397956072083</v>
      </c>
      <c r="X762" s="69">
        <f t="shared" ca="1" si="171"/>
        <v>-2.1868023270711809</v>
      </c>
    </row>
    <row r="763" spans="2:24" x14ac:dyDescent="0.2">
      <c r="B763" s="69">
        <f t="shared" ca="1" si="160"/>
        <v>-1.5486710290255268</v>
      </c>
      <c r="C763" s="69">
        <f t="shared" ca="1" si="173"/>
        <v>-0.34519466871112814</v>
      </c>
      <c r="D763" s="69">
        <f t="shared" ca="1" si="173"/>
        <v>0.73314621251073575</v>
      </c>
      <c r="E763" s="69">
        <f t="shared" ca="1" si="173"/>
        <v>-0.3253876767953105</v>
      </c>
      <c r="F763" s="69">
        <f t="shared" ca="1" si="173"/>
        <v>-0.39316660157308075</v>
      </c>
      <c r="G763" s="69">
        <f t="shared" ca="1" si="173"/>
        <v>0.20559343097474</v>
      </c>
      <c r="H763" s="69">
        <f t="shared" ca="1" si="173"/>
        <v>-2.4818930765453757</v>
      </c>
      <c r="I763" s="69">
        <f t="shared" ca="1" si="173"/>
        <v>2.2588183692098052</v>
      </c>
      <c r="J763" s="69">
        <f t="shared" ca="1" si="173"/>
        <v>0.11932649123818916</v>
      </c>
      <c r="K763" s="69">
        <f t="shared" ca="1" si="173"/>
        <v>-1.2878520568244622</v>
      </c>
      <c r="L763" s="69">
        <f t="shared" ca="1" si="173"/>
        <v>0.93410206751554536</v>
      </c>
      <c r="N763" s="69">
        <f t="shared" ca="1" si="161"/>
        <v>-1.5109029851874181</v>
      </c>
      <c r="O763" s="69">
        <f t="shared" ca="1" si="162"/>
        <v>-0.37168823179401483</v>
      </c>
      <c r="P763" s="69">
        <f t="shared" ca="1" si="163"/>
        <v>0.67540414767364576</v>
      </c>
      <c r="Q763" s="69">
        <f t="shared" ca="1" si="164"/>
        <v>-0.27627899793355154</v>
      </c>
      <c r="R763" s="69">
        <f t="shared" ca="1" si="165"/>
        <v>-0.39946128698072964</v>
      </c>
      <c r="S763" s="69">
        <f t="shared" ca="1" si="166"/>
        <v>0.23842040323154848</v>
      </c>
      <c r="T763" s="69">
        <f t="shared" ca="1" si="167"/>
        <v>-2.4867241142605656</v>
      </c>
      <c r="U763" s="69">
        <f t="shared" ca="1" si="168"/>
        <v>2.2818584960875148</v>
      </c>
      <c r="V763" s="69">
        <f t="shared" ca="1" si="169"/>
        <v>0.11321689766459182</v>
      </c>
      <c r="W763" s="69">
        <f t="shared" ca="1" si="170"/>
        <v>-1.2868707000003632</v>
      </c>
      <c r="X763" s="69">
        <f t="shared" ca="1" si="171"/>
        <v>0.96127055788998084</v>
      </c>
    </row>
    <row r="764" spans="2:24" x14ac:dyDescent="0.2">
      <c r="B764" s="69">
        <f t="shared" ca="1" si="160"/>
        <v>9.1242597811467763E-2</v>
      </c>
      <c r="C764" s="69">
        <f t="shared" ca="1" si="173"/>
        <v>-1.1301374983044619</v>
      </c>
      <c r="D764" s="69">
        <f t="shared" ca="1" si="173"/>
        <v>1.2883118558170858</v>
      </c>
      <c r="E764" s="69">
        <f t="shared" ca="1" si="173"/>
        <v>-0.77691910969345646</v>
      </c>
      <c r="F764" s="69">
        <f t="shared" ca="1" si="173"/>
        <v>-4.9844235073792716E-2</v>
      </c>
      <c r="G764" s="69">
        <f t="shared" ca="1" si="173"/>
        <v>-1.7974901078099297</v>
      </c>
      <c r="H764" s="69">
        <f t="shared" ca="1" si="173"/>
        <v>1.7191442584711889</v>
      </c>
      <c r="I764" s="69">
        <f t="shared" ca="1" si="173"/>
        <v>-0.12498833549381094</v>
      </c>
      <c r="J764" s="69">
        <f t="shared" ca="1" si="173"/>
        <v>-1.0521218626154589</v>
      </c>
      <c r="K764" s="69">
        <f t="shared" ca="1" si="173"/>
        <v>1.6498477650002941</v>
      </c>
      <c r="L764" s="69">
        <f t="shared" ca="1" si="173"/>
        <v>0.21118594331280219</v>
      </c>
      <c r="N764" s="69">
        <f t="shared" ca="1" si="161"/>
        <v>0.1290106416495766</v>
      </c>
      <c r="O764" s="69">
        <f t="shared" ca="1" si="162"/>
        <v>-1.1566310613873485</v>
      </c>
      <c r="P764" s="69">
        <f t="shared" ca="1" si="163"/>
        <v>1.2305697909799957</v>
      </c>
      <c r="Q764" s="69">
        <f t="shared" ca="1" si="164"/>
        <v>-0.7278104308316975</v>
      </c>
      <c r="R764" s="69">
        <f t="shared" ca="1" si="165"/>
        <v>-5.6138920481441611E-2</v>
      </c>
      <c r="S764" s="69">
        <f t="shared" ca="1" si="166"/>
        <v>-1.7646631355531213</v>
      </c>
      <c r="T764" s="69">
        <f t="shared" ca="1" si="167"/>
        <v>1.714313220755999</v>
      </c>
      <c r="U764" s="69">
        <f t="shared" ca="1" si="168"/>
        <v>-0.10194820861610129</v>
      </c>
      <c r="V764" s="69">
        <f t="shared" ca="1" si="169"/>
        <v>-1.0582314561890562</v>
      </c>
      <c r="W764" s="69">
        <f t="shared" ca="1" si="170"/>
        <v>1.6508291218243931</v>
      </c>
      <c r="X764" s="69">
        <f t="shared" ca="1" si="171"/>
        <v>0.23835443368723766</v>
      </c>
    </row>
    <row r="765" spans="2:24" x14ac:dyDescent="0.2">
      <c r="B765" s="69">
        <f t="shared" ca="1" si="160"/>
        <v>0.65474115011528378</v>
      </c>
      <c r="C765" s="69">
        <f t="shared" ca="1" si="173"/>
        <v>-0.5329224667008271</v>
      </c>
      <c r="D765" s="69">
        <f t="shared" ca="1" si="173"/>
        <v>0.73688207325162658</v>
      </c>
      <c r="E765" s="69">
        <f t="shared" ca="1" si="173"/>
        <v>-1.0512296396017842</v>
      </c>
      <c r="F765" s="69">
        <f t="shared" ca="1" si="173"/>
        <v>-0.78688609214754091</v>
      </c>
      <c r="G765" s="69">
        <f t="shared" ca="1" si="173"/>
        <v>0.65585315681756517</v>
      </c>
      <c r="H765" s="69">
        <f t="shared" ca="1" si="173"/>
        <v>-0.88774989152385697</v>
      </c>
      <c r="I765" s="69">
        <f t="shared" ca="1" si="173"/>
        <v>0.13039909771162922</v>
      </c>
      <c r="J765" s="69">
        <f t="shared" ca="1" si="173"/>
        <v>-0.3872891729193339</v>
      </c>
      <c r="K765" s="69">
        <f t="shared" ca="1" si="173"/>
        <v>0.91576247356744711</v>
      </c>
      <c r="L765" s="69">
        <f t="shared" ca="1" si="173"/>
        <v>0.54078658075406361</v>
      </c>
      <c r="N765" s="69">
        <f t="shared" ca="1" si="161"/>
        <v>0.69250919395339261</v>
      </c>
      <c r="O765" s="69">
        <f t="shared" ca="1" si="162"/>
        <v>-0.55941602978371374</v>
      </c>
      <c r="P765" s="69">
        <f t="shared" ca="1" si="163"/>
        <v>0.67914000841453659</v>
      </c>
      <c r="Q765" s="69">
        <f t="shared" ca="1" si="164"/>
        <v>-1.0021209607400252</v>
      </c>
      <c r="R765" s="69">
        <f t="shared" ca="1" si="165"/>
        <v>-0.79318077755518979</v>
      </c>
      <c r="S765" s="69">
        <f t="shared" ca="1" si="166"/>
        <v>0.6886801290743737</v>
      </c>
      <c r="T765" s="69">
        <f t="shared" ca="1" si="167"/>
        <v>-0.89258092923904686</v>
      </c>
      <c r="U765" s="69">
        <f t="shared" ca="1" si="168"/>
        <v>0.15343922458933887</v>
      </c>
      <c r="V765" s="69">
        <f t="shared" ca="1" si="169"/>
        <v>-0.39339876649293121</v>
      </c>
      <c r="W765" s="69">
        <f t="shared" ca="1" si="170"/>
        <v>0.91674383039154606</v>
      </c>
      <c r="X765" s="69">
        <f t="shared" ca="1" si="171"/>
        <v>0.56795507112849908</v>
      </c>
    </row>
    <row r="766" spans="2:24" x14ac:dyDescent="0.2">
      <c r="B766" s="69">
        <f t="shared" ca="1" si="160"/>
        <v>-0.35888009575643265</v>
      </c>
      <c r="C766" s="69">
        <f t="shared" ca="1" si="173"/>
        <v>1.5743305158995753</v>
      </c>
      <c r="D766" s="69">
        <f t="shared" ca="1" si="173"/>
        <v>-0.38781493703937769</v>
      </c>
      <c r="E766" s="69">
        <f t="shared" ca="1" si="173"/>
        <v>-0.62838563580457441</v>
      </c>
      <c r="F766" s="69">
        <f t="shared" ca="1" si="173"/>
        <v>-1.4679878737306971</v>
      </c>
      <c r="G766" s="69">
        <f t="shared" ca="1" si="173"/>
        <v>-0.59855666365975502</v>
      </c>
      <c r="H766" s="69">
        <f t="shared" ca="1" si="173"/>
        <v>-1.1657133824501942</v>
      </c>
      <c r="I766" s="69">
        <f t="shared" ca="1" si="173"/>
        <v>-0.26641164776884158</v>
      </c>
      <c r="J766" s="69">
        <f t="shared" ca="1" si="173"/>
        <v>1.0392105099622873</v>
      </c>
      <c r="K766" s="69">
        <f t="shared" ca="1" si="173"/>
        <v>1.568590975283215</v>
      </c>
      <c r="L766" s="69">
        <f t="shared" ca="1" si="173"/>
        <v>1.6780287719249964</v>
      </c>
      <c r="N766" s="69">
        <f t="shared" ca="1" si="161"/>
        <v>-0.32111205191832382</v>
      </c>
      <c r="O766" s="69">
        <f t="shared" ca="1" si="162"/>
        <v>1.5478369528166886</v>
      </c>
      <c r="P766" s="69">
        <f t="shared" ca="1" si="163"/>
        <v>-0.44555700187646774</v>
      </c>
      <c r="Q766" s="69">
        <f t="shared" ca="1" si="164"/>
        <v>-0.57927695694281545</v>
      </c>
      <c r="R766" s="69">
        <f t="shared" ca="1" si="165"/>
        <v>-1.4742825591383459</v>
      </c>
      <c r="S766" s="69">
        <f t="shared" ca="1" si="166"/>
        <v>-0.56572969140294649</v>
      </c>
      <c r="T766" s="69">
        <f t="shared" ca="1" si="167"/>
        <v>-1.1705444201653841</v>
      </c>
      <c r="U766" s="69">
        <f t="shared" ca="1" si="168"/>
        <v>-0.24337152089113193</v>
      </c>
      <c r="V766" s="69">
        <f t="shared" ca="1" si="169"/>
        <v>1.0331009163886899</v>
      </c>
      <c r="W766" s="69">
        <f t="shared" ca="1" si="170"/>
        <v>1.5695723321073141</v>
      </c>
      <c r="X766" s="69">
        <f t="shared" ca="1" si="171"/>
        <v>1.705197262299432</v>
      </c>
    </row>
    <row r="767" spans="2:24" x14ac:dyDescent="0.2">
      <c r="B767" s="69">
        <f t="shared" ca="1" si="160"/>
        <v>1.522372960035302</v>
      </c>
      <c r="C767" s="69">
        <f t="shared" ca="1" si="173"/>
        <v>-0.44718490140652356</v>
      </c>
      <c r="D767" s="69">
        <f t="shared" ca="1" si="173"/>
        <v>-1.7770280040049689</v>
      </c>
      <c r="E767" s="69">
        <f t="shared" ca="1" si="173"/>
        <v>0.4370885892969838</v>
      </c>
      <c r="F767" s="69">
        <f t="shared" ca="1" si="173"/>
        <v>-1.8146327005942977</v>
      </c>
      <c r="G767" s="69">
        <f t="shared" ca="1" si="173"/>
        <v>1.291697279979807</v>
      </c>
      <c r="H767" s="69">
        <f t="shared" ca="1" si="173"/>
        <v>-0.15595320246348901</v>
      </c>
      <c r="I767" s="69">
        <f t="shared" ca="1" si="173"/>
        <v>-1.354246025425081</v>
      </c>
      <c r="J767" s="69">
        <f t="shared" ca="1" si="173"/>
        <v>-0.86956459417070364</v>
      </c>
      <c r="K767" s="69">
        <f t="shared" ca="1" si="173"/>
        <v>-1.253798532585233</v>
      </c>
      <c r="L767" s="69">
        <f t="shared" ca="1" si="173"/>
        <v>-1.481237945941255</v>
      </c>
      <c r="N767" s="69">
        <f t="shared" ca="1" si="161"/>
        <v>1.5601410038734107</v>
      </c>
      <c r="O767" s="69">
        <f t="shared" ca="1" si="162"/>
        <v>-0.47367846448941026</v>
      </c>
      <c r="P767" s="69">
        <f t="shared" ca="1" si="163"/>
        <v>-1.834770068842059</v>
      </c>
      <c r="Q767" s="69">
        <f t="shared" ca="1" si="164"/>
        <v>0.48619726815874276</v>
      </c>
      <c r="R767" s="69">
        <f t="shared" ca="1" si="165"/>
        <v>-1.8209273860019466</v>
      </c>
      <c r="S767" s="69">
        <f t="shared" ca="1" si="166"/>
        <v>1.3245242522366154</v>
      </c>
      <c r="T767" s="69">
        <f t="shared" ca="1" si="167"/>
        <v>-0.16078424017867884</v>
      </c>
      <c r="U767" s="69">
        <f t="shared" ca="1" si="168"/>
        <v>-1.3312058985473714</v>
      </c>
      <c r="V767" s="69">
        <f t="shared" ca="1" si="169"/>
        <v>-0.87567418774430095</v>
      </c>
      <c r="W767" s="69">
        <f t="shared" ca="1" si="170"/>
        <v>-1.2528171757611339</v>
      </c>
      <c r="X767" s="69">
        <f t="shared" ca="1" si="171"/>
        <v>-1.4540694555668194</v>
      </c>
    </row>
    <row r="768" spans="2:24" x14ac:dyDescent="0.2">
      <c r="B768" s="69">
        <f t="shared" ca="1" si="160"/>
        <v>-0.90226613953668788</v>
      </c>
      <c r="C768" s="69">
        <f t="shared" ca="1" si="173"/>
        <v>0.1698323199459055</v>
      </c>
      <c r="D768" s="69">
        <f t="shared" ca="1" si="173"/>
        <v>0.2982499974752415</v>
      </c>
      <c r="E768" s="69">
        <f t="shared" ca="1" si="173"/>
        <v>0.44096427185167603</v>
      </c>
      <c r="F768" s="69">
        <f t="shared" ca="1" si="173"/>
        <v>-0.48053284059696139</v>
      </c>
      <c r="G768" s="69">
        <f t="shared" ca="1" si="173"/>
        <v>-2.0668390171583402E-2</v>
      </c>
      <c r="H768" s="69">
        <f t="shared" ca="1" si="173"/>
        <v>0.79590902695971566</v>
      </c>
      <c r="I768" s="69">
        <f t="shared" ca="1" si="173"/>
        <v>-2.1521107734663669</v>
      </c>
      <c r="J768" s="69">
        <f t="shared" ca="1" si="173"/>
        <v>0.89158937071102917</v>
      </c>
      <c r="K768" s="69">
        <f t="shared" ca="1" si="173"/>
        <v>2.1867122329712068</v>
      </c>
      <c r="L768" s="69">
        <f t="shared" ca="1" si="173"/>
        <v>0.49295566155419185</v>
      </c>
      <c r="N768" s="69">
        <f t="shared" ca="1" si="161"/>
        <v>-0.86449809569857905</v>
      </c>
      <c r="O768" s="69">
        <f t="shared" ca="1" si="162"/>
        <v>0.14333875686301881</v>
      </c>
      <c r="P768" s="69">
        <f t="shared" ca="1" si="163"/>
        <v>0.24050793263815146</v>
      </c>
      <c r="Q768" s="69">
        <f t="shared" ca="1" si="164"/>
        <v>0.49007295071343498</v>
      </c>
      <c r="R768" s="69">
        <f t="shared" ca="1" si="165"/>
        <v>-0.48682752600461027</v>
      </c>
      <c r="S768" s="69">
        <f t="shared" ca="1" si="166"/>
        <v>1.2158582085225078E-2</v>
      </c>
      <c r="T768" s="69">
        <f t="shared" ca="1" si="167"/>
        <v>0.79107798924452577</v>
      </c>
      <c r="U768" s="69">
        <f t="shared" ca="1" si="168"/>
        <v>-2.1290706465886573</v>
      </c>
      <c r="V768" s="69">
        <f t="shared" ca="1" si="169"/>
        <v>0.88547977713743187</v>
      </c>
      <c r="W768" s="69">
        <f t="shared" ca="1" si="170"/>
        <v>2.1876935897953058</v>
      </c>
      <c r="X768" s="69">
        <f t="shared" ca="1" si="171"/>
        <v>0.52012415192862738</v>
      </c>
    </row>
    <row r="769" spans="2:24" x14ac:dyDescent="0.2">
      <c r="B769" s="69">
        <f t="shared" ca="1" si="160"/>
        <v>1.2530290767170209</v>
      </c>
      <c r="C769" s="69">
        <f t="shared" ca="1" si="173"/>
        <v>-1.4480080440417364</v>
      </c>
      <c r="D769" s="69">
        <f t="shared" ca="1" si="173"/>
        <v>2.9068471067528294E-2</v>
      </c>
      <c r="E769" s="69">
        <f t="shared" ca="1" si="173"/>
        <v>-0.10975795566382733</v>
      </c>
      <c r="F769" s="69">
        <f t="shared" ca="1" si="173"/>
        <v>-1.0408527942510459</v>
      </c>
      <c r="G769" s="69">
        <f t="shared" ca="1" si="173"/>
        <v>0.30777411588001569</v>
      </c>
      <c r="H769" s="69">
        <f t="shared" ca="1" si="173"/>
        <v>-0.63450858564235268</v>
      </c>
      <c r="I769" s="69">
        <f t="shared" ca="1" si="173"/>
        <v>0.48188699945599783</v>
      </c>
      <c r="J769" s="69">
        <f t="shared" ca="1" si="173"/>
        <v>-0.63385390564828437</v>
      </c>
      <c r="K769" s="69">
        <f t="shared" ca="1" si="173"/>
        <v>-1.8656102743126965</v>
      </c>
      <c r="L769" s="69">
        <f t="shared" ca="1" si="173"/>
        <v>-1.0892633270538594</v>
      </c>
      <c r="N769" s="69">
        <f t="shared" ca="1" si="161"/>
        <v>1.2907971205551296</v>
      </c>
      <c r="O769" s="69">
        <f t="shared" ca="1" si="162"/>
        <v>-1.4745016071246231</v>
      </c>
      <c r="P769" s="69">
        <f t="shared" ca="1" si="163"/>
        <v>-2.8673593769561738E-2</v>
      </c>
      <c r="Q769" s="69">
        <f t="shared" ca="1" si="164"/>
        <v>-6.0649276802068386E-2</v>
      </c>
      <c r="R769" s="69">
        <f t="shared" ca="1" si="165"/>
        <v>-1.0471474796586948</v>
      </c>
      <c r="S769" s="69">
        <f t="shared" ca="1" si="166"/>
        <v>0.34060108813682416</v>
      </c>
      <c r="T769" s="69">
        <f t="shared" ca="1" si="167"/>
        <v>-0.63933962335754257</v>
      </c>
      <c r="U769" s="69">
        <f t="shared" ca="1" si="168"/>
        <v>0.50492712633370751</v>
      </c>
      <c r="V769" s="69">
        <f t="shared" ca="1" si="169"/>
        <v>-0.63996349922188167</v>
      </c>
      <c r="W769" s="69">
        <f t="shared" ca="1" si="170"/>
        <v>-1.8646289174885975</v>
      </c>
      <c r="X769" s="69">
        <f t="shared" ca="1" si="171"/>
        <v>-1.0620948366794238</v>
      </c>
    </row>
    <row r="770" spans="2:24" x14ac:dyDescent="0.2">
      <c r="B770" s="69">
        <f t="shared" ca="1" si="160"/>
        <v>-0.26034869900755048</v>
      </c>
      <c r="C770" s="69">
        <f t="shared" ca="1" si="173"/>
        <v>-1.7536647281776219E-2</v>
      </c>
      <c r="D770" s="69">
        <f t="shared" ca="1" si="173"/>
        <v>-1.444753454603743</v>
      </c>
      <c r="E770" s="69">
        <f t="shared" ca="1" si="173"/>
        <v>1.2425185099515155</v>
      </c>
      <c r="F770" s="69">
        <f t="shared" ca="1" si="173"/>
        <v>-1.3788175005389967</v>
      </c>
      <c r="G770" s="69">
        <f t="shared" ca="1" si="173"/>
        <v>-5.4038170933458994E-2</v>
      </c>
      <c r="H770" s="69">
        <f t="shared" ca="1" si="173"/>
        <v>1.5566820495390016E-2</v>
      </c>
      <c r="I770" s="69">
        <f t="shared" ca="1" si="173"/>
        <v>-1.7231772404712637</v>
      </c>
      <c r="J770" s="69">
        <f t="shared" ca="1" si="173"/>
        <v>-0.45534246927580557</v>
      </c>
      <c r="K770" s="69">
        <f t="shared" ca="1" si="173"/>
        <v>1.1867326525484576</v>
      </c>
      <c r="L770" s="69">
        <f t="shared" ca="1" si="173"/>
        <v>-1.6359635867146245</v>
      </c>
      <c r="N770" s="69">
        <f t="shared" ca="1" si="161"/>
        <v>-0.22258065516944164</v>
      </c>
      <c r="O770" s="69">
        <f t="shared" ca="1" si="162"/>
        <v>-4.4030210364662904E-2</v>
      </c>
      <c r="P770" s="69">
        <f t="shared" ca="1" si="163"/>
        <v>-1.5024955194408331</v>
      </c>
      <c r="Q770" s="69">
        <f t="shared" ca="1" si="164"/>
        <v>1.2916271888132744</v>
      </c>
      <c r="R770" s="69">
        <f t="shared" ca="1" si="165"/>
        <v>-1.3851121859466455</v>
      </c>
      <c r="S770" s="69">
        <f t="shared" ca="1" si="166"/>
        <v>-2.1211198676650514E-2</v>
      </c>
      <c r="T770" s="69">
        <f t="shared" ca="1" si="167"/>
        <v>1.0735782780200171E-2</v>
      </c>
      <c r="U770" s="69">
        <f t="shared" ca="1" si="168"/>
        <v>-1.7001371135935541</v>
      </c>
      <c r="V770" s="69">
        <f t="shared" ca="1" si="169"/>
        <v>-0.46145206284940288</v>
      </c>
      <c r="W770" s="69">
        <f t="shared" ca="1" si="170"/>
        <v>1.1877140093725567</v>
      </c>
      <c r="X770" s="69">
        <f t="shared" ca="1" si="171"/>
        <v>-1.6087950963401889</v>
      </c>
    </row>
    <row r="771" spans="2:24" x14ac:dyDescent="0.2">
      <c r="B771" s="69">
        <f t="shared" ca="1" si="160"/>
        <v>1.79679272267838</v>
      </c>
      <c r="C771" s="69">
        <f t="shared" ca="1" si="173"/>
        <v>-0.54851695794083311</v>
      </c>
      <c r="D771" s="69">
        <f t="shared" ca="1" si="173"/>
        <v>0.82650531606307609</v>
      </c>
      <c r="E771" s="69">
        <f t="shared" ca="1" si="173"/>
        <v>0.80504609271163696</v>
      </c>
      <c r="F771" s="69">
        <f t="shared" ca="1" si="173"/>
        <v>0.62650816964094158</v>
      </c>
      <c r="G771" s="69">
        <f t="shared" ca="1" si="173"/>
        <v>-0.46859077098889607</v>
      </c>
      <c r="H771" s="69">
        <f t="shared" ca="1" si="173"/>
        <v>1.039276440128452</v>
      </c>
      <c r="I771" s="69">
        <f t="shared" ca="1" si="173"/>
        <v>0.26897990279438111</v>
      </c>
      <c r="J771" s="69">
        <f t="shared" ca="1" si="173"/>
        <v>-0.84800669549959362</v>
      </c>
      <c r="K771" s="69">
        <f t="shared" ca="1" si="173"/>
        <v>-1.0306182389179332</v>
      </c>
      <c r="L771" s="69">
        <f t="shared" ca="1" si="173"/>
        <v>-1.2368019392131451</v>
      </c>
      <c r="N771" s="69">
        <f t="shared" ca="1" si="161"/>
        <v>1.8345607665164887</v>
      </c>
      <c r="O771" s="69">
        <f t="shared" ca="1" si="162"/>
        <v>-0.57501052102371975</v>
      </c>
      <c r="P771" s="69">
        <f t="shared" ca="1" si="163"/>
        <v>0.7687632512259861</v>
      </c>
      <c r="Q771" s="69">
        <f t="shared" ca="1" si="164"/>
        <v>0.85415477157339592</v>
      </c>
      <c r="R771" s="69">
        <f t="shared" ca="1" si="165"/>
        <v>0.6202134842332927</v>
      </c>
      <c r="S771" s="69">
        <f t="shared" ca="1" si="166"/>
        <v>-0.43576379873208759</v>
      </c>
      <c r="T771" s="69">
        <f t="shared" ca="1" si="167"/>
        <v>1.0344454024132621</v>
      </c>
      <c r="U771" s="69">
        <f t="shared" ca="1" si="168"/>
        <v>0.29202002967209079</v>
      </c>
      <c r="V771" s="69">
        <f t="shared" ca="1" si="169"/>
        <v>-0.85411628907319093</v>
      </c>
      <c r="W771" s="69">
        <f t="shared" ca="1" si="170"/>
        <v>-1.0296368820938342</v>
      </c>
      <c r="X771" s="69">
        <f t="shared" ca="1" si="171"/>
        <v>-1.2096334488387095</v>
      </c>
    </row>
    <row r="772" spans="2:24" x14ac:dyDescent="0.2">
      <c r="B772" s="69">
        <f t="shared" ca="1" si="160"/>
        <v>0.84282539571175152</v>
      </c>
      <c r="C772" s="69">
        <f t="shared" ca="1" si="173"/>
        <v>-3.8294251142640047E-2</v>
      </c>
      <c r="D772" s="69">
        <f t="shared" ca="1" si="173"/>
        <v>-0.53157740562753653</v>
      </c>
      <c r="E772" s="69">
        <f t="shared" ca="1" si="173"/>
        <v>-0.49065204554359437</v>
      </c>
      <c r="F772" s="69">
        <f t="shared" ca="1" si="173"/>
        <v>2.2146800849618318</v>
      </c>
      <c r="G772" s="69">
        <f t="shared" ca="1" si="173"/>
        <v>-0.55392855251129336</v>
      </c>
      <c r="H772" s="69">
        <f t="shared" ca="1" si="173"/>
        <v>0.29811929341416371</v>
      </c>
      <c r="I772" s="69">
        <f t="shared" ca="1" si="173"/>
        <v>-1.0475073750121395</v>
      </c>
      <c r="J772" s="69">
        <f t="shared" ca="1" si="173"/>
        <v>-0.31471491751472142</v>
      </c>
      <c r="K772" s="69">
        <f t="shared" ca="1" si="173"/>
        <v>-1.569281398096855</v>
      </c>
      <c r="L772" s="69">
        <f t="shared" ca="1" si="173"/>
        <v>5.3957328768414262E-2</v>
      </c>
      <c r="N772" s="69">
        <f t="shared" ca="1" si="161"/>
        <v>0.88059343954986036</v>
      </c>
      <c r="O772" s="69">
        <f t="shared" ca="1" si="162"/>
        <v>-6.4787814225526735E-2</v>
      </c>
      <c r="P772" s="69">
        <f t="shared" ca="1" si="163"/>
        <v>-0.58931947046462652</v>
      </c>
      <c r="Q772" s="69">
        <f t="shared" ca="1" si="164"/>
        <v>-0.44154336668183541</v>
      </c>
      <c r="R772" s="69">
        <f t="shared" ca="1" si="165"/>
        <v>2.2083853995541829</v>
      </c>
      <c r="S772" s="69">
        <f t="shared" ca="1" si="166"/>
        <v>-0.52110158025448483</v>
      </c>
      <c r="T772" s="69">
        <f t="shared" ca="1" si="167"/>
        <v>0.29328825569897388</v>
      </c>
      <c r="U772" s="69">
        <f t="shared" ca="1" si="168"/>
        <v>-1.0244672481344299</v>
      </c>
      <c r="V772" s="69">
        <f t="shared" ca="1" si="169"/>
        <v>-0.32082451108831872</v>
      </c>
      <c r="W772" s="69">
        <f t="shared" ca="1" si="170"/>
        <v>-1.5683000412727559</v>
      </c>
      <c r="X772" s="69">
        <f t="shared" ca="1" si="171"/>
        <v>8.1125819142849748E-2</v>
      </c>
    </row>
    <row r="773" spans="2:24" x14ac:dyDescent="0.2">
      <c r="B773" s="69">
        <f t="shared" ca="1" si="160"/>
        <v>-2.3281312588328995E-2</v>
      </c>
      <c r="C773" s="69">
        <f t="shared" ca="1" si="173"/>
        <v>-0.19055068979018899</v>
      </c>
      <c r="D773" s="69">
        <f t="shared" ca="1" si="173"/>
        <v>-0.12596106513849722</v>
      </c>
      <c r="E773" s="69">
        <f t="shared" ca="1" si="173"/>
        <v>-0.66169539428947732</v>
      </c>
      <c r="F773" s="69">
        <f t="shared" ca="1" si="173"/>
        <v>1.5791891073111268</v>
      </c>
      <c r="G773" s="69">
        <f t="shared" ca="1" si="173"/>
        <v>0.70444118632907693</v>
      </c>
      <c r="H773" s="69">
        <f t="shared" ca="1" si="173"/>
        <v>-0.228458566101402</v>
      </c>
      <c r="I773" s="69">
        <f t="shared" ca="1" si="173"/>
        <v>-0.68100798765070902</v>
      </c>
      <c r="J773" s="69">
        <f t="shared" ca="1" si="173"/>
        <v>-6.004227952213264E-2</v>
      </c>
      <c r="K773" s="69">
        <f t="shared" ca="1" si="173"/>
        <v>1.0667228626912482</v>
      </c>
      <c r="L773" s="69">
        <f t="shared" ca="1" si="173"/>
        <v>0.59810413851440758</v>
      </c>
      <c r="N773" s="69">
        <f t="shared" ca="1" si="161"/>
        <v>1.4486731249779825E-2</v>
      </c>
      <c r="O773" s="69">
        <f t="shared" ca="1" si="162"/>
        <v>-0.21704425287307569</v>
      </c>
      <c r="P773" s="69">
        <f t="shared" ca="1" si="163"/>
        <v>-0.18370312997558724</v>
      </c>
      <c r="Q773" s="69">
        <f t="shared" ca="1" si="164"/>
        <v>-0.61258671542771836</v>
      </c>
      <c r="R773" s="69">
        <f t="shared" ca="1" si="165"/>
        <v>1.5728944219034779</v>
      </c>
      <c r="S773" s="69">
        <f t="shared" ca="1" si="166"/>
        <v>0.73726815858588546</v>
      </c>
      <c r="T773" s="69">
        <f t="shared" ca="1" si="167"/>
        <v>-0.23328960381659183</v>
      </c>
      <c r="U773" s="69">
        <f t="shared" ca="1" si="168"/>
        <v>-0.6579678607729994</v>
      </c>
      <c r="V773" s="69">
        <f t="shared" ca="1" si="169"/>
        <v>-6.6151873095729966E-2</v>
      </c>
      <c r="W773" s="69">
        <f t="shared" ca="1" si="170"/>
        <v>1.0677042195153472</v>
      </c>
      <c r="X773" s="69">
        <f t="shared" ca="1" si="171"/>
        <v>0.62527262888884305</v>
      </c>
    </row>
    <row r="774" spans="2:24" x14ac:dyDescent="0.2">
      <c r="B774" s="69">
        <f t="shared" ca="1" si="160"/>
        <v>-0.65932017633131601</v>
      </c>
      <c r="C774" s="69">
        <f t="shared" ca="1" si="173"/>
        <v>-1.8192611041752109</v>
      </c>
      <c r="D774" s="69">
        <f t="shared" ca="1" si="173"/>
        <v>0.68373670799794106</v>
      </c>
      <c r="E774" s="69">
        <f t="shared" ca="1" si="173"/>
        <v>0.3058781721444237</v>
      </c>
      <c r="F774" s="69">
        <f t="shared" ca="1" si="173"/>
        <v>-0.40318843066623516</v>
      </c>
      <c r="G774" s="69">
        <f t="shared" ca="1" si="173"/>
        <v>-0.47065635887038948</v>
      </c>
      <c r="H774" s="69">
        <f t="shared" ca="1" si="173"/>
        <v>-0.47221080759620765</v>
      </c>
      <c r="I774" s="69">
        <f t="shared" ca="1" si="173"/>
        <v>-1.8222613624215429</v>
      </c>
      <c r="J774" s="69">
        <f t="shared" ca="1" si="173"/>
        <v>1.1589983048359507</v>
      </c>
      <c r="K774" s="69">
        <f t="shared" ca="1" si="173"/>
        <v>0.96362127721428037</v>
      </c>
      <c r="L774" s="69">
        <f t="shared" ca="1" si="173"/>
        <v>0.63761911706230912</v>
      </c>
      <c r="N774" s="69">
        <f t="shared" ca="1" si="161"/>
        <v>-0.62155213249320718</v>
      </c>
      <c r="O774" s="69">
        <f t="shared" ca="1" si="162"/>
        <v>-1.8457546672580976</v>
      </c>
      <c r="P774" s="69">
        <f t="shared" ca="1" si="163"/>
        <v>0.62599464316085107</v>
      </c>
      <c r="Q774" s="69">
        <f t="shared" ca="1" si="164"/>
        <v>0.35498685100618266</v>
      </c>
      <c r="R774" s="69">
        <f t="shared" ca="1" si="165"/>
        <v>-0.40948311607388405</v>
      </c>
      <c r="S774" s="69">
        <f t="shared" ca="1" si="166"/>
        <v>-0.43782938661358101</v>
      </c>
      <c r="T774" s="69">
        <f t="shared" ca="1" si="167"/>
        <v>-0.47704184531139748</v>
      </c>
      <c r="U774" s="69">
        <f t="shared" ca="1" si="168"/>
        <v>-1.7992212355438333</v>
      </c>
      <c r="V774" s="69">
        <f t="shared" ca="1" si="169"/>
        <v>1.1528887112623534</v>
      </c>
      <c r="W774" s="69">
        <f t="shared" ca="1" si="170"/>
        <v>0.96460263403837931</v>
      </c>
      <c r="X774" s="69">
        <f t="shared" ca="1" si="171"/>
        <v>0.66478760743674459</v>
      </c>
    </row>
    <row r="775" spans="2:24" x14ac:dyDescent="0.2">
      <c r="B775" s="69">
        <f t="shared" ca="1" si="160"/>
        <v>0.48219412577741866</v>
      </c>
      <c r="C775" s="69">
        <f t="shared" ca="1" si="173"/>
        <v>0.26228152090514906</v>
      </c>
      <c r="D775" s="69">
        <f t="shared" ca="1" si="173"/>
        <v>-0.17259546918671378</v>
      </c>
      <c r="E775" s="69">
        <f t="shared" ca="1" si="173"/>
        <v>0.6336012136061685</v>
      </c>
      <c r="F775" s="69">
        <f t="shared" ca="1" si="173"/>
        <v>-0.37652192241825855</v>
      </c>
      <c r="G775" s="69">
        <f t="shared" ca="1" si="173"/>
        <v>-9.3913254886854078E-2</v>
      </c>
      <c r="H775" s="69">
        <f t="shared" ca="1" si="173"/>
        <v>-1.1588393615974462</v>
      </c>
      <c r="I775" s="69">
        <f t="shared" ca="1" si="173"/>
        <v>-2.064537796033135</v>
      </c>
      <c r="J775" s="69">
        <f t="shared" ca="1" si="173"/>
        <v>-2.5766996854862776</v>
      </c>
      <c r="K775" s="69">
        <f t="shared" ca="1" si="173"/>
        <v>0.26288410372852511</v>
      </c>
      <c r="L775" s="69">
        <f t="shared" ca="1" si="173"/>
        <v>-1.1842369991282327</v>
      </c>
      <c r="N775" s="69">
        <f t="shared" ca="1" si="161"/>
        <v>0.51996216961552744</v>
      </c>
      <c r="O775" s="69">
        <f t="shared" ca="1" si="162"/>
        <v>0.23578795782226236</v>
      </c>
      <c r="P775" s="69">
        <f t="shared" ca="1" si="163"/>
        <v>-0.2303375340238038</v>
      </c>
      <c r="Q775" s="69">
        <f t="shared" ca="1" si="164"/>
        <v>0.68270989246792746</v>
      </c>
      <c r="R775" s="69">
        <f t="shared" ca="1" si="165"/>
        <v>-0.38281660782590743</v>
      </c>
      <c r="S775" s="69">
        <f t="shared" ca="1" si="166"/>
        <v>-6.1086282630045598E-2</v>
      </c>
      <c r="T775" s="69">
        <f t="shared" ca="1" si="167"/>
        <v>-1.1636703993126361</v>
      </c>
      <c r="U775" s="69">
        <f t="shared" ca="1" si="168"/>
        <v>-2.0414976691554254</v>
      </c>
      <c r="V775" s="69">
        <f t="shared" ca="1" si="169"/>
        <v>-2.5828092790598749</v>
      </c>
      <c r="W775" s="69">
        <f t="shared" ca="1" si="170"/>
        <v>0.26386546055262405</v>
      </c>
      <c r="X775" s="69">
        <f t="shared" ca="1" si="171"/>
        <v>-1.1570685087537971</v>
      </c>
    </row>
    <row r="776" spans="2:24" x14ac:dyDescent="0.2">
      <c r="B776" s="69">
        <f t="shared" ca="1" si="160"/>
        <v>1.883392966484456</v>
      </c>
      <c r="C776" s="69">
        <f t="shared" ca="1" si="173"/>
        <v>0.6032841490441434</v>
      </c>
      <c r="D776" s="69">
        <f t="shared" ca="1" si="173"/>
        <v>-1.8752679067389175</v>
      </c>
      <c r="E776" s="69">
        <f t="shared" ca="1" si="173"/>
        <v>-0.89955762346545121</v>
      </c>
      <c r="F776" s="69">
        <f t="shared" ca="1" si="173"/>
        <v>-0.41607435383954211</v>
      </c>
      <c r="G776" s="69">
        <f t="shared" ca="1" si="173"/>
        <v>-0.23411551181905088</v>
      </c>
      <c r="H776" s="69">
        <f t="shared" ca="1" si="173"/>
        <v>1.7195090252453389</v>
      </c>
      <c r="I776" s="69">
        <f t="shared" ca="1" si="173"/>
        <v>1.4184627359196909</v>
      </c>
      <c r="J776" s="69">
        <f t="shared" ca="1" si="173"/>
        <v>0.71023939921364776</v>
      </c>
      <c r="K776" s="69">
        <f t="shared" ca="1" si="173"/>
        <v>8.1984795749953904E-2</v>
      </c>
      <c r="L776" s="69">
        <f t="shared" ca="1" si="173"/>
        <v>-0.11256383878792192</v>
      </c>
      <c r="N776" s="69">
        <f t="shared" ca="1" si="161"/>
        <v>1.9211610103225647</v>
      </c>
      <c r="O776" s="69">
        <f t="shared" ca="1" si="162"/>
        <v>0.57679058596125676</v>
      </c>
      <c r="P776" s="69">
        <f t="shared" ca="1" si="163"/>
        <v>-1.9330099715760076</v>
      </c>
      <c r="Q776" s="69">
        <f t="shared" ca="1" si="164"/>
        <v>-0.85044894460369225</v>
      </c>
      <c r="R776" s="69">
        <f t="shared" ca="1" si="165"/>
        <v>-0.42236903924719099</v>
      </c>
      <c r="S776" s="69">
        <f t="shared" ca="1" si="166"/>
        <v>-0.20128853956224241</v>
      </c>
      <c r="T776" s="69">
        <f t="shared" ca="1" si="167"/>
        <v>1.714677987530149</v>
      </c>
      <c r="U776" s="69">
        <f t="shared" ca="1" si="168"/>
        <v>1.4415028627974005</v>
      </c>
      <c r="V776" s="69">
        <f t="shared" ca="1" si="169"/>
        <v>0.70412980564005045</v>
      </c>
      <c r="W776" s="69">
        <f t="shared" ca="1" si="170"/>
        <v>8.2966152574052848E-2</v>
      </c>
      <c r="X776" s="69">
        <f t="shared" ca="1" si="171"/>
        <v>-8.5395348413486449E-2</v>
      </c>
    </row>
    <row r="777" spans="2:24" x14ac:dyDescent="0.2">
      <c r="B777" s="69">
        <f t="shared" ca="1" si="160"/>
        <v>-1.8226917763877453</v>
      </c>
      <c r="C777" s="69">
        <f t="shared" ca="1" si="173"/>
        <v>-0.17250817883738911</v>
      </c>
      <c r="D777" s="69">
        <f t="shared" ca="1" si="173"/>
        <v>-1.003894262645127</v>
      </c>
      <c r="E777" s="69">
        <f t="shared" ca="1" si="173"/>
        <v>-0.14131327665023011</v>
      </c>
      <c r="F777" s="69">
        <f t="shared" ca="1" si="173"/>
        <v>-0.76313960713073248</v>
      </c>
      <c r="G777" s="69">
        <f t="shared" ca="1" si="173"/>
        <v>-1.4256698829051464</v>
      </c>
      <c r="H777" s="69">
        <f t="shared" ca="1" si="173"/>
        <v>-1.621066176087435</v>
      </c>
      <c r="I777" s="69">
        <f t="shared" ca="1" si="173"/>
        <v>0.80479177824017656</v>
      </c>
      <c r="J777" s="69">
        <f t="shared" ca="1" si="173"/>
        <v>-0.96770193471384935</v>
      </c>
      <c r="K777" s="69">
        <f t="shared" ca="1" si="173"/>
        <v>0.30662612612713586</v>
      </c>
      <c r="L777" s="69">
        <f t="shared" ca="1" si="173"/>
        <v>-0.55910101848506089</v>
      </c>
      <c r="N777" s="69">
        <f t="shared" ca="1" si="161"/>
        <v>-1.7849237325496365</v>
      </c>
      <c r="O777" s="69">
        <f t="shared" ca="1" si="162"/>
        <v>-0.19900174192027581</v>
      </c>
      <c r="P777" s="69">
        <f t="shared" ca="1" si="163"/>
        <v>-1.0616363274822171</v>
      </c>
      <c r="Q777" s="69">
        <f t="shared" ca="1" si="164"/>
        <v>-9.2204597788471163E-2</v>
      </c>
      <c r="R777" s="69">
        <f t="shared" ca="1" si="165"/>
        <v>-0.76943429253838136</v>
      </c>
      <c r="S777" s="69">
        <f t="shared" ca="1" si="166"/>
        <v>-1.392842910648338</v>
      </c>
      <c r="T777" s="69">
        <f t="shared" ca="1" si="167"/>
        <v>-1.6258972138026249</v>
      </c>
      <c r="U777" s="69">
        <f t="shared" ca="1" si="168"/>
        <v>0.82783190511788618</v>
      </c>
      <c r="V777" s="69">
        <f t="shared" ca="1" si="169"/>
        <v>-0.97381152828744666</v>
      </c>
      <c r="W777" s="69">
        <f t="shared" ca="1" si="170"/>
        <v>0.3076074829512348</v>
      </c>
      <c r="X777" s="69">
        <f t="shared" ca="1" si="171"/>
        <v>-0.53193252811062541</v>
      </c>
    </row>
    <row r="778" spans="2:24" x14ac:dyDescent="0.2">
      <c r="B778" s="69">
        <f t="shared" ref="B778:B841" ca="1" si="174">NORMINV(RAND(),$C$7,$F$7)</f>
        <v>0.73458600964345766</v>
      </c>
      <c r="C778" s="69">
        <f t="shared" ca="1" si="173"/>
        <v>-0.28194541764424524</v>
      </c>
      <c r="D778" s="69">
        <f t="shared" ca="1" si="173"/>
        <v>-0.50441086717976169</v>
      </c>
      <c r="E778" s="69">
        <f t="shared" ca="1" si="173"/>
        <v>5.4747141601720985E-2</v>
      </c>
      <c r="F778" s="69">
        <f t="shared" ca="1" si="173"/>
        <v>-1.0474425947802899</v>
      </c>
      <c r="G778" s="69">
        <f t="shared" ca="1" si="173"/>
        <v>1.9437882923677563</v>
      </c>
      <c r="H778" s="69">
        <f t="shared" ca="1" si="173"/>
        <v>0.1065994048882124</v>
      </c>
      <c r="I778" s="69">
        <f t="shared" ca="1" si="173"/>
        <v>-0.48526742270764495</v>
      </c>
      <c r="J778" s="69">
        <f t="shared" ca="1" si="173"/>
        <v>-1.5360090540152349</v>
      </c>
      <c r="K778" s="69">
        <f t="shared" ca="1" si="173"/>
        <v>1.0658576361402483</v>
      </c>
      <c r="L778" s="69">
        <f t="shared" ca="1" si="173"/>
        <v>1.1799843689304601</v>
      </c>
      <c r="N778" s="69">
        <f t="shared" ref="N778:N841" ca="1" si="175">B778-$B$1010</f>
        <v>0.77235405348156649</v>
      </c>
      <c r="O778" s="69">
        <f t="shared" ref="O778:O841" ca="1" si="176">C778-$C$1010</f>
        <v>-0.30843898072713194</v>
      </c>
      <c r="P778" s="69">
        <f t="shared" ref="P778:P841" ca="1" si="177">D778-$D$1010</f>
        <v>-0.56215293201685168</v>
      </c>
      <c r="Q778" s="69">
        <f t="shared" ref="Q778:Q841" ca="1" si="178">E778-$E$1010</f>
        <v>0.10385582046347994</v>
      </c>
      <c r="R778" s="69">
        <f t="shared" ref="R778:R841" ca="1" si="179">F778-$F$1010</f>
        <v>-1.0537372801879388</v>
      </c>
      <c r="S778" s="69">
        <f t="shared" ref="S778:S841" ca="1" si="180">G778-$G$1010</f>
        <v>1.9766152646245647</v>
      </c>
      <c r="T778" s="69">
        <f t="shared" ref="T778:T841" ca="1" si="181">H778-$H$1010</f>
        <v>0.10176836717302255</v>
      </c>
      <c r="U778" s="69">
        <f t="shared" ref="U778:U841" ca="1" si="182">I778-$I$1010</f>
        <v>-0.46222729582993527</v>
      </c>
      <c r="V778" s="69">
        <f t="shared" ref="V778:V841" ca="1" si="183">J778-$J$1010</f>
        <v>-1.5421186475888322</v>
      </c>
      <c r="W778" s="69">
        <f t="shared" ref="W778:W841" ca="1" si="184">K778-$K$1010</f>
        <v>1.0668389929643474</v>
      </c>
      <c r="X778" s="69">
        <f t="shared" ref="X778:X841" ca="1" si="185">L778-$L$1010</f>
        <v>1.2071528593048957</v>
      </c>
    </row>
    <row r="779" spans="2:24" x14ac:dyDescent="0.2">
      <c r="B779" s="69">
        <f t="shared" ca="1" si="174"/>
        <v>-0.49180549933530548</v>
      </c>
      <c r="C779" s="69">
        <f t="shared" ca="1" si="173"/>
        <v>1.5920142493756417</v>
      </c>
      <c r="D779" s="69">
        <f t="shared" ca="1" si="173"/>
        <v>-1.1277201415715135</v>
      </c>
      <c r="E779" s="69">
        <f t="shared" ca="1" si="173"/>
        <v>0.62916941104928936</v>
      </c>
      <c r="F779" s="69">
        <f t="shared" ca="1" si="173"/>
        <v>0.22142507203000455</v>
      </c>
      <c r="G779" s="69">
        <f t="shared" ca="1" si="173"/>
        <v>1.5787659405525925</v>
      </c>
      <c r="H779" s="69">
        <f t="shared" ca="1" si="173"/>
        <v>-1.4680623105041481</v>
      </c>
      <c r="I779" s="69">
        <f t="shared" ca="1" si="173"/>
        <v>-0.6327925033151347</v>
      </c>
      <c r="J779" s="69">
        <f t="shared" ca="1" si="173"/>
        <v>3.1316424531373822E-2</v>
      </c>
      <c r="K779" s="69">
        <f t="shared" ca="1" si="173"/>
        <v>0.28434143978000265</v>
      </c>
      <c r="L779" s="69">
        <f t="shared" ca="1" si="173"/>
        <v>-0.44162451422681998</v>
      </c>
      <c r="N779" s="69">
        <f t="shared" ca="1" si="175"/>
        <v>-0.45403745549719665</v>
      </c>
      <c r="O779" s="69">
        <f t="shared" ca="1" si="176"/>
        <v>1.5655206862927551</v>
      </c>
      <c r="P779" s="69">
        <f t="shared" ca="1" si="177"/>
        <v>-1.1854622064086036</v>
      </c>
      <c r="Q779" s="69">
        <f t="shared" ca="1" si="178"/>
        <v>0.67827808991104832</v>
      </c>
      <c r="R779" s="69">
        <f t="shared" ca="1" si="179"/>
        <v>0.21513038662235565</v>
      </c>
      <c r="S779" s="69">
        <f t="shared" ca="1" si="180"/>
        <v>1.6115929128094009</v>
      </c>
      <c r="T779" s="69">
        <f t="shared" ca="1" si="181"/>
        <v>-1.472893348219338</v>
      </c>
      <c r="U779" s="69">
        <f t="shared" ca="1" si="182"/>
        <v>-0.60975237643742508</v>
      </c>
      <c r="V779" s="69">
        <f t="shared" ca="1" si="183"/>
        <v>2.5206830957776493E-2</v>
      </c>
      <c r="W779" s="69">
        <f t="shared" ca="1" si="184"/>
        <v>0.28532279660410159</v>
      </c>
      <c r="X779" s="69">
        <f t="shared" ca="1" si="185"/>
        <v>-0.4144560238523845</v>
      </c>
    </row>
    <row r="780" spans="2:24" x14ac:dyDescent="0.2">
      <c r="B780" s="69">
        <f t="shared" ca="1" si="174"/>
        <v>1.4327290082863529</v>
      </c>
      <c r="C780" s="69">
        <f t="shared" ca="1" si="173"/>
        <v>-1.3551123656817321</v>
      </c>
      <c r="D780" s="69">
        <f t="shared" ca="1" si="173"/>
        <v>-1.3967519699653155</v>
      </c>
      <c r="E780" s="69">
        <f t="shared" ca="1" si="173"/>
        <v>-0.11380014186348003</v>
      </c>
      <c r="F780" s="69">
        <f t="shared" ca="1" si="173"/>
        <v>-0.79668825367938267</v>
      </c>
      <c r="G780" s="69">
        <f t="shared" ca="1" si="173"/>
        <v>0.70029931543956325</v>
      </c>
      <c r="H780" s="69">
        <f t="shared" ca="1" si="173"/>
        <v>0.21008058367441398</v>
      </c>
      <c r="I780" s="69">
        <f t="shared" ca="1" si="173"/>
        <v>-0.26104437651215667</v>
      </c>
      <c r="J780" s="69">
        <f t="shared" ca="1" si="173"/>
        <v>1.0532037340629332</v>
      </c>
      <c r="K780" s="69">
        <f t="shared" ca="1" si="173"/>
        <v>-0.60991580822723634</v>
      </c>
      <c r="L780" s="69">
        <f t="shared" ca="1" si="173"/>
        <v>-0.46843954545244598</v>
      </c>
      <c r="N780" s="69">
        <f t="shared" ca="1" si="175"/>
        <v>1.4704970521244616</v>
      </c>
      <c r="O780" s="69">
        <f t="shared" ca="1" si="176"/>
        <v>-1.3816059287646187</v>
      </c>
      <c r="P780" s="69">
        <f t="shared" ca="1" si="177"/>
        <v>-1.4544940348024056</v>
      </c>
      <c r="Q780" s="69">
        <f t="shared" ca="1" si="178"/>
        <v>-6.4691463001721086E-2</v>
      </c>
      <c r="R780" s="69">
        <f t="shared" ca="1" si="179"/>
        <v>-0.80298293908703156</v>
      </c>
      <c r="S780" s="69">
        <f t="shared" ca="1" si="180"/>
        <v>0.73312628769637178</v>
      </c>
      <c r="T780" s="69">
        <f t="shared" ca="1" si="181"/>
        <v>0.20524954595922415</v>
      </c>
      <c r="U780" s="69">
        <f t="shared" ca="1" si="182"/>
        <v>-0.23800424963444702</v>
      </c>
      <c r="V780" s="69">
        <f t="shared" ca="1" si="183"/>
        <v>1.0470941404893359</v>
      </c>
      <c r="W780" s="69">
        <f t="shared" ca="1" si="184"/>
        <v>-0.6089344514031374</v>
      </c>
      <c r="X780" s="69">
        <f t="shared" ca="1" si="185"/>
        <v>-0.44127105507801051</v>
      </c>
    </row>
    <row r="781" spans="2:24" x14ac:dyDescent="0.2">
      <c r="B781" s="69">
        <f t="shared" ca="1" si="174"/>
        <v>0.35948998914857266</v>
      </c>
      <c r="C781" s="69">
        <f t="shared" ca="1" si="173"/>
        <v>0.55022066317493656</v>
      </c>
      <c r="D781" s="69">
        <f t="shared" ca="1" si="173"/>
        <v>0.61490143158397281</v>
      </c>
      <c r="E781" s="69">
        <f t="shared" ca="1" si="173"/>
        <v>-0.3521967645209918</v>
      </c>
      <c r="F781" s="69">
        <f t="shared" ca="1" si="173"/>
        <v>-0.8700981489326356</v>
      </c>
      <c r="G781" s="69">
        <f t="shared" ca="1" si="173"/>
        <v>-0.95969499899861432</v>
      </c>
      <c r="H781" s="69">
        <f t="shared" ca="1" si="173"/>
        <v>-1.6088044672229798</v>
      </c>
      <c r="I781" s="69">
        <f t="shared" ca="1" si="173"/>
        <v>0.82016083328838396</v>
      </c>
      <c r="J781" s="69">
        <f t="shared" ca="1" si="173"/>
        <v>-0.84221351665255095</v>
      </c>
      <c r="K781" s="69">
        <f t="shared" ca="1" si="173"/>
        <v>-0.52859167907833859</v>
      </c>
      <c r="L781" s="69">
        <f t="shared" ca="1" si="173"/>
        <v>0.86811634527630221</v>
      </c>
      <c r="N781" s="69">
        <f t="shared" ca="1" si="175"/>
        <v>0.3972580329866815</v>
      </c>
      <c r="O781" s="69">
        <f t="shared" ca="1" si="176"/>
        <v>0.52372710009204992</v>
      </c>
      <c r="P781" s="69">
        <f t="shared" ca="1" si="177"/>
        <v>0.55715936674688282</v>
      </c>
      <c r="Q781" s="69">
        <f t="shared" ca="1" si="178"/>
        <v>-0.30308808565923284</v>
      </c>
      <c r="R781" s="69">
        <f t="shared" ca="1" si="179"/>
        <v>-0.87639283434028448</v>
      </c>
      <c r="S781" s="69">
        <f t="shared" ca="1" si="180"/>
        <v>-0.92686802674180579</v>
      </c>
      <c r="T781" s="69">
        <f t="shared" ca="1" si="181"/>
        <v>-1.6136355049381697</v>
      </c>
      <c r="U781" s="69">
        <f t="shared" ca="1" si="182"/>
        <v>0.84320096016609358</v>
      </c>
      <c r="V781" s="69">
        <f t="shared" ca="1" si="183"/>
        <v>-0.84832311022614826</v>
      </c>
      <c r="W781" s="69">
        <f t="shared" ca="1" si="184"/>
        <v>-0.52761032225423965</v>
      </c>
      <c r="X781" s="69">
        <f t="shared" ca="1" si="185"/>
        <v>0.89528483565073769</v>
      </c>
    </row>
    <row r="782" spans="2:24" x14ac:dyDescent="0.2">
      <c r="B782" s="69">
        <f t="shared" ca="1" si="174"/>
        <v>2.0735645468945689</v>
      </c>
      <c r="C782" s="69">
        <f t="shared" ca="1" si="173"/>
        <v>-1.0192535004220025</v>
      </c>
      <c r="D782" s="69">
        <f t="shared" ca="1" si="173"/>
        <v>-2.0539517795489952</v>
      </c>
      <c r="E782" s="69">
        <f t="shared" ca="1" si="173"/>
        <v>-3.6196643180252432E-2</v>
      </c>
      <c r="F782" s="69">
        <f t="shared" ca="1" si="173"/>
        <v>0.430794932325267</v>
      </c>
      <c r="G782" s="69">
        <f t="shared" ca="1" si="173"/>
        <v>-0.65587607349875732</v>
      </c>
      <c r="H782" s="69">
        <f t="shared" ca="1" si="173"/>
        <v>0.87220254967686073</v>
      </c>
      <c r="I782" s="69">
        <f t="shared" ca="1" si="173"/>
        <v>-0.56257467232647884</v>
      </c>
      <c r="J782" s="69">
        <f t="shared" ca="1" si="173"/>
        <v>0.25002321285415879</v>
      </c>
      <c r="K782" s="69">
        <f t="shared" ca="1" si="173"/>
        <v>1.0272631623942925</v>
      </c>
      <c r="L782" s="69">
        <f t="shared" ca="1" si="173"/>
        <v>-0.30886823486733817</v>
      </c>
      <c r="N782" s="69">
        <f t="shared" ca="1" si="175"/>
        <v>2.1113325907326779</v>
      </c>
      <c r="O782" s="69">
        <f t="shared" ca="1" si="176"/>
        <v>-1.0457470635048891</v>
      </c>
      <c r="P782" s="69">
        <f t="shared" ca="1" si="177"/>
        <v>-2.1116938443860853</v>
      </c>
      <c r="Q782" s="69">
        <f t="shared" ca="1" si="178"/>
        <v>1.2912035681506513E-2</v>
      </c>
      <c r="R782" s="69">
        <f t="shared" ca="1" si="179"/>
        <v>0.42450024691761812</v>
      </c>
      <c r="S782" s="69">
        <f t="shared" ca="1" si="180"/>
        <v>-0.62304910124194879</v>
      </c>
      <c r="T782" s="69">
        <f t="shared" ca="1" si="181"/>
        <v>0.86737151196167084</v>
      </c>
      <c r="U782" s="69">
        <f t="shared" ca="1" si="182"/>
        <v>-0.53953454544876922</v>
      </c>
      <c r="V782" s="69">
        <f t="shared" ca="1" si="183"/>
        <v>0.24391361928056146</v>
      </c>
      <c r="W782" s="69">
        <f t="shared" ca="1" si="184"/>
        <v>1.0282445192183916</v>
      </c>
      <c r="X782" s="69">
        <f t="shared" ca="1" si="185"/>
        <v>-0.28169974449290269</v>
      </c>
    </row>
    <row r="783" spans="2:24" x14ac:dyDescent="0.2">
      <c r="B783" s="69">
        <f t="shared" ca="1" si="174"/>
        <v>0.69890586894309426</v>
      </c>
      <c r="C783" s="69">
        <f t="shared" ca="1" si="173"/>
        <v>1.5189520011809563</v>
      </c>
      <c r="D783" s="69">
        <f t="shared" ca="1" si="173"/>
        <v>0.94005711485930199</v>
      </c>
      <c r="E783" s="69">
        <f t="shared" ca="1" si="173"/>
        <v>0.39165646124021719</v>
      </c>
      <c r="F783" s="69">
        <f t="shared" ca="1" si="173"/>
        <v>-1.5997672136023062</v>
      </c>
      <c r="G783" s="69">
        <f t="shared" ca="1" si="173"/>
        <v>-0.7746214327048403</v>
      </c>
      <c r="H783" s="69">
        <f t="shared" ca="1" si="173"/>
        <v>-0.9081836543222801</v>
      </c>
      <c r="I783" s="69">
        <f t="shared" ref="C783:L846" ca="1" si="186">NORMINV(RAND(),$C$7,$F$7)</f>
        <v>0.13801199716441984</v>
      </c>
      <c r="J783" s="69">
        <f t="shared" ca="1" si="186"/>
        <v>-1.8317576630861694</v>
      </c>
      <c r="K783" s="69">
        <f t="shared" ca="1" si="186"/>
        <v>-2.106260619997117</v>
      </c>
      <c r="L783" s="69">
        <f t="shared" ca="1" si="186"/>
        <v>-1.4117700640780435</v>
      </c>
      <c r="N783" s="69">
        <f t="shared" ca="1" si="175"/>
        <v>0.73667391278120309</v>
      </c>
      <c r="O783" s="69">
        <f t="shared" ca="1" si="176"/>
        <v>1.4924584380980697</v>
      </c>
      <c r="P783" s="69">
        <f t="shared" ca="1" si="177"/>
        <v>0.882315050022212</v>
      </c>
      <c r="Q783" s="69">
        <f t="shared" ca="1" si="178"/>
        <v>0.44076514010197615</v>
      </c>
      <c r="R783" s="69">
        <f t="shared" ca="1" si="179"/>
        <v>-1.6060618990099551</v>
      </c>
      <c r="S783" s="69">
        <f t="shared" ca="1" si="180"/>
        <v>-0.74179446044803177</v>
      </c>
      <c r="T783" s="69">
        <f t="shared" ca="1" si="181"/>
        <v>-0.91301469203746999</v>
      </c>
      <c r="U783" s="69">
        <f t="shared" ca="1" si="182"/>
        <v>0.16105212404212949</v>
      </c>
      <c r="V783" s="69">
        <f t="shared" ca="1" si="183"/>
        <v>-1.8378672566597667</v>
      </c>
      <c r="W783" s="69">
        <f t="shared" ca="1" si="184"/>
        <v>-2.1052792631730179</v>
      </c>
      <c r="X783" s="69">
        <f t="shared" ca="1" si="185"/>
        <v>-1.3846015737036079</v>
      </c>
    </row>
    <row r="784" spans="2:24" x14ac:dyDescent="0.2">
      <c r="B784" s="69">
        <f t="shared" ca="1" si="174"/>
        <v>-1.9568565763817647</v>
      </c>
      <c r="C784" s="69">
        <f t="shared" ca="1" si="186"/>
        <v>1.4502452957534184</v>
      </c>
      <c r="D784" s="69">
        <f t="shared" ca="1" si="186"/>
        <v>0.15411442625453448</v>
      </c>
      <c r="E784" s="69">
        <f t="shared" ca="1" si="186"/>
        <v>0.63565195046244061</v>
      </c>
      <c r="F784" s="69">
        <f t="shared" ca="1" si="186"/>
        <v>-0.61186210286488718</v>
      </c>
      <c r="G784" s="69">
        <f t="shared" ca="1" si="186"/>
        <v>-4.1259439934306474E-2</v>
      </c>
      <c r="H784" s="69">
        <f t="shared" ca="1" si="186"/>
        <v>-1.2006120024996678</v>
      </c>
      <c r="I784" s="69">
        <f t="shared" ca="1" si="186"/>
        <v>1.0243762111001071</v>
      </c>
      <c r="J784" s="69">
        <f t="shared" ca="1" si="186"/>
        <v>0.20630792533995201</v>
      </c>
      <c r="K784" s="69">
        <f t="shared" ca="1" si="186"/>
        <v>1.820575814930139</v>
      </c>
      <c r="L784" s="69">
        <f t="shared" ca="1" si="186"/>
        <v>-0.17790913620599091</v>
      </c>
      <c r="N784" s="69">
        <f t="shared" ca="1" si="175"/>
        <v>-1.919088532543656</v>
      </c>
      <c r="O784" s="69">
        <f t="shared" ca="1" si="176"/>
        <v>1.4237517326705318</v>
      </c>
      <c r="P784" s="69">
        <f t="shared" ca="1" si="177"/>
        <v>9.6372361417444444E-2</v>
      </c>
      <c r="Q784" s="69">
        <f t="shared" ca="1" si="178"/>
        <v>0.68476062932419957</v>
      </c>
      <c r="R784" s="69">
        <f t="shared" ca="1" si="179"/>
        <v>-0.61815678827253606</v>
      </c>
      <c r="S784" s="69">
        <f t="shared" ca="1" si="180"/>
        <v>-8.4324676774979943E-3</v>
      </c>
      <c r="T784" s="69">
        <f t="shared" ca="1" si="181"/>
        <v>-1.2054430402148577</v>
      </c>
      <c r="U784" s="69">
        <f t="shared" ca="1" si="182"/>
        <v>1.0474163379778167</v>
      </c>
      <c r="V784" s="69">
        <f t="shared" ca="1" si="183"/>
        <v>0.20019833176635468</v>
      </c>
      <c r="W784" s="69">
        <f t="shared" ca="1" si="184"/>
        <v>1.821557171754238</v>
      </c>
      <c r="X784" s="69">
        <f t="shared" ca="1" si="185"/>
        <v>-0.15074064583155544</v>
      </c>
    </row>
    <row r="785" spans="2:24" x14ac:dyDescent="0.2">
      <c r="B785" s="69">
        <f t="shared" ca="1" si="174"/>
        <v>-1.3440385056990807</v>
      </c>
      <c r="C785" s="69">
        <f t="shared" ca="1" si="186"/>
        <v>-1.1912424827409125</v>
      </c>
      <c r="D785" s="69">
        <f t="shared" ca="1" si="186"/>
        <v>-0.69750342982315872</v>
      </c>
      <c r="E785" s="69">
        <f t="shared" ca="1" si="186"/>
        <v>-1.0165191132970202</v>
      </c>
      <c r="F785" s="69">
        <f t="shared" ca="1" si="186"/>
        <v>-0.85718444918831538</v>
      </c>
      <c r="G785" s="69">
        <f t="shared" ca="1" si="186"/>
        <v>-0.2129458843090401</v>
      </c>
      <c r="H785" s="69">
        <f t="shared" ca="1" si="186"/>
        <v>-0.57399415250470454</v>
      </c>
      <c r="I785" s="69">
        <f t="shared" ca="1" si="186"/>
        <v>-1.2814500233234871</v>
      </c>
      <c r="J785" s="69">
        <f t="shared" ca="1" si="186"/>
        <v>-3.420124227144309E-2</v>
      </c>
      <c r="K785" s="69">
        <f t="shared" ca="1" si="186"/>
        <v>0.363472767282702</v>
      </c>
      <c r="L785" s="69">
        <f t="shared" ca="1" si="186"/>
        <v>1.0660956633709011</v>
      </c>
      <c r="N785" s="69">
        <f t="shared" ca="1" si="175"/>
        <v>-1.306270461860972</v>
      </c>
      <c r="O785" s="69">
        <f t="shared" ca="1" si="176"/>
        <v>-1.2177360458237991</v>
      </c>
      <c r="P785" s="69">
        <f t="shared" ca="1" si="177"/>
        <v>-0.75524549466024871</v>
      </c>
      <c r="Q785" s="69">
        <f t="shared" ca="1" si="178"/>
        <v>-0.9674104344352612</v>
      </c>
      <c r="R785" s="69">
        <f t="shared" ca="1" si="179"/>
        <v>-0.86347913459596426</v>
      </c>
      <c r="S785" s="69">
        <f t="shared" ca="1" si="180"/>
        <v>-0.18011891205223163</v>
      </c>
      <c r="T785" s="69">
        <f t="shared" ca="1" si="181"/>
        <v>-0.57882519021989443</v>
      </c>
      <c r="U785" s="69">
        <f t="shared" ca="1" si="182"/>
        <v>-1.2584098964457775</v>
      </c>
      <c r="V785" s="69">
        <f t="shared" ca="1" si="183"/>
        <v>-4.0310835845040423E-2</v>
      </c>
      <c r="W785" s="69">
        <f t="shared" ca="1" si="184"/>
        <v>0.36445412410680095</v>
      </c>
      <c r="X785" s="69">
        <f t="shared" ca="1" si="185"/>
        <v>1.0932641537453367</v>
      </c>
    </row>
    <row r="786" spans="2:24" x14ac:dyDescent="0.2">
      <c r="B786" s="69">
        <f t="shared" ca="1" si="174"/>
        <v>-0.13875524646580498</v>
      </c>
      <c r="C786" s="69">
        <f t="shared" ca="1" si="186"/>
        <v>1.0980360969571366</v>
      </c>
      <c r="D786" s="69">
        <f t="shared" ca="1" si="186"/>
        <v>-0.2509974422718726</v>
      </c>
      <c r="E786" s="69">
        <f t="shared" ca="1" si="186"/>
        <v>-0.18882305346403905</v>
      </c>
      <c r="F786" s="69">
        <f t="shared" ca="1" si="186"/>
        <v>-0.95898038051175816</v>
      </c>
      <c r="G786" s="69">
        <f t="shared" ca="1" si="186"/>
        <v>-0.68576479500576459</v>
      </c>
      <c r="H786" s="69">
        <f t="shared" ca="1" si="186"/>
        <v>1.506343988277018</v>
      </c>
      <c r="I786" s="69">
        <f t="shared" ca="1" si="186"/>
        <v>-1.9026633960026149</v>
      </c>
      <c r="J786" s="69">
        <f t="shared" ca="1" si="186"/>
        <v>2.3573394508548997</v>
      </c>
      <c r="K786" s="69">
        <f t="shared" ca="1" si="186"/>
        <v>0.37319521318753118</v>
      </c>
      <c r="L786" s="69">
        <f t="shared" ca="1" si="186"/>
        <v>-0.60796996022507266</v>
      </c>
      <c r="N786" s="69">
        <f t="shared" ca="1" si="175"/>
        <v>-0.10098720262769616</v>
      </c>
      <c r="O786" s="69">
        <f t="shared" ca="1" si="176"/>
        <v>1.0715425338742499</v>
      </c>
      <c r="P786" s="69">
        <f t="shared" ca="1" si="177"/>
        <v>-0.30873950710896264</v>
      </c>
      <c r="Q786" s="69">
        <f t="shared" ca="1" si="178"/>
        <v>-0.13971437460228009</v>
      </c>
      <c r="R786" s="69">
        <f t="shared" ca="1" si="179"/>
        <v>-0.96527506591940704</v>
      </c>
      <c r="S786" s="69">
        <f t="shared" ca="1" si="180"/>
        <v>-0.65293782274895606</v>
      </c>
      <c r="T786" s="69">
        <f t="shared" ca="1" si="181"/>
        <v>1.5015129505618281</v>
      </c>
      <c r="U786" s="69">
        <f t="shared" ca="1" si="182"/>
        <v>-1.8796232691249053</v>
      </c>
      <c r="V786" s="69">
        <f t="shared" ca="1" si="183"/>
        <v>2.3512298572813024</v>
      </c>
      <c r="W786" s="69">
        <f t="shared" ca="1" si="184"/>
        <v>0.37417657001163013</v>
      </c>
      <c r="X786" s="69">
        <f t="shared" ca="1" si="185"/>
        <v>-0.58080146985063719</v>
      </c>
    </row>
    <row r="787" spans="2:24" x14ac:dyDescent="0.2">
      <c r="B787" s="69">
        <f t="shared" ca="1" si="174"/>
        <v>-0.7642982422435205</v>
      </c>
      <c r="C787" s="69">
        <f t="shared" ca="1" si="186"/>
        <v>-0.65904002493799441</v>
      </c>
      <c r="D787" s="69">
        <f t="shared" ca="1" si="186"/>
        <v>1.3271505619939279</v>
      </c>
      <c r="E787" s="69">
        <f t="shared" ca="1" si="186"/>
        <v>0.10478984441825065</v>
      </c>
      <c r="F787" s="69">
        <f t="shared" ca="1" si="186"/>
        <v>0.55951240325266782</v>
      </c>
      <c r="G787" s="69">
        <f t="shared" ca="1" si="186"/>
        <v>1.1781485986367348</v>
      </c>
      <c r="H787" s="69">
        <f t="shared" ca="1" si="186"/>
        <v>-0.44559951975204842</v>
      </c>
      <c r="I787" s="69">
        <f t="shared" ca="1" si="186"/>
        <v>-0.27766948977507006</v>
      </c>
      <c r="J787" s="69">
        <f t="shared" ca="1" si="186"/>
        <v>-2.7224333968629897</v>
      </c>
      <c r="K787" s="69">
        <f t="shared" ca="1" si="186"/>
        <v>-0.2472247294271154</v>
      </c>
      <c r="L787" s="69">
        <f t="shared" ca="1" si="186"/>
        <v>1.3943715240952141</v>
      </c>
      <c r="N787" s="69">
        <f t="shared" ca="1" si="175"/>
        <v>-0.72653019840541166</v>
      </c>
      <c r="O787" s="69">
        <f t="shared" ca="1" si="176"/>
        <v>-0.68553358802088105</v>
      </c>
      <c r="P787" s="69">
        <f t="shared" ca="1" si="177"/>
        <v>1.2694084971568378</v>
      </c>
      <c r="Q787" s="69">
        <f t="shared" ca="1" si="178"/>
        <v>0.15389852328000958</v>
      </c>
      <c r="R787" s="69">
        <f t="shared" ca="1" si="179"/>
        <v>0.55321771784501894</v>
      </c>
      <c r="S787" s="69">
        <f t="shared" ca="1" si="180"/>
        <v>1.2109755708935432</v>
      </c>
      <c r="T787" s="69">
        <f t="shared" ca="1" si="181"/>
        <v>-0.45043055746723826</v>
      </c>
      <c r="U787" s="69">
        <f t="shared" ca="1" si="182"/>
        <v>-0.25462936289736038</v>
      </c>
      <c r="V787" s="69">
        <f t="shared" ca="1" si="183"/>
        <v>-2.728542990436587</v>
      </c>
      <c r="W787" s="69">
        <f t="shared" ca="1" si="184"/>
        <v>-0.24624337260301646</v>
      </c>
      <c r="X787" s="69">
        <f t="shared" ca="1" si="185"/>
        <v>1.4215400144696497</v>
      </c>
    </row>
    <row r="788" spans="2:24" x14ac:dyDescent="0.2">
      <c r="B788" s="69">
        <f t="shared" ca="1" si="174"/>
        <v>0.90273183051232897</v>
      </c>
      <c r="C788" s="69">
        <f t="shared" ca="1" si="186"/>
        <v>-0.37087546668098526</v>
      </c>
      <c r="D788" s="69">
        <f t="shared" ca="1" si="186"/>
        <v>-0.84139877593190293</v>
      </c>
      <c r="E788" s="69">
        <f t="shared" ca="1" si="186"/>
        <v>-0.42110452295199668</v>
      </c>
      <c r="F788" s="69">
        <f t="shared" ca="1" si="186"/>
        <v>0.36161716391861443</v>
      </c>
      <c r="G788" s="69">
        <f t="shared" ca="1" si="186"/>
        <v>-1.3755372021963752</v>
      </c>
      <c r="H788" s="69">
        <f t="shared" ca="1" si="186"/>
        <v>-1.7289023807523394</v>
      </c>
      <c r="I788" s="69">
        <f t="shared" ca="1" si="186"/>
        <v>0.6484328718609299</v>
      </c>
      <c r="J788" s="69">
        <f t="shared" ca="1" si="186"/>
        <v>-1.0292616408404505</v>
      </c>
      <c r="K788" s="69">
        <f t="shared" ca="1" si="186"/>
        <v>-1.7105115643365398</v>
      </c>
      <c r="L788" s="69">
        <f t="shared" ca="1" si="186"/>
        <v>-0.26532829733079816</v>
      </c>
      <c r="N788" s="69">
        <f t="shared" ca="1" si="175"/>
        <v>0.9404998743504378</v>
      </c>
      <c r="O788" s="69">
        <f t="shared" ca="1" si="176"/>
        <v>-0.39736902976387195</v>
      </c>
      <c r="P788" s="69">
        <f t="shared" ca="1" si="177"/>
        <v>-0.89914084076899292</v>
      </c>
      <c r="Q788" s="69">
        <f t="shared" ca="1" si="178"/>
        <v>-0.37199584409023773</v>
      </c>
      <c r="R788" s="69">
        <f t="shared" ca="1" si="179"/>
        <v>0.35532247851096554</v>
      </c>
      <c r="S788" s="69">
        <f t="shared" ca="1" si="180"/>
        <v>-1.3427102299395668</v>
      </c>
      <c r="T788" s="69">
        <f t="shared" ca="1" si="181"/>
        <v>-1.7337334184675293</v>
      </c>
      <c r="U788" s="69">
        <f t="shared" ca="1" si="182"/>
        <v>0.67147299873863953</v>
      </c>
      <c r="V788" s="69">
        <f t="shared" ca="1" si="183"/>
        <v>-1.0353712344140478</v>
      </c>
      <c r="W788" s="69">
        <f t="shared" ca="1" si="184"/>
        <v>-1.7095302075124408</v>
      </c>
      <c r="X788" s="69">
        <f t="shared" ca="1" si="185"/>
        <v>-0.23815980695636269</v>
      </c>
    </row>
    <row r="789" spans="2:24" x14ac:dyDescent="0.2">
      <c r="B789" s="69">
        <f t="shared" ca="1" si="174"/>
        <v>0.77484408633060742</v>
      </c>
      <c r="C789" s="69">
        <f t="shared" ca="1" si="186"/>
        <v>0.77795333299433811</v>
      </c>
      <c r="D789" s="69">
        <f t="shared" ca="1" si="186"/>
        <v>-1.0496346442043318</v>
      </c>
      <c r="E789" s="69">
        <f t="shared" ca="1" si="186"/>
        <v>0.58336178292012386</v>
      </c>
      <c r="F789" s="69">
        <f t="shared" ca="1" si="186"/>
        <v>1.1402349340643325</v>
      </c>
      <c r="G789" s="69">
        <f t="shared" ca="1" si="186"/>
        <v>0.67263479328722653</v>
      </c>
      <c r="H789" s="69">
        <f t="shared" ca="1" si="186"/>
        <v>-0.92565279056703809</v>
      </c>
      <c r="I789" s="69">
        <f t="shared" ca="1" si="186"/>
        <v>0.56791433950631831</v>
      </c>
      <c r="J789" s="69">
        <f t="shared" ca="1" si="186"/>
        <v>-1.2346838641611639</v>
      </c>
      <c r="K789" s="69">
        <f t="shared" ca="1" si="186"/>
        <v>1.4225456671545809</v>
      </c>
      <c r="L789" s="69">
        <f t="shared" ca="1" si="186"/>
        <v>1.005218995456014</v>
      </c>
      <c r="N789" s="69">
        <f t="shared" ca="1" si="175"/>
        <v>0.81261213016871625</v>
      </c>
      <c r="O789" s="69">
        <f t="shared" ca="1" si="176"/>
        <v>0.75145976991145147</v>
      </c>
      <c r="P789" s="69">
        <f t="shared" ca="1" si="177"/>
        <v>-1.1073767090414219</v>
      </c>
      <c r="Q789" s="69">
        <f t="shared" ca="1" si="178"/>
        <v>0.63247046178188282</v>
      </c>
      <c r="R789" s="69">
        <f t="shared" ca="1" si="179"/>
        <v>1.1339402486566836</v>
      </c>
      <c r="S789" s="69">
        <f t="shared" ca="1" si="180"/>
        <v>0.70546176554403506</v>
      </c>
      <c r="T789" s="69">
        <f t="shared" ca="1" si="181"/>
        <v>-0.93048382828222798</v>
      </c>
      <c r="U789" s="69">
        <f t="shared" ca="1" si="182"/>
        <v>0.59095446638402793</v>
      </c>
      <c r="V789" s="69">
        <f t="shared" ca="1" si="183"/>
        <v>-1.2407934577347612</v>
      </c>
      <c r="W789" s="69">
        <f t="shared" ca="1" si="184"/>
        <v>1.4235270239786799</v>
      </c>
      <c r="X789" s="69">
        <f t="shared" ca="1" si="185"/>
        <v>1.0323874858304496</v>
      </c>
    </row>
    <row r="790" spans="2:24" x14ac:dyDescent="0.2">
      <c r="B790" s="69">
        <f t="shared" ca="1" si="174"/>
        <v>-0.42897691559455303</v>
      </c>
      <c r="C790" s="69">
        <f t="shared" ca="1" si="186"/>
        <v>1.0120520085480424</v>
      </c>
      <c r="D790" s="69">
        <f t="shared" ca="1" si="186"/>
        <v>-0.13692419445977944</v>
      </c>
      <c r="E790" s="69">
        <f t="shared" ca="1" si="186"/>
        <v>-0.90994291358303547</v>
      </c>
      <c r="F790" s="69">
        <f t="shared" ca="1" si="186"/>
        <v>0.23204216903818153</v>
      </c>
      <c r="G790" s="69">
        <f t="shared" ca="1" si="186"/>
        <v>1.8053882662075897</v>
      </c>
      <c r="H790" s="69">
        <f t="shared" ca="1" si="186"/>
        <v>-0.80343183083521541</v>
      </c>
      <c r="I790" s="69">
        <f t="shared" ca="1" si="186"/>
        <v>-0.54069491086271371</v>
      </c>
      <c r="J790" s="69">
        <f t="shared" ca="1" si="186"/>
        <v>1.4494051004113064</v>
      </c>
      <c r="K790" s="69">
        <f t="shared" ca="1" si="186"/>
        <v>-0.91259604704036945</v>
      </c>
      <c r="L790" s="69">
        <f t="shared" ca="1" si="186"/>
        <v>1.1541813990425047</v>
      </c>
      <c r="N790" s="69">
        <f t="shared" ca="1" si="175"/>
        <v>-0.3912088717564442</v>
      </c>
      <c r="O790" s="69">
        <f t="shared" ca="1" si="176"/>
        <v>0.98555844546515581</v>
      </c>
      <c r="P790" s="69">
        <f t="shared" ca="1" si="177"/>
        <v>-0.19466625929686948</v>
      </c>
      <c r="Q790" s="69">
        <f t="shared" ca="1" si="178"/>
        <v>-0.86083423472127651</v>
      </c>
      <c r="R790" s="69">
        <f t="shared" ca="1" si="179"/>
        <v>0.22574748363053262</v>
      </c>
      <c r="S790" s="69">
        <f t="shared" ca="1" si="180"/>
        <v>1.8382152384643982</v>
      </c>
      <c r="T790" s="69">
        <f t="shared" ca="1" si="181"/>
        <v>-0.8082628685504053</v>
      </c>
      <c r="U790" s="69">
        <f t="shared" ca="1" si="182"/>
        <v>-0.51765478398500409</v>
      </c>
      <c r="V790" s="69">
        <f t="shared" ca="1" si="183"/>
        <v>1.4432955068377091</v>
      </c>
      <c r="W790" s="69">
        <f t="shared" ca="1" si="184"/>
        <v>-0.91161469021627051</v>
      </c>
      <c r="X790" s="69">
        <f t="shared" ca="1" si="185"/>
        <v>1.1813498894169403</v>
      </c>
    </row>
    <row r="791" spans="2:24" x14ac:dyDescent="0.2">
      <c r="B791" s="69">
        <f t="shared" ca="1" si="174"/>
        <v>-1.6111391474205639</v>
      </c>
      <c r="C791" s="69">
        <f t="shared" ca="1" si="186"/>
        <v>0.80197727509344807</v>
      </c>
      <c r="D791" s="69">
        <f t="shared" ca="1" si="186"/>
        <v>4.6256105521907724E-2</v>
      </c>
      <c r="E791" s="69">
        <f t="shared" ca="1" si="186"/>
        <v>-1.9660929918937455</v>
      </c>
      <c r="F791" s="69">
        <f t="shared" ca="1" si="186"/>
        <v>-0.24204826275584748</v>
      </c>
      <c r="G791" s="69">
        <f t="shared" ca="1" si="186"/>
        <v>-0.84011954200135808</v>
      </c>
      <c r="H791" s="69">
        <f t="shared" ca="1" si="186"/>
        <v>-0.98559748435757633</v>
      </c>
      <c r="I791" s="69">
        <f t="shared" ca="1" si="186"/>
        <v>0.7848098375933118</v>
      </c>
      <c r="J791" s="69">
        <f t="shared" ca="1" si="186"/>
        <v>-0.36130881272368326</v>
      </c>
      <c r="K791" s="69">
        <f t="shared" ca="1" si="186"/>
        <v>4.6581782798623607E-2</v>
      </c>
      <c r="L791" s="69">
        <f t="shared" ca="1" si="186"/>
        <v>-1.486044547577585</v>
      </c>
      <c r="N791" s="69">
        <f t="shared" ca="1" si="175"/>
        <v>-1.5733711035824551</v>
      </c>
      <c r="O791" s="69">
        <f t="shared" ca="1" si="176"/>
        <v>0.77548371201056143</v>
      </c>
      <c r="P791" s="69">
        <f t="shared" ca="1" si="177"/>
        <v>-1.1485959315182308E-2</v>
      </c>
      <c r="Q791" s="69">
        <f t="shared" ca="1" si="178"/>
        <v>-1.9169843130319866</v>
      </c>
      <c r="R791" s="69">
        <f t="shared" ca="1" si="179"/>
        <v>-0.24834294816349639</v>
      </c>
      <c r="S791" s="69">
        <f t="shared" ca="1" si="180"/>
        <v>-0.80729256974454955</v>
      </c>
      <c r="T791" s="69">
        <f t="shared" ca="1" si="181"/>
        <v>-0.99042852207276622</v>
      </c>
      <c r="U791" s="69">
        <f t="shared" ca="1" si="182"/>
        <v>0.80784996447102142</v>
      </c>
      <c r="V791" s="69">
        <f t="shared" ca="1" si="183"/>
        <v>-0.36741840629728056</v>
      </c>
      <c r="W791" s="69">
        <f t="shared" ca="1" si="184"/>
        <v>4.7563139622722558E-2</v>
      </c>
      <c r="X791" s="69">
        <f t="shared" ca="1" si="185"/>
        <v>-1.4588760572031494</v>
      </c>
    </row>
    <row r="792" spans="2:24" x14ac:dyDescent="0.2">
      <c r="B792" s="69">
        <f t="shared" ca="1" si="174"/>
        <v>-1.9156041706780619E-2</v>
      </c>
      <c r="C792" s="69">
        <f t="shared" ca="1" si="186"/>
        <v>-0.95002051688360123</v>
      </c>
      <c r="D792" s="69">
        <f t="shared" ca="1" si="186"/>
        <v>0.28613639986717254</v>
      </c>
      <c r="E792" s="69">
        <f t="shared" ca="1" si="186"/>
        <v>0.7998175718859043</v>
      </c>
      <c r="F792" s="69">
        <f t="shared" ca="1" si="186"/>
        <v>-2.8044466973065405</v>
      </c>
      <c r="G792" s="69">
        <f t="shared" ca="1" si="186"/>
        <v>-0.30099796406359342</v>
      </c>
      <c r="H792" s="69">
        <f t="shared" ca="1" si="186"/>
        <v>0.87823647373590674</v>
      </c>
      <c r="I792" s="69">
        <f t="shared" ca="1" si="186"/>
        <v>-2.3186928335349273</v>
      </c>
      <c r="J792" s="69">
        <f t="shared" ca="1" si="186"/>
        <v>-1.5869216274735891</v>
      </c>
      <c r="K792" s="69">
        <f t="shared" ca="1" si="186"/>
        <v>0.25413522951774564</v>
      </c>
      <c r="L792" s="69">
        <f t="shared" ca="1" si="186"/>
        <v>1.4592514158847449</v>
      </c>
      <c r="N792" s="69">
        <f t="shared" ca="1" si="175"/>
        <v>1.8612002131328201E-2</v>
      </c>
      <c r="O792" s="69">
        <f t="shared" ca="1" si="176"/>
        <v>-0.97651407996648787</v>
      </c>
      <c r="P792" s="69">
        <f t="shared" ca="1" si="177"/>
        <v>0.2283943350300825</v>
      </c>
      <c r="Q792" s="69">
        <f t="shared" ca="1" si="178"/>
        <v>0.84892625074766326</v>
      </c>
      <c r="R792" s="69">
        <f t="shared" ca="1" si="179"/>
        <v>-2.8107413827141894</v>
      </c>
      <c r="S792" s="69">
        <f t="shared" ca="1" si="180"/>
        <v>-0.26817099180678494</v>
      </c>
      <c r="T792" s="69">
        <f t="shared" ca="1" si="181"/>
        <v>0.87340543602071685</v>
      </c>
      <c r="U792" s="69">
        <f t="shared" ca="1" si="182"/>
        <v>-2.2956527066572177</v>
      </c>
      <c r="V792" s="69">
        <f t="shared" ca="1" si="183"/>
        <v>-1.5930312210471864</v>
      </c>
      <c r="W792" s="69">
        <f t="shared" ca="1" si="184"/>
        <v>0.25511658634184459</v>
      </c>
      <c r="X792" s="69">
        <f t="shared" ca="1" si="185"/>
        <v>1.4864199062591805</v>
      </c>
    </row>
    <row r="793" spans="2:24" x14ac:dyDescent="0.2">
      <c r="B793" s="69">
        <f t="shared" ca="1" si="174"/>
        <v>2.2196612791060404</v>
      </c>
      <c r="C793" s="69">
        <f t="shared" ca="1" si="186"/>
        <v>-2.0270649270922592</v>
      </c>
      <c r="D793" s="69">
        <f t="shared" ca="1" si="186"/>
        <v>2.441304294932567</v>
      </c>
      <c r="E793" s="69">
        <f t="shared" ca="1" si="186"/>
        <v>1.2923161791969169</v>
      </c>
      <c r="F793" s="69">
        <f t="shared" ca="1" si="186"/>
        <v>-0.52724578646464559</v>
      </c>
      <c r="G793" s="69">
        <f t="shared" ca="1" si="186"/>
        <v>6.0711993205600188E-2</v>
      </c>
      <c r="H793" s="69">
        <f t="shared" ca="1" si="186"/>
        <v>2.0662027581855766</v>
      </c>
      <c r="I793" s="69">
        <f t="shared" ca="1" si="186"/>
        <v>-1.4720886833802727</v>
      </c>
      <c r="J793" s="69">
        <f t="shared" ca="1" si="186"/>
        <v>1.7151840449950149</v>
      </c>
      <c r="K793" s="69">
        <f t="shared" ca="1" si="186"/>
        <v>-1.1138862789038433</v>
      </c>
      <c r="L793" s="69">
        <f t="shared" ca="1" si="186"/>
        <v>1.1880625812427896</v>
      </c>
      <c r="N793" s="69">
        <f t="shared" ca="1" si="175"/>
        <v>2.2574293229441493</v>
      </c>
      <c r="O793" s="69">
        <f t="shared" ca="1" si="176"/>
        <v>-2.053558490175146</v>
      </c>
      <c r="P793" s="69">
        <f t="shared" ca="1" si="177"/>
        <v>2.3835622300954769</v>
      </c>
      <c r="Q793" s="69">
        <f t="shared" ca="1" si="178"/>
        <v>1.3414248580586758</v>
      </c>
      <c r="R793" s="69">
        <f t="shared" ca="1" si="179"/>
        <v>-0.53354047187229448</v>
      </c>
      <c r="S793" s="69">
        <f t="shared" ca="1" si="180"/>
        <v>9.3538965462408669E-2</v>
      </c>
      <c r="T793" s="69">
        <f t="shared" ca="1" si="181"/>
        <v>2.0613717204703867</v>
      </c>
      <c r="U793" s="69">
        <f t="shared" ca="1" si="182"/>
        <v>-1.449048556502563</v>
      </c>
      <c r="V793" s="69">
        <f t="shared" ca="1" si="183"/>
        <v>1.7090744514214176</v>
      </c>
      <c r="W793" s="69">
        <f t="shared" ca="1" si="184"/>
        <v>-1.1129049220797442</v>
      </c>
      <c r="X793" s="69">
        <f t="shared" ca="1" si="185"/>
        <v>1.2152310716172252</v>
      </c>
    </row>
    <row r="794" spans="2:24" x14ac:dyDescent="0.2">
      <c r="B794" s="69">
        <f t="shared" ca="1" si="174"/>
        <v>-1.1888760425208815</v>
      </c>
      <c r="C794" s="69">
        <f t="shared" ca="1" si="186"/>
        <v>0.53484731030549992</v>
      </c>
      <c r="D794" s="69">
        <f t="shared" ca="1" si="186"/>
        <v>0.17843771741296746</v>
      </c>
      <c r="E794" s="69">
        <f t="shared" ca="1" si="186"/>
        <v>0.19683591871969042</v>
      </c>
      <c r="F794" s="69">
        <f t="shared" ca="1" si="186"/>
        <v>-0.86349104834686941</v>
      </c>
      <c r="G794" s="69">
        <f t="shared" ca="1" si="186"/>
        <v>1.1305723884107948</v>
      </c>
      <c r="H794" s="69">
        <f t="shared" ca="1" si="186"/>
        <v>0.42378749243376029</v>
      </c>
      <c r="I794" s="69">
        <f t="shared" ca="1" si="186"/>
        <v>0.47519601028986691</v>
      </c>
      <c r="J794" s="69">
        <f t="shared" ca="1" si="186"/>
        <v>4.1613949764595107E-2</v>
      </c>
      <c r="K794" s="69">
        <f t="shared" ca="1" si="186"/>
        <v>-0.53190381361031513</v>
      </c>
      <c r="L794" s="69">
        <f t="shared" ca="1" si="186"/>
        <v>-0.66118943468477454</v>
      </c>
      <c r="N794" s="69">
        <f t="shared" ca="1" si="175"/>
        <v>-1.1511079986827728</v>
      </c>
      <c r="O794" s="69">
        <f t="shared" ca="1" si="176"/>
        <v>0.50835374722261328</v>
      </c>
      <c r="P794" s="69">
        <f t="shared" ca="1" si="177"/>
        <v>0.12069565257587743</v>
      </c>
      <c r="Q794" s="69">
        <f t="shared" ca="1" si="178"/>
        <v>0.24594459758144938</v>
      </c>
      <c r="R794" s="69">
        <f t="shared" ca="1" si="179"/>
        <v>-0.86978573375451829</v>
      </c>
      <c r="S794" s="69">
        <f t="shared" ca="1" si="180"/>
        <v>1.1633993606676032</v>
      </c>
      <c r="T794" s="69">
        <f t="shared" ca="1" si="181"/>
        <v>0.41895645471857046</v>
      </c>
      <c r="U794" s="69">
        <f t="shared" ca="1" si="182"/>
        <v>0.49823613716757659</v>
      </c>
      <c r="V794" s="69">
        <f t="shared" ca="1" si="183"/>
        <v>3.5504356190997774E-2</v>
      </c>
      <c r="W794" s="69">
        <f t="shared" ca="1" si="184"/>
        <v>-0.53092245678621619</v>
      </c>
      <c r="X794" s="69">
        <f t="shared" ca="1" si="185"/>
        <v>-0.63402094431033906</v>
      </c>
    </row>
    <row r="795" spans="2:24" x14ac:dyDescent="0.2">
      <c r="B795" s="69">
        <f t="shared" ca="1" si="174"/>
        <v>0.38602381418277926</v>
      </c>
      <c r="C795" s="69">
        <f t="shared" ca="1" si="186"/>
        <v>0.4803327244152471</v>
      </c>
      <c r="D795" s="69">
        <f t="shared" ca="1" si="186"/>
        <v>0.70999555960584682</v>
      </c>
      <c r="E795" s="69">
        <f t="shared" ca="1" si="186"/>
        <v>-1.4219011499124601</v>
      </c>
      <c r="F795" s="69">
        <f t="shared" ca="1" si="186"/>
        <v>1.6490016686104332</v>
      </c>
      <c r="G795" s="69">
        <f t="shared" ca="1" si="186"/>
        <v>1.5076900278676051</v>
      </c>
      <c r="H795" s="69">
        <f t="shared" ca="1" si="186"/>
        <v>0.12936397909147168</v>
      </c>
      <c r="I795" s="69">
        <f t="shared" ca="1" si="186"/>
        <v>1.3793339652772676</v>
      </c>
      <c r="J795" s="69">
        <f t="shared" ca="1" si="186"/>
        <v>0.63678870221201322</v>
      </c>
      <c r="K795" s="69">
        <f t="shared" ca="1" si="186"/>
        <v>-0.50617841939676256</v>
      </c>
      <c r="L795" s="69">
        <f t="shared" ca="1" si="186"/>
        <v>-2.0881848148588964</v>
      </c>
      <c r="N795" s="69">
        <f t="shared" ca="1" si="175"/>
        <v>0.42379185802088809</v>
      </c>
      <c r="O795" s="69">
        <f t="shared" ca="1" si="176"/>
        <v>0.45383916133236041</v>
      </c>
      <c r="P795" s="69">
        <f t="shared" ca="1" si="177"/>
        <v>0.65225349476875683</v>
      </c>
      <c r="Q795" s="69">
        <f t="shared" ca="1" si="178"/>
        <v>-1.3727924710507011</v>
      </c>
      <c r="R795" s="69">
        <f t="shared" ca="1" si="179"/>
        <v>1.6427069832027843</v>
      </c>
      <c r="S795" s="69">
        <f t="shared" ca="1" si="180"/>
        <v>1.5405170001244135</v>
      </c>
      <c r="T795" s="69">
        <f t="shared" ca="1" si="181"/>
        <v>0.12453294137628183</v>
      </c>
      <c r="U795" s="69">
        <f t="shared" ca="1" si="182"/>
        <v>1.4023740921549772</v>
      </c>
      <c r="V795" s="69">
        <f t="shared" ca="1" si="183"/>
        <v>0.63067910863841592</v>
      </c>
      <c r="W795" s="69">
        <f t="shared" ca="1" si="184"/>
        <v>-0.50519706257266361</v>
      </c>
      <c r="X795" s="69">
        <f t="shared" ca="1" si="185"/>
        <v>-2.061016324484461</v>
      </c>
    </row>
    <row r="796" spans="2:24" x14ac:dyDescent="0.2">
      <c r="B796" s="69">
        <f t="shared" ca="1" si="174"/>
        <v>-0.8749997641337447</v>
      </c>
      <c r="C796" s="69">
        <f t="shared" ca="1" si="186"/>
        <v>0.66307834774690921</v>
      </c>
      <c r="D796" s="69">
        <f t="shared" ca="1" si="186"/>
        <v>0.26093325167228637</v>
      </c>
      <c r="E796" s="69">
        <f t="shared" ca="1" si="186"/>
        <v>-0.32817912306065783</v>
      </c>
      <c r="F796" s="69">
        <f t="shared" ca="1" si="186"/>
        <v>0.38765354023781723</v>
      </c>
      <c r="G796" s="69">
        <f t="shared" ca="1" si="186"/>
        <v>-0.47120208120648099</v>
      </c>
      <c r="H796" s="69">
        <f t="shared" ca="1" si="186"/>
        <v>0.35151998399866391</v>
      </c>
      <c r="I796" s="69">
        <f t="shared" ca="1" si="186"/>
        <v>0.23480069058922165</v>
      </c>
      <c r="J796" s="69">
        <f t="shared" ca="1" si="186"/>
        <v>-0.34956012103503981</v>
      </c>
      <c r="K796" s="69">
        <f t="shared" ca="1" si="186"/>
        <v>0.22046910680925624</v>
      </c>
      <c r="L796" s="69">
        <f t="shared" ca="1" si="186"/>
        <v>-0.28320200125786871</v>
      </c>
      <c r="N796" s="69">
        <f t="shared" ca="1" si="175"/>
        <v>-0.83723172029563586</v>
      </c>
      <c r="O796" s="69">
        <f t="shared" ca="1" si="176"/>
        <v>0.63658478466402257</v>
      </c>
      <c r="P796" s="69">
        <f t="shared" ca="1" si="177"/>
        <v>0.20319118683519632</v>
      </c>
      <c r="Q796" s="69">
        <f t="shared" ca="1" si="178"/>
        <v>-0.27907044419889887</v>
      </c>
      <c r="R796" s="69">
        <f t="shared" ca="1" si="179"/>
        <v>0.38135885483016835</v>
      </c>
      <c r="S796" s="69">
        <f t="shared" ca="1" si="180"/>
        <v>-0.43837510894967252</v>
      </c>
      <c r="T796" s="69">
        <f t="shared" ca="1" si="181"/>
        <v>0.34668894628347408</v>
      </c>
      <c r="U796" s="69">
        <f t="shared" ca="1" si="182"/>
        <v>0.25784081746693133</v>
      </c>
      <c r="V796" s="69">
        <f t="shared" ca="1" si="183"/>
        <v>-0.35566971460863711</v>
      </c>
      <c r="W796" s="69">
        <f t="shared" ca="1" si="184"/>
        <v>0.22145046363335519</v>
      </c>
      <c r="X796" s="69">
        <f t="shared" ca="1" si="185"/>
        <v>-0.25603351088343324</v>
      </c>
    </row>
    <row r="797" spans="2:24" x14ac:dyDescent="0.2">
      <c r="B797" s="69">
        <f t="shared" ca="1" si="174"/>
        <v>1.7125883641794937</v>
      </c>
      <c r="C797" s="69">
        <f t="shared" ca="1" si="186"/>
        <v>0.22044304847748258</v>
      </c>
      <c r="D797" s="69">
        <f t="shared" ca="1" si="186"/>
        <v>-0.58980571115051939</v>
      </c>
      <c r="E797" s="69">
        <f t="shared" ca="1" si="186"/>
        <v>0.27440455515652312</v>
      </c>
      <c r="F797" s="69">
        <f t="shared" ca="1" si="186"/>
        <v>0.11908591907641668</v>
      </c>
      <c r="G797" s="69">
        <f t="shared" ca="1" si="186"/>
        <v>-0.78164534020927268</v>
      </c>
      <c r="H797" s="69">
        <f t="shared" ca="1" si="186"/>
        <v>0.14908236976849679</v>
      </c>
      <c r="I797" s="69">
        <f t="shared" ca="1" si="186"/>
        <v>1.3335130971731157</v>
      </c>
      <c r="J797" s="69">
        <f t="shared" ca="1" si="186"/>
        <v>1.2372192736861605</v>
      </c>
      <c r="K797" s="69">
        <f t="shared" ca="1" si="186"/>
        <v>-0.73406045046035961</v>
      </c>
      <c r="L797" s="69">
        <f t="shared" ca="1" si="186"/>
        <v>-0.8965267912495134</v>
      </c>
      <c r="N797" s="69">
        <f t="shared" ca="1" si="175"/>
        <v>1.7503564080176024</v>
      </c>
      <c r="O797" s="69">
        <f t="shared" ca="1" si="176"/>
        <v>0.19394948539459589</v>
      </c>
      <c r="P797" s="69">
        <f t="shared" ca="1" si="177"/>
        <v>-0.64754777598760938</v>
      </c>
      <c r="Q797" s="69">
        <f t="shared" ca="1" si="178"/>
        <v>0.32351323401828208</v>
      </c>
      <c r="R797" s="69">
        <f t="shared" ca="1" si="179"/>
        <v>0.11279123366876778</v>
      </c>
      <c r="S797" s="69">
        <f t="shared" ca="1" si="180"/>
        <v>-0.74881836795246415</v>
      </c>
      <c r="T797" s="69">
        <f t="shared" ca="1" si="181"/>
        <v>0.14425133205330695</v>
      </c>
      <c r="U797" s="69">
        <f t="shared" ca="1" si="182"/>
        <v>1.3565532240508253</v>
      </c>
      <c r="V797" s="69">
        <f t="shared" ca="1" si="183"/>
        <v>1.2311096801125632</v>
      </c>
      <c r="W797" s="69">
        <f t="shared" ca="1" si="184"/>
        <v>-0.73307909363626067</v>
      </c>
      <c r="X797" s="69">
        <f t="shared" ca="1" si="185"/>
        <v>-0.86935830087507793</v>
      </c>
    </row>
    <row r="798" spans="2:24" x14ac:dyDescent="0.2">
      <c r="B798" s="69">
        <f t="shared" ca="1" si="174"/>
        <v>-0.86306679438574962</v>
      </c>
      <c r="C798" s="69">
        <f t="shared" ca="1" si="186"/>
        <v>1.313092518966718</v>
      </c>
      <c r="D798" s="69">
        <f t="shared" ca="1" si="186"/>
        <v>-5.3588276922789765E-2</v>
      </c>
      <c r="E798" s="69">
        <f t="shared" ca="1" si="186"/>
        <v>-0.84125967448251804</v>
      </c>
      <c r="F798" s="69">
        <f t="shared" ca="1" si="186"/>
        <v>-0.32372784282264527</v>
      </c>
      <c r="G798" s="69">
        <f t="shared" ca="1" si="186"/>
        <v>-1.1951237729341329</v>
      </c>
      <c r="H798" s="69">
        <f t="shared" ca="1" si="186"/>
        <v>1.8451219657519919</v>
      </c>
      <c r="I798" s="69">
        <f t="shared" ca="1" si="186"/>
        <v>3.5693297615987452</v>
      </c>
      <c r="J798" s="69">
        <f t="shared" ca="1" si="186"/>
        <v>2.3233088855064987</v>
      </c>
      <c r="K798" s="69">
        <f t="shared" ca="1" si="186"/>
        <v>-1.1665176106691915</v>
      </c>
      <c r="L798" s="69">
        <f t="shared" ca="1" si="186"/>
        <v>-1.3009162486671546</v>
      </c>
      <c r="N798" s="69">
        <f t="shared" ca="1" si="175"/>
        <v>-0.82529875054764079</v>
      </c>
      <c r="O798" s="69">
        <f t="shared" ca="1" si="176"/>
        <v>1.2865989558838313</v>
      </c>
      <c r="P798" s="69">
        <f t="shared" ca="1" si="177"/>
        <v>-0.1113303417598798</v>
      </c>
      <c r="Q798" s="69">
        <f t="shared" ca="1" si="178"/>
        <v>-0.79215099562075908</v>
      </c>
      <c r="R798" s="69">
        <f t="shared" ca="1" si="179"/>
        <v>-0.33002252823029415</v>
      </c>
      <c r="S798" s="69">
        <f t="shared" ca="1" si="180"/>
        <v>-1.1622968006773244</v>
      </c>
      <c r="T798" s="69">
        <f t="shared" ca="1" si="181"/>
        <v>1.8402909280368021</v>
      </c>
      <c r="U798" s="69">
        <f t="shared" ca="1" si="182"/>
        <v>3.5923698884764548</v>
      </c>
      <c r="V798" s="69">
        <f t="shared" ca="1" si="183"/>
        <v>2.3171992919329014</v>
      </c>
      <c r="W798" s="69">
        <f t="shared" ca="1" si="184"/>
        <v>-1.1655362538450924</v>
      </c>
      <c r="X798" s="69">
        <f t="shared" ca="1" si="185"/>
        <v>-1.273747758292719</v>
      </c>
    </row>
    <row r="799" spans="2:24" x14ac:dyDescent="0.2">
      <c r="B799" s="69">
        <f t="shared" ca="1" si="174"/>
        <v>0.31074694416435472</v>
      </c>
      <c r="C799" s="69">
        <f t="shared" ca="1" si="186"/>
        <v>-1.2865892996772068</v>
      </c>
      <c r="D799" s="69">
        <f t="shared" ca="1" si="186"/>
        <v>-0.73621807628026137</v>
      </c>
      <c r="E799" s="69">
        <f t="shared" ca="1" si="186"/>
        <v>-2.0865903668580272E-3</v>
      </c>
      <c r="F799" s="69">
        <f t="shared" ca="1" si="186"/>
        <v>8.4886026112779549E-3</v>
      </c>
      <c r="G799" s="69">
        <f t="shared" ca="1" si="186"/>
        <v>0.12988453981048245</v>
      </c>
      <c r="H799" s="69">
        <f t="shared" ca="1" si="186"/>
        <v>0.61588248490525777</v>
      </c>
      <c r="I799" s="69">
        <f t="shared" ca="1" si="186"/>
        <v>-1.350185712858772</v>
      </c>
      <c r="J799" s="69">
        <f t="shared" ca="1" si="186"/>
        <v>2.0042343538515706</v>
      </c>
      <c r="K799" s="69">
        <f t="shared" ca="1" si="186"/>
        <v>1.6162042424458893</v>
      </c>
      <c r="L799" s="69">
        <f t="shared" ca="1" si="186"/>
        <v>-0.28801970081720563</v>
      </c>
      <c r="N799" s="69">
        <f t="shared" ca="1" si="175"/>
        <v>0.34851498800246355</v>
      </c>
      <c r="O799" s="69">
        <f t="shared" ca="1" si="176"/>
        <v>-1.3130828627600934</v>
      </c>
      <c r="P799" s="69">
        <f t="shared" ca="1" si="177"/>
        <v>-0.79396014111735136</v>
      </c>
      <c r="Q799" s="69">
        <f t="shared" ca="1" si="178"/>
        <v>4.7022088494900915E-2</v>
      </c>
      <c r="R799" s="69">
        <f t="shared" ca="1" si="179"/>
        <v>2.193917203629059E-3</v>
      </c>
      <c r="S799" s="69">
        <f t="shared" ca="1" si="180"/>
        <v>0.16271151206729093</v>
      </c>
      <c r="T799" s="69">
        <f t="shared" ca="1" si="181"/>
        <v>0.61105144719006788</v>
      </c>
      <c r="U799" s="69">
        <f t="shared" ca="1" si="182"/>
        <v>-1.3271455859810624</v>
      </c>
      <c r="V799" s="69">
        <f t="shared" ca="1" si="183"/>
        <v>1.9981247602779733</v>
      </c>
      <c r="W799" s="69">
        <f t="shared" ca="1" si="184"/>
        <v>1.6171855992699884</v>
      </c>
      <c r="X799" s="69">
        <f t="shared" ca="1" si="185"/>
        <v>-0.26085121044277015</v>
      </c>
    </row>
    <row r="800" spans="2:24" x14ac:dyDescent="0.2">
      <c r="B800" s="69">
        <f t="shared" ca="1" si="174"/>
        <v>-0.43277054721832392</v>
      </c>
      <c r="C800" s="69">
        <f t="shared" ca="1" si="186"/>
        <v>-0.91065988597264036</v>
      </c>
      <c r="D800" s="69">
        <f t="shared" ca="1" si="186"/>
        <v>0.61889463666384392</v>
      </c>
      <c r="E800" s="69">
        <f t="shared" ca="1" si="186"/>
        <v>-0.57458622057652664</v>
      </c>
      <c r="F800" s="69">
        <f t="shared" ca="1" si="186"/>
        <v>0.12080218688521482</v>
      </c>
      <c r="G800" s="69">
        <f t="shared" ca="1" si="186"/>
        <v>0.37296568995426327</v>
      </c>
      <c r="H800" s="69">
        <f t="shared" ca="1" si="186"/>
        <v>0.87915966801079859</v>
      </c>
      <c r="I800" s="69">
        <f t="shared" ca="1" si="186"/>
        <v>0.90555775827848661</v>
      </c>
      <c r="J800" s="69">
        <f t="shared" ca="1" si="186"/>
        <v>-0.58617024455276923</v>
      </c>
      <c r="K800" s="69">
        <f t="shared" ca="1" si="186"/>
        <v>0.19931843360915016</v>
      </c>
      <c r="L800" s="69">
        <f t="shared" ca="1" si="186"/>
        <v>-0.18105934686218375</v>
      </c>
      <c r="N800" s="69">
        <f t="shared" ca="1" si="175"/>
        <v>-0.39500250338021509</v>
      </c>
      <c r="O800" s="69">
        <f t="shared" ca="1" si="176"/>
        <v>-0.937153449055527</v>
      </c>
      <c r="P800" s="69">
        <f t="shared" ca="1" si="177"/>
        <v>0.56115257182675393</v>
      </c>
      <c r="Q800" s="69">
        <f t="shared" ca="1" si="178"/>
        <v>-0.52547754171476768</v>
      </c>
      <c r="R800" s="69">
        <f t="shared" ca="1" si="179"/>
        <v>0.11450750147756593</v>
      </c>
      <c r="S800" s="69">
        <f t="shared" ca="1" si="180"/>
        <v>0.40579266221107174</v>
      </c>
      <c r="T800" s="69">
        <f t="shared" ca="1" si="181"/>
        <v>0.8743286302956087</v>
      </c>
      <c r="U800" s="69">
        <f t="shared" ca="1" si="182"/>
        <v>0.92859788515619623</v>
      </c>
      <c r="V800" s="69">
        <f t="shared" ca="1" si="183"/>
        <v>-0.59227983812636653</v>
      </c>
      <c r="W800" s="69">
        <f t="shared" ca="1" si="184"/>
        <v>0.20029979043324911</v>
      </c>
      <c r="X800" s="69">
        <f t="shared" ca="1" si="185"/>
        <v>-0.15389085648774828</v>
      </c>
    </row>
    <row r="801" spans="2:24" x14ac:dyDescent="0.2">
      <c r="B801" s="69">
        <f t="shared" ca="1" si="174"/>
        <v>1.3281458589144308</v>
      </c>
      <c r="C801" s="69">
        <f t="shared" ca="1" si="186"/>
        <v>-6.8703304655290925E-2</v>
      </c>
      <c r="D801" s="69">
        <f t="shared" ca="1" si="186"/>
        <v>1.415736942551862</v>
      </c>
      <c r="E801" s="69">
        <f t="shared" ca="1" si="186"/>
        <v>0.78715724946678856</v>
      </c>
      <c r="F801" s="69">
        <f t="shared" ca="1" si="186"/>
        <v>0.47283968726434733</v>
      </c>
      <c r="G801" s="69">
        <f t="shared" ca="1" si="186"/>
        <v>-0.35764146972145072</v>
      </c>
      <c r="H801" s="69">
        <f t="shared" ca="1" si="186"/>
        <v>0.14072571511564816</v>
      </c>
      <c r="I801" s="69">
        <f t="shared" ca="1" si="186"/>
        <v>-0.59054571658854604</v>
      </c>
      <c r="J801" s="69">
        <f t="shared" ca="1" si="186"/>
        <v>1.4583034954113661</v>
      </c>
      <c r="K801" s="69">
        <f t="shared" ca="1" si="186"/>
        <v>-4.9560775913641587E-2</v>
      </c>
      <c r="L801" s="69">
        <f t="shared" ca="1" si="186"/>
        <v>-1.7936275022500692</v>
      </c>
      <c r="N801" s="69">
        <f t="shared" ca="1" si="175"/>
        <v>1.3659139027525395</v>
      </c>
      <c r="O801" s="69">
        <f t="shared" ca="1" si="176"/>
        <v>-9.5196867738177607E-2</v>
      </c>
      <c r="P801" s="69">
        <f t="shared" ca="1" si="177"/>
        <v>1.3579948777147719</v>
      </c>
      <c r="Q801" s="69">
        <f t="shared" ca="1" si="178"/>
        <v>0.83626592832854751</v>
      </c>
      <c r="R801" s="69">
        <f t="shared" ca="1" si="179"/>
        <v>0.46654500185669845</v>
      </c>
      <c r="S801" s="69">
        <f t="shared" ca="1" si="180"/>
        <v>-0.32481449746464225</v>
      </c>
      <c r="T801" s="69">
        <f t="shared" ca="1" si="181"/>
        <v>0.13589467740045832</v>
      </c>
      <c r="U801" s="69">
        <f t="shared" ca="1" si="182"/>
        <v>-0.56750558971083642</v>
      </c>
      <c r="V801" s="69">
        <f t="shared" ca="1" si="183"/>
        <v>1.4521939018377688</v>
      </c>
      <c r="W801" s="69">
        <f t="shared" ca="1" si="184"/>
        <v>-4.8579419089542636E-2</v>
      </c>
      <c r="X801" s="69">
        <f t="shared" ca="1" si="185"/>
        <v>-1.7664590118756336</v>
      </c>
    </row>
    <row r="802" spans="2:24" x14ac:dyDescent="0.2">
      <c r="B802" s="69">
        <f t="shared" ca="1" si="174"/>
        <v>0.21486151862446734</v>
      </c>
      <c r="C802" s="69">
        <f t="shared" ca="1" si="186"/>
        <v>-1.2242801779019696</v>
      </c>
      <c r="D802" s="69">
        <f t="shared" ca="1" si="186"/>
        <v>9.784676965951758E-2</v>
      </c>
      <c r="E802" s="69">
        <f t="shared" ca="1" si="186"/>
        <v>1.6406567109482535</v>
      </c>
      <c r="F802" s="69">
        <f t="shared" ca="1" si="186"/>
        <v>-1.3163747686100855</v>
      </c>
      <c r="G802" s="69">
        <f t="shared" ca="1" si="186"/>
        <v>0.96701561241614886</v>
      </c>
      <c r="H802" s="69">
        <f t="shared" ca="1" si="186"/>
        <v>-1.9321224565800204</v>
      </c>
      <c r="I802" s="69">
        <f t="shared" ca="1" si="186"/>
        <v>-1.3722992002382413</v>
      </c>
      <c r="J802" s="69">
        <f t="shared" ca="1" si="186"/>
        <v>1.1787526707857929</v>
      </c>
      <c r="K802" s="69">
        <f t="shared" ca="1" si="186"/>
        <v>9.6305755886270147E-2</v>
      </c>
      <c r="L802" s="69">
        <f t="shared" ca="1" si="186"/>
        <v>-0.73973206745350994</v>
      </c>
      <c r="N802" s="69">
        <f t="shared" ca="1" si="175"/>
        <v>0.25262956246257617</v>
      </c>
      <c r="O802" s="69">
        <f t="shared" ca="1" si="176"/>
        <v>-1.2507737409848563</v>
      </c>
      <c r="P802" s="69">
        <f t="shared" ca="1" si="177"/>
        <v>4.0104704822427548E-2</v>
      </c>
      <c r="Q802" s="69">
        <f t="shared" ca="1" si="178"/>
        <v>1.6897653898100125</v>
      </c>
      <c r="R802" s="69">
        <f t="shared" ca="1" si="179"/>
        <v>-1.3226694540177344</v>
      </c>
      <c r="S802" s="69">
        <f t="shared" ca="1" si="180"/>
        <v>0.99984258467295739</v>
      </c>
      <c r="T802" s="69">
        <f t="shared" ca="1" si="181"/>
        <v>-1.9369534942952102</v>
      </c>
      <c r="U802" s="69">
        <f t="shared" ca="1" si="182"/>
        <v>-1.3492590733605316</v>
      </c>
      <c r="V802" s="69">
        <f t="shared" ca="1" si="183"/>
        <v>1.1726430772121956</v>
      </c>
      <c r="W802" s="69">
        <f t="shared" ca="1" si="184"/>
        <v>9.7287112710369106E-2</v>
      </c>
      <c r="X802" s="69">
        <f t="shared" ca="1" si="185"/>
        <v>-0.71256357707907447</v>
      </c>
    </row>
    <row r="803" spans="2:24" x14ac:dyDescent="0.2">
      <c r="B803" s="69">
        <f t="shared" ca="1" si="174"/>
        <v>-0.26985023004161174</v>
      </c>
      <c r="C803" s="69">
        <f t="shared" ca="1" si="186"/>
        <v>0.68455030783185666</v>
      </c>
      <c r="D803" s="69">
        <f t="shared" ca="1" si="186"/>
        <v>-0.90199206785115982</v>
      </c>
      <c r="E803" s="69">
        <f t="shared" ca="1" si="186"/>
        <v>-0.23583053783367444</v>
      </c>
      <c r="F803" s="69">
        <f t="shared" ca="1" si="186"/>
        <v>0.27928730073251157</v>
      </c>
      <c r="G803" s="69">
        <f t="shared" ca="1" si="186"/>
        <v>0.53471184564806884</v>
      </c>
      <c r="H803" s="69">
        <f t="shared" ca="1" si="186"/>
        <v>-2.0696010283290449</v>
      </c>
      <c r="I803" s="69">
        <f t="shared" ca="1" si="186"/>
        <v>0.47541297962471252</v>
      </c>
      <c r="J803" s="69">
        <f t="shared" ca="1" si="186"/>
        <v>0.262098107141712</v>
      </c>
      <c r="K803" s="69">
        <f t="shared" ca="1" si="186"/>
        <v>9.5364389036104599E-2</v>
      </c>
      <c r="L803" s="69">
        <f t="shared" ca="1" si="186"/>
        <v>0.33577579762070259</v>
      </c>
      <c r="N803" s="69">
        <f t="shared" ca="1" si="175"/>
        <v>-0.2320821862035029</v>
      </c>
      <c r="O803" s="69">
        <f t="shared" ca="1" si="176"/>
        <v>0.65805674474897002</v>
      </c>
      <c r="P803" s="69">
        <f t="shared" ca="1" si="177"/>
        <v>-0.95973413268824981</v>
      </c>
      <c r="Q803" s="69">
        <f t="shared" ca="1" si="178"/>
        <v>-0.18672185897191551</v>
      </c>
      <c r="R803" s="69">
        <f t="shared" ca="1" si="179"/>
        <v>0.27299261532486269</v>
      </c>
      <c r="S803" s="69">
        <f t="shared" ca="1" si="180"/>
        <v>0.56753881790487737</v>
      </c>
      <c r="T803" s="69">
        <f t="shared" ca="1" si="181"/>
        <v>-2.0744320660442348</v>
      </c>
      <c r="U803" s="69">
        <f t="shared" ca="1" si="182"/>
        <v>0.49845310650242219</v>
      </c>
      <c r="V803" s="69">
        <f t="shared" ca="1" si="183"/>
        <v>0.2559885135681147</v>
      </c>
      <c r="W803" s="69">
        <f t="shared" ca="1" si="184"/>
        <v>9.6345745860203558E-2</v>
      </c>
      <c r="X803" s="69">
        <f t="shared" ca="1" si="185"/>
        <v>0.36294428799513806</v>
      </c>
    </row>
    <row r="804" spans="2:24" x14ac:dyDescent="0.2">
      <c r="B804" s="69">
        <f t="shared" ca="1" si="174"/>
        <v>1.5911071943846686</v>
      </c>
      <c r="C804" s="69">
        <f t="shared" ca="1" si="186"/>
        <v>1.2950596292884255E-2</v>
      </c>
      <c r="D804" s="69">
        <f t="shared" ca="1" si="186"/>
        <v>0.39616585712290991</v>
      </c>
      <c r="E804" s="69">
        <f t="shared" ca="1" si="186"/>
        <v>0.25538172877602039</v>
      </c>
      <c r="F804" s="69">
        <f t="shared" ca="1" si="186"/>
        <v>-0.22195173578759009</v>
      </c>
      <c r="G804" s="69">
        <f t="shared" ca="1" si="186"/>
        <v>0.13718154716935149</v>
      </c>
      <c r="H804" s="69">
        <f t="shared" ca="1" si="186"/>
        <v>-0.33507935071287243</v>
      </c>
      <c r="I804" s="69">
        <f t="shared" ca="1" si="186"/>
        <v>0.10318876125109147</v>
      </c>
      <c r="J804" s="69">
        <f t="shared" ca="1" si="186"/>
        <v>-0.59968864866751737</v>
      </c>
      <c r="K804" s="69">
        <f t="shared" ca="1" si="186"/>
        <v>1.5418186477566205</v>
      </c>
      <c r="L804" s="69">
        <f t="shared" ca="1" si="186"/>
        <v>-1.01758890198835E-2</v>
      </c>
      <c r="N804" s="69">
        <f t="shared" ca="1" si="175"/>
        <v>1.6288752382227774</v>
      </c>
      <c r="O804" s="69">
        <f t="shared" ca="1" si="176"/>
        <v>-1.354296679000243E-2</v>
      </c>
      <c r="P804" s="69">
        <f t="shared" ca="1" si="177"/>
        <v>0.33842379228581987</v>
      </c>
      <c r="Q804" s="69">
        <f t="shared" ca="1" si="178"/>
        <v>0.30449040763777935</v>
      </c>
      <c r="R804" s="69">
        <f t="shared" ca="1" si="179"/>
        <v>-0.228246421195239</v>
      </c>
      <c r="S804" s="69">
        <f t="shared" ca="1" si="180"/>
        <v>0.17000851942615997</v>
      </c>
      <c r="T804" s="69">
        <f t="shared" ca="1" si="181"/>
        <v>-0.33991038842806226</v>
      </c>
      <c r="U804" s="69">
        <f t="shared" ca="1" si="182"/>
        <v>0.12622888812880112</v>
      </c>
      <c r="V804" s="69">
        <f t="shared" ca="1" si="183"/>
        <v>-0.60579824224111467</v>
      </c>
      <c r="W804" s="69">
        <f t="shared" ca="1" si="184"/>
        <v>1.5428000045807195</v>
      </c>
      <c r="X804" s="69">
        <f t="shared" ca="1" si="185"/>
        <v>1.6992601354551981E-2</v>
      </c>
    </row>
    <row r="805" spans="2:24" x14ac:dyDescent="0.2">
      <c r="B805" s="69">
        <f t="shared" ca="1" si="174"/>
        <v>-0.4763570479366751</v>
      </c>
      <c r="C805" s="69">
        <f t="shared" ca="1" si="186"/>
        <v>0.20779334393625992</v>
      </c>
      <c r="D805" s="69">
        <f t="shared" ca="1" si="186"/>
        <v>-0.33547725791127253</v>
      </c>
      <c r="E805" s="69">
        <f t="shared" ca="1" si="186"/>
        <v>-1.8099983528183028</v>
      </c>
      <c r="F805" s="69">
        <f t="shared" ca="1" si="186"/>
        <v>0.25389329405697592</v>
      </c>
      <c r="G805" s="69">
        <f t="shared" ca="1" si="186"/>
        <v>8.6719413695276165E-2</v>
      </c>
      <c r="H805" s="69">
        <f t="shared" ca="1" si="186"/>
        <v>-0.35893157513668161</v>
      </c>
      <c r="I805" s="69">
        <f t="shared" ca="1" si="186"/>
        <v>-0.35348454636237048</v>
      </c>
      <c r="J805" s="69">
        <f t="shared" ca="1" si="186"/>
        <v>0.14784678615477898</v>
      </c>
      <c r="K805" s="69">
        <f t="shared" ca="1" si="186"/>
        <v>-4.0111879265727235E-2</v>
      </c>
      <c r="L805" s="69">
        <f t="shared" ca="1" si="186"/>
        <v>0.35382098840100529</v>
      </c>
      <c r="N805" s="69">
        <f t="shared" ca="1" si="175"/>
        <v>-0.43858900409856627</v>
      </c>
      <c r="O805" s="69">
        <f t="shared" ca="1" si="176"/>
        <v>0.18129978085337323</v>
      </c>
      <c r="P805" s="69">
        <f t="shared" ca="1" si="177"/>
        <v>-0.39321932274836258</v>
      </c>
      <c r="Q805" s="69">
        <f t="shared" ca="1" si="178"/>
        <v>-1.7608896739565438</v>
      </c>
      <c r="R805" s="69">
        <f t="shared" ca="1" si="179"/>
        <v>0.24759860864932701</v>
      </c>
      <c r="S805" s="69">
        <f t="shared" ca="1" si="180"/>
        <v>0.11954638595208464</v>
      </c>
      <c r="T805" s="69">
        <f t="shared" ca="1" si="181"/>
        <v>-0.36376261285187145</v>
      </c>
      <c r="U805" s="69">
        <f t="shared" ca="1" si="182"/>
        <v>-0.3304444194846608</v>
      </c>
      <c r="V805" s="69">
        <f t="shared" ca="1" si="183"/>
        <v>0.14173719258118164</v>
      </c>
      <c r="W805" s="69">
        <f t="shared" ca="1" si="184"/>
        <v>-3.9130522441628283E-2</v>
      </c>
      <c r="X805" s="69">
        <f t="shared" ca="1" si="185"/>
        <v>0.38098947877544076</v>
      </c>
    </row>
    <row r="806" spans="2:24" x14ac:dyDescent="0.2">
      <c r="B806" s="69">
        <f t="shared" ca="1" si="174"/>
        <v>-1.3021463820195038</v>
      </c>
      <c r="C806" s="69">
        <f t="shared" ca="1" si="186"/>
        <v>-6.016898923325989E-2</v>
      </c>
      <c r="D806" s="69">
        <f t="shared" ca="1" si="186"/>
        <v>0.13580985384338018</v>
      </c>
      <c r="E806" s="69">
        <f t="shared" ca="1" si="186"/>
        <v>0.21640017956803947</v>
      </c>
      <c r="F806" s="69">
        <f t="shared" ca="1" si="186"/>
        <v>-1.0703963633186151</v>
      </c>
      <c r="G806" s="69">
        <f t="shared" ca="1" si="186"/>
        <v>0.40501212725683716</v>
      </c>
      <c r="H806" s="69">
        <f t="shared" ca="1" si="186"/>
        <v>1.4868220699337338</v>
      </c>
      <c r="I806" s="69">
        <f t="shared" ca="1" si="186"/>
        <v>0.47075207995189583</v>
      </c>
      <c r="J806" s="69">
        <f t="shared" ca="1" si="186"/>
        <v>1.1450750939506134</v>
      </c>
      <c r="K806" s="69">
        <f t="shared" ca="1" si="186"/>
        <v>0.35481728116291872</v>
      </c>
      <c r="L806" s="69">
        <f t="shared" ca="1" si="186"/>
        <v>-0.48909347893457383</v>
      </c>
      <c r="N806" s="69">
        <f t="shared" ca="1" si="175"/>
        <v>-1.2643783381813951</v>
      </c>
      <c r="O806" s="69">
        <f t="shared" ca="1" si="176"/>
        <v>-8.6662552316146571E-2</v>
      </c>
      <c r="P806" s="69">
        <f t="shared" ca="1" si="177"/>
        <v>7.8067789006290148E-2</v>
      </c>
      <c r="Q806" s="69">
        <f t="shared" ca="1" si="178"/>
        <v>0.26550885842979843</v>
      </c>
      <c r="R806" s="69">
        <f t="shared" ca="1" si="179"/>
        <v>-1.076691048726264</v>
      </c>
      <c r="S806" s="69">
        <f t="shared" ca="1" si="180"/>
        <v>0.43783909951364564</v>
      </c>
      <c r="T806" s="69">
        <f t="shared" ca="1" si="181"/>
        <v>1.4819910322185439</v>
      </c>
      <c r="U806" s="69">
        <f t="shared" ca="1" si="182"/>
        <v>0.49379220682960551</v>
      </c>
      <c r="V806" s="69">
        <f t="shared" ca="1" si="183"/>
        <v>1.138965500377016</v>
      </c>
      <c r="W806" s="69">
        <f t="shared" ca="1" si="184"/>
        <v>0.35579863798701766</v>
      </c>
      <c r="X806" s="69">
        <f t="shared" ca="1" si="185"/>
        <v>-0.46192498856013836</v>
      </c>
    </row>
    <row r="807" spans="2:24" x14ac:dyDescent="0.2">
      <c r="B807" s="69">
        <f t="shared" ca="1" si="174"/>
        <v>-1.2862615191589091</v>
      </c>
      <c r="C807" s="69">
        <f t="shared" ca="1" si="186"/>
        <v>1.311188111368449E-3</v>
      </c>
      <c r="D807" s="69">
        <f t="shared" ca="1" si="186"/>
        <v>-0.67434298924440117</v>
      </c>
      <c r="E807" s="69">
        <f t="shared" ca="1" si="186"/>
        <v>0.95131172434929601</v>
      </c>
      <c r="F807" s="69">
        <f t="shared" ca="1" si="186"/>
        <v>-1.0017328634720393</v>
      </c>
      <c r="G807" s="69">
        <f t="shared" ca="1" si="186"/>
        <v>0.15638794672140693</v>
      </c>
      <c r="H807" s="69">
        <f t="shared" ca="1" si="186"/>
        <v>0.85582923026646451</v>
      </c>
      <c r="I807" s="69">
        <f t="shared" ca="1" si="186"/>
        <v>-1.6677090872405338</v>
      </c>
      <c r="J807" s="69">
        <f t="shared" ca="1" si="186"/>
        <v>-1.1846917022737884</v>
      </c>
      <c r="K807" s="69">
        <f t="shared" ca="1" si="186"/>
        <v>0.85120968642861694</v>
      </c>
      <c r="L807" s="69">
        <f t="shared" ca="1" si="186"/>
        <v>-1.4591981099244957</v>
      </c>
      <c r="N807" s="69">
        <f t="shared" ca="1" si="175"/>
        <v>-1.2484934753208003</v>
      </c>
      <c r="O807" s="69">
        <f t="shared" ca="1" si="176"/>
        <v>-2.5182374971518234E-2</v>
      </c>
      <c r="P807" s="69">
        <f t="shared" ca="1" si="177"/>
        <v>-0.73208505408149116</v>
      </c>
      <c r="Q807" s="69">
        <f t="shared" ca="1" si="178"/>
        <v>1.0004204032110549</v>
      </c>
      <c r="R807" s="69">
        <f t="shared" ca="1" si="179"/>
        <v>-1.0080275488796882</v>
      </c>
      <c r="S807" s="69">
        <f t="shared" ca="1" si="180"/>
        <v>0.18921491897821541</v>
      </c>
      <c r="T807" s="69">
        <f t="shared" ca="1" si="181"/>
        <v>0.85099819255127462</v>
      </c>
      <c r="U807" s="69">
        <f t="shared" ca="1" si="182"/>
        <v>-1.6446689603628242</v>
      </c>
      <c r="V807" s="69">
        <f t="shared" ca="1" si="183"/>
        <v>-1.1908012958473857</v>
      </c>
      <c r="W807" s="69">
        <f t="shared" ca="1" si="184"/>
        <v>0.85219104325271589</v>
      </c>
      <c r="X807" s="69">
        <f t="shared" ca="1" si="185"/>
        <v>-1.4320296195500601</v>
      </c>
    </row>
    <row r="808" spans="2:24" x14ac:dyDescent="0.2">
      <c r="B808" s="69">
        <f t="shared" ca="1" si="174"/>
        <v>-1.1442552973198514</v>
      </c>
      <c r="C808" s="69">
        <f t="shared" ca="1" si="186"/>
        <v>-1.7118486156239621</v>
      </c>
      <c r="D808" s="69">
        <f t="shared" ca="1" si="186"/>
        <v>-1.5168086514325636</v>
      </c>
      <c r="E808" s="69">
        <f t="shared" ca="1" si="186"/>
        <v>-1.5182438212972291</v>
      </c>
      <c r="F808" s="69">
        <f t="shared" ca="1" si="186"/>
        <v>-0.92424659035693724</v>
      </c>
      <c r="G808" s="69">
        <f t="shared" ca="1" si="186"/>
        <v>-0.57717304063772146</v>
      </c>
      <c r="H808" s="69">
        <f t="shared" ca="1" si="186"/>
        <v>2.04476426484861</v>
      </c>
      <c r="I808" s="69">
        <f t="shared" ca="1" si="186"/>
        <v>0.30949973447035622</v>
      </c>
      <c r="J808" s="69">
        <f t="shared" ca="1" si="186"/>
        <v>8.3503059350806014E-2</v>
      </c>
      <c r="K808" s="69">
        <f t="shared" ca="1" si="186"/>
        <v>-1.5408795114084524</v>
      </c>
      <c r="L808" s="69">
        <f t="shared" ca="1" si="186"/>
        <v>-0.11805019246468761</v>
      </c>
      <c r="N808" s="69">
        <f t="shared" ca="1" si="175"/>
        <v>-1.1064872534817427</v>
      </c>
      <c r="O808" s="69">
        <f t="shared" ca="1" si="176"/>
        <v>-1.7383421787068487</v>
      </c>
      <c r="P808" s="69">
        <f t="shared" ca="1" si="177"/>
        <v>-1.5745507162696537</v>
      </c>
      <c r="Q808" s="69">
        <f t="shared" ca="1" si="178"/>
        <v>-1.4691351424354702</v>
      </c>
      <c r="R808" s="69">
        <f t="shared" ca="1" si="179"/>
        <v>-0.93054127576458612</v>
      </c>
      <c r="S808" s="69">
        <f t="shared" ca="1" si="180"/>
        <v>-0.54434606838091293</v>
      </c>
      <c r="T808" s="69">
        <f t="shared" ca="1" si="181"/>
        <v>2.0399332271334201</v>
      </c>
      <c r="U808" s="69">
        <f t="shared" ca="1" si="182"/>
        <v>0.3325398613480659</v>
      </c>
      <c r="V808" s="69">
        <f t="shared" ca="1" si="183"/>
        <v>7.7393465777208681E-2</v>
      </c>
      <c r="W808" s="69">
        <f t="shared" ca="1" si="184"/>
        <v>-1.5398981545843533</v>
      </c>
      <c r="X808" s="69">
        <f t="shared" ca="1" si="185"/>
        <v>-9.088170209025212E-2</v>
      </c>
    </row>
    <row r="809" spans="2:24" x14ac:dyDescent="0.2">
      <c r="B809" s="69">
        <f t="shared" ca="1" si="174"/>
        <v>1.7579098789519458</v>
      </c>
      <c r="C809" s="69">
        <f t="shared" ca="1" si="186"/>
        <v>-0.2259413592208348</v>
      </c>
      <c r="D809" s="69">
        <f t="shared" ref="C809:L872" ca="1" si="187">NORMINV(RAND(),$C$7,$F$7)</f>
        <v>0.16310967462504514</v>
      </c>
      <c r="E809" s="69">
        <f t="shared" ca="1" si="187"/>
        <v>-0.30282159090197408</v>
      </c>
      <c r="F809" s="69">
        <f t="shared" ca="1" si="187"/>
        <v>0.29318195083457266</v>
      </c>
      <c r="G809" s="69">
        <f t="shared" ca="1" si="187"/>
        <v>-0.33031009444554543</v>
      </c>
      <c r="H809" s="69">
        <f t="shared" ca="1" si="187"/>
        <v>1.4225434052971117E-3</v>
      </c>
      <c r="I809" s="69">
        <f t="shared" ca="1" si="187"/>
        <v>2.1269294867535598</v>
      </c>
      <c r="J809" s="69">
        <f t="shared" ca="1" si="187"/>
        <v>1.1204629380268973</v>
      </c>
      <c r="K809" s="69">
        <f t="shared" ca="1" si="187"/>
        <v>0.40196349441138274</v>
      </c>
      <c r="L809" s="69">
        <f t="shared" ca="1" si="187"/>
        <v>-1.1235551910923267</v>
      </c>
      <c r="N809" s="69">
        <f t="shared" ca="1" si="175"/>
        <v>1.7956779227900546</v>
      </c>
      <c r="O809" s="69">
        <f t="shared" ca="1" si="176"/>
        <v>-0.2524349223037215</v>
      </c>
      <c r="P809" s="69">
        <f t="shared" ca="1" si="177"/>
        <v>0.1053676097879551</v>
      </c>
      <c r="Q809" s="69">
        <f t="shared" ca="1" si="178"/>
        <v>-0.25371291204021512</v>
      </c>
      <c r="R809" s="69">
        <f t="shared" ca="1" si="179"/>
        <v>0.28688726542692378</v>
      </c>
      <c r="S809" s="69">
        <f t="shared" ca="1" si="180"/>
        <v>-0.29748312218873696</v>
      </c>
      <c r="T809" s="69">
        <f t="shared" ca="1" si="181"/>
        <v>-3.4084943098927336E-3</v>
      </c>
      <c r="U809" s="69">
        <f t="shared" ca="1" si="182"/>
        <v>2.1499696136312694</v>
      </c>
      <c r="V809" s="69">
        <f t="shared" ca="1" si="183"/>
        <v>1.1143533444533</v>
      </c>
      <c r="W809" s="69">
        <f t="shared" ca="1" si="184"/>
        <v>0.40294485123548168</v>
      </c>
      <c r="X809" s="69">
        <f t="shared" ca="1" si="185"/>
        <v>-1.0963867007178911</v>
      </c>
    </row>
    <row r="810" spans="2:24" x14ac:dyDescent="0.2">
      <c r="B810" s="69">
        <f t="shared" ca="1" si="174"/>
        <v>-0.51465083320312077</v>
      </c>
      <c r="C810" s="69">
        <f t="shared" ca="1" si="187"/>
        <v>-1.0335447774572675</v>
      </c>
      <c r="D810" s="69">
        <f t="shared" ca="1" si="187"/>
        <v>-0.11178348431666273</v>
      </c>
      <c r="E810" s="69">
        <f t="shared" ca="1" si="187"/>
        <v>-2.118246182996312</v>
      </c>
      <c r="F810" s="69">
        <f t="shared" ca="1" si="187"/>
        <v>-1.6034868705049539</v>
      </c>
      <c r="G810" s="69">
        <f t="shared" ca="1" si="187"/>
        <v>-1.1074472842254668</v>
      </c>
      <c r="H810" s="69">
        <f t="shared" ca="1" si="187"/>
        <v>0.4482745533216877</v>
      </c>
      <c r="I810" s="69">
        <f t="shared" ca="1" si="187"/>
        <v>-1.4770291563611677</v>
      </c>
      <c r="J810" s="69">
        <f t="shared" ca="1" si="187"/>
        <v>-2.2487844006788809</v>
      </c>
      <c r="K810" s="69">
        <f t="shared" ca="1" si="187"/>
        <v>-1.3819960914138305</v>
      </c>
      <c r="L810" s="69">
        <f t="shared" ca="1" si="187"/>
        <v>1.2950151050174681</v>
      </c>
      <c r="N810" s="69">
        <f t="shared" ca="1" si="175"/>
        <v>-0.47688278936501194</v>
      </c>
      <c r="O810" s="69">
        <f t="shared" ca="1" si="176"/>
        <v>-1.0600383405401541</v>
      </c>
      <c r="P810" s="69">
        <f t="shared" ca="1" si="177"/>
        <v>-0.16952554915375276</v>
      </c>
      <c r="Q810" s="69">
        <f t="shared" ca="1" si="178"/>
        <v>-2.0691375041345532</v>
      </c>
      <c r="R810" s="69">
        <f t="shared" ca="1" si="179"/>
        <v>-1.6097815559126027</v>
      </c>
      <c r="S810" s="69">
        <f t="shared" ca="1" si="180"/>
        <v>-1.0746203119686584</v>
      </c>
      <c r="T810" s="69">
        <f t="shared" ca="1" si="181"/>
        <v>0.44344351560649786</v>
      </c>
      <c r="U810" s="69">
        <f t="shared" ca="1" si="182"/>
        <v>-1.4539890294834581</v>
      </c>
      <c r="V810" s="69">
        <f t="shared" ca="1" si="183"/>
        <v>-2.2548939942524782</v>
      </c>
      <c r="W810" s="69">
        <f t="shared" ca="1" si="184"/>
        <v>-1.3810147345897315</v>
      </c>
      <c r="X810" s="69">
        <f t="shared" ca="1" si="185"/>
        <v>1.3221835953919037</v>
      </c>
    </row>
    <row r="811" spans="2:24" x14ac:dyDescent="0.2">
      <c r="B811" s="69">
        <f t="shared" ca="1" si="174"/>
        <v>6.9885421280174748E-2</v>
      </c>
      <c r="C811" s="69">
        <f t="shared" ca="1" si="187"/>
        <v>0.9597230135698962</v>
      </c>
      <c r="D811" s="69">
        <f t="shared" ca="1" si="187"/>
        <v>-4.1241507973352048E-3</v>
      </c>
      <c r="E811" s="69">
        <f t="shared" ca="1" si="187"/>
        <v>1.2677985677466617</v>
      </c>
      <c r="F811" s="69">
        <f t="shared" ca="1" si="187"/>
        <v>0.34061413680037905</v>
      </c>
      <c r="G811" s="69">
        <f t="shared" ca="1" si="187"/>
        <v>-0.12067627969570413</v>
      </c>
      <c r="H811" s="69">
        <f t="shared" ca="1" si="187"/>
        <v>-0.7780159992172222</v>
      </c>
      <c r="I811" s="69">
        <f t="shared" ca="1" si="187"/>
        <v>1.1635911273127693</v>
      </c>
      <c r="J811" s="69">
        <f t="shared" ca="1" si="187"/>
        <v>1.8904396118256677</v>
      </c>
      <c r="K811" s="69">
        <f t="shared" ca="1" si="187"/>
        <v>0.16277657535164916</v>
      </c>
      <c r="L811" s="69">
        <f t="shared" ca="1" si="187"/>
        <v>-0.42940949622046398</v>
      </c>
      <c r="N811" s="69">
        <f t="shared" ca="1" si="175"/>
        <v>0.10765346511828357</v>
      </c>
      <c r="O811" s="69">
        <f t="shared" ca="1" si="176"/>
        <v>0.93322945048700956</v>
      </c>
      <c r="P811" s="69">
        <f t="shared" ca="1" si="177"/>
        <v>-6.1866215634425237E-2</v>
      </c>
      <c r="Q811" s="69">
        <f t="shared" ca="1" si="178"/>
        <v>1.3169072466084206</v>
      </c>
      <c r="R811" s="69">
        <f t="shared" ca="1" si="179"/>
        <v>0.33431945139273017</v>
      </c>
      <c r="S811" s="69">
        <f t="shared" ca="1" si="180"/>
        <v>-8.7849307438895657E-2</v>
      </c>
      <c r="T811" s="69">
        <f t="shared" ca="1" si="181"/>
        <v>-0.78284703693241209</v>
      </c>
      <c r="U811" s="69">
        <f t="shared" ca="1" si="182"/>
        <v>1.1866312541904789</v>
      </c>
      <c r="V811" s="69">
        <f t="shared" ca="1" si="183"/>
        <v>1.8843300182520704</v>
      </c>
      <c r="W811" s="69">
        <f t="shared" ca="1" si="184"/>
        <v>0.16375793217574811</v>
      </c>
      <c r="X811" s="69">
        <f t="shared" ca="1" si="185"/>
        <v>-0.40224100584602851</v>
      </c>
    </row>
    <row r="812" spans="2:24" x14ac:dyDescent="0.2">
      <c r="B812" s="69">
        <f t="shared" ca="1" si="174"/>
        <v>-2.14848390289646</v>
      </c>
      <c r="C812" s="69">
        <f t="shared" ca="1" si="187"/>
        <v>-0.21259679634566922</v>
      </c>
      <c r="D812" s="69">
        <f t="shared" ca="1" si="187"/>
        <v>-1.1460071836818271</v>
      </c>
      <c r="E812" s="69">
        <f t="shared" ca="1" si="187"/>
        <v>-1.0082341476476977</v>
      </c>
      <c r="F812" s="69">
        <f t="shared" ca="1" si="187"/>
        <v>-0.93093262219053652</v>
      </c>
      <c r="G812" s="69">
        <f t="shared" ca="1" si="187"/>
        <v>1.4757182863096416</v>
      </c>
      <c r="H812" s="69">
        <f t="shared" ca="1" si="187"/>
        <v>1.8339559503944469</v>
      </c>
      <c r="I812" s="69">
        <f t="shared" ca="1" si="187"/>
        <v>8.7754043374615828E-2</v>
      </c>
      <c r="J812" s="69">
        <f t="shared" ca="1" si="187"/>
        <v>0.7642931017023824</v>
      </c>
      <c r="K812" s="69">
        <f t="shared" ca="1" si="187"/>
        <v>-4.9530481182612177E-2</v>
      </c>
      <c r="L812" s="69">
        <f t="shared" ca="1" si="187"/>
        <v>0.10899560777688454</v>
      </c>
      <c r="N812" s="69">
        <f t="shared" ca="1" si="175"/>
        <v>-2.110715859058351</v>
      </c>
      <c r="O812" s="69">
        <f t="shared" ca="1" si="176"/>
        <v>-0.23909035942855592</v>
      </c>
      <c r="P812" s="69">
        <f t="shared" ca="1" si="177"/>
        <v>-1.2037492485189172</v>
      </c>
      <c r="Q812" s="69">
        <f t="shared" ca="1" si="178"/>
        <v>-0.95912546878593874</v>
      </c>
      <c r="R812" s="69">
        <f t="shared" ca="1" si="179"/>
        <v>-0.9372273075981854</v>
      </c>
      <c r="S812" s="69">
        <f t="shared" ca="1" si="180"/>
        <v>1.5085452585664501</v>
      </c>
      <c r="T812" s="69">
        <f t="shared" ca="1" si="181"/>
        <v>1.829124912679257</v>
      </c>
      <c r="U812" s="69">
        <f t="shared" ca="1" si="182"/>
        <v>0.11079417025232549</v>
      </c>
      <c r="V812" s="69">
        <f t="shared" ca="1" si="183"/>
        <v>0.7581835081287851</v>
      </c>
      <c r="W812" s="69">
        <f t="shared" ca="1" si="184"/>
        <v>-4.8549124358513225E-2</v>
      </c>
      <c r="X812" s="69">
        <f t="shared" ca="1" si="185"/>
        <v>0.13616409815132002</v>
      </c>
    </row>
    <row r="813" spans="2:24" x14ac:dyDescent="0.2">
      <c r="B813" s="69">
        <f t="shared" ca="1" si="174"/>
        <v>1.2311295060220011</v>
      </c>
      <c r="C813" s="69">
        <f t="shared" ca="1" si="187"/>
        <v>-0.95588790901180454</v>
      </c>
      <c r="D813" s="69">
        <f t="shared" ca="1" si="187"/>
        <v>-0.34098729087663188</v>
      </c>
      <c r="E813" s="69">
        <f t="shared" ca="1" si="187"/>
        <v>-0.20196329006284297</v>
      </c>
      <c r="F813" s="69">
        <f t="shared" ca="1" si="187"/>
        <v>0.68105701151500109</v>
      </c>
      <c r="G813" s="69">
        <f t="shared" ca="1" si="187"/>
        <v>1.2990919881625846</v>
      </c>
      <c r="H813" s="69">
        <f t="shared" ca="1" si="187"/>
        <v>0.63887468363175248</v>
      </c>
      <c r="I813" s="69">
        <f t="shared" ca="1" si="187"/>
        <v>0.51748594873056786</v>
      </c>
      <c r="J813" s="69">
        <f t="shared" ca="1" si="187"/>
        <v>1.1735595388766</v>
      </c>
      <c r="K813" s="69">
        <f t="shared" ca="1" si="187"/>
        <v>0.86253337378085027</v>
      </c>
      <c r="L813" s="69">
        <f t="shared" ca="1" si="187"/>
        <v>1.8611041444579226</v>
      </c>
      <c r="N813" s="69">
        <f t="shared" ca="1" si="175"/>
        <v>1.2688975498601098</v>
      </c>
      <c r="O813" s="69">
        <f t="shared" ca="1" si="176"/>
        <v>-0.98238147209469118</v>
      </c>
      <c r="P813" s="69">
        <f t="shared" ca="1" si="177"/>
        <v>-0.39872935571372192</v>
      </c>
      <c r="Q813" s="69">
        <f t="shared" ca="1" si="178"/>
        <v>-0.15285461120108401</v>
      </c>
      <c r="R813" s="69">
        <f t="shared" ca="1" si="179"/>
        <v>0.67476232610735221</v>
      </c>
      <c r="S813" s="69">
        <f t="shared" ca="1" si="180"/>
        <v>1.3319189604193931</v>
      </c>
      <c r="T813" s="69">
        <f t="shared" ca="1" si="181"/>
        <v>0.63404364591656259</v>
      </c>
      <c r="U813" s="69">
        <f t="shared" ca="1" si="182"/>
        <v>0.54052607560827748</v>
      </c>
      <c r="V813" s="69">
        <f t="shared" ca="1" si="183"/>
        <v>1.1674499453030027</v>
      </c>
      <c r="W813" s="69">
        <f t="shared" ca="1" si="184"/>
        <v>0.86351473060494921</v>
      </c>
      <c r="X813" s="69">
        <f t="shared" ca="1" si="185"/>
        <v>1.8882726348323582</v>
      </c>
    </row>
    <row r="814" spans="2:24" x14ac:dyDescent="0.2">
      <c r="B814" s="69">
        <f t="shared" ca="1" si="174"/>
        <v>1.6175838897349959</v>
      </c>
      <c r="C814" s="69">
        <f t="shared" ca="1" si="187"/>
        <v>0.25085012328088779</v>
      </c>
      <c r="D814" s="69">
        <f t="shared" ca="1" si="187"/>
        <v>2.0714971367898309</v>
      </c>
      <c r="E814" s="69">
        <f t="shared" ca="1" si="187"/>
        <v>0.87233729994503761</v>
      </c>
      <c r="F814" s="69">
        <f t="shared" ca="1" si="187"/>
        <v>-0.95784985811336065</v>
      </c>
      <c r="G814" s="69">
        <f t="shared" ca="1" si="187"/>
        <v>0.86433041737854222</v>
      </c>
      <c r="H814" s="69">
        <f t="shared" ca="1" si="187"/>
        <v>-2.4031811806456376</v>
      </c>
      <c r="I814" s="69">
        <f t="shared" ca="1" si="187"/>
        <v>-0.15283816763713576</v>
      </c>
      <c r="J814" s="69">
        <f t="shared" ca="1" si="187"/>
        <v>0.18866993346409475</v>
      </c>
      <c r="K814" s="69">
        <f t="shared" ca="1" si="187"/>
        <v>-0.17605471449197418</v>
      </c>
      <c r="L814" s="69">
        <f t="shared" ca="1" si="187"/>
        <v>-0.68364273543129239</v>
      </c>
      <c r="N814" s="69">
        <f t="shared" ca="1" si="175"/>
        <v>1.6553519335731046</v>
      </c>
      <c r="O814" s="69">
        <f t="shared" ca="1" si="176"/>
        <v>0.2243565601980011</v>
      </c>
      <c r="P814" s="69">
        <f t="shared" ca="1" si="177"/>
        <v>2.0137550719527408</v>
      </c>
      <c r="Q814" s="69">
        <f t="shared" ca="1" si="178"/>
        <v>0.92144597880679657</v>
      </c>
      <c r="R814" s="69">
        <f t="shared" ca="1" si="179"/>
        <v>-0.96414454352100953</v>
      </c>
      <c r="S814" s="69">
        <f t="shared" ca="1" si="180"/>
        <v>0.89715738963535074</v>
      </c>
      <c r="T814" s="69">
        <f t="shared" ca="1" si="181"/>
        <v>-2.4080122183608275</v>
      </c>
      <c r="U814" s="69">
        <f t="shared" ca="1" si="182"/>
        <v>-0.12979804075942611</v>
      </c>
      <c r="V814" s="69">
        <f t="shared" ca="1" si="183"/>
        <v>0.18256033989049741</v>
      </c>
      <c r="W814" s="69">
        <f t="shared" ca="1" si="184"/>
        <v>-0.17507335766787524</v>
      </c>
      <c r="X814" s="69">
        <f t="shared" ca="1" si="185"/>
        <v>-0.65647424505685692</v>
      </c>
    </row>
    <row r="815" spans="2:24" x14ac:dyDescent="0.2">
      <c r="B815" s="69">
        <f t="shared" ca="1" si="174"/>
        <v>-0.56803538399284625</v>
      </c>
      <c r="C815" s="69">
        <f t="shared" ca="1" si="187"/>
        <v>-0.11421906277504712</v>
      </c>
      <c r="D815" s="69">
        <f t="shared" ca="1" si="187"/>
        <v>0.8215618937168796</v>
      </c>
      <c r="E815" s="69">
        <f t="shared" ca="1" si="187"/>
        <v>0.33531856722546743</v>
      </c>
      <c r="F815" s="69">
        <f t="shared" ca="1" si="187"/>
        <v>0.1449781445640477</v>
      </c>
      <c r="G815" s="69">
        <f t="shared" ca="1" si="187"/>
        <v>1.0001418308235324</v>
      </c>
      <c r="H815" s="69">
        <f t="shared" ca="1" si="187"/>
        <v>2.2043575048662136</v>
      </c>
      <c r="I815" s="69">
        <f t="shared" ca="1" si="187"/>
        <v>-4.1901668776693372E-2</v>
      </c>
      <c r="J815" s="69">
        <f t="shared" ca="1" si="187"/>
        <v>1.0711628712254</v>
      </c>
      <c r="K815" s="69">
        <f t="shared" ca="1" si="187"/>
        <v>-0.98923573819469846</v>
      </c>
      <c r="L815" s="69">
        <f t="shared" ca="1" si="187"/>
        <v>-3.2543970345018156</v>
      </c>
      <c r="N815" s="69">
        <f t="shared" ca="1" si="175"/>
        <v>-0.53026734015473742</v>
      </c>
      <c r="O815" s="69">
        <f t="shared" ca="1" si="176"/>
        <v>-0.14071262585793382</v>
      </c>
      <c r="P815" s="69">
        <f t="shared" ca="1" si="177"/>
        <v>0.76381982887978961</v>
      </c>
      <c r="Q815" s="69">
        <f t="shared" ca="1" si="178"/>
        <v>0.38442724608722639</v>
      </c>
      <c r="R815" s="69">
        <f t="shared" ca="1" si="179"/>
        <v>0.13868345915639879</v>
      </c>
      <c r="S815" s="69">
        <f t="shared" ca="1" si="180"/>
        <v>1.0329688030803408</v>
      </c>
      <c r="T815" s="69">
        <f t="shared" ca="1" si="181"/>
        <v>2.1995264671510237</v>
      </c>
      <c r="U815" s="69">
        <f t="shared" ca="1" si="182"/>
        <v>-1.8861541898983716E-2</v>
      </c>
      <c r="V815" s="69">
        <f t="shared" ca="1" si="183"/>
        <v>1.0650532776518027</v>
      </c>
      <c r="W815" s="69">
        <f t="shared" ca="1" si="184"/>
        <v>-0.98825438137059951</v>
      </c>
      <c r="X815" s="69">
        <f t="shared" ca="1" si="185"/>
        <v>-3.2272285441273802</v>
      </c>
    </row>
    <row r="816" spans="2:24" x14ac:dyDescent="0.2">
      <c r="B816" s="69">
        <f t="shared" ca="1" si="174"/>
        <v>-3.7935717326185579E-2</v>
      </c>
      <c r="C816" s="69">
        <f t="shared" ca="1" si="187"/>
        <v>0.10677072937046565</v>
      </c>
      <c r="D816" s="69">
        <f t="shared" ca="1" si="187"/>
        <v>0.13497374089863232</v>
      </c>
      <c r="E816" s="69">
        <f t="shared" ca="1" si="187"/>
        <v>-0.86231044618896924</v>
      </c>
      <c r="F816" s="69">
        <f t="shared" ca="1" si="187"/>
        <v>-0.77439666170985477</v>
      </c>
      <c r="G816" s="69">
        <f t="shared" ca="1" si="187"/>
        <v>0.61201291320659368</v>
      </c>
      <c r="H816" s="69">
        <f t="shared" ca="1" si="187"/>
        <v>-0.40575227281599685</v>
      </c>
      <c r="I816" s="69">
        <f t="shared" ca="1" si="187"/>
        <v>-0.53694957741211946</v>
      </c>
      <c r="J816" s="69">
        <f t="shared" ca="1" si="187"/>
        <v>8.1725545344179126E-2</v>
      </c>
      <c r="K816" s="69">
        <f t="shared" ca="1" si="187"/>
        <v>-0.7760234782138038</v>
      </c>
      <c r="L816" s="69">
        <f t="shared" ca="1" si="187"/>
        <v>-1.2197725584986387</v>
      </c>
      <c r="N816" s="69">
        <f t="shared" ca="1" si="175"/>
        <v>-1.6767348807675969E-4</v>
      </c>
      <c r="O816" s="69">
        <f t="shared" ca="1" si="176"/>
        <v>8.0277166287578972E-2</v>
      </c>
      <c r="P816" s="69">
        <f t="shared" ca="1" si="177"/>
        <v>7.7231676061542284E-2</v>
      </c>
      <c r="Q816" s="69">
        <f t="shared" ca="1" si="178"/>
        <v>-0.81320176732721028</v>
      </c>
      <c r="R816" s="69">
        <f t="shared" ca="1" si="179"/>
        <v>-0.78069134711750365</v>
      </c>
      <c r="S816" s="69">
        <f t="shared" ca="1" si="180"/>
        <v>0.64483988546340221</v>
      </c>
      <c r="T816" s="69">
        <f t="shared" ca="1" si="181"/>
        <v>-0.41058331053118668</v>
      </c>
      <c r="U816" s="69">
        <f t="shared" ca="1" si="182"/>
        <v>-0.51390945053440984</v>
      </c>
      <c r="V816" s="69">
        <f t="shared" ca="1" si="183"/>
        <v>7.5615951770581794E-2</v>
      </c>
      <c r="W816" s="69">
        <f t="shared" ca="1" si="184"/>
        <v>-0.77504212138970485</v>
      </c>
      <c r="X816" s="69">
        <f t="shared" ca="1" si="185"/>
        <v>-1.1926040681242032</v>
      </c>
    </row>
    <row r="817" spans="2:24" x14ac:dyDescent="0.2">
      <c r="B817" s="69">
        <f t="shared" ca="1" si="174"/>
        <v>1.7591166046386884</v>
      </c>
      <c r="C817" s="69">
        <f t="shared" ca="1" si="187"/>
        <v>0.5122398800396244</v>
      </c>
      <c r="D817" s="69">
        <f t="shared" ca="1" si="187"/>
        <v>-0.4090199112368319</v>
      </c>
      <c r="E817" s="69">
        <f t="shared" ca="1" si="187"/>
        <v>-1.0852732707484991</v>
      </c>
      <c r="F817" s="69">
        <f t="shared" ca="1" si="187"/>
        <v>0.64499221620201774</v>
      </c>
      <c r="G817" s="69">
        <f t="shared" ca="1" si="187"/>
        <v>0.48457671711247668</v>
      </c>
      <c r="H817" s="69">
        <f t="shared" ca="1" si="187"/>
        <v>0.38250729103142417</v>
      </c>
      <c r="I817" s="69">
        <f t="shared" ca="1" si="187"/>
        <v>0.62899210888897505</v>
      </c>
      <c r="J817" s="69">
        <f t="shared" ca="1" si="187"/>
        <v>-1.2081173710799871</v>
      </c>
      <c r="K817" s="69">
        <f t="shared" ca="1" si="187"/>
        <v>-0.80922260328987283</v>
      </c>
      <c r="L817" s="69">
        <f t="shared" ca="1" si="187"/>
        <v>0.43243483288928347</v>
      </c>
      <c r="N817" s="69">
        <f t="shared" ca="1" si="175"/>
        <v>1.7968846484767971</v>
      </c>
      <c r="O817" s="69">
        <f t="shared" ca="1" si="176"/>
        <v>0.4857463169567377</v>
      </c>
      <c r="P817" s="69">
        <f t="shared" ca="1" si="177"/>
        <v>-0.46676197607392195</v>
      </c>
      <c r="Q817" s="69">
        <f t="shared" ca="1" si="178"/>
        <v>-1.0361645918867401</v>
      </c>
      <c r="R817" s="69">
        <f t="shared" ca="1" si="179"/>
        <v>0.63869753079436886</v>
      </c>
      <c r="S817" s="69">
        <f t="shared" ca="1" si="180"/>
        <v>0.51740368936928516</v>
      </c>
      <c r="T817" s="69">
        <f t="shared" ca="1" si="181"/>
        <v>0.37767625331623433</v>
      </c>
      <c r="U817" s="69">
        <f t="shared" ca="1" si="182"/>
        <v>0.65203223576668468</v>
      </c>
      <c r="V817" s="69">
        <f t="shared" ca="1" si="183"/>
        <v>-1.2142269646535844</v>
      </c>
      <c r="W817" s="69">
        <f t="shared" ca="1" si="184"/>
        <v>-0.80824124646577389</v>
      </c>
      <c r="X817" s="69">
        <f t="shared" ca="1" si="185"/>
        <v>0.45960332326371894</v>
      </c>
    </row>
    <row r="818" spans="2:24" x14ac:dyDescent="0.2">
      <c r="B818" s="69">
        <f t="shared" ca="1" si="174"/>
        <v>-0.5753907211028777</v>
      </c>
      <c r="C818" s="69">
        <f t="shared" ca="1" si="187"/>
        <v>-1.1286580798597177</v>
      </c>
      <c r="D818" s="69">
        <f t="shared" ca="1" si="187"/>
        <v>-0.71910409574709966</v>
      </c>
      <c r="E818" s="69">
        <f t="shared" ca="1" si="187"/>
        <v>5.726130362249901E-2</v>
      </c>
      <c r="F818" s="69">
        <f t="shared" ca="1" si="187"/>
        <v>0.4331502456596738</v>
      </c>
      <c r="G818" s="69">
        <f t="shared" ca="1" si="187"/>
        <v>-0.90876023570854647</v>
      </c>
      <c r="H818" s="69">
        <f t="shared" ca="1" si="187"/>
        <v>0.59553115773376875</v>
      </c>
      <c r="I818" s="69">
        <f t="shared" ca="1" si="187"/>
        <v>-6.4767123157207049E-2</v>
      </c>
      <c r="J818" s="69">
        <f t="shared" ca="1" si="187"/>
        <v>0.53497866834882468</v>
      </c>
      <c r="K818" s="69">
        <f t="shared" ca="1" si="187"/>
        <v>-1.0160549138356452</v>
      </c>
      <c r="L818" s="69">
        <f t="shared" ca="1" si="187"/>
        <v>0.10245295644002189</v>
      </c>
      <c r="N818" s="69">
        <f t="shared" ca="1" si="175"/>
        <v>-0.53762267726476887</v>
      </c>
      <c r="O818" s="69">
        <f t="shared" ca="1" si="176"/>
        <v>-1.1551516429426043</v>
      </c>
      <c r="P818" s="69">
        <f t="shared" ca="1" si="177"/>
        <v>-0.77684616058418965</v>
      </c>
      <c r="Q818" s="69">
        <f t="shared" ca="1" si="178"/>
        <v>0.10636998248425795</v>
      </c>
      <c r="R818" s="69">
        <f t="shared" ca="1" si="179"/>
        <v>0.42685556025202492</v>
      </c>
      <c r="S818" s="69">
        <f t="shared" ca="1" si="180"/>
        <v>-0.87593326345173794</v>
      </c>
      <c r="T818" s="69">
        <f t="shared" ca="1" si="181"/>
        <v>0.59070012001857886</v>
      </c>
      <c r="U818" s="69">
        <f t="shared" ca="1" si="182"/>
        <v>-4.1726996279497393E-2</v>
      </c>
      <c r="V818" s="69">
        <f t="shared" ca="1" si="183"/>
        <v>0.52886907477522738</v>
      </c>
      <c r="W818" s="69">
        <f t="shared" ca="1" si="184"/>
        <v>-1.0150735570115461</v>
      </c>
      <c r="X818" s="69">
        <f t="shared" ca="1" si="185"/>
        <v>0.12962144681445736</v>
      </c>
    </row>
    <row r="819" spans="2:24" x14ac:dyDescent="0.2">
      <c r="B819" s="69">
        <f t="shared" ca="1" si="174"/>
        <v>-1.0484276092297693</v>
      </c>
      <c r="C819" s="69">
        <f t="shared" ca="1" si="187"/>
        <v>0.41603911840195723</v>
      </c>
      <c r="D819" s="69">
        <f t="shared" ca="1" si="187"/>
        <v>1.1731372588423903</v>
      </c>
      <c r="E819" s="69">
        <f t="shared" ca="1" si="187"/>
        <v>0.36124747166225535</v>
      </c>
      <c r="F819" s="69">
        <f t="shared" ca="1" si="187"/>
        <v>0.68775545761121926</v>
      </c>
      <c r="G819" s="69">
        <f t="shared" ca="1" si="187"/>
        <v>-0.22979039112394228</v>
      </c>
      <c r="H819" s="69">
        <f t="shared" ca="1" si="187"/>
        <v>-0.29252747607530943</v>
      </c>
      <c r="I819" s="69">
        <f t="shared" ca="1" si="187"/>
        <v>0.13407167295524178</v>
      </c>
      <c r="J819" s="69">
        <f t="shared" ca="1" si="187"/>
        <v>-0.42470384439797437</v>
      </c>
      <c r="K819" s="69">
        <f t="shared" ca="1" si="187"/>
        <v>-1.1078003560056497</v>
      </c>
      <c r="L819" s="69">
        <f t="shared" ca="1" si="187"/>
        <v>0.5280101760017355</v>
      </c>
      <c r="N819" s="69">
        <f t="shared" ca="1" si="175"/>
        <v>-1.0106595653916606</v>
      </c>
      <c r="O819" s="69">
        <f t="shared" ca="1" si="176"/>
        <v>0.38954555531907054</v>
      </c>
      <c r="P819" s="69">
        <f t="shared" ca="1" si="177"/>
        <v>1.1153951940053002</v>
      </c>
      <c r="Q819" s="69">
        <f t="shared" ca="1" si="178"/>
        <v>0.41035615052401431</v>
      </c>
      <c r="R819" s="69">
        <f t="shared" ca="1" si="179"/>
        <v>0.68146077220357038</v>
      </c>
      <c r="S819" s="69">
        <f t="shared" ca="1" si="180"/>
        <v>-0.19696341886713381</v>
      </c>
      <c r="T819" s="69">
        <f t="shared" ca="1" si="181"/>
        <v>-0.29735851379049927</v>
      </c>
      <c r="U819" s="69">
        <f t="shared" ca="1" si="182"/>
        <v>0.15711179983295143</v>
      </c>
      <c r="V819" s="69">
        <f t="shared" ca="1" si="183"/>
        <v>-0.43081343797157168</v>
      </c>
      <c r="W819" s="69">
        <f t="shared" ca="1" si="184"/>
        <v>-1.1068189991815507</v>
      </c>
      <c r="X819" s="69">
        <f t="shared" ca="1" si="185"/>
        <v>0.55517866637617097</v>
      </c>
    </row>
    <row r="820" spans="2:24" x14ac:dyDescent="0.2">
      <c r="B820" s="69">
        <f t="shared" ca="1" si="174"/>
        <v>2.0081432599666651</v>
      </c>
      <c r="C820" s="69">
        <f t="shared" ca="1" si="187"/>
        <v>-9.1173015609845535E-3</v>
      </c>
      <c r="D820" s="69">
        <f t="shared" ca="1" si="187"/>
        <v>-0.93442016314689758</v>
      </c>
      <c r="E820" s="69">
        <f t="shared" ca="1" si="187"/>
        <v>1.3430702457263048</v>
      </c>
      <c r="F820" s="69">
        <f t="shared" ca="1" si="187"/>
        <v>0.59818705810963912</v>
      </c>
      <c r="G820" s="69">
        <f t="shared" ca="1" si="187"/>
        <v>-2.5278505010777854</v>
      </c>
      <c r="H820" s="69">
        <f t="shared" ca="1" si="187"/>
        <v>0.1610691468994889</v>
      </c>
      <c r="I820" s="69">
        <f t="shared" ca="1" si="187"/>
        <v>2.5848040594918102</v>
      </c>
      <c r="J820" s="69">
        <f t="shared" ca="1" si="187"/>
        <v>0.10256633124288679</v>
      </c>
      <c r="K820" s="69">
        <f t="shared" ca="1" si="187"/>
        <v>-0.26390240363972839</v>
      </c>
      <c r="L820" s="69">
        <f t="shared" ca="1" si="187"/>
        <v>-0.68073295537187362</v>
      </c>
      <c r="N820" s="69">
        <f t="shared" ca="1" si="175"/>
        <v>2.045911303804774</v>
      </c>
      <c r="O820" s="69">
        <f t="shared" ca="1" si="176"/>
        <v>-3.561086464387124E-2</v>
      </c>
      <c r="P820" s="69">
        <f t="shared" ca="1" si="177"/>
        <v>-0.99216222798398757</v>
      </c>
      <c r="Q820" s="69">
        <f t="shared" ca="1" si="178"/>
        <v>1.3921789245880638</v>
      </c>
      <c r="R820" s="69">
        <f t="shared" ca="1" si="179"/>
        <v>0.59189237270199024</v>
      </c>
      <c r="S820" s="69">
        <f t="shared" ca="1" si="180"/>
        <v>-2.495023528820977</v>
      </c>
      <c r="T820" s="69">
        <f t="shared" ca="1" si="181"/>
        <v>0.15623810918429906</v>
      </c>
      <c r="U820" s="69">
        <f t="shared" ca="1" si="182"/>
        <v>2.6078441863695199</v>
      </c>
      <c r="V820" s="69">
        <f t="shared" ca="1" si="183"/>
        <v>9.6456737669289458E-2</v>
      </c>
      <c r="W820" s="69">
        <f t="shared" ca="1" si="184"/>
        <v>-0.26292104681562944</v>
      </c>
      <c r="X820" s="69">
        <f t="shared" ca="1" si="185"/>
        <v>-0.65356446499743814</v>
      </c>
    </row>
    <row r="821" spans="2:24" x14ac:dyDescent="0.2">
      <c r="B821" s="69">
        <f t="shared" ca="1" si="174"/>
        <v>0.38743195142852327</v>
      </c>
      <c r="C821" s="69">
        <f t="shared" ca="1" si="187"/>
        <v>-1.0406122504715773</v>
      </c>
      <c r="D821" s="69">
        <f t="shared" ca="1" si="187"/>
        <v>-1.3091862453465897</v>
      </c>
      <c r="E821" s="69">
        <f t="shared" ca="1" si="187"/>
        <v>0.65665537313412137</v>
      </c>
      <c r="F821" s="69">
        <f t="shared" ca="1" si="187"/>
        <v>1.0941800401259452</v>
      </c>
      <c r="G821" s="69">
        <f t="shared" ca="1" si="187"/>
        <v>1.903829522117426</v>
      </c>
      <c r="H821" s="69">
        <f t="shared" ca="1" si="187"/>
        <v>-5.899101373624583E-2</v>
      </c>
      <c r="I821" s="69">
        <f t="shared" ca="1" si="187"/>
        <v>1.1709960642777573</v>
      </c>
      <c r="J821" s="69">
        <f t="shared" ca="1" si="187"/>
        <v>0.13173454868175574</v>
      </c>
      <c r="K821" s="69">
        <f t="shared" ca="1" si="187"/>
        <v>-0.23220767953210067</v>
      </c>
      <c r="L821" s="69">
        <f t="shared" ca="1" si="187"/>
        <v>-9.681920558212101E-2</v>
      </c>
      <c r="N821" s="69">
        <f t="shared" ca="1" si="175"/>
        <v>0.4251999952666321</v>
      </c>
      <c r="O821" s="69">
        <f t="shared" ca="1" si="176"/>
        <v>-1.067105813554464</v>
      </c>
      <c r="P821" s="69">
        <f t="shared" ca="1" si="177"/>
        <v>-1.3669283101836798</v>
      </c>
      <c r="Q821" s="69">
        <f t="shared" ca="1" si="178"/>
        <v>0.70576405199588033</v>
      </c>
      <c r="R821" s="69">
        <f t="shared" ca="1" si="179"/>
        <v>1.0878853547182963</v>
      </c>
      <c r="S821" s="69">
        <f t="shared" ca="1" si="180"/>
        <v>1.9366564943742344</v>
      </c>
      <c r="T821" s="69">
        <f t="shared" ca="1" si="181"/>
        <v>-6.3822051451435671E-2</v>
      </c>
      <c r="U821" s="69">
        <f t="shared" ca="1" si="182"/>
        <v>1.1940361911554669</v>
      </c>
      <c r="V821" s="69">
        <f t="shared" ca="1" si="183"/>
        <v>0.12562495510815841</v>
      </c>
      <c r="W821" s="69">
        <f t="shared" ca="1" si="184"/>
        <v>-0.23122632270800172</v>
      </c>
      <c r="X821" s="69">
        <f t="shared" ca="1" si="185"/>
        <v>-6.9650715207685537E-2</v>
      </c>
    </row>
    <row r="822" spans="2:24" x14ac:dyDescent="0.2">
      <c r="B822" s="69">
        <f t="shared" ca="1" si="174"/>
        <v>0.64005276078830287</v>
      </c>
      <c r="C822" s="69">
        <f t="shared" ca="1" si="187"/>
        <v>-0.11764222230536318</v>
      </c>
      <c r="D822" s="69">
        <f t="shared" ca="1" si="187"/>
        <v>1.936163768907738</v>
      </c>
      <c r="E822" s="69">
        <f t="shared" ca="1" si="187"/>
        <v>-0.97551270929822209</v>
      </c>
      <c r="F822" s="69">
        <f t="shared" ca="1" si="187"/>
        <v>0.59086825281029731</v>
      </c>
      <c r="G822" s="69">
        <f t="shared" ca="1" si="187"/>
        <v>-0.52507799050226955</v>
      </c>
      <c r="H822" s="69">
        <f t="shared" ca="1" si="187"/>
        <v>-1.4618711465317052E-2</v>
      </c>
      <c r="I822" s="69">
        <f t="shared" ca="1" si="187"/>
        <v>0.88553748422269296</v>
      </c>
      <c r="J822" s="69">
        <f t="shared" ca="1" si="187"/>
        <v>0.52548047503918016</v>
      </c>
      <c r="K822" s="69">
        <f t="shared" ca="1" si="187"/>
        <v>0.6483395300415209</v>
      </c>
      <c r="L822" s="69">
        <f t="shared" ca="1" si="187"/>
        <v>0.80325193424899877</v>
      </c>
      <c r="N822" s="69">
        <f t="shared" ca="1" si="175"/>
        <v>0.6778208046264117</v>
      </c>
      <c r="O822" s="69">
        <f t="shared" ca="1" si="176"/>
        <v>-0.14413578538824987</v>
      </c>
      <c r="P822" s="69">
        <f t="shared" ca="1" si="177"/>
        <v>1.8784217040706479</v>
      </c>
      <c r="Q822" s="69">
        <f t="shared" ca="1" si="178"/>
        <v>-0.92640403043646313</v>
      </c>
      <c r="R822" s="69">
        <f t="shared" ca="1" si="179"/>
        <v>0.58457356740264843</v>
      </c>
      <c r="S822" s="69">
        <f t="shared" ca="1" si="180"/>
        <v>-0.49225101824546108</v>
      </c>
      <c r="T822" s="69">
        <f t="shared" ca="1" si="181"/>
        <v>-1.9449749180506896E-2</v>
      </c>
      <c r="U822" s="69">
        <f t="shared" ca="1" si="182"/>
        <v>0.90857761110040258</v>
      </c>
      <c r="V822" s="69">
        <f t="shared" ca="1" si="183"/>
        <v>0.51937088146558286</v>
      </c>
      <c r="W822" s="69">
        <f t="shared" ca="1" si="184"/>
        <v>0.64932088686561984</v>
      </c>
      <c r="X822" s="69">
        <f t="shared" ca="1" si="185"/>
        <v>0.83042042462343424</v>
      </c>
    </row>
    <row r="823" spans="2:24" x14ac:dyDescent="0.2">
      <c r="B823" s="69">
        <f t="shared" ca="1" si="174"/>
        <v>1.1968082523640025</v>
      </c>
      <c r="C823" s="69">
        <f t="shared" ca="1" si="187"/>
        <v>-0.59077351800513178</v>
      </c>
      <c r="D823" s="69">
        <f t="shared" ca="1" si="187"/>
        <v>-1.2638503453707246</v>
      </c>
      <c r="E823" s="69">
        <f t="shared" ca="1" si="187"/>
        <v>-0.95436711107983918</v>
      </c>
      <c r="F823" s="69">
        <f t="shared" ca="1" si="187"/>
        <v>-1.5063465516969345</v>
      </c>
      <c r="G823" s="69">
        <f t="shared" ca="1" si="187"/>
        <v>-0.1658493270261002</v>
      </c>
      <c r="H823" s="69">
        <f t="shared" ca="1" si="187"/>
        <v>-1.6781849141611109</v>
      </c>
      <c r="I823" s="69">
        <f t="shared" ca="1" si="187"/>
        <v>-1.3491242705827753</v>
      </c>
      <c r="J823" s="69">
        <f t="shared" ca="1" si="187"/>
        <v>0.3080979892923445</v>
      </c>
      <c r="K823" s="69">
        <f t="shared" ca="1" si="187"/>
        <v>-9.8580992523380678E-2</v>
      </c>
      <c r="L823" s="69">
        <f t="shared" ca="1" si="187"/>
        <v>-0.9331666146946711</v>
      </c>
      <c r="N823" s="69">
        <f t="shared" ca="1" si="175"/>
        <v>1.2345762962021112</v>
      </c>
      <c r="O823" s="69">
        <f t="shared" ca="1" si="176"/>
        <v>-0.61726708108801842</v>
      </c>
      <c r="P823" s="69">
        <f t="shared" ca="1" si="177"/>
        <v>-1.3215924102078147</v>
      </c>
      <c r="Q823" s="69">
        <f t="shared" ca="1" si="178"/>
        <v>-0.90525843221808022</v>
      </c>
      <c r="R823" s="69">
        <f t="shared" ca="1" si="179"/>
        <v>-1.5126412371045834</v>
      </c>
      <c r="S823" s="69">
        <f t="shared" ca="1" si="180"/>
        <v>-0.13302235476929172</v>
      </c>
      <c r="T823" s="69">
        <f t="shared" ca="1" si="181"/>
        <v>-1.6830159518763008</v>
      </c>
      <c r="U823" s="69">
        <f t="shared" ca="1" si="182"/>
        <v>-1.3260841437050657</v>
      </c>
      <c r="V823" s="69">
        <f t="shared" ca="1" si="183"/>
        <v>0.30198839571874719</v>
      </c>
      <c r="W823" s="69">
        <f t="shared" ca="1" si="184"/>
        <v>-9.7599635699281734E-2</v>
      </c>
      <c r="X823" s="69">
        <f t="shared" ca="1" si="185"/>
        <v>-0.90599812432023563</v>
      </c>
    </row>
    <row r="824" spans="2:24" x14ac:dyDescent="0.2">
      <c r="B824" s="69">
        <f t="shared" ca="1" si="174"/>
        <v>1.0954806172921479</v>
      </c>
      <c r="C824" s="69">
        <f t="shared" ca="1" si="187"/>
        <v>-0.97753680515161634</v>
      </c>
      <c r="D824" s="69">
        <f t="shared" ca="1" si="187"/>
        <v>1.4682448500551795E-2</v>
      </c>
      <c r="E824" s="69">
        <f t="shared" ca="1" si="187"/>
        <v>2.005412319961394</v>
      </c>
      <c r="F824" s="69">
        <f t="shared" ca="1" si="187"/>
        <v>6.8178801700512423E-2</v>
      </c>
      <c r="G824" s="69">
        <f t="shared" ca="1" si="187"/>
        <v>-0.97146810159671004</v>
      </c>
      <c r="H824" s="69">
        <f t="shared" ca="1" si="187"/>
        <v>0.10872901850925898</v>
      </c>
      <c r="I824" s="69">
        <f t="shared" ca="1" si="187"/>
        <v>1.9033934661837977</v>
      </c>
      <c r="J824" s="69">
        <f t="shared" ca="1" si="187"/>
        <v>1.2968045751626542</v>
      </c>
      <c r="K824" s="69">
        <f t="shared" ca="1" si="187"/>
        <v>-8.1764467948143127E-2</v>
      </c>
      <c r="L824" s="69">
        <f t="shared" ca="1" si="187"/>
        <v>1.9376299727027748</v>
      </c>
      <c r="N824" s="69">
        <f t="shared" ca="1" si="175"/>
        <v>1.1332486611302566</v>
      </c>
      <c r="O824" s="69">
        <f t="shared" ca="1" si="176"/>
        <v>-1.0040303682345031</v>
      </c>
      <c r="P824" s="69">
        <f t="shared" ca="1" si="177"/>
        <v>-4.3059616336538237E-2</v>
      </c>
      <c r="Q824" s="69">
        <f t="shared" ca="1" si="178"/>
        <v>2.0545209988231528</v>
      </c>
      <c r="R824" s="69">
        <f t="shared" ca="1" si="179"/>
        <v>6.1884116292863528E-2</v>
      </c>
      <c r="S824" s="69">
        <f t="shared" ca="1" si="180"/>
        <v>-0.93864112933990151</v>
      </c>
      <c r="T824" s="69">
        <f t="shared" ca="1" si="181"/>
        <v>0.10389798079406913</v>
      </c>
      <c r="U824" s="69">
        <f t="shared" ca="1" si="182"/>
        <v>1.9264335930615073</v>
      </c>
      <c r="V824" s="69">
        <f t="shared" ca="1" si="183"/>
        <v>1.2906949815890569</v>
      </c>
      <c r="W824" s="69">
        <f t="shared" ca="1" si="184"/>
        <v>-8.0783111124044182E-2</v>
      </c>
      <c r="X824" s="69">
        <f t="shared" ca="1" si="185"/>
        <v>1.9647984630772104</v>
      </c>
    </row>
    <row r="825" spans="2:24" x14ac:dyDescent="0.2">
      <c r="B825" s="69">
        <f t="shared" ca="1" si="174"/>
        <v>-0.27229205561913516</v>
      </c>
      <c r="C825" s="69">
        <f t="shared" ca="1" si="187"/>
        <v>2.4257599977752755</v>
      </c>
      <c r="D825" s="69">
        <f t="shared" ca="1" si="187"/>
        <v>-1.7404283555503346</v>
      </c>
      <c r="E825" s="69">
        <f t="shared" ca="1" si="187"/>
        <v>-0.26479690676553735</v>
      </c>
      <c r="F825" s="69">
        <f t="shared" ca="1" si="187"/>
        <v>0.48103332969061385</v>
      </c>
      <c r="G825" s="69">
        <f t="shared" ca="1" si="187"/>
        <v>-0.82284812090158344</v>
      </c>
      <c r="H825" s="69">
        <f t="shared" ca="1" si="187"/>
        <v>-1.695854697839581</v>
      </c>
      <c r="I825" s="69">
        <f t="shared" ca="1" si="187"/>
        <v>0.6719201393481371</v>
      </c>
      <c r="J825" s="69">
        <f t="shared" ca="1" si="187"/>
        <v>0.34970944059788717</v>
      </c>
      <c r="K825" s="69">
        <f t="shared" ca="1" si="187"/>
        <v>0.71390342898257042</v>
      </c>
      <c r="L825" s="69">
        <f t="shared" ca="1" si="187"/>
        <v>0.80218024323740345</v>
      </c>
      <c r="N825" s="69">
        <f t="shared" ca="1" si="175"/>
        <v>-0.23452401178102633</v>
      </c>
      <c r="O825" s="69">
        <f t="shared" ca="1" si="176"/>
        <v>2.3992664346923886</v>
      </c>
      <c r="P825" s="69">
        <f t="shared" ca="1" si="177"/>
        <v>-1.7981704203874247</v>
      </c>
      <c r="Q825" s="69">
        <f t="shared" ca="1" si="178"/>
        <v>-0.2156882279037784</v>
      </c>
      <c r="R825" s="69">
        <f t="shared" ca="1" si="179"/>
        <v>0.47473864428296497</v>
      </c>
      <c r="S825" s="69">
        <f t="shared" ca="1" si="180"/>
        <v>-0.79002114864477491</v>
      </c>
      <c r="T825" s="69">
        <f t="shared" ca="1" si="181"/>
        <v>-1.7006857355547709</v>
      </c>
      <c r="U825" s="69">
        <f t="shared" ca="1" si="182"/>
        <v>0.69496026622584672</v>
      </c>
      <c r="V825" s="69">
        <f t="shared" ca="1" si="183"/>
        <v>0.34359984702428986</v>
      </c>
      <c r="W825" s="69">
        <f t="shared" ca="1" si="184"/>
        <v>0.71488478580666937</v>
      </c>
      <c r="X825" s="69">
        <f t="shared" ca="1" si="185"/>
        <v>0.82934873361183892</v>
      </c>
    </row>
    <row r="826" spans="2:24" x14ac:dyDescent="0.2">
      <c r="B826" s="69">
        <f t="shared" ca="1" si="174"/>
        <v>-0.83099148957290969</v>
      </c>
      <c r="C826" s="69">
        <f t="shared" ca="1" si="187"/>
        <v>-0.67793822300634321</v>
      </c>
      <c r="D826" s="69">
        <f t="shared" ca="1" si="187"/>
        <v>2.2229158415163321</v>
      </c>
      <c r="E826" s="69">
        <f t="shared" ca="1" si="187"/>
        <v>0.23558648091870749</v>
      </c>
      <c r="F826" s="69">
        <f t="shared" ca="1" si="187"/>
        <v>-0.26154075584352682</v>
      </c>
      <c r="G826" s="69">
        <f t="shared" ca="1" si="187"/>
        <v>-0.99524286118533911</v>
      </c>
      <c r="H826" s="69">
        <f t="shared" ca="1" si="187"/>
        <v>-0.46331405714900392</v>
      </c>
      <c r="I826" s="69">
        <f t="shared" ca="1" si="187"/>
        <v>-0.70083856837646885</v>
      </c>
      <c r="J826" s="69">
        <f t="shared" ca="1" si="187"/>
        <v>-0.74003630665676901</v>
      </c>
      <c r="K826" s="69">
        <f t="shared" ca="1" si="187"/>
        <v>-0.62012123018669907</v>
      </c>
      <c r="L826" s="69">
        <f t="shared" ca="1" si="187"/>
        <v>-0.71038355328143554</v>
      </c>
      <c r="N826" s="69">
        <f t="shared" ca="1" si="175"/>
        <v>-0.79322344573480086</v>
      </c>
      <c r="O826" s="69">
        <f t="shared" ca="1" si="176"/>
        <v>-0.70443178608922985</v>
      </c>
      <c r="P826" s="69">
        <f t="shared" ca="1" si="177"/>
        <v>2.165173776679242</v>
      </c>
      <c r="Q826" s="69">
        <f t="shared" ca="1" si="178"/>
        <v>0.28469515978046644</v>
      </c>
      <c r="R826" s="69">
        <f t="shared" ca="1" si="179"/>
        <v>-0.2678354412511757</v>
      </c>
      <c r="S826" s="69">
        <f t="shared" ca="1" si="180"/>
        <v>-0.96241588892853058</v>
      </c>
      <c r="T826" s="69">
        <f t="shared" ca="1" si="181"/>
        <v>-0.46814509486419376</v>
      </c>
      <c r="U826" s="69">
        <f t="shared" ca="1" si="182"/>
        <v>-0.67779844149875923</v>
      </c>
      <c r="V826" s="69">
        <f t="shared" ca="1" si="183"/>
        <v>-0.74614590023036631</v>
      </c>
      <c r="W826" s="69">
        <f t="shared" ca="1" si="184"/>
        <v>-0.61913987336260012</v>
      </c>
      <c r="X826" s="69">
        <f t="shared" ca="1" si="185"/>
        <v>-0.68321506290700007</v>
      </c>
    </row>
    <row r="827" spans="2:24" x14ac:dyDescent="0.2">
      <c r="B827" s="69">
        <f t="shared" ca="1" si="174"/>
        <v>-1.0807098312629151</v>
      </c>
      <c r="C827" s="69">
        <f t="shared" ca="1" si="187"/>
        <v>-0.1112389848863256</v>
      </c>
      <c r="D827" s="69">
        <f t="shared" ca="1" si="187"/>
        <v>0.89237041878233303</v>
      </c>
      <c r="E827" s="69">
        <f t="shared" ca="1" si="187"/>
        <v>-0.21043384039594606</v>
      </c>
      <c r="F827" s="69">
        <f t="shared" ca="1" si="187"/>
        <v>-1.31751449757967</v>
      </c>
      <c r="G827" s="69">
        <f t="shared" ca="1" si="187"/>
        <v>-1.1973125511436113</v>
      </c>
      <c r="H827" s="69">
        <f t="shared" ca="1" si="187"/>
        <v>-1.3695316173962213</v>
      </c>
      <c r="I827" s="69">
        <f t="shared" ca="1" si="187"/>
        <v>2.4925549850916186E-2</v>
      </c>
      <c r="J827" s="69">
        <f t="shared" ca="1" si="187"/>
        <v>1.6695220769520547</v>
      </c>
      <c r="K827" s="69">
        <f t="shared" ca="1" si="187"/>
        <v>1.4365625793941041</v>
      </c>
      <c r="L827" s="69">
        <f t="shared" ca="1" si="187"/>
        <v>-0.13495461387324623</v>
      </c>
      <c r="N827" s="69">
        <f t="shared" ca="1" si="175"/>
        <v>-1.0429417874248064</v>
      </c>
      <c r="O827" s="69">
        <f t="shared" ca="1" si="176"/>
        <v>-0.13773254796921228</v>
      </c>
      <c r="P827" s="69">
        <f t="shared" ca="1" si="177"/>
        <v>0.83462835394524304</v>
      </c>
      <c r="Q827" s="69">
        <f t="shared" ca="1" si="178"/>
        <v>-0.16132516153418713</v>
      </c>
      <c r="R827" s="69">
        <f t="shared" ca="1" si="179"/>
        <v>-1.3238091829873189</v>
      </c>
      <c r="S827" s="69">
        <f t="shared" ca="1" si="180"/>
        <v>-1.1644855788868029</v>
      </c>
      <c r="T827" s="69">
        <f t="shared" ca="1" si="181"/>
        <v>-1.3743626551114112</v>
      </c>
      <c r="U827" s="69">
        <f t="shared" ca="1" si="182"/>
        <v>4.7965676728625839E-2</v>
      </c>
      <c r="V827" s="69">
        <f t="shared" ca="1" si="183"/>
        <v>1.6634124833784574</v>
      </c>
      <c r="W827" s="69">
        <f t="shared" ca="1" si="184"/>
        <v>1.4375439362182032</v>
      </c>
      <c r="X827" s="69">
        <f t="shared" ca="1" si="185"/>
        <v>-0.10778612349881075</v>
      </c>
    </row>
    <row r="828" spans="2:24" x14ac:dyDescent="0.2">
      <c r="B828" s="69">
        <f t="shared" ca="1" si="174"/>
        <v>-0.61577087672414343</v>
      </c>
      <c r="C828" s="69">
        <f t="shared" ca="1" si="187"/>
        <v>1.23072087372775</v>
      </c>
      <c r="D828" s="69">
        <f t="shared" ca="1" si="187"/>
        <v>-3.2073584789138833E-2</v>
      </c>
      <c r="E828" s="69">
        <f t="shared" ca="1" si="187"/>
        <v>-1.0524213602770482</v>
      </c>
      <c r="F828" s="69">
        <f t="shared" ca="1" si="187"/>
        <v>-0.84046213663743474</v>
      </c>
      <c r="G828" s="69">
        <f t="shared" ca="1" si="187"/>
        <v>0.4894830119941736</v>
      </c>
      <c r="H828" s="69">
        <f t="shared" ca="1" si="187"/>
        <v>-0.78605113207760546</v>
      </c>
      <c r="I828" s="69">
        <f t="shared" ca="1" si="187"/>
        <v>-1.3085937180232887</v>
      </c>
      <c r="J828" s="69">
        <f t="shared" ca="1" si="187"/>
        <v>-1.1225025303841181</v>
      </c>
      <c r="K828" s="69">
        <f t="shared" ca="1" si="187"/>
        <v>1.2143560986922228</v>
      </c>
      <c r="L828" s="69">
        <f t="shared" ca="1" si="187"/>
        <v>-0.12635561930696157</v>
      </c>
      <c r="N828" s="69">
        <f t="shared" ca="1" si="175"/>
        <v>-0.5780028328860346</v>
      </c>
      <c r="O828" s="69">
        <f t="shared" ca="1" si="176"/>
        <v>1.2042273106448633</v>
      </c>
      <c r="P828" s="69">
        <f t="shared" ca="1" si="177"/>
        <v>-8.9815649626228872E-2</v>
      </c>
      <c r="Q828" s="69">
        <f t="shared" ca="1" si="178"/>
        <v>-1.0033126814152893</v>
      </c>
      <c r="R828" s="69">
        <f t="shared" ca="1" si="179"/>
        <v>-0.84675682204508362</v>
      </c>
      <c r="S828" s="69">
        <f t="shared" ca="1" si="180"/>
        <v>0.52230998425098207</v>
      </c>
      <c r="T828" s="69">
        <f t="shared" ca="1" si="181"/>
        <v>-0.79088216979279535</v>
      </c>
      <c r="U828" s="69">
        <f t="shared" ca="1" si="182"/>
        <v>-1.2855535911455791</v>
      </c>
      <c r="V828" s="69">
        <f t="shared" ca="1" si="183"/>
        <v>-1.1286121239577154</v>
      </c>
      <c r="W828" s="69">
        <f t="shared" ca="1" si="184"/>
        <v>1.2153374555163219</v>
      </c>
      <c r="X828" s="69">
        <f t="shared" ca="1" si="185"/>
        <v>-9.9187128932526097E-2</v>
      </c>
    </row>
    <row r="829" spans="2:24" x14ac:dyDescent="0.2">
      <c r="B829" s="69">
        <f t="shared" ca="1" si="174"/>
        <v>0.73487092738237503</v>
      </c>
      <c r="C829" s="69">
        <f t="shared" ca="1" si="187"/>
        <v>1.1528648779652555</v>
      </c>
      <c r="D829" s="69">
        <f t="shared" ca="1" si="187"/>
        <v>-0.57147038257523874</v>
      </c>
      <c r="E829" s="69">
        <f t="shared" ca="1" si="187"/>
        <v>-1.2985515817695359</v>
      </c>
      <c r="F829" s="69">
        <f t="shared" ca="1" si="187"/>
        <v>-0.44292651849100612</v>
      </c>
      <c r="G829" s="69">
        <f t="shared" ca="1" si="187"/>
        <v>0.37529728529051815</v>
      </c>
      <c r="H829" s="69">
        <f t="shared" ca="1" si="187"/>
        <v>2.1234356171904385</v>
      </c>
      <c r="I829" s="69">
        <f t="shared" ca="1" si="187"/>
        <v>-1.3214875563195756</v>
      </c>
      <c r="J829" s="69">
        <f t="shared" ca="1" si="187"/>
        <v>-0.38886814450751089</v>
      </c>
      <c r="K829" s="69">
        <f t="shared" ca="1" si="187"/>
        <v>0.69154743237589722</v>
      </c>
      <c r="L829" s="69">
        <f t="shared" ca="1" si="187"/>
        <v>0.36624130187053111</v>
      </c>
      <c r="N829" s="69">
        <f t="shared" ca="1" si="175"/>
        <v>0.77263897122048386</v>
      </c>
      <c r="O829" s="69">
        <f t="shared" ca="1" si="176"/>
        <v>1.1263713148823689</v>
      </c>
      <c r="P829" s="69">
        <f t="shared" ca="1" si="177"/>
        <v>-0.62921244741232873</v>
      </c>
      <c r="Q829" s="69">
        <f t="shared" ca="1" si="178"/>
        <v>-1.2494429029077769</v>
      </c>
      <c r="R829" s="69">
        <f t="shared" ca="1" si="179"/>
        <v>-0.449221203898655</v>
      </c>
      <c r="S829" s="69">
        <f t="shared" ca="1" si="180"/>
        <v>0.40812425754732662</v>
      </c>
      <c r="T829" s="69">
        <f t="shared" ca="1" si="181"/>
        <v>2.1186045794752486</v>
      </c>
      <c r="U829" s="69">
        <f t="shared" ca="1" si="182"/>
        <v>-1.298447429441866</v>
      </c>
      <c r="V829" s="69">
        <f t="shared" ca="1" si="183"/>
        <v>-0.3949777380811082</v>
      </c>
      <c r="W829" s="69">
        <f t="shared" ca="1" si="184"/>
        <v>0.69252878919999616</v>
      </c>
      <c r="X829" s="69">
        <f t="shared" ca="1" si="185"/>
        <v>0.39340979224496658</v>
      </c>
    </row>
    <row r="830" spans="2:24" x14ac:dyDescent="0.2">
      <c r="B830" s="69">
        <f t="shared" ca="1" si="174"/>
        <v>-1.5913951688413875E-3</v>
      </c>
      <c r="C830" s="69">
        <f t="shared" ca="1" si="187"/>
        <v>0.29444745894098695</v>
      </c>
      <c r="D830" s="69">
        <f t="shared" ca="1" si="187"/>
        <v>0.69325997491194291</v>
      </c>
      <c r="E830" s="69">
        <f t="shared" ca="1" si="187"/>
        <v>0.28973102905792097</v>
      </c>
      <c r="F830" s="69">
        <f t="shared" ca="1" si="187"/>
        <v>0.13763408965463003</v>
      </c>
      <c r="G830" s="69">
        <f t="shared" ca="1" si="187"/>
        <v>0.73775302432913692</v>
      </c>
      <c r="H830" s="69">
        <f t="shared" ca="1" si="187"/>
        <v>-0.15795356958077694</v>
      </c>
      <c r="I830" s="69">
        <f t="shared" ca="1" si="187"/>
        <v>-0.59982959491688703</v>
      </c>
      <c r="J830" s="69">
        <f t="shared" ca="1" si="187"/>
        <v>-1.3812350885244784</v>
      </c>
      <c r="K830" s="69">
        <f t="shared" ca="1" si="187"/>
        <v>2.2957101877438628</v>
      </c>
      <c r="L830" s="69">
        <f t="shared" ca="1" si="187"/>
        <v>0.34544131088227642</v>
      </c>
      <c r="N830" s="69">
        <f t="shared" ca="1" si="175"/>
        <v>3.6176648669267432E-2</v>
      </c>
      <c r="O830" s="69">
        <f t="shared" ca="1" si="176"/>
        <v>0.26795389585810026</v>
      </c>
      <c r="P830" s="69">
        <f t="shared" ca="1" si="177"/>
        <v>0.63551791007485292</v>
      </c>
      <c r="Q830" s="69">
        <f t="shared" ca="1" si="178"/>
        <v>0.33883970791967993</v>
      </c>
      <c r="R830" s="69">
        <f t="shared" ca="1" si="179"/>
        <v>0.13133940424698112</v>
      </c>
      <c r="S830" s="69">
        <f t="shared" ca="1" si="180"/>
        <v>0.77057999658594545</v>
      </c>
      <c r="T830" s="69">
        <f t="shared" ca="1" si="181"/>
        <v>-0.16278460729596678</v>
      </c>
      <c r="U830" s="69">
        <f t="shared" ca="1" si="182"/>
        <v>-0.57678946803917741</v>
      </c>
      <c r="V830" s="69">
        <f t="shared" ca="1" si="183"/>
        <v>-1.3873446820980757</v>
      </c>
      <c r="W830" s="69">
        <f t="shared" ca="1" si="184"/>
        <v>2.2966915445679619</v>
      </c>
      <c r="X830" s="69">
        <f t="shared" ca="1" si="185"/>
        <v>0.37260980125671189</v>
      </c>
    </row>
    <row r="831" spans="2:24" x14ac:dyDescent="0.2">
      <c r="B831" s="69">
        <f t="shared" ca="1" si="174"/>
        <v>1.3247101349202666</v>
      </c>
      <c r="C831" s="69">
        <f t="shared" ca="1" si="187"/>
        <v>1.0101436450264318</v>
      </c>
      <c r="D831" s="69">
        <f t="shared" ca="1" si="187"/>
        <v>-0.51758421004534572</v>
      </c>
      <c r="E831" s="69">
        <f t="shared" ca="1" si="187"/>
        <v>0.53638882007261868</v>
      </c>
      <c r="F831" s="69">
        <f t="shared" ca="1" si="187"/>
        <v>0.61776799773944613</v>
      </c>
      <c r="G831" s="69">
        <f t="shared" ca="1" si="187"/>
        <v>-1.0311790384274415</v>
      </c>
      <c r="H831" s="69">
        <f t="shared" ca="1" si="187"/>
        <v>-0.28000519830404791</v>
      </c>
      <c r="I831" s="69">
        <f t="shared" ca="1" si="187"/>
        <v>2.1263491843341611</v>
      </c>
      <c r="J831" s="69">
        <f t="shared" ca="1" si="187"/>
        <v>1.4391342199165089</v>
      </c>
      <c r="K831" s="69">
        <f t="shared" ca="1" si="187"/>
        <v>0.94403476384728513</v>
      </c>
      <c r="L831" s="69">
        <f t="shared" ca="1" si="187"/>
        <v>-2.1078907004583314E-2</v>
      </c>
      <c r="N831" s="69">
        <f t="shared" ca="1" si="175"/>
        <v>1.3624781787583753</v>
      </c>
      <c r="O831" s="69">
        <f t="shared" ca="1" si="176"/>
        <v>0.9836500819435452</v>
      </c>
      <c r="P831" s="69">
        <f t="shared" ca="1" si="177"/>
        <v>-0.57532627488243571</v>
      </c>
      <c r="Q831" s="69">
        <f t="shared" ca="1" si="178"/>
        <v>0.58549749893437764</v>
      </c>
      <c r="R831" s="69">
        <f t="shared" ca="1" si="179"/>
        <v>0.61147331233179725</v>
      </c>
      <c r="S831" s="69">
        <f t="shared" ca="1" si="180"/>
        <v>-0.99835206617063299</v>
      </c>
      <c r="T831" s="69">
        <f t="shared" ca="1" si="181"/>
        <v>-0.28483623601923774</v>
      </c>
      <c r="U831" s="69">
        <f t="shared" ca="1" si="182"/>
        <v>2.1493893112118707</v>
      </c>
      <c r="V831" s="69">
        <f t="shared" ca="1" si="183"/>
        <v>1.4330246263429116</v>
      </c>
      <c r="W831" s="69">
        <f t="shared" ca="1" si="184"/>
        <v>0.94501612067138407</v>
      </c>
      <c r="X831" s="69">
        <f t="shared" ca="1" si="185"/>
        <v>6.0895833698521654E-3</v>
      </c>
    </row>
    <row r="832" spans="2:24" x14ac:dyDescent="0.2">
      <c r="B832" s="69">
        <f t="shared" ca="1" si="174"/>
        <v>1.8030898537501097</v>
      </c>
      <c r="C832" s="69">
        <f t="shared" ca="1" si="187"/>
        <v>-0.7519716634281951</v>
      </c>
      <c r="D832" s="69">
        <f t="shared" ca="1" si="187"/>
        <v>1.3333407842231084</v>
      </c>
      <c r="E832" s="69">
        <f t="shared" ca="1" si="187"/>
        <v>1.2229027623193867</v>
      </c>
      <c r="F832" s="69">
        <f t="shared" ca="1" si="187"/>
        <v>-8.2718371784219452E-2</v>
      </c>
      <c r="G832" s="69">
        <f t="shared" ca="1" si="187"/>
        <v>-1.3091944155023223</v>
      </c>
      <c r="H832" s="69">
        <f t="shared" ca="1" si="187"/>
        <v>-2.0220938553659624</v>
      </c>
      <c r="I832" s="69">
        <f t="shared" ca="1" si="187"/>
        <v>0.21801885928936393</v>
      </c>
      <c r="J832" s="69">
        <f t="shared" ca="1" si="187"/>
        <v>-1.5777457291516144</v>
      </c>
      <c r="K832" s="69">
        <f t="shared" ca="1" si="187"/>
        <v>0.28282835649476185</v>
      </c>
      <c r="L832" s="69">
        <f t="shared" ca="1" si="187"/>
        <v>-0.17905402122571304</v>
      </c>
      <c r="N832" s="69">
        <f t="shared" ca="1" si="175"/>
        <v>1.8408578975882184</v>
      </c>
      <c r="O832" s="69">
        <f t="shared" ca="1" si="176"/>
        <v>-0.77846522651108174</v>
      </c>
      <c r="P832" s="69">
        <f t="shared" ca="1" si="177"/>
        <v>1.2755987193860183</v>
      </c>
      <c r="Q832" s="69">
        <f t="shared" ca="1" si="178"/>
        <v>1.2720114411811456</v>
      </c>
      <c r="R832" s="69">
        <f t="shared" ca="1" si="179"/>
        <v>-8.9013057191868347E-2</v>
      </c>
      <c r="S832" s="69">
        <f t="shared" ca="1" si="180"/>
        <v>-1.2763674432455139</v>
      </c>
      <c r="T832" s="69">
        <f t="shared" ca="1" si="181"/>
        <v>-2.0269248930811523</v>
      </c>
      <c r="U832" s="69">
        <f t="shared" ca="1" si="182"/>
        <v>0.24105898616707358</v>
      </c>
      <c r="V832" s="69">
        <f t="shared" ca="1" si="183"/>
        <v>-1.5838553227252117</v>
      </c>
      <c r="W832" s="69">
        <f t="shared" ca="1" si="184"/>
        <v>0.28380971331886079</v>
      </c>
      <c r="X832" s="69">
        <f t="shared" ca="1" si="185"/>
        <v>-0.15188553085127757</v>
      </c>
    </row>
    <row r="833" spans="2:24" x14ac:dyDescent="0.2">
      <c r="B833" s="69">
        <f t="shared" ca="1" si="174"/>
        <v>-8.0535735265094097E-2</v>
      </c>
      <c r="C833" s="69">
        <f t="shared" ca="1" si="187"/>
        <v>-6.9096565385008647E-3</v>
      </c>
      <c r="D833" s="69">
        <f t="shared" ca="1" si="187"/>
        <v>-0.14401058909924516</v>
      </c>
      <c r="E833" s="69">
        <f t="shared" ca="1" si="187"/>
        <v>5.5633355904277801E-2</v>
      </c>
      <c r="F833" s="69">
        <f t="shared" ca="1" si="187"/>
        <v>-0.56492789934128673</v>
      </c>
      <c r="G833" s="69">
        <f t="shared" ca="1" si="187"/>
        <v>-0.48800441989986959</v>
      </c>
      <c r="H833" s="69">
        <f t="shared" ca="1" si="187"/>
        <v>2.9498416167313639</v>
      </c>
      <c r="I833" s="69">
        <f t="shared" ca="1" si="187"/>
        <v>-1.0144457623842851</v>
      </c>
      <c r="J833" s="69">
        <f t="shared" ca="1" si="187"/>
        <v>-0.14420571805523535</v>
      </c>
      <c r="K833" s="69">
        <f t="shared" ca="1" si="187"/>
        <v>0.60034048832134967</v>
      </c>
      <c r="L833" s="69">
        <f t="shared" ca="1" si="187"/>
        <v>-0.26172183522666997</v>
      </c>
      <c r="N833" s="69">
        <f t="shared" ca="1" si="175"/>
        <v>-4.2767691426985277E-2</v>
      </c>
      <c r="O833" s="69">
        <f t="shared" ca="1" si="176"/>
        <v>-3.340321962138755E-2</v>
      </c>
      <c r="P833" s="69">
        <f t="shared" ca="1" si="177"/>
        <v>-0.20175265393633518</v>
      </c>
      <c r="Q833" s="69">
        <f t="shared" ca="1" si="178"/>
        <v>0.10474203476603675</v>
      </c>
      <c r="R833" s="69">
        <f t="shared" ca="1" si="179"/>
        <v>-0.57122258474893561</v>
      </c>
      <c r="S833" s="69">
        <f t="shared" ca="1" si="180"/>
        <v>-0.45517744764306112</v>
      </c>
      <c r="T833" s="69">
        <f t="shared" ca="1" si="181"/>
        <v>2.945010579016174</v>
      </c>
      <c r="U833" s="69">
        <f t="shared" ca="1" si="182"/>
        <v>-0.99140563550657546</v>
      </c>
      <c r="V833" s="69">
        <f t="shared" ca="1" si="183"/>
        <v>-0.15031531162883269</v>
      </c>
      <c r="W833" s="69">
        <f t="shared" ca="1" si="184"/>
        <v>0.60132184514544862</v>
      </c>
      <c r="X833" s="69">
        <f t="shared" ca="1" si="185"/>
        <v>-0.2345533448522345</v>
      </c>
    </row>
    <row r="834" spans="2:24" x14ac:dyDescent="0.2">
      <c r="B834" s="69">
        <f t="shared" ca="1" si="174"/>
        <v>-1.0555951663401455</v>
      </c>
      <c r="C834" s="69">
        <f t="shared" ca="1" si="187"/>
        <v>-0.76390319701995602</v>
      </c>
      <c r="D834" s="69">
        <f t="shared" ca="1" si="187"/>
        <v>-0.10360203845640718</v>
      </c>
      <c r="E834" s="69">
        <f t="shared" ca="1" si="187"/>
        <v>-1.0505385709985822</v>
      </c>
      <c r="F834" s="69">
        <f t="shared" ca="1" si="187"/>
        <v>0.92783958584132065</v>
      </c>
      <c r="G834" s="69">
        <f t="shared" ca="1" si="187"/>
        <v>-1.4177338025268835</v>
      </c>
      <c r="H834" s="69">
        <f t="shared" ca="1" si="187"/>
        <v>-6.8561865075360981E-2</v>
      </c>
      <c r="I834" s="69">
        <f t="shared" ref="C834:L897" ca="1" si="188">NORMINV(RAND(),$C$7,$F$7)</f>
        <v>-0.22833692528416169</v>
      </c>
      <c r="J834" s="69">
        <f t="shared" ca="1" si="188"/>
        <v>0.48257327430241337</v>
      </c>
      <c r="K834" s="69">
        <f t="shared" ca="1" si="188"/>
        <v>1.1655357044691494</v>
      </c>
      <c r="L834" s="69">
        <f t="shared" ca="1" si="188"/>
        <v>-9.2290616329168837E-2</v>
      </c>
      <c r="N834" s="69">
        <f t="shared" ca="1" si="175"/>
        <v>-1.0178271225020368</v>
      </c>
      <c r="O834" s="69">
        <f t="shared" ca="1" si="176"/>
        <v>-0.79039676010284265</v>
      </c>
      <c r="P834" s="69">
        <f t="shared" ca="1" si="177"/>
        <v>-0.16134410329349722</v>
      </c>
      <c r="Q834" s="69">
        <f t="shared" ca="1" si="178"/>
        <v>-1.0014298921368232</v>
      </c>
      <c r="R834" s="69">
        <f t="shared" ca="1" si="179"/>
        <v>0.92154490043367177</v>
      </c>
      <c r="S834" s="69">
        <f t="shared" ca="1" si="180"/>
        <v>-1.3849068302700751</v>
      </c>
      <c r="T834" s="69">
        <f t="shared" ca="1" si="181"/>
        <v>-7.3392902790550829E-2</v>
      </c>
      <c r="U834" s="69">
        <f t="shared" ca="1" si="182"/>
        <v>-0.20529679840645204</v>
      </c>
      <c r="V834" s="69">
        <f t="shared" ca="1" si="183"/>
        <v>0.47646368072881606</v>
      </c>
      <c r="W834" s="69">
        <f t="shared" ca="1" si="184"/>
        <v>1.1665170612932485</v>
      </c>
      <c r="X834" s="69">
        <f t="shared" ca="1" si="185"/>
        <v>-6.5122125954733351E-2</v>
      </c>
    </row>
    <row r="835" spans="2:24" x14ac:dyDescent="0.2">
      <c r="B835" s="69">
        <f t="shared" ca="1" si="174"/>
        <v>1.1621534132782037</v>
      </c>
      <c r="C835" s="69">
        <f t="shared" ca="1" si="188"/>
        <v>2.355847067441891</v>
      </c>
      <c r="D835" s="69">
        <f t="shared" ca="1" si="188"/>
        <v>1.1285963454561223</v>
      </c>
      <c r="E835" s="69">
        <f t="shared" ca="1" si="188"/>
        <v>1.3900956027270848</v>
      </c>
      <c r="F835" s="69">
        <f t="shared" ca="1" si="188"/>
        <v>-0.75867200524916611</v>
      </c>
      <c r="G835" s="69">
        <f t="shared" ca="1" si="188"/>
        <v>0.19299618364253165</v>
      </c>
      <c r="H835" s="69">
        <f t="shared" ca="1" si="188"/>
        <v>-0.21349239358590411</v>
      </c>
      <c r="I835" s="69">
        <f t="shared" ca="1" si="188"/>
        <v>-1.914609364765566</v>
      </c>
      <c r="J835" s="69">
        <f t="shared" ca="1" si="188"/>
        <v>-0.35334755666114614</v>
      </c>
      <c r="K835" s="69">
        <f t="shared" ca="1" si="188"/>
        <v>0.42316858331338386</v>
      </c>
      <c r="L835" s="69">
        <f t="shared" ca="1" si="188"/>
        <v>1.1666217509614769</v>
      </c>
      <c r="N835" s="69">
        <f t="shared" ca="1" si="175"/>
        <v>1.1999214571163124</v>
      </c>
      <c r="O835" s="69">
        <f t="shared" ca="1" si="176"/>
        <v>2.3293535043590041</v>
      </c>
      <c r="P835" s="69">
        <f t="shared" ca="1" si="177"/>
        <v>1.0708542806190322</v>
      </c>
      <c r="Q835" s="69">
        <f t="shared" ca="1" si="178"/>
        <v>1.4392042815888437</v>
      </c>
      <c r="R835" s="69">
        <f t="shared" ca="1" si="179"/>
        <v>-0.764966690656815</v>
      </c>
      <c r="S835" s="69">
        <f t="shared" ca="1" si="180"/>
        <v>0.22582315589934013</v>
      </c>
      <c r="T835" s="69">
        <f t="shared" ca="1" si="181"/>
        <v>-0.21832343130109394</v>
      </c>
      <c r="U835" s="69">
        <f t="shared" ca="1" si="182"/>
        <v>-1.8915692378878564</v>
      </c>
      <c r="V835" s="69">
        <f t="shared" ca="1" si="183"/>
        <v>-0.35945715023474345</v>
      </c>
      <c r="W835" s="69">
        <f t="shared" ca="1" si="184"/>
        <v>0.42414994013748281</v>
      </c>
      <c r="X835" s="69">
        <f t="shared" ca="1" si="185"/>
        <v>1.1937902413359125</v>
      </c>
    </row>
    <row r="836" spans="2:24" x14ac:dyDescent="0.2">
      <c r="B836" s="69">
        <f t="shared" ca="1" si="174"/>
        <v>0.63510143272684805</v>
      </c>
      <c r="C836" s="69">
        <f t="shared" ca="1" si="188"/>
        <v>-7.1524037660965559E-2</v>
      </c>
      <c r="D836" s="69">
        <f t="shared" ca="1" si="188"/>
        <v>0.77553440704919685</v>
      </c>
      <c r="E836" s="69">
        <f t="shared" ca="1" si="188"/>
        <v>0.18454329297606173</v>
      </c>
      <c r="F836" s="69">
        <f t="shared" ca="1" si="188"/>
        <v>-0.7703737437272391</v>
      </c>
      <c r="G836" s="69">
        <f t="shared" ca="1" si="188"/>
        <v>-4.5431585377227095E-3</v>
      </c>
      <c r="H836" s="69">
        <f t="shared" ca="1" si="188"/>
        <v>8.8032878783956894E-2</v>
      </c>
      <c r="I836" s="69">
        <f t="shared" ca="1" si="188"/>
        <v>-1.4948072597322457</v>
      </c>
      <c r="J836" s="69">
        <f t="shared" ca="1" si="188"/>
        <v>-0.28653230182081818</v>
      </c>
      <c r="K836" s="69">
        <f t="shared" ca="1" si="188"/>
        <v>0.28211829220986828</v>
      </c>
      <c r="L836" s="69">
        <f t="shared" ca="1" si="188"/>
        <v>1.4063580522045415E-2</v>
      </c>
      <c r="N836" s="69">
        <f t="shared" ca="1" si="175"/>
        <v>0.67286947656495688</v>
      </c>
      <c r="O836" s="69">
        <f t="shared" ca="1" si="176"/>
        <v>-9.801760074385224E-2</v>
      </c>
      <c r="P836" s="69">
        <f t="shared" ca="1" si="177"/>
        <v>0.71779234221210686</v>
      </c>
      <c r="Q836" s="69">
        <f t="shared" ca="1" si="178"/>
        <v>0.23365197183782066</v>
      </c>
      <c r="R836" s="69">
        <f t="shared" ca="1" si="179"/>
        <v>-0.77666842913488798</v>
      </c>
      <c r="S836" s="69">
        <f t="shared" ca="1" si="180"/>
        <v>2.8283813719085771E-2</v>
      </c>
      <c r="T836" s="69">
        <f t="shared" ca="1" si="181"/>
        <v>8.3201841068767046E-2</v>
      </c>
      <c r="U836" s="69">
        <f t="shared" ca="1" si="182"/>
        <v>-1.4717671328545361</v>
      </c>
      <c r="V836" s="69">
        <f t="shared" ca="1" si="183"/>
        <v>-0.29264189539441549</v>
      </c>
      <c r="W836" s="69">
        <f t="shared" ca="1" si="184"/>
        <v>0.28309964903396723</v>
      </c>
      <c r="X836" s="69">
        <f t="shared" ca="1" si="185"/>
        <v>4.1232070896480892E-2</v>
      </c>
    </row>
    <row r="837" spans="2:24" x14ac:dyDescent="0.2">
      <c r="B837" s="69">
        <f t="shared" ca="1" si="174"/>
        <v>-0.74786309256045846</v>
      </c>
      <c r="C837" s="69">
        <f t="shared" ca="1" si="188"/>
        <v>0.85053665283786217</v>
      </c>
      <c r="D837" s="69">
        <f t="shared" ca="1" si="188"/>
        <v>-0.93913546849288876</v>
      </c>
      <c r="E837" s="69">
        <f t="shared" ca="1" si="188"/>
        <v>-0.37274173189291887</v>
      </c>
      <c r="F837" s="69">
        <f t="shared" ca="1" si="188"/>
        <v>0.11958241093677865</v>
      </c>
      <c r="G837" s="69">
        <f t="shared" ca="1" si="188"/>
        <v>-0.6391257344273864</v>
      </c>
      <c r="H837" s="69">
        <f t="shared" ca="1" si="188"/>
        <v>0.90457301186157701</v>
      </c>
      <c r="I837" s="69">
        <f t="shared" ca="1" si="188"/>
        <v>1.8919416523974979</v>
      </c>
      <c r="J837" s="69">
        <f t="shared" ca="1" si="188"/>
        <v>0.26112004757776897</v>
      </c>
      <c r="K837" s="69">
        <f t="shared" ca="1" si="188"/>
        <v>1.2762177351851476</v>
      </c>
      <c r="L837" s="69">
        <f t="shared" ca="1" si="188"/>
        <v>-0.31548533004349266</v>
      </c>
      <c r="N837" s="69">
        <f t="shared" ca="1" si="175"/>
        <v>-0.71009504872234963</v>
      </c>
      <c r="O837" s="69">
        <f t="shared" ca="1" si="176"/>
        <v>0.82404308975497553</v>
      </c>
      <c r="P837" s="69">
        <f t="shared" ca="1" si="177"/>
        <v>-0.99687753332997875</v>
      </c>
      <c r="Q837" s="69">
        <f t="shared" ca="1" si="178"/>
        <v>-0.32363305303115991</v>
      </c>
      <c r="R837" s="69">
        <f t="shared" ca="1" si="179"/>
        <v>0.11328772552912976</v>
      </c>
      <c r="S837" s="69">
        <f t="shared" ca="1" si="180"/>
        <v>-0.60629876217057788</v>
      </c>
      <c r="T837" s="69">
        <f t="shared" ca="1" si="181"/>
        <v>0.89974197414638712</v>
      </c>
      <c r="U837" s="69">
        <f t="shared" ca="1" si="182"/>
        <v>1.9149817792752075</v>
      </c>
      <c r="V837" s="69">
        <f t="shared" ca="1" si="183"/>
        <v>0.25501045400417166</v>
      </c>
      <c r="W837" s="69">
        <f t="shared" ca="1" si="184"/>
        <v>1.2771990920092466</v>
      </c>
      <c r="X837" s="69">
        <f t="shared" ca="1" si="185"/>
        <v>-0.28831683966905719</v>
      </c>
    </row>
    <row r="838" spans="2:24" x14ac:dyDescent="0.2">
      <c r="B838" s="69">
        <f t="shared" ca="1" si="174"/>
        <v>-1.9900016676910219</v>
      </c>
      <c r="C838" s="69">
        <f t="shared" ca="1" si="188"/>
        <v>-0.60083671379404935</v>
      </c>
      <c r="D838" s="69">
        <f t="shared" ca="1" si="188"/>
        <v>-1.3136925857667756</v>
      </c>
      <c r="E838" s="69">
        <f t="shared" ca="1" si="188"/>
        <v>-0.65109023837649116</v>
      </c>
      <c r="F838" s="69">
        <f t="shared" ca="1" si="188"/>
        <v>-0.99550581016410411</v>
      </c>
      <c r="G838" s="69">
        <f t="shared" ca="1" si="188"/>
        <v>0.17164401281889607</v>
      </c>
      <c r="H838" s="69">
        <f t="shared" ca="1" si="188"/>
        <v>0.7602200328776193</v>
      </c>
      <c r="I838" s="69">
        <f t="shared" ca="1" si="188"/>
        <v>-0.95442422432495888</v>
      </c>
      <c r="J838" s="69">
        <f t="shared" ca="1" si="188"/>
        <v>-1.0466674610607281</v>
      </c>
      <c r="K838" s="69">
        <f t="shared" ca="1" si="188"/>
        <v>-0.38579403447557908</v>
      </c>
      <c r="L838" s="69">
        <f t="shared" ca="1" si="188"/>
        <v>-1.1042441317621396</v>
      </c>
      <c r="N838" s="69">
        <f t="shared" ca="1" si="175"/>
        <v>-1.9522336238529132</v>
      </c>
      <c r="O838" s="69">
        <f t="shared" ca="1" si="176"/>
        <v>-0.62733027687693599</v>
      </c>
      <c r="P838" s="69">
        <f t="shared" ca="1" si="177"/>
        <v>-1.3714346506038657</v>
      </c>
      <c r="Q838" s="69">
        <f t="shared" ca="1" si="178"/>
        <v>-0.6019815595147322</v>
      </c>
      <c r="R838" s="69">
        <f t="shared" ca="1" si="179"/>
        <v>-1.001800495571753</v>
      </c>
      <c r="S838" s="69">
        <f t="shared" ca="1" si="180"/>
        <v>0.20447098507570455</v>
      </c>
      <c r="T838" s="69">
        <f t="shared" ca="1" si="181"/>
        <v>0.75538899516242941</v>
      </c>
      <c r="U838" s="69">
        <f t="shared" ca="1" si="182"/>
        <v>-0.93138409744724926</v>
      </c>
      <c r="V838" s="69">
        <f t="shared" ca="1" si="183"/>
        <v>-1.0527770546343254</v>
      </c>
      <c r="W838" s="69">
        <f t="shared" ca="1" si="184"/>
        <v>-0.38481267765148014</v>
      </c>
      <c r="X838" s="69">
        <f t="shared" ca="1" si="185"/>
        <v>-1.0770756413877041</v>
      </c>
    </row>
    <row r="839" spans="2:24" x14ac:dyDescent="0.2">
      <c r="B839" s="69">
        <f t="shared" ca="1" si="174"/>
        <v>0.43639797809415315</v>
      </c>
      <c r="C839" s="69">
        <f t="shared" ca="1" si="188"/>
        <v>1.1462450345249244</v>
      </c>
      <c r="D839" s="69">
        <f t="shared" ca="1" si="188"/>
        <v>-0.31831505691514017</v>
      </c>
      <c r="E839" s="69">
        <f t="shared" ca="1" si="188"/>
        <v>-0.32748499334014014</v>
      </c>
      <c r="F839" s="69">
        <f t="shared" ca="1" si="188"/>
        <v>1.0918610627870724</v>
      </c>
      <c r="G839" s="69">
        <f t="shared" ca="1" si="188"/>
        <v>0.64917248331636879</v>
      </c>
      <c r="H839" s="69">
        <f t="shared" ca="1" si="188"/>
        <v>-1.12507559479546</v>
      </c>
      <c r="I839" s="69">
        <f t="shared" ca="1" si="188"/>
        <v>1.0841352980349601</v>
      </c>
      <c r="J839" s="69">
        <f t="shared" ca="1" si="188"/>
        <v>-0.45247007747350393</v>
      </c>
      <c r="K839" s="69">
        <f t="shared" ca="1" si="188"/>
        <v>0.87593397482494417</v>
      </c>
      <c r="L839" s="69">
        <f t="shared" ca="1" si="188"/>
        <v>-0.42274210111419985</v>
      </c>
      <c r="N839" s="69">
        <f t="shared" ca="1" si="175"/>
        <v>0.47416602193226198</v>
      </c>
      <c r="O839" s="69">
        <f t="shared" ca="1" si="176"/>
        <v>1.1197514714420378</v>
      </c>
      <c r="P839" s="69">
        <f t="shared" ca="1" si="177"/>
        <v>-0.37605712175223022</v>
      </c>
      <c r="Q839" s="69">
        <f t="shared" ca="1" si="178"/>
        <v>-0.27837631447838118</v>
      </c>
      <c r="R839" s="69">
        <f t="shared" ca="1" si="179"/>
        <v>1.0855663773794235</v>
      </c>
      <c r="S839" s="69">
        <f t="shared" ca="1" si="180"/>
        <v>0.68199945557317732</v>
      </c>
      <c r="T839" s="69">
        <f t="shared" ca="1" si="181"/>
        <v>-1.1299066325106499</v>
      </c>
      <c r="U839" s="69">
        <f t="shared" ca="1" si="182"/>
        <v>1.1071754249126697</v>
      </c>
      <c r="V839" s="69">
        <f t="shared" ca="1" si="183"/>
        <v>-0.45857967104710123</v>
      </c>
      <c r="W839" s="69">
        <f t="shared" ca="1" si="184"/>
        <v>0.87691533164904312</v>
      </c>
      <c r="X839" s="69">
        <f t="shared" ca="1" si="185"/>
        <v>-0.39557361073976438</v>
      </c>
    </row>
    <row r="840" spans="2:24" x14ac:dyDescent="0.2">
      <c r="B840" s="69">
        <f t="shared" ca="1" si="174"/>
        <v>-0.11721432868152516</v>
      </c>
      <c r="C840" s="69">
        <f t="shared" ca="1" si="188"/>
        <v>-1.7525425752466544</v>
      </c>
      <c r="D840" s="69">
        <f t="shared" ca="1" si="188"/>
        <v>0.40547548286773727</v>
      </c>
      <c r="E840" s="69">
        <f t="shared" ca="1" si="188"/>
        <v>-0.63851870214118578</v>
      </c>
      <c r="F840" s="69">
        <f t="shared" ca="1" si="188"/>
        <v>-0.11133551091707869</v>
      </c>
      <c r="G840" s="69">
        <f t="shared" ca="1" si="188"/>
        <v>1.6621741971316579</v>
      </c>
      <c r="H840" s="69">
        <f t="shared" ca="1" si="188"/>
        <v>0.95391810276618261</v>
      </c>
      <c r="I840" s="69">
        <f t="shared" ca="1" si="188"/>
        <v>-0.16222495801958456</v>
      </c>
      <c r="J840" s="69">
        <f t="shared" ca="1" si="188"/>
        <v>0.88173051323723217</v>
      </c>
      <c r="K840" s="69">
        <f t="shared" ca="1" si="188"/>
        <v>-7.2800338578772106E-2</v>
      </c>
      <c r="L840" s="69">
        <f t="shared" ca="1" si="188"/>
        <v>-0.39091168725134051</v>
      </c>
      <c r="N840" s="69">
        <f t="shared" ca="1" si="175"/>
        <v>-7.9446284843416343E-2</v>
      </c>
      <c r="O840" s="69">
        <f t="shared" ca="1" si="176"/>
        <v>-1.779036138329541</v>
      </c>
      <c r="P840" s="69">
        <f t="shared" ca="1" si="177"/>
        <v>0.34773341803064722</v>
      </c>
      <c r="Q840" s="69">
        <f t="shared" ca="1" si="178"/>
        <v>-0.58941002327942682</v>
      </c>
      <c r="R840" s="69">
        <f t="shared" ca="1" si="179"/>
        <v>-0.11763019632472758</v>
      </c>
      <c r="S840" s="69">
        <f t="shared" ca="1" si="180"/>
        <v>1.6950011693884663</v>
      </c>
      <c r="T840" s="69">
        <f t="shared" ca="1" si="181"/>
        <v>0.94908706505099272</v>
      </c>
      <c r="U840" s="69">
        <f t="shared" ca="1" si="182"/>
        <v>-0.13918483114187491</v>
      </c>
      <c r="V840" s="69">
        <f t="shared" ca="1" si="183"/>
        <v>0.87562091966363487</v>
      </c>
      <c r="W840" s="69">
        <f t="shared" ca="1" si="184"/>
        <v>-7.1818981754673161E-2</v>
      </c>
      <c r="X840" s="69">
        <f t="shared" ca="1" si="185"/>
        <v>-0.36374319687690504</v>
      </c>
    </row>
    <row r="841" spans="2:24" x14ac:dyDescent="0.2">
      <c r="B841" s="69">
        <f t="shared" ca="1" si="174"/>
        <v>0.1747252950856738</v>
      </c>
      <c r="C841" s="69">
        <f t="shared" ca="1" si="188"/>
        <v>0.63381347647890329</v>
      </c>
      <c r="D841" s="69">
        <f t="shared" ca="1" si="188"/>
        <v>-0.71773309998987567</v>
      </c>
      <c r="E841" s="69">
        <f t="shared" ca="1" si="188"/>
        <v>-1.2608910605427646</v>
      </c>
      <c r="F841" s="69">
        <f t="shared" ca="1" si="188"/>
        <v>-1.4122108069506067</v>
      </c>
      <c r="G841" s="69">
        <f t="shared" ca="1" si="188"/>
        <v>-1.1404518447271497</v>
      </c>
      <c r="H841" s="69">
        <f t="shared" ca="1" si="188"/>
        <v>-1.3387299654900306</v>
      </c>
      <c r="I841" s="69">
        <f t="shared" ca="1" si="188"/>
        <v>0.9168023192600594</v>
      </c>
      <c r="J841" s="69">
        <f t="shared" ca="1" si="188"/>
        <v>0.67269567877114356</v>
      </c>
      <c r="K841" s="69">
        <f t="shared" ca="1" si="188"/>
        <v>-0.84966943595356459</v>
      </c>
      <c r="L841" s="69">
        <f t="shared" ca="1" si="188"/>
        <v>-0.77747646137957127</v>
      </c>
      <c r="N841" s="69">
        <f t="shared" ca="1" si="175"/>
        <v>0.21249333892378264</v>
      </c>
      <c r="O841" s="69">
        <f t="shared" ca="1" si="176"/>
        <v>0.60731991339601665</v>
      </c>
      <c r="P841" s="69">
        <f t="shared" ca="1" si="177"/>
        <v>-0.77547516482696566</v>
      </c>
      <c r="Q841" s="69">
        <f t="shared" ca="1" si="178"/>
        <v>-1.2117823816810056</v>
      </c>
      <c r="R841" s="69">
        <f t="shared" ca="1" si="179"/>
        <v>-1.4185054923582556</v>
      </c>
      <c r="S841" s="69">
        <f t="shared" ca="1" si="180"/>
        <v>-1.1076248724703412</v>
      </c>
      <c r="T841" s="69">
        <f t="shared" ca="1" si="181"/>
        <v>-1.3435610032052205</v>
      </c>
      <c r="U841" s="69">
        <f t="shared" ca="1" si="182"/>
        <v>0.93984244613776902</v>
      </c>
      <c r="V841" s="69">
        <f t="shared" ca="1" si="183"/>
        <v>0.66658608519754625</v>
      </c>
      <c r="W841" s="69">
        <f t="shared" ca="1" si="184"/>
        <v>-0.84868807912946564</v>
      </c>
      <c r="X841" s="69">
        <f t="shared" ca="1" si="185"/>
        <v>-0.7503079710051358</v>
      </c>
    </row>
    <row r="842" spans="2:24" x14ac:dyDescent="0.2">
      <c r="B842" s="69">
        <f t="shared" ref="B842:B905" ca="1" si="189">NORMINV(RAND(),$C$7,$F$7)</f>
        <v>-1.813536692018874</v>
      </c>
      <c r="C842" s="69">
        <f t="shared" ca="1" si="188"/>
        <v>0.89050916733848895</v>
      </c>
      <c r="D842" s="69">
        <f t="shared" ca="1" si="188"/>
        <v>0.32288116359268421</v>
      </c>
      <c r="E842" s="69">
        <f t="shared" ca="1" si="188"/>
        <v>-0.82631780386052944</v>
      </c>
      <c r="F842" s="69">
        <f t="shared" ca="1" si="188"/>
        <v>-0.47158679011403837</v>
      </c>
      <c r="G842" s="69">
        <f t="shared" ca="1" si="188"/>
        <v>-0.75655801019273705</v>
      </c>
      <c r="H842" s="69">
        <f t="shared" ca="1" si="188"/>
        <v>-0.20938846738671493</v>
      </c>
      <c r="I842" s="69">
        <f t="shared" ca="1" si="188"/>
        <v>-0.35893056020996322</v>
      </c>
      <c r="J842" s="69">
        <f t="shared" ca="1" si="188"/>
        <v>-0.30317583648177227</v>
      </c>
      <c r="K842" s="69">
        <f t="shared" ca="1" si="188"/>
        <v>-0.77263444418253191</v>
      </c>
      <c r="L842" s="69">
        <f t="shared" ca="1" si="188"/>
        <v>-0.20147623887462585</v>
      </c>
      <c r="N842" s="69">
        <f t="shared" ref="N842:N905" ca="1" si="190">B842-$B$1010</f>
        <v>-1.7757686481807653</v>
      </c>
      <c r="O842" s="69">
        <f t="shared" ref="O842:O905" ca="1" si="191">C842-$C$1010</f>
        <v>0.86401560425560231</v>
      </c>
      <c r="P842" s="69">
        <f t="shared" ref="P842:P905" ca="1" si="192">D842-$D$1010</f>
        <v>0.26513909875559416</v>
      </c>
      <c r="Q842" s="69">
        <f t="shared" ref="Q842:Q905" ca="1" si="193">E842-$E$1010</f>
        <v>-0.77720912499877048</v>
      </c>
      <c r="R842" s="69">
        <f t="shared" ref="R842:R905" ca="1" si="194">F842-$F$1010</f>
        <v>-0.47788147552168725</v>
      </c>
      <c r="S842" s="69">
        <f t="shared" ref="S842:S905" ca="1" si="195">G842-$G$1010</f>
        <v>-0.72373103793592852</v>
      </c>
      <c r="T842" s="69">
        <f t="shared" ref="T842:T905" ca="1" si="196">H842-$H$1010</f>
        <v>-0.21421950510190477</v>
      </c>
      <c r="U842" s="69">
        <f t="shared" ref="U842:U905" ca="1" si="197">I842-$I$1010</f>
        <v>-0.33589043333225355</v>
      </c>
      <c r="V842" s="69">
        <f t="shared" ref="V842:V905" ca="1" si="198">J842-$J$1010</f>
        <v>-0.30928543005536957</v>
      </c>
      <c r="W842" s="69">
        <f t="shared" ref="W842:W905" ca="1" si="199">K842-$K$1010</f>
        <v>-0.77165308735843297</v>
      </c>
      <c r="X842" s="69">
        <f t="shared" ref="X842:X905" ca="1" si="200">L842-$L$1010</f>
        <v>-0.17430774850019037</v>
      </c>
    </row>
    <row r="843" spans="2:24" x14ac:dyDescent="0.2">
      <c r="B843" s="69">
        <f t="shared" ca="1" si="189"/>
        <v>0.56653177694773749</v>
      </c>
      <c r="C843" s="69">
        <f t="shared" ca="1" si="188"/>
        <v>-0.5935096702220759</v>
      </c>
      <c r="D843" s="69">
        <f t="shared" ca="1" si="188"/>
        <v>0.838069157948512</v>
      </c>
      <c r="E843" s="69">
        <f t="shared" ca="1" si="188"/>
        <v>2.9750055980604068E-2</v>
      </c>
      <c r="F843" s="69">
        <f t="shared" ca="1" si="188"/>
        <v>2.9746922327243439</v>
      </c>
      <c r="G843" s="69">
        <f t="shared" ca="1" si="188"/>
        <v>-0.4874246280506303</v>
      </c>
      <c r="H843" s="69">
        <f t="shared" ca="1" si="188"/>
        <v>1.953664443122449</v>
      </c>
      <c r="I843" s="69">
        <f t="shared" ca="1" si="188"/>
        <v>1.0652522930989266</v>
      </c>
      <c r="J843" s="69">
        <f t="shared" ca="1" si="188"/>
        <v>-0.26465077863801639</v>
      </c>
      <c r="K843" s="69">
        <f t="shared" ca="1" si="188"/>
        <v>0.39575847588925994</v>
      </c>
      <c r="L843" s="69">
        <f t="shared" ca="1" si="188"/>
        <v>-0.57798214824502803</v>
      </c>
      <c r="N843" s="69">
        <f t="shared" ca="1" si="190"/>
        <v>0.60429982078584632</v>
      </c>
      <c r="O843" s="69">
        <f t="shared" ca="1" si="191"/>
        <v>-0.62000323330496254</v>
      </c>
      <c r="P843" s="69">
        <f t="shared" ca="1" si="192"/>
        <v>0.78032709311142201</v>
      </c>
      <c r="Q843" s="69">
        <f t="shared" ca="1" si="193"/>
        <v>7.8858734842363012E-2</v>
      </c>
      <c r="R843" s="69">
        <f t="shared" ca="1" si="194"/>
        <v>2.968397547316695</v>
      </c>
      <c r="S843" s="69">
        <f t="shared" ca="1" si="195"/>
        <v>-0.45459765579382183</v>
      </c>
      <c r="T843" s="69">
        <f t="shared" ca="1" si="196"/>
        <v>1.9488334054072591</v>
      </c>
      <c r="U843" s="69">
        <f t="shared" ca="1" si="197"/>
        <v>1.0882924199766362</v>
      </c>
      <c r="V843" s="69">
        <f t="shared" ca="1" si="198"/>
        <v>-0.2707603722116137</v>
      </c>
      <c r="W843" s="69">
        <f t="shared" ca="1" si="199"/>
        <v>0.39673983271335889</v>
      </c>
      <c r="X843" s="69">
        <f t="shared" ca="1" si="200"/>
        <v>-0.55081365787059255</v>
      </c>
    </row>
    <row r="844" spans="2:24" x14ac:dyDescent="0.2">
      <c r="B844" s="69">
        <f t="shared" ca="1" si="189"/>
        <v>0.42495549210440708</v>
      </c>
      <c r="C844" s="69">
        <f t="shared" ca="1" si="188"/>
        <v>0.37928914209693759</v>
      </c>
      <c r="D844" s="69">
        <f t="shared" ca="1" si="188"/>
        <v>-0.75228822988699418</v>
      </c>
      <c r="E844" s="69">
        <f t="shared" ca="1" si="188"/>
        <v>-2.031654857199815E-2</v>
      </c>
      <c r="F844" s="69">
        <f t="shared" ca="1" si="188"/>
        <v>0.62514602740533542</v>
      </c>
      <c r="G844" s="69">
        <f t="shared" ca="1" si="188"/>
        <v>-1.3753874651762992</v>
      </c>
      <c r="H844" s="69">
        <f t="shared" ca="1" si="188"/>
        <v>7.5332355037215165E-2</v>
      </c>
      <c r="I844" s="69">
        <f t="shared" ca="1" si="188"/>
        <v>-1.2256149159198682</v>
      </c>
      <c r="J844" s="69">
        <f t="shared" ca="1" si="188"/>
        <v>-9.6481418905449784E-2</v>
      </c>
      <c r="K844" s="69">
        <f t="shared" ca="1" si="188"/>
        <v>1.3369890875366271E-2</v>
      </c>
      <c r="L844" s="69">
        <f t="shared" ca="1" si="188"/>
        <v>0.45477110525615777</v>
      </c>
      <c r="N844" s="69">
        <f t="shared" ca="1" si="190"/>
        <v>0.46272353594251592</v>
      </c>
      <c r="O844" s="69">
        <f t="shared" ca="1" si="191"/>
        <v>0.3527955790140509</v>
      </c>
      <c r="P844" s="69">
        <f t="shared" ca="1" si="192"/>
        <v>-0.81003029472408417</v>
      </c>
      <c r="Q844" s="69">
        <f t="shared" ca="1" si="193"/>
        <v>2.8792130289760794E-2</v>
      </c>
      <c r="R844" s="69">
        <f t="shared" ca="1" si="194"/>
        <v>0.61885134199768654</v>
      </c>
      <c r="S844" s="69">
        <f t="shared" ca="1" si="195"/>
        <v>-1.3425604929194908</v>
      </c>
      <c r="T844" s="69">
        <f t="shared" ca="1" si="196"/>
        <v>7.0501317322025317E-2</v>
      </c>
      <c r="U844" s="69">
        <f t="shared" ca="1" si="197"/>
        <v>-1.2025747890421585</v>
      </c>
      <c r="V844" s="69">
        <f t="shared" ca="1" si="198"/>
        <v>-0.10259101247904712</v>
      </c>
      <c r="W844" s="69">
        <f t="shared" ca="1" si="199"/>
        <v>1.4351247699465223E-2</v>
      </c>
      <c r="X844" s="69">
        <f t="shared" ca="1" si="200"/>
        <v>0.48193959563059324</v>
      </c>
    </row>
    <row r="845" spans="2:24" x14ac:dyDescent="0.2">
      <c r="B845" s="69">
        <f t="shared" ca="1" si="189"/>
        <v>-0.63234430118429419</v>
      </c>
      <c r="C845" s="69">
        <f t="shared" ca="1" si="188"/>
        <v>-0.49056339618070388</v>
      </c>
      <c r="D845" s="69">
        <f t="shared" ca="1" si="188"/>
        <v>0.41537098409458351</v>
      </c>
      <c r="E845" s="69">
        <f t="shared" ca="1" si="188"/>
        <v>-0.97111661529537108</v>
      </c>
      <c r="F845" s="69">
        <f t="shared" ca="1" si="188"/>
        <v>0.65160371162614672</v>
      </c>
      <c r="G845" s="69">
        <f t="shared" ca="1" si="188"/>
        <v>-0.23598572716555841</v>
      </c>
      <c r="H845" s="69">
        <f t="shared" ca="1" si="188"/>
        <v>-1.0818137026887891</v>
      </c>
      <c r="I845" s="69">
        <f t="shared" ca="1" si="188"/>
        <v>-0.32939007219407024</v>
      </c>
      <c r="J845" s="69">
        <f t="shared" ca="1" si="188"/>
        <v>-0.97355289451606664</v>
      </c>
      <c r="K845" s="69">
        <f t="shared" ca="1" si="188"/>
        <v>2.0137569505878408</v>
      </c>
      <c r="L845" s="69">
        <f t="shared" ca="1" si="188"/>
        <v>-0.3841783173344942</v>
      </c>
      <c r="N845" s="69">
        <f t="shared" ca="1" si="190"/>
        <v>-0.59457625734618536</v>
      </c>
      <c r="O845" s="69">
        <f t="shared" ca="1" si="191"/>
        <v>-0.51705695926359052</v>
      </c>
      <c r="P845" s="69">
        <f t="shared" ca="1" si="192"/>
        <v>0.35762891925749346</v>
      </c>
      <c r="Q845" s="69">
        <f t="shared" ca="1" si="193"/>
        <v>-0.92200793643361212</v>
      </c>
      <c r="R845" s="69">
        <f t="shared" ca="1" si="194"/>
        <v>0.64530902621849784</v>
      </c>
      <c r="S845" s="69">
        <f t="shared" ca="1" si="195"/>
        <v>-0.20315875490874993</v>
      </c>
      <c r="T845" s="69">
        <f t="shared" ca="1" si="196"/>
        <v>-1.086644740403979</v>
      </c>
      <c r="U845" s="69">
        <f t="shared" ca="1" si="197"/>
        <v>-0.30634994531636056</v>
      </c>
      <c r="V845" s="69">
        <f t="shared" ca="1" si="198"/>
        <v>-0.97966248808966394</v>
      </c>
      <c r="W845" s="69">
        <f t="shared" ca="1" si="199"/>
        <v>2.0147383074119398</v>
      </c>
      <c r="X845" s="69">
        <f t="shared" ca="1" si="200"/>
        <v>-0.35700982696005873</v>
      </c>
    </row>
    <row r="846" spans="2:24" x14ac:dyDescent="0.2">
      <c r="B846" s="69">
        <f t="shared" ca="1" si="189"/>
        <v>-9.6904601746013383E-2</v>
      </c>
      <c r="C846" s="69">
        <f t="shared" ca="1" si="188"/>
        <v>-0.15300057849109416</v>
      </c>
      <c r="D846" s="69">
        <f t="shared" ca="1" si="188"/>
        <v>0.47395731162089705</v>
      </c>
      <c r="E846" s="69">
        <f t="shared" ca="1" si="188"/>
        <v>-0.47235060643499982</v>
      </c>
      <c r="F846" s="69">
        <f t="shared" ca="1" si="188"/>
        <v>1.8796753793615562</v>
      </c>
      <c r="G846" s="69">
        <f t="shared" ca="1" si="188"/>
        <v>-1.0681401706388469</v>
      </c>
      <c r="H846" s="69">
        <f t="shared" ca="1" si="188"/>
        <v>0.5593004153725335</v>
      </c>
      <c r="I846" s="69">
        <f t="shared" ca="1" si="188"/>
        <v>-1.6287181748520678</v>
      </c>
      <c r="J846" s="69">
        <f t="shared" ca="1" si="188"/>
        <v>-1.0199117828083051</v>
      </c>
      <c r="K846" s="69">
        <f t="shared" ca="1" si="188"/>
        <v>1.2991848175230056</v>
      </c>
      <c r="L846" s="69">
        <f t="shared" ca="1" si="188"/>
        <v>0.57779985293340286</v>
      </c>
      <c r="N846" s="69">
        <f t="shared" ca="1" si="190"/>
        <v>-5.9136557907904563E-2</v>
      </c>
      <c r="O846" s="69">
        <f t="shared" ca="1" si="191"/>
        <v>-0.17949414157398086</v>
      </c>
      <c r="P846" s="69">
        <f t="shared" ca="1" si="192"/>
        <v>0.416215246783807</v>
      </c>
      <c r="Q846" s="69">
        <f t="shared" ca="1" si="193"/>
        <v>-0.42324192757324086</v>
      </c>
      <c r="R846" s="69">
        <f t="shared" ca="1" si="194"/>
        <v>1.8733806939539073</v>
      </c>
      <c r="S846" s="69">
        <f t="shared" ca="1" si="195"/>
        <v>-1.0353131983820385</v>
      </c>
      <c r="T846" s="69">
        <f t="shared" ca="1" si="196"/>
        <v>0.55446937765734361</v>
      </c>
      <c r="U846" s="69">
        <f t="shared" ca="1" si="197"/>
        <v>-1.6056780479743582</v>
      </c>
      <c r="V846" s="69">
        <f t="shared" ca="1" si="198"/>
        <v>-1.0260213763819024</v>
      </c>
      <c r="W846" s="69">
        <f t="shared" ca="1" si="199"/>
        <v>1.3001661743471047</v>
      </c>
      <c r="X846" s="69">
        <f t="shared" ca="1" si="200"/>
        <v>0.60496834330783833</v>
      </c>
    </row>
    <row r="847" spans="2:24" x14ac:dyDescent="0.2">
      <c r="B847" s="69">
        <f t="shared" ca="1" si="189"/>
        <v>-0.38894723940753712</v>
      </c>
      <c r="C847" s="69">
        <f t="shared" ca="1" si="188"/>
        <v>1.7847981641006003</v>
      </c>
      <c r="D847" s="69">
        <f t="shared" ca="1" si="188"/>
        <v>1.3735568154327389</v>
      </c>
      <c r="E847" s="69">
        <f t="shared" ca="1" si="188"/>
        <v>1.391911820438603</v>
      </c>
      <c r="F847" s="69">
        <f t="shared" ca="1" si="188"/>
        <v>0.2981303708845352</v>
      </c>
      <c r="G847" s="69">
        <f t="shared" ca="1" si="188"/>
        <v>-0.38693259863601637</v>
      </c>
      <c r="H847" s="69">
        <f t="shared" ca="1" si="188"/>
        <v>1.1102603314952064</v>
      </c>
      <c r="I847" s="69">
        <f t="shared" ca="1" si="188"/>
        <v>2.0552983575398009</v>
      </c>
      <c r="J847" s="69">
        <f t="shared" ca="1" si="188"/>
        <v>3.4575163706583041</v>
      </c>
      <c r="K847" s="69">
        <f t="shared" ca="1" si="188"/>
        <v>0.44767910187026982</v>
      </c>
      <c r="L847" s="69">
        <f t="shared" ca="1" si="188"/>
        <v>1.4399924063540357</v>
      </c>
      <c r="N847" s="69">
        <f t="shared" ca="1" si="190"/>
        <v>-0.35117919556942828</v>
      </c>
      <c r="O847" s="69">
        <f t="shared" ca="1" si="191"/>
        <v>1.7583046010177137</v>
      </c>
      <c r="P847" s="69">
        <f t="shared" ca="1" si="192"/>
        <v>1.3158147505956488</v>
      </c>
      <c r="Q847" s="69">
        <f t="shared" ca="1" si="193"/>
        <v>1.4410204993003619</v>
      </c>
      <c r="R847" s="69">
        <f t="shared" ca="1" si="194"/>
        <v>0.29183568547688632</v>
      </c>
      <c r="S847" s="69">
        <f t="shared" ca="1" si="195"/>
        <v>-0.35410562637920789</v>
      </c>
      <c r="T847" s="69">
        <f t="shared" ca="1" si="196"/>
        <v>1.1054292937800165</v>
      </c>
      <c r="U847" s="69">
        <f t="shared" ca="1" si="197"/>
        <v>2.0783384844175106</v>
      </c>
      <c r="V847" s="69">
        <f t="shared" ca="1" si="198"/>
        <v>3.4514067770847068</v>
      </c>
      <c r="W847" s="69">
        <f t="shared" ca="1" si="199"/>
        <v>0.44866045869436877</v>
      </c>
      <c r="X847" s="69">
        <f t="shared" ca="1" si="200"/>
        <v>1.4671608967284713</v>
      </c>
    </row>
    <row r="848" spans="2:24" x14ac:dyDescent="0.2">
      <c r="B848" s="69">
        <f t="shared" ca="1" si="189"/>
        <v>-0.69862780947564407</v>
      </c>
      <c r="C848" s="69">
        <f t="shared" ca="1" si="188"/>
        <v>-0.24329193680536546</v>
      </c>
      <c r="D848" s="69">
        <f t="shared" ca="1" si="188"/>
        <v>-0.21474776021093475</v>
      </c>
      <c r="E848" s="69">
        <f t="shared" ca="1" si="188"/>
        <v>-0.62106909217083717</v>
      </c>
      <c r="F848" s="69">
        <f t="shared" ca="1" si="188"/>
        <v>-0.39398845559447515</v>
      </c>
      <c r="G848" s="69">
        <f t="shared" ca="1" si="188"/>
        <v>0.16284930819006405</v>
      </c>
      <c r="H848" s="69">
        <f t="shared" ca="1" si="188"/>
        <v>-0.94078145625355136</v>
      </c>
      <c r="I848" s="69">
        <f t="shared" ca="1" si="188"/>
        <v>-1.3026150747396745</v>
      </c>
      <c r="J848" s="69">
        <f t="shared" ca="1" si="188"/>
        <v>0.83252939833677619</v>
      </c>
      <c r="K848" s="69">
        <f t="shared" ca="1" si="188"/>
        <v>0.2348094605025485</v>
      </c>
      <c r="L848" s="69">
        <f t="shared" ca="1" si="188"/>
        <v>-6.0002432893131362E-2</v>
      </c>
      <c r="N848" s="69">
        <f t="shared" ca="1" si="190"/>
        <v>-0.66085976563753523</v>
      </c>
      <c r="O848" s="69">
        <f t="shared" ca="1" si="191"/>
        <v>-0.26978549988825212</v>
      </c>
      <c r="P848" s="69">
        <f t="shared" ca="1" si="192"/>
        <v>-0.27248982504802477</v>
      </c>
      <c r="Q848" s="69">
        <f t="shared" ca="1" si="193"/>
        <v>-0.57196041330907821</v>
      </c>
      <c r="R848" s="69">
        <f t="shared" ca="1" si="194"/>
        <v>-0.40028314100212403</v>
      </c>
      <c r="S848" s="69">
        <f t="shared" ca="1" si="195"/>
        <v>0.19567628044687252</v>
      </c>
      <c r="T848" s="69">
        <f t="shared" ca="1" si="196"/>
        <v>-0.94561249396874125</v>
      </c>
      <c r="U848" s="69">
        <f t="shared" ca="1" si="197"/>
        <v>-1.2795749478619649</v>
      </c>
      <c r="V848" s="69">
        <f t="shared" ca="1" si="198"/>
        <v>0.82641980476317889</v>
      </c>
      <c r="W848" s="69">
        <f t="shared" ca="1" si="199"/>
        <v>0.23579081732664744</v>
      </c>
      <c r="X848" s="69">
        <f t="shared" ca="1" si="200"/>
        <v>-3.2833942518695883E-2</v>
      </c>
    </row>
    <row r="849" spans="2:24" x14ac:dyDescent="0.2">
      <c r="B849" s="69">
        <f t="shared" ca="1" si="189"/>
        <v>-1.3818922362018573</v>
      </c>
      <c r="C849" s="69">
        <f t="shared" ca="1" si="188"/>
        <v>0.68495290237484985</v>
      </c>
      <c r="D849" s="69">
        <f t="shared" ca="1" si="188"/>
        <v>3.842138584117593E-2</v>
      </c>
      <c r="E849" s="69">
        <f t="shared" ca="1" si="188"/>
        <v>-0.18154596583152233</v>
      </c>
      <c r="F849" s="69">
        <f t="shared" ca="1" si="188"/>
        <v>1.0760185644833149</v>
      </c>
      <c r="G849" s="69">
        <f t="shared" ca="1" si="188"/>
        <v>-0.54324764192108155</v>
      </c>
      <c r="H849" s="69">
        <f t="shared" ca="1" si="188"/>
        <v>1.1750153610540632</v>
      </c>
      <c r="I849" s="69">
        <f t="shared" ca="1" si="188"/>
        <v>-1.2093592132118705</v>
      </c>
      <c r="J849" s="69">
        <f t="shared" ca="1" si="188"/>
        <v>-1.0700312893069504</v>
      </c>
      <c r="K849" s="69">
        <f t="shared" ca="1" si="188"/>
        <v>-0.64897398897950209</v>
      </c>
      <c r="L849" s="69">
        <f t="shared" ca="1" si="188"/>
        <v>-0.18460726492869559</v>
      </c>
      <c r="N849" s="69">
        <f t="shared" ca="1" si="190"/>
        <v>-1.3441241923637486</v>
      </c>
      <c r="O849" s="69">
        <f t="shared" ca="1" si="191"/>
        <v>0.65845933929196321</v>
      </c>
      <c r="P849" s="69">
        <f t="shared" ca="1" si="192"/>
        <v>-1.9320678995914102E-2</v>
      </c>
      <c r="Q849" s="69">
        <f t="shared" ca="1" si="193"/>
        <v>-0.13243728696976337</v>
      </c>
      <c r="R849" s="69">
        <f t="shared" ca="1" si="194"/>
        <v>1.069723879075666</v>
      </c>
      <c r="S849" s="69">
        <f t="shared" ca="1" si="195"/>
        <v>-0.51042066966427302</v>
      </c>
      <c r="T849" s="69">
        <f t="shared" ca="1" si="196"/>
        <v>1.1701843233388733</v>
      </c>
      <c r="U849" s="69">
        <f t="shared" ca="1" si="197"/>
        <v>-1.1863190863341608</v>
      </c>
      <c r="V849" s="69">
        <f t="shared" ca="1" si="198"/>
        <v>-1.0761408828805477</v>
      </c>
      <c r="W849" s="69">
        <f t="shared" ca="1" si="199"/>
        <v>-0.64799263215540315</v>
      </c>
      <c r="X849" s="69">
        <f t="shared" ca="1" si="200"/>
        <v>-0.15743877455426011</v>
      </c>
    </row>
    <row r="850" spans="2:24" x14ac:dyDescent="0.2">
      <c r="B850" s="69">
        <f t="shared" ca="1" si="189"/>
        <v>1.3956528324169732</v>
      </c>
      <c r="C850" s="69">
        <f t="shared" ca="1" si="188"/>
        <v>1.1077168397303123</v>
      </c>
      <c r="D850" s="69">
        <f t="shared" ca="1" si="188"/>
        <v>-0.19090366834810074</v>
      </c>
      <c r="E850" s="69">
        <f t="shared" ca="1" si="188"/>
        <v>-0.52521357658618395</v>
      </c>
      <c r="F850" s="69">
        <f t="shared" ca="1" si="188"/>
        <v>2.2074650646182579</v>
      </c>
      <c r="G850" s="69">
        <f t="shared" ca="1" si="188"/>
        <v>1.2557210683800912</v>
      </c>
      <c r="H850" s="69">
        <f t="shared" ca="1" si="188"/>
        <v>1.2806115736733832</v>
      </c>
      <c r="I850" s="69">
        <f t="shared" ca="1" si="188"/>
        <v>-4.025930202551594E-3</v>
      </c>
      <c r="J850" s="69">
        <f t="shared" ca="1" si="188"/>
        <v>0.95580379260186699</v>
      </c>
      <c r="K850" s="69">
        <f t="shared" ca="1" si="188"/>
        <v>0.13580009937734036</v>
      </c>
      <c r="L850" s="69">
        <f t="shared" ca="1" si="188"/>
        <v>1.0556643374060778E-2</v>
      </c>
      <c r="N850" s="69">
        <f t="shared" ca="1" si="190"/>
        <v>1.433420876255082</v>
      </c>
      <c r="O850" s="69">
        <f t="shared" ca="1" si="191"/>
        <v>1.0812232766474257</v>
      </c>
      <c r="P850" s="69">
        <f t="shared" ca="1" si="192"/>
        <v>-0.24864573318519079</v>
      </c>
      <c r="Q850" s="69">
        <f t="shared" ca="1" si="193"/>
        <v>-0.47610489772442499</v>
      </c>
      <c r="R850" s="69">
        <f t="shared" ca="1" si="194"/>
        <v>2.201170379210609</v>
      </c>
      <c r="S850" s="69">
        <f t="shared" ca="1" si="195"/>
        <v>1.2885480406368996</v>
      </c>
      <c r="T850" s="69">
        <f t="shared" ca="1" si="196"/>
        <v>1.2757805359581933</v>
      </c>
      <c r="U850" s="69">
        <f t="shared" ca="1" si="197"/>
        <v>1.9014196675158062E-2</v>
      </c>
      <c r="V850" s="69">
        <f t="shared" ca="1" si="198"/>
        <v>0.94969419902826968</v>
      </c>
      <c r="W850" s="69">
        <f t="shared" ca="1" si="199"/>
        <v>0.13678145620143931</v>
      </c>
      <c r="X850" s="69">
        <f t="shared" ca="1" si="200"/>
        <v>3.7725133748496259E-2</v>
      </c>
    </row>
    <row r="851" spans="2:24" x14ac:dyDescent="0.2">
      <c r="B851" s="69">
        <f t="shared" ca="1" si="189"/>
        <v>0.19017257077595598</v>
      </c>
      <c r="C851" s="69">
        <f t="shared" ca="1" si="188"/>
        <v>0.37784696485156694</v>
      </c>
      <c r="D851" s="69">
        <f t="shared" ca="1" si="188"/>
        <v>-1.4734022757341638</v>
      </c>
      <c r="E851" s="69">
        <f t="shared" ca="1" si="188"/>
        <v>-0.41726395556102946</v>
      </c>
      <c r="F851" s="69">
        <f t="shared" ca="1" si="188"/>
        <v>1.7679969243204752</v>
      </c>
      <c r="G851" s="69">
        <f t="shared" ca="1" si="188"/>
        <v>-9.531573454600395E-2</v>
      </c>
      <c r="H851" s="69">
        <f t="shared" ca="1" si="188"/>
        <v>1.6825977306056576</v>
      </c>
      <c r="I851" s="69">
        <f t="shared" ca="1" si="188"/>
        <v>0.25443187865682282</v>
      </c>
      <c r="J851" s="69">
        <f t="shared" ca="1" si="188"/>
        <v>0.25956945348454064</v>
      </c>
      <c r="K851" s="69">
        <f t="shared" ca="1" si="188"/>
        <v>-1.0447952038319919</v>
      </c>
      <c r="L851" s="69">
        <f t="shared" ca="1" si="188"/>
        <v>-0.12359801283116459</v>
      </c>
      <c r="N851" s="69">
        <f t="shared" ca="1" si="190"/>
        <v>0.22794061461406478</v>
      </c>
      <c r="O851" s="69">
        <f t="shared" ca="1" si="191"/>
        <v>0.35135340176868024</v>
      </c>
      <c r="P851" s="69">
        <f t="shared" ca="1" si="192"/>
        <v>-1.5311443405712539</v>
      </c>
      <c r="Q851" s="69">
        <f t="shared" ca="1" si="193"/>
        <v>-0.36815527669927051</v>
      </c>
      <c r="R851" s="69">
        <f t="shared" ca="1" si="194"/>
        <v>1.7617022389128263</v>
      </c>
      <c r="S851" s="69">
        <f t="shared" ca="1" si="195"/>
        <v>-6.2488762289195469E-2</v>
      </c>
      <c r="T851" s="69">
        <f t="shared" ca="1" si="196"/>
        <v>1.6777666928904678</v>
      </c>
      <c r="U851" s="69">
        <f t="shared" ca="1" si="197"/>
        <v>0.2774720055345325</v>
      </c>
      <c r="V851" s="69">
        <f t="shared" ca="1" si="198"/>
        <v>0.25345985991094333</v>
      </c>
      <c r="W851" s="69">
        <f t="shared" ca="1" si="199"/>
        <v>-1.0438138470078928</v>
      </c>
      <c r="X851" s="69">
        <f t="shared" ca="1" si="200"/>
        <v>-9.6429522456729116E-2</v>
      </c>
    </row>
    <row r="852" spans="2:24" x14ac:dyDescent="0.2">
      <c r="B852" s="69">
        <f t="shared" ca="1" si="189"/>
        <v>-1.6196152304939651</v>
      </c>
      <c r="C852" s="69">
        <f t="shared" ca="1" si="188"/>
        <v>0.27251386766240548</v>
      </c>
      <c r="D852" s="69">
        <f t="shared" ca="1" si="188"/>
        <v>1.2848177286564029</v>
      </c>
      <c r="E852" s="69">
        <f t="shared" ca="1" si="188"/>
        <v>0.52624085764886397</v>
      </c>
      <c r="F852" s="69">
        <f t="shared" ca="1" si="188"/>
        <v>-0.5320061198694056</v>
      </c>
      <c r="G852" s="69">
        <f t="shared" ca="1" si="188"/>
        <v>1.3478580707311243</v>
      </c>
      <c r="H852" s="69">
        <f t="shared" ca="1" si="188"/>
        <v>-2.3477850487539205E-2</v>
      </c>
      <c r="I852" s="69">
        <f t="shared" ca="1" si="188"/>
        <v>-1.3299281918469417</v>
      </c>
      <c r="J852" s="69">
        <f t="shared" ca="1" si="188"/>
        <v>-1.3570711890983425</v>
      </c>
      <c r="K852" s="69">
        <f t="shared" ca="1" si="188"/>
        <v>-1.4980057120055432</v>
      </c>
      <c r="L852" s="69">
        <f t="shared" ca="1" si="188"/>
        <v>-0.97892322565292067</v>
      </c>
      <c r="N852" s="69">
        <f t="shared" ca="1" si="190"/>
        <v>-1.5818471866558563</v>
      </c>
      <c r="O852" s="69">
        <f t="shared" ca="1" si="191"/>
        <v>0.24602030457951879</v>
      </c>
      <c r="P852" s="69">
        <f t="shared" ca="1" si="192"/>
        <v>1.2270756638193128</v>
      </c>
      <c r="Q852" s="69">
        <f t="shared" ca="1" si="193"/>
        <v>0.57534953651062293</v>
      </c>
      <c r="R852" s="69">
        <f t="shared" ca="1" si="194"/>
        <v>-0.53830080527705448</v>
      </c>
      <c r="S852" s="69">
        <f t="shared" ca="1" si="195"/>
        <v>1.3806850429879327</v>
      </c>
      <c r="T852" s="69">
        <f t="shared" ca="1" si="196"/>
        <v>-2.830888820272905E-2</v>
      </c>
      <c r="U852" s="69">
        <f t="shared" ca="1" si="197"/>
        <v>-1.306888064969232</v>
      </c>
      <c r="V852" s="69">
        <f t="shared" ca="1" si="198"/>
        <v>-1.3631807826719398</v>
      </c>
      <c r="W852" s="69">
        <f t="shared" ca="1" si="199"/>
        <v>-1.4970243551814442</v>
      </c>
      <c r="X852" s="69">
        <f t="shared" ca="1" si="200"/>
        <v>-0.9517547352784852</v>
      </c>
    </row>
    <row r="853" spans="2:24" x14ac:dyDescent="0.2">
      <c r="B853" s="69">
        <f t="shared" ca="1" si="189"/>
        <v>-0.46513515677418943</v>
      </c>
      <c r="C853" s="69">
        <f t="shared" ca="1" si="188"/>
        <v>0.15251476252492618</v>
      </c>
      <c r="D853" s="69">
        <f t="shared" ca="1" si="188"/>
        <v>0.9901107782821692</v>
      </c>
      <c r="E853" s="69">
        <f t="shared" ca="1" si="188"/>
        <v>0.37670513478784129</v>
      </c>
      <c r="F853" s="69">
        <f t="shared" ca="1" si="188"/>
        <v>-0.80458261120795882</v>
      </c>
      <c r="G853" s="69">
        <f t="shared" ca="1" si="188"/>
        <v>1.0421205841230392</v>
      </c>
      <c r="H853" s="69">
        <f t="shared" ca="1" si="188"/>
        <v>-1.8550796346347316</v>
      </c>
      <c r="I853" s="69">
        <f t="shared" ca="1" si="188"/>
        <v>0.29275655729788375</v>
      </c>
      <c r="J853" s="69">
        <f t="shared" ca="1" si="188"/>
        <v>1.4293465750400283</v>
      </c>
      <c r="K853" s="69">
        <f t="shared" ca="1" si="188"/>
        <v>-1.1666935338169648</v>
      </c>
      <c r="L853" s="69">
        <f t="shared" ca="1" si="188"/>
        <v>1.9318377468424019</v>
      </c>
      <c r="N853" s="69">
        <f t="shared" ca="1" si="190"/>
        <v>-0.4273671129360806</v>
      </c>
      <c r="O853" s="69">
        <f t="shared" ca="1" si="191"/>
        <v>0.12602119944203949</v>
      </c>
      <c r="P853" s="69">
        <f t="shared" ca="1" si="192"/>
        <v>0.93236871344507921</v>
      </c>
      <c r="Q853" s="69">
        <f t="shared" ca="1" si="193"/>
        <v>0.42581381364960025</v>
      </c>
      <c r="R853" s="69">
        <f t="shared" ca="1" si="194"/>
        <v>-0.8108772966156077</v>
      </c>
      <c r="S853" s="69">
        <f t="shared" ca="1" si="195"/>
        <v>1.0749475563798476</v>
      </c>
      <c r="T853" s="69">
        <f t="shared" ca="1" si="196"/>
        <v>-1.8599106723499215</v>
      </c>
      <c r="U853" s="69">
        <f t="shared" ca="1" si="197"/>
        <v>0.31579668417559342</v>
      </c>
      <c r="V853" s="69">
        <f t="shared" ca="1" si="198"/>
        <v>1.423236981466431</v>
      </c>
      <c r="W853" s="69">
        <f t="shared" ca="1" si="199"/>
        <v>-1.1657121769928658</v>
      </c>
      <c r="X853" s="69">
        <f t="shared" ca="1" si="200"/>
        <v>1.9590062372168375</v>
      </c>
    </row>
    <row r="854" spans="2:24" x14ac:dyDescent="0.2">
      <c r="B854" s="69">
        <f t="shared" ca="1" si="189"/>
        <v>-1.1045909069372104</v>
      </c>
      <c r="C854" s="69">
        <f t="shared" ca="1" si="188"/>
        <v>-0.30122883047296051</v>
      </c>
      <c r="D854" s="69">
        <f t="shared" ca="1" si="188"/>
        <v>2.3928850045798473</v>
      </c>
      <c r="E854" s="69">
        <f t="shared" ca="1" si="188"/>
        <v>-1.0437347102428969</v>
      </c>
      <c r="F854" s="69">
        <f t="shared" ca="1" si="188"/>
        <v>0.89932907625282299</v>
      </c>
      <c r="G854" s="69">
        <f t="shared" ca="1" si="188"/>
        <v>-0.56579608557073369</v>
      </c>
      <c r="H854" s="69">
        <f t="shared" ca="1" si="188"/>
        <v>1.4339035720773656</v>
      </c>
      <c r="I854" s="69">
        <f t="shared" ca="1" si="188"/>
        <v>-0.72641783499126666</v>
      </c>
      <c r="J854" s="69">
        <f t="shared" ca="1" si="188"/>
        <v>-0.8192441562297138</v>
      </c>
      <c r="K854" s="69">
        <f t="shared" ca="1" si="188"/>
        <v>1.2698982795897382</v>
      </c>
      <c r="L854" s="69">
        <f t="shared" ca="1" si="188"/>
        <v>-1.5811763495493958</v>
      </c>
      <c r="N854" s="69">
        <f t="shared" ca="1" si="190"/>
        <v>-1.0668228630991017</v>
      </c>
      <c r="O854" s="69">
        <f t="shared" ca="1" si="191"/>
        <v>-0.3277223935558472</v>
      </c>
      <c r="P854" s="69">
        <f t="shared" ca="1" si="192"/>
        <v>2.3351429397427572</v>
      </c>
      <c r="Q854" s="69">
        <f t="shared" ca="1" si="193"/>
        <v>-0.99462603138113792</v>
      </c>
      <c r="R854" s="69">
        <f t="shared" ca="1" si="194"/>
        <v>0.89303439084517411</v>
      </c>
      <c r="S854" s="69">
        <f t="shared" ca="1" si="195"/>
        <v>-0.53296911331392516</v>
      </c>
      <c r="T854" s="69">
        <f t="shared" ca="1" si="196"/>
        <v>1.4290725343621757</v>
      </c>
      <c r="U854" s="69">
        <f t="shared" ca="1" si="197"/>
        <v>-0.70337770811355704</v>
      </c>
      <c r="V854" s="69">
        <f t="shared" ca="1" si="198"/>
        <v>-0.82535374980331111</v>
      </c>
      <c r="W854" s="69">
        <f t="shared" ca="1" si="199"/>
        <v>1.2708796364138373</v>
      </c>
      <c r="X854" s="69">
        <f t="shared" ca="1" si="200"/>
        <v>-1.5540078591749602</v>
      </c>
    </row>
    <row r="855" spans="2:24" x14ac:dyDescent="0.2">
      <c r="B855" s="69">
        <f t="shared" ca="1" si="189"/>
        <v>-0.74784702684090387</v>
      </c>
      <c r="C855" s="69">
        <f t="shared" ca="1" si="188"/>
        <v>-0.41180927987188815</v>
      </c>
      <c r="D855" s="69">
        <f t="shared" ca="1" si="188"/>
        <v>0.38844000949970831</v>
      </c>
      <c r="E855" s="69">
        <f t="shared" ca="1" si="188"/>
        <v>-0.72175667876000404</v>
      </c>
      <c r="F855" s="69">
        <f t="shared" ca="1" si="188"/>
        <v>-1.7649310683469732</v>
      </c>
      <c r="G855" s="69">
        <f t="shared" ca="1" si="188"/>
        <v>0.24432570805410822</v>
      </c>
      <c r="H855" s="69">
        <f t="shared" ca="1" si="188"/>
        <v>0.23686669886456321</v>
      </c>
      <c r="I855" s="69">
        <f t="shared" ca="1" si="188"/>
        <v>0.26398232510833802</v>
      </c>
      <c r="J855" s="69">
        <f t="shared" ca="1" si="188"/>
        <v>-0.96676145892403353</v>
      </c>
      <c r="K855" s="69">
        <f t="shared" ca="1" si="188"/>
        <v>-0.81232770075620686</v>
      </c>
      <c r="L855" s="69">
        <f t="shared" ca="1" si="188"/>
        <v>-0.49725961964319981</v>
      </c>
      <c r="N855" s="69">
        <f t="shared" ca="1" si="190"/>
        <v>-0.71007898300279504</v>
      </c>
      <c r="O855" s="69">
        <f t="shared" ca="1" si="191"/>
        <v>-0.43830284295477484</v>
      </c>
      <c r="P855" s="69">
        <f t="shared" ca="1" si="192"/>
        <v>0.33069794466261826</v>
      </c>
      <c r="Q855" s="69">
        <f t="shared" ca="1" si="193"/>
        <v>-0.67264799989824509</v>
      </c>
      <c r="R855" s="69">
        <f t="shared" ca="1" si="194"/>
        <v>-1.7712257537546221</v>
      </c>
      <c r="S855" s="69">
        <f t="shared" ca="1" si="195"/>
        <v>0.27715268031091672</v>
      </c>
      <c r="T855" s="69">
        <f t="shared" ca="1" si="196"/>
        <v>0.23203566114937338</v>
      </c>
      <c r="U855" s="69">
        <f t="shared" ca="1" si="197"/>
        <v>0.2870224519860477</v>
      </c>
      <c r="V855" s="69">
        <f t="shared" ca="1" si="198"/>
        <v>-0.97287105249763084</v>
      </c>
      <c r="W855" s="69">
        <f t="shared" ca="1" si="199"/>
        <v>-0.81134634393210792</v>
      </c>
      <c r="X855" s="69">
        <f t="shared" ca="1" si="200"/>
        <v>-0.47009112926876434</v>
      </c>
    </row>
    <row r="856" spans="2:24" x14ac:dyDescent="0.2">
      <c r="B856" s="69">
        <f t="shared" ca="1" si="189"/>
        <v>0.14888468976452113</v>
      </c>
      <c r="C856" s="69">
        <f t="shared" ca="1" si="188"/>
        <v>1.6155423541349343</v>
      </c>
      <c r="D856" s="69">
        <f t="shared" ca="1" si="188"/>
        <v>-1.2303434423800748</v>
      </c>
      <c r="E856" s="69">
        <f t="shared" ca="1" si="188"/>
        <v>0.29263994938577426</v>
      </c>
      <c r="F856" s="69">
        <f t="shared" ca="1" si="188"/>
        <v>-1.5139941508762045</v>
      </c>
      <c r="G856" s="69">
        <f t="shared" ca="1" si="188"/>
        <v>1.4695485450378687</v>
      </c>
      <c r="H856" s="69">
        <f t="shared" ca="1" si="188"/>
        <v>-0.40109365809134717</v>
      </c>
      <c r="I856" s="69">
        <f t="shared" ca="1" si="188"/>
        <v>0.56162124071502695</v>
      </c>
      <c r="J856" s="69">
        <f t="shared" ca="1" si="188"/>
        <v>0.85281633756432695</v>
      </c>
      <c r="K856" s="69">
        <f t="shared" ca="1" si="188"/>
        <v>1.1518563280309582</v>
      </c>
      <c r="L856" s="69">
        <f t="shared" ca="1" si="188"/>
        <v>-0.99600973453182029</v>
      </c>
      <c r="N856" s="69">
        <f t="shared" ca="1" si="190"/>
        <v>0.18665273360262996</v>
      </c>
      <c r="O856" s="69">
        <f t="shared" ca="1" si="191"/>
        <v>1.5890487910520477</v>
      </c>
      <c r="P856" s="69">
        <f t="shared" ca="1" si="192"/>
        <v>-1.2880855072171649</v>
      </c>
      <c r="Q856" s="69">
        <f t="shared" ca="1" si="193"/>
        <v>0.34174862824753321</v>
      </c>
      <c r="R856" s="69">
        <f t="shared" ca="1" si="194"/>
        <v>-1.5202888362838534</v>
      </c>
      <c r="S856" s="69">
        <f t="shared" ca="1" si="195"/>
        <v>1.5023755172946771</v>
      </c>
      <c r="T856" s="69">
        <f t="shared" ca="1" si="196"/>
        <v>-0.40592469580653701</v>
      </c>
      <c r="U856" s="69">
        <f t="shared" ca="1" si="197"/>
        <v>0.58466136759273657</v>
      </c>
      <c r="V856" s="69">
        <f t="shared" ca="1" si="198"/>
        <v>0.84670674399072965</v>
      </c>
      <c r="W856" s="69">
        <f t="shared" ca="1" si="199"/>
        <v>1.1528376848550572</v>
      </c>
      <c r="X856" s="69">
        <f t="shared" ca="1" si="200"/>
        <v>-0.96884124415738482</v>
      </c>
    </row>
    <row r="857" spans="2:24" x14ac:dyDescent="0.2">
      <c r="B857" s="69">
        <f t="shared" ca="1" si="189"/>
        <v>-0.7769125811766473</v>
      </c>
      <c r="C857" s="69">
        <f t="shared" ca="1" si="188"/>
        <v>-0.4040923557013022</v>
      </c>
      <c r="D857" s="69">
        <f t="shared" ca="1" si="188"/>
        <v>-0.74785090794968034</v>
      </c>
      <c r="E857" s="69">
        <f t="shared" ca="1" si="188"/>
        <v>1.5737574246261032</v>
      </c>
      <c r="F857" s="69">
        <f t="shared" ca="1" si="188"/>
        <v>3.1369681819154124E-3</v>
      </c>
      <c r="G857" s="69">
        <f t="shared" ca="1" si="188"/>
        <v>-0.10645923391801099</v>
      </c>
      <c r="H857" s="69">
        <f t="shared" ca="1" si="188"/>
        <v>-0.83190211840897166</v>
      </c>
      <c r="I857" s="69">
        <f t="shared" ca="1" si="188"/>
        <v>-2.0007284340980749</v>
      </c>
      <c r="J857" s="69">
        <f t="shared" ca="1" si="188"/>
        <v>-1.0842445066079762</v>
      </c>
      <c r="K857" s="69">
        <f t="shared" ca="1" si="188"/>
        <v>0.15160906404281285</v>
      </c>
      <c r="L857" s="69">
        <f t="shared" ca="1" si="188"/>
        <v>0.61238314652906101</v>
      </c>
      <c r="N857" s="69">
        <f t="shared" ca="1" si="190"/>
        <v>-0.73914453733853847</v>
      </c>
      <c r="O857" s="69">
        <f t="shared" ca="1" si="191"/>
        <v>-0.43058591878418889</v>
      </c>
      <c r="P857" s="69">
        <f t="shared" ca="1" si="192"/>
        <v>-0.80559297278677033</v>
      </c>
      <c r="Q857" s="69">
        <f t="shared" ca="1" si="193"/>
        <v>1.6228661034878622</v>
      </c>
      <c r="R857" s="69">
        <f t="shared" ca="1" si="194"/>
        <v>-3.1577172257334835E-3</v>
      </c>
      <c r="S857" s="69">
        <f t="shared" ca="1" si="195"/>
        <v>-7.3632261661202514E-2</v>
      </c>
      <c r="T857" s="69">
        <f t="shared" ca="1" si="196"/>
        <v>-0.83673315612416155</v>
      </c>
      <c r="U857" s="69">
        <f t="shared" ca="1" si="197"/>
        <v>-1.9776883072203653</v>
      </c>
      <c r="V857" s="69">
        <f t="shared" ca="1" si="198"/>
        <v>-1.0903541001815735</v>
      </c>
      <c r="W857" s="69">
        <f t="shared" ca="1" si="199"/>
        <v>0.1525904208669118</v>
      </c>
      <c r="X857" s="69">
        <f t="shared" ca="1" si="200"/>
        <v>0.63955163690349648</v>
      </c>
    </row>
    <row r="858" spans="2:24" x14ac:dyDescent="0.2">
      <c r="B858" s="69">
        <f t="shared" ca="1" si="189"/>
        <v>-0.916901288280633</v>
      </c>
      <c r="C858" s="69">
        <f t="shared" ca="1" si="188"/>
        <v>-0.20613232750729055</v>
      </c>
      <c r="D858" s="69">
        <f t="shared" ca="1" si="188"/>
        <v>0.37086505689898913</v>
      </c>
      <c r="E858" s="69">
        <f t="shared" ca="1" si="188"/>
        <v>0.83112230849704216</v>
      </c>
      <c r="F858" s="69">
        <f t="shared" ca="1" si="188"/>
        <v>-0.15990242620948394</v>
      </c>
      <c r="G858" s="69">
        <f t="shared" ca="1" si="188"/>
        <v>-5.2354059221682691E-3</v>
      </c>
      <c r="H858" s="69">
        <f t="shared" ca="1" si="188"/>
        <v>-1.3864588059199197</v>
      </c>
      <c r="I858" s="69">
        <f t="shared" ca="1" si="188"/>
        <v>0.64819502766508308</v>
      </c>
      <c r="J858" s="69">
        <f t="shared" ca="1" si="188"/>
        <v>0.25450580284607682</v>
      </c>
      <c r="K858" s="69">
        <f t="shared" ca="1" si="188"/>
        <v>-9.0742291569506708E-2</v>
      </c>
      <c r="L858" s="69">
        <f t="shared" ca="1" si="188"/>
        <v>0.85099870096131158</v>
      </c>
      <c r="N858" s="69">
        <f t="shared" ca="1" si="190"/>
        <v>-0.87913324444252416</v>
      </c>
      <c r="O858" s="69">
        <f t="shared" ca="1" si="191"/>
        <v>-0.23262589059017724</v>
      </c>
      <c r="P858" s="69">
        <f t="shared" ca="1" si="192"/>
        <v>0.31312299206189909</v>
      </c>
      <c r="Q858" s="69">
        <f t="shared" ca="1" si="193"/>
        <v>0.88023098735880112</v>
      </c>
      <c r="R858" s="69">
        <f t="shared" ca="1" si="194"/>
        <v>-0.16619711161713285</v>
      </c>
      <c r="S858" s="69">
        <f t="shared" ca="1" si="195"/>
        <v>2.7591566334640209E-2</v>
      </c>
      <c r="T858" s="69">
        <f t="shared" ca="1" si="196"/>
        <v>-1.3912898436351095</v>
      </c>
      <c r="U858" s="69">
        <f t="shared" ca="1" si="197"/>
        <v>0.6712351545427927</v>
      </c>
      <c r="V858" s="69">
        <f t="shared" ca="1" si="198"/>
        <v>0.24839620927247949</v>
      </c>
      <c r="W858" s="69">
        <f t="shared" ca="1" si="199"/>
        <v>-8.976093474540775E-2</v>
      </c>
      <c r="X858" s="69">
        <f t="shared" ca="1" si="200"/>
        <v>0.87816719133574705</v>
      </c>
    </row>
    <row r="859" spans="2:24" x14ac:dyDescent="0.2">
      <c r="B859" s="69">
        <f t="shared" ca="1" si="189"/>
        <v>1.4164172503263404</v>
      </c>
      <c r="C859" s="69">
        <f t="shared" ca="1" si="188"/>
        <v>0.15783757798697381</v>
      </c>
      <c r="D859" s="69">
        <f t="shared" ca="1" si="188"/>
        <v>-0.97122455905476301</v>
      </c>
      <c r="E859" s="69">
        <f t="shared" ca="1" si="188"/>
        <v>-0.16707582325504994</v>
      </c>
      <c r="F859" s="69">
        <f t="shared" ca="1" si="188"/>
        <v>6.9206285969497308E-2</v>
      </c>
      <c r="G859" s="69">
        <f t="shared" ca="1" si="188"/>
        <v>-0.67533719197037145</v>
      </c>
      <c r="H859" s="69">
        <f t="shared" ca="1" si="188"/>
        <v>0.29331787705797779</v>
      </c>
      <c r="I859" s="69">
        <f t="shared" ca="1" si="188"/>
        <v>-0.93673431636989113</v>
      </c>
      <c r="J859" s="69">
        <f t="shared" ca="1" si="188"/>
        <v>-1.0844108952090141</v>
      </c>
      <c r="K859" s="69">
        <f t="shared" ca="1" si="188"/>
        <v>0.98878654202549865</v>
      </c>
      <c r="L859" s="69">
        <f t="shared" ca="1" si="188"/>
        <v>1.2397758573195086</v>
      </c>
      <c r="N859" s="69">
        <f t="shared" ca="1" si="190"/>
        <v>1.4541852941644491</v>
      </c>
      <c r="O859" s="69">
        <f t="shared" ca="1" si="191"/>
        <v>0.13134401490408712</v>
      </c>
      <c r="P859" s="69">
        <f t="shared" ca="1" si="192"/>
        <v>-1.0289666238918531</v>
      </c>
      <c r="Q859" s="69">
        <f t="shared" ca="1" si="193"/>
        <v>-0.11796714439329099</v>
      </c>
      <c r="R859" s="69">
        <f t="shared" ca="1" si="194"/>
        <v>6.2911600561848413E-2</v>
      </c>
      <c r="S859" s="69">
        <f t="shared" ca="1" si="195"/>
        <v>-0.64251021971356292</v>
      </c>
      <c r="T859" s="69">
        <f t="shared" ca="1" si="196"/>
        <v>0.28848683934278796</v>
      </c>
      <c r="U859" s="69">
        <f t="shared" ca="1" si="197"/>
        <v>-0.91369418949218151</v>
      </c>
      <c r="V859" s="69">
        <f t="shared" ca="1" si="198"/>
        <v>-1.0905204887826114</v>
      </c>
      <c r="W859" s="69">
        <f t="shared" ca="1" si="199"/>
        <v>0.98976789884959759</v>
      </c>
      <c r="X859" s="69">
        <f t="shared" ca="1" si="200"/>
        <v>1.2669443476939442</v>
      </c>
    </row>
    <row r="860" spans="2:24" x14ac:dyDescent="0.2">
      <c r="B860" s="69">
        <f t="shared" ca="1" si="189"/>
        <v>-0.64773523804448663</v>
      </c>
      <c r="C860" s="69">
        <f t="shared" ca="1" si="188"/>
        <v>-0.42954836746039027</v>
      </c>
      <c r="D860" s="69">
        <f t="shared" ref="C860:L923" ca="1" si="201">NORMINV(RAND(),$C$7,$F$7)</f>
        <v>-1.248377099492251</v>
      </c>
      <c r="E860" s="69">
        <f t="shared" ca="1" si="201"/>
        <v>1.4523406067646694</v>
      </c>
      <c r="F860" s="69">
        <f t="shared" ca="1" si="201"/>
        <v>-0.93568767348430226</v>
      </c>
      <c r="G860" s="69">
        <f t="shared" ca="1" si="201"/>
        <v>0.23308366462878988</v>
      </c>
      <c r="H860" s="69">
        <f t="shared" ca="1" si="201"/>
        <v>0.58315150677663929</v>
      </c>
      <c r="I860" s="69">
        <f t="shared" ca="1" si="201"/>
        <v>-2.6988719552699686E-2</v>
      </c>
      <c r="J860" s="69">
        <f t="shared" ca="1" si="201"/>
        <v>5.531046074337663E-2</v>
      </c>
      <c r="K860" s="69">
        <f t="shared" ca="1" si="201"/>
        <v>0.96714724771361127</v>
      </c>
      <c r="L860" s="69">
        <f t="shared" ca="1" si="201"/>
        <v>-1.021557933555066</v>
      </c>
      <c r="N860" s="69">
        <f t="shared" ca="1" si="190"/>
        <v>-0.60996719420637779</v>
      </c>
      <c r="O860" s="69">
        <f t="shared" ca="1" si="191"/>
        <v>-0.45604193054327696</v>
      </c>
      <c r="P860" s="69">
        <f t="shared" ca="1" si="192"/>
        <v>-1.3061191643293411</v>
      </c>
      <c r="Q860" s="69">
        <f t="shared" ca="1" si="193"/>
        <v>1.5014492856264283</v>
      </c>
      <c r="R860" s="69">
        <f t="shared" ca="1" si="194"/>
        <v>-0.94198235889195114</v>
      </c>
      <c r="S860" s="69">
        <f t="shared" ca="1" si="195"/>
        <v>0.26591063688559835</v>
      </c>
      <c r="T860" s="69">
        <f t="shared" ca="1" si="196"/>
        <v>0.5783204690614494</v>
      </c>
      <c r="U860" s="69">
        <f t="shared" ca="1" si="197"/>
        <v>-3.9485926749900299E-3</v>
      </c>
      <c r="V860" s="69">
        <f t="shared" ca="1" si="198"/>
        <v>4.9200867169779297E-2</v>
      </c>
      <c r="W860" s="69">
        <f t="shared" ca="1" si="199"/>
        <v>0.96812860453771021</v>
      </c>
      <c r="X860" s="69">
        <f t="shared" ca="1" si="200"/>
        <v>-0.99438944318063049</v>
      </c>
    </row>
    <row r="861" spans="2:24" x14ac:dyDescent="0.2">
      <c r="B861" s="69">
        <f t="shared" ca="1" si="189"/>
        <v>0.27123453201245029</v>
      </c>
      <c r="C861" s="69">
        <f t="shared" ca="1" si="201"/>
        <v>-1.203636145326433</v>
      </c>
      <c r="D861" s="69">
        <f t="shared" ca="1" si="201"/>
        <v>1.2016103035887455</v>
      </c>
      <c r="E861" s="69">
        <f t="shared" ca="1" si="201"/>
        <v>-0.29458111752321631</v>
      </c>
      <c r="F861" s="69">
        <f t="shared" ca="1" si="201"/>
        <v>-0.6230927410875754</v>
      </c>
      <c r="G861" s="69">
        <f t="shared" ca="1" si="201"/>
        <v>1.0836916811691779</v>
      </c>
      <c r="H861" s="69">
        <f t="shared" ca="1" si="201"/>
        <v>-0.36649678915928668</v>
      </c>
      <c r="I861" s="69">
        <f t="shared" ca="1" si="201"/>
        <v>-0.52571184285319816</v>
      </c>
      <c r="J861" s="69">
        <f t="shared" ca="1" si="201"/>
        <v>-0.68201465724451038</v>
      </c>
      <c r="K861" s="69">
        <f t="shared" ca="1" si="201"/>
        <v>9.6749055208029275E-2</v>
      </c>
      <c r="L861" s="69">
        <f t="shared" ca="1" si="201"/>
        <v>8.0442814767072851E-2</v>
      </c>
      <c r="N861" s="69">
        <f t="shared" ca="1" si="190"/>
        <v>0.30900257585055912</v>
      </c>
      <c r="O861" s="69">
        <f t="shared" ca="1" si="191"/>
        <v>-1.2301297084093197</v>
      </c>
      <c r="P861" s="69">
        <f t="shared" ca="1" si="192"/>
        <v>1.1438682387516554</v>
      </c>
      <c r="Q861" s="69">
        <f t="shared" ca="1" si="193"/>
        <v>-0.24547243866145735</v>
      </c>
      <c r="R861" s="69">
        <f t="shared" ca="1" si="194"/>
        <v>-0.62938742649522428</v>
      </c>
      <c r="S861" s="69">
        <f t="shared" ca="1" si="195"/>
        <v>1.1165186534259863</v>
      </c>
      <c r="T861" s="69">
        <f t="shared" ca="1" si="196"/>
        <v>-0.37132782687447652</v>
      </c>
      <c r="U861" s="69">
        <f t="shared" ca="1" si="197"/>
        <v>-0.50267171597548854</v>
      </c>
      <c r="V861" s="69">
        <f t="shared" ca="1" si="198"/>
        <v>-0.68812425081810769</v>
      </c>
      <c r="W861" s="69">
        <f t="shared" ca="1" si="199"/>
        <v>9.7730412032128233E-2</v>
      </c>
      <c r="X861" s="69">
        <f t="shared" ca="1" si="200"/>
        <v>0.10761130514150832</v>
      </c>
    </row>
    <row r="862" spans="2:24" x14ac:dyDescent="0.2">
      <c r="B862" s="69">
        <f t="shared" ca="1" si="189"/>
        <v>-0.17959562678644128</v>
      </c>
      <c r="C862" s="69">
        <f t="shared" ca="1" si="201"/>
        <v>-0.42720812979843575</v>
      </c>
      <c r="D862" s="69">
        <f t="shared" ca="1" si="201"/>
        <v>-1.4297798328613098</v>
      </c>
      <c r="E862" s="69">
        <f t="shared" ca="1" si="201"/>
        <v>0.20568804929449908</v>
      </c>
      <c r="F862" s="69">
        <f t="shared" ca="1" si="201"/>
        <v>-1.6715791301252019</v>
      </c>
      <c r="G862" s="69">
        <f t="shared" ca="1" si="201"/>
        <v>-1.4515873643687667</v>
      </c>
      <c r="H862" s="69">
        <f t="shared" ca="1" si="201"/>
        <v>-1.1873452081285436</v>
      </c>
      <c r="I862" s="69">
        <f t="shared" ca="1" si="201"/>
        <v>-0.86722728728766951</v>
      </c>
      <c r="J862" s="69">
        <f t="shared" ca="1" si="201"/>
        <v>0.18951734009858509</v>
      </c>
      <c r="K862" s="69">
        <f t="shared" ca="1" si="201"/>
        <v>1.143946408534416</v>
      </c>
      <c r="L862" s="69">
        <f t="shared" ca="1" si="201"/>
        <v>0.3009978242727267</v>
      </c>
      <c r="N862" s="69">
        <f t="shared" ca="1" si="190"/>
        <v>-0.14182758294833248</v>
      </c>
      <c r="O862" s="69">
        <f t="shared" ca="1" si="191"/>
        <v>-0.45370169288132245</v>
      </c>
      <c r="P862" s="69">
        <f t="shared" ca="1" si="192"/>
        <v>-1.4875218976983999</v>
      </c>
      <c r="Q862" s="69">
        <f t="shared" ca="1" si="193"/>
        <v>0.25479672815625803</v>
      </c>
      <c r="R862" s="69">
        <f t="shared" ca="1" si="194"/>
        <v>-1.6778738155328508</v>
      </c>
      <c r="S862" s="69">
        <f t="shared" ca="1" si="195"/>
        <v>-1.4187603921119583</v>
      </c>
      <c r="T862" s="69">
        <f t="shared" ca="1" si="196"/>
        <v>-1.1921762458437335</v>
      </c>
      <c r="U862" s="69">
        <f t="shared" ca="1" si="197"/>
        <v>-0.84418716040995989</v>
      </c>
      <c r="V862" s="69">
        <f t="shared" ca="1" si="198"/>
        <v>0.18340774652498776</v>
      </c>
      <c r="W862" s="69">
        <f t="shared" ca="1" si="199"/>
        <v>1.144927765358515</v>
      </c>
      <c r="X862" s="69">
        <f t="shared" ca="1" si="200"/>
        <v>0.32816631464716217</v>
      </c>
    </row>
    <row r="863" spans="2:24" x14ac:dyDescent="0.2">
      <c r="B863" s="69">
        <f t="shared" ca="1" si="189"/>
        <v>4.6974855591417689E-2</v>
      </c>
      <c r="C863" s="69">
        <f t="shared" ca="1" si="201"/>
        <v>0.81354944567339627</v>
      </c>
      <c r="D863" s="69">
        <f t="shared" ca="1" si="201"/>
        <v>3.5157752929764183E-2</v>
      </c>
      <c r="E863" s="69">
        <f t="shared" ca="1" si="201"/>
        <v>-0.29114064891374342</v>
      </c>
      <c r="F863" s="69">
        <f t="shared" ca="1" si="201"/>
        <v>-1.0929802219830169</v>
      </c>
      <c r="G863" s="69">
        <f t="shared" ca="1" si="201"/>
        <v>0.44690541355065544</v>
      </c>
      <c r="H863" s="69">
        <f t="shared" ca="1" si="201"/>
        <v>-1.5900406850337132</v>
      </c>
      <c r="I863" s="69">
        <f t="shared" ca="1" si="201"/>
        <v>-0.62484823187921101</v>
      </c>
      <c r="J863" s="69">
        <f t="shared" ca="1" si="201"/>
        <v>0.56514716166248458</v>
      </c>
      <c r="K863" s="69">
        <f t="shared" ca="1" si="201"/>
        <v>-1.0591631278635731</v>
      </c>
      <c r="L863" s="69">
        <f t="shared" ca="1" si="201"/>
        <v>0.42638019364659974</v>
      </c>
      <c r="N863" s="69">
        <f t="shared" ca="1" si="190"/>
        <v>8.4742899429526508E-2</v>
      </c>
      <c r="O863" s="69">
        <f t="shared" ca="1" si="191"/>
        <v>0.78705588259050963</v>
      </c>
      <c r="P863" s="69">
        <f t="shared" ca="1" si="192"/>
        <v>-2.2584311907325849E-2</v>
      </c>
      <c r="Q863" s="69">
        <f t="shared" ca="1" si="193"/>
        <v>-0.24203197005198446</v>
      </c>
      <c r="R863" s="69">
        <f t="shared" ca="1" si="194"/>
        <v>-1.0992749073906658</v>
      </c>
      <c r="S863" s="69">
        <f t="shared" ca="1" si="195"/>
        <v>0.47973238580746391</v>
      </c>
      <c r="T863" s="69">
        <f t="shared" ca="1" si="196"/>
        <v>-1.5948717227489031</v>
      </c>
      <c r="U863" s="69">
        <f t="shared" ca="1" si="197"/>
        <v>-0.60180810500150139</v>
      </c>
      <c r="V863" s="69">
        <f t="shared" ca="1" si="198"/>
        <v>0.55903756808888727</v>
      </c>
      <c r="W863" s="69">
        <f t="shared" ca="1" si="199"/>
        <v>-1.0581817710394741</v>
      </c>
      <c r="X863" s="69">
        <f t="shared" ca="1" si="200"/>
        <v>0.45354868402103521</v>
      </c>
    </row>
    <row r="864" spans="2:24" x14ac:dyDescent="0.2">
      <c r="B864" s="69">
        <f t="shared" ca="1" si="189"/>
        <v>-0.10360905242921724</v>
      </c>
      <c r="C864" s="69">
        <f t="shared" ca="1" si="201"/>
        <v>0.65744812357827742</v>
      </c>
      <c r="D864" s="69">
        <f t="shared" ca="1" si="201"/>
        <v>1.1398359146870769</v>
      </c>
      <c r="E864" s="69">
        <f t="shared" ca="1" si="201"/>
        <v>-0.80287326975081164</v>
      </c>
      <c r="F864" s="69">
        <f t="shared" ca="1" si="201"/>
        <v>-0.93073706280040369</v>
      </c>
      <c r="G864" s="69">
        <f t="shared" ca="1" si="201"/>
        <v>-7.6293190366767292E-3</v>
      </c>
      <c r="H864" s="69">
        <f t="shared" ca="1" si="201"/>
        <v>-0.53068065460703451</v>
      </c>
      <c r="I864" s="69">
        <f t="shared" ca="1" si="201"/>
        <v>2.5210277353049841</v>
      </c>
      <c r="J864" s="69">
        <f t="shared" ca="1" si="201"/>
        <v>-1.5389509432651998</v>
      </c>
      <c r="K864" s="69">
        <f t="shared" ca="1" si="201"/>
        <v>-1.0957662408683728</v>
      </c>
      <c r="L864" s="69">
        <f t="shared" ca="1" si="201"/>
        <v>0.3637224589442617</v>
      </c>
      <c r="N864" s="69">
        <f t="shared" ca="1" si="190"/>
        <v>-6.5841008591108419E-2</v>
      </c>
      <c r="O864" s="69">
        <f t="shared" ca="1" si="191"/>
        <v>0.63095456049539078</v>
      </c>
      <c r="P864" s="69">
        <f t="shared" ca="1" si="192"/>
        <v>1.0820938498499868</v>
      </c>
      <c r="Q864" s="69">
        <f t="shared" ca="1" si="193"/>
        <v>-0.75376459088905268</v>
      </c>
      <c r="R864" s="69">
        <f t="shared" ca="1" si="194"/>
        <v>-0.93703174820805257</v>
      </c>
      <c r="S864" s="69">
        <f t="shared" ca="1" si="195"/>
        <v>2.519765322013175E-2</v>
      </c>
      <c r="T864" s="69">
        <f t="shared" ca="1" si="196"/>
        <v>-0.5355116923222244</v>
      </c>
      <c r="U864" s="69">
        <f t="shared" ca="1" si="197"/>
        <v>2.5440678621826938</v>
      </c>
      <c r="V864" s="69">
        <f t="shared" ca="1" si="198"/>
        <v>-1.5450605368387971</v>
      </c>
      <c r="W864" s="69">
        <f t="shared" ca="1" si="199"/>
        <v>-1.0947848840442738</v>
      </c>
      <c r="X864" s="69">
        <f t="shared" ca="1" si="200"/>
        <v>0.39089094931869717</v>
      </c>
    </row>
    <row r="865" spans="2:24" x14ac:dyDescent="0.2">
      <c r="B865" s="69">
        <f t="shared" ca="1" si="189"/>
        <v>0.21975205757420205</v>
      </c>
      <c r="C865" s="69">
        <f t="shared" ca="1" si="201"/>
        <v>-0.11385538433281329</v>
      </c>
      <c r="D865" s="69">
        <f t="shared" ca="1" si="201"/>
        <v>0.95057812128874064</v>
      </c>
      <c r="E865" s="69">
        <f t="shared" ca="1" si="201"/>
        <v>1.1702406484042767</v>
      </c>
      <c r="F865" s="69">
        <f t="shared" ca="1" si="201"/>
        <v>-7.5418790688464632E-2</v>
      </c>
      <c r="G865" s="69">
        <f t="shared" ca="1" si="201"/>
        <v>0.28818561593372932</v>
      </c>
      <c r="H865" s="69">
        <f t="shared" ca="1" si="201"/>
        <v>0.59741186294676496</v>
      </c>
      <c r="I865" s="69">
        <f t="shared" ca="1" si="201"/>
        <v>1.1923153061164979</v>
      </c>
      <c r="J865" s="69">
        <f t="shared" ca="1" si="201"/>
        <v>0.32901176325260778</v>
      </c>
      <c r="K865" s="69">
        <f t="shared" ca="1" si="201"/>
        <v>0.82847101876574558</v>
      </c>
      <c r="L865" s="69">
        <f t="shared" ca="1" si="201"/>
        <v>-1.4056186591582565</v>
      </c>
      <c r="N865" s="69">
        <f t="shared" ca="1" si="190"/>
        <v>0.25752010141231085</v>
      </c>
      <c r="O865" s="69">
        <f t="shared" ca="1" si="191"/>
        <v>-0.14034894741569998</v>
      </c>
      <c r="P865" s="69">
        <f t="shared" ca="1" si="192"/>
        <v>0.89283605645165065</v>
      </c>
      <c r="Q865" s="69">
        <f t="shared" ca="1" si="193"/>
        <v>1.2193493272660356</v>
      </c>
      <c r="R865" s="69">
        <f t="shared" ca="1" si="194"/>
        <v>-8.1713476096113527E-2</v>
      </c>
      <c r="S865" s="69">
        <f t="shared" ca="1" si="195"/>
        <v>0.3210125881905378</v>
      </c>
      <c r="T865" s="69">
        <f t="shared" ca="1" si="196"/>
        <v>0.59258082523157507</v>
      </c>
      <c r="U865" s="69">
        <f t="shared" ca="1" si="197"/>
        <v>1.2153554329942076</v>
      </c>
      <c r="V865" s="69">
        <f t="shared" ca="1" si="198"/>
        <v>0.32290216967901048</v>
      </c>
      <c r="W865" s="69">
        <f t="shared" ca="1" si="199"/>
        <v>0.82945237558984453</v>
      </c>
      <c r="X865" s="69">
        <f t="shared" ca="1" si="200"/>
        <v>-1.3784501687838209</v>
      </c>
    </row>
    <row r="866" spans="2:24" x14ac:dyDescent="0.2">
      <c r="B866" s="69">
        <f t="shared" ca="1" si="189"/>
        <v>0.46403980385053778</v>
      </c>
      <c r="C866" s="69">
        <f t="shared" ca="1" si="201"/>
        <v>0.44121631065203049</v>
      </c>
      <c r="D866" s="69">
        <f t="shared" ca="1" si="201"/>
        <v>-0.27648433945492079</v>
      </c>
      <c r="E866" s="69">
        <f t="shared" ca="1" si="201"/>
        <v>0.60686472520736134</v>
      </c>
      <c r="F866" s="69">
        <f t="shared" ca="1" si="201"/>
        <v>1.09690343780112</v>
      </c>
      <c r="G866" s="69">
        <f t="shared" ca="1" si="201"/>
        <v>-1.1774792625099668</v>
      </c>
      <c r="H866" s="69">
        <f t="shared" ca="1" si="201"/>
        <v>-0.71172395956419232</v>
      </c>
      <c r="I866" s="69">
        <f t="shared" ca="1" si="201"/>
        <v>0.23616056370447902</v>
      </c>
      <c r="J866" s="69">
        <f t="shared" ca="1" si="201"/>
        <v>-2.4512026815359422</v>
      </c>
      <c r="K866" s="69">
        <f t="shared" ca="1" si="201"/>
        <v>-1.5106591167043796E-2</v>
      </c>
      <c r="L866" s="69">
        <f t="shared" ca="1" si="201"/>
        <v>0.90451290586163824</v>
      </c>
      <c r="N866" s="69">
        <f t="shared" ca="1" si="190"/>
        <v>0.50180784768864661</v>
      </c>
      <c r="O866" s="69">
        <f t="shared" ca="1" si="191"/>
        <v>0.41472274756914379</v>
      </c>
      <c r="P866" s="69">
        <f t="shared" ca="1" si="192"/>
        <v>-0.33422640429201084</v>
      </c>
      <c r="Q866" s="69">
        <f t="shared" ca="1" si="193"/>
        <v>0.6559734040691203</v>
      </c>
      <c r="R866" s="69">
        <f t="shared" ca="1" si="194"/>
        <v>1.0906087523934711</v>
      </c>
      <c r="S866" s="69">
        <f t="shared" ca="1" si="195"/>
        <v>-1.1446522902531584</v>
      </c>
      <c r="T866" s="69">
        <f t="shared" ca="1" si="196"/>
        <v>-0.71655499727938221</v>
      </c>
      <c r="U866" s="69">
        <f t="shared" ca="1" si="197"/>
        <v>0.2592006905821887</v>
      </c>
      <c r="V866" s="69">
        <f t="shared" ca="1" si="198"/>
        <v>-2.4573122751095395</v>
      </c>
      <c r="W866" s="69">
        <f t="shared" ca="1" si="199"/>
        <v>-1.4125234342944845E-2</v>
      </c>
      <c r="X866" s="69">
        <f t="shared" ca="1" si="200"/>
        <v>0.93168139623607371</v>
      </c>
    </row>
    <row r="867" spans="2:24" x14ac:dyDescent="0.2">
      <c r="B867" s="69">
        <f t="shared" ca="1" si="189"/>
        <v>-1.044627203236993</v>
      </c>
      <c r="C867" s="69">
        <f t="shared" ca="1" si="201"/>
        <v>-0.75900907145580987</v>
      </c>
      <c r="D867" s="69">
        <f t="shared" ca="1" si="201"/>
        <v>4.8759816692261031E-2</v>
      </c>
      <c r="E867" s="69">
        <f t="shared" ca="1" si="201"/>
        <v>0.58306142840871522</v>
      </c>
      <c r="F867" s="69">
        <f t="shared" ca="1" si="201"/>
        <v>0.13129108472113502</v>
      </c>
      <c r="G867" s="69">
        <f t="shared" ca="1" si="201"/>
        <v>0.52917026551845647</v>
      </c>
      <c r="H867" s="69">
        <f t="shared" ca="1" si="201"/>
        <v>-9.3674568297540881E-2</v>
      </c>
      <c r="I867" s="69">
        <f t="shared" ca="1" si="201"/>
        <v>-0.79845638667619523</v>
      </c>
      <c r="J867" s="69">
        <f t="shared" ca="1" si="201"/>
        <v>-0.85838015334255036</v>
      </c>
      <c r="K867" s="69">
        <f t="shared" ca="1" si="201"/>
        <v>8.7922766217784651E-2</v>
      </c>
      <c r="L867" s="69">
        <f t="shared" ca="1" si="201"/>
        <v>0.46123840064343352</v>
      </c>
      <c r="N867" s="69">
        <f t="shared" ca="1" si="190"/>
        <v>-1.0068591593988843</v>
      </c>
      <c r="O867" s="69">
        <f t="shared" ca="1" si="191"/>
        <v>-0.78550263453869651</v>
      </c>
      <c r="P867" s="69">
        <f t="shared" ca="1" si="192"/>
        <v>-8.9822481448290012E-3</v>
      </c>
      <c r="Q867" s="69">
        <f t="shared" ca="1" si="193"/>
        <v>0.63217010727047418</v>
      </c>
      <c r="R867" s="69">
        <f t="shared" ca="1" si="194"/>
        <v>0.12499639931348612</v>
      </c>
      <c r="S867" s="69">
        <f t="shared" ca="1" si="195"/>
        <v>0.561997237775265</v>
      </c>
      <c r="T867" s="69">
        <f t="shared" ca="1" si="196"/>
        <v>-9.8505606012730729E-2</v>
      </c>
      <c r="U867" s="69">
        <f t="shared" ca="1" si="197"/>
        <v>-0.77541625979848561</v>
      </c>
      <c r="V867" s="69">
        <f t="shared" ca="1" si="198"/>
        <v>-0.86448974691614766</v>
      </c>
      <c r="W867" s="69">
        <f t="shared" ca="1" si="199"/>
        <v>8.8904123041883609E-2</v>
      </c>
      <c r="X867" s="69">
        <f t="shared" ca="1" si="200"/>
        <v>0.48840689101786899</v>
      </c>
    </row>
    <row r="868" spans="2:24" x14ac:dyDescent="0.2">
      <c r="B868" s="69">
        <f t="shared" ca="1" si="189"/>
        <v>-0.23983779417930301</v>
      </c>
      <c r="C868" s="69">
        <f t="shared" ca="1" si="201"/>
        <v>0.18638737085473844</v>
      </c>
      <c r="D868" s="69">
        <f t="shared" ca="1" si="201"/>
        <v>-0.78287000294996945</v>
      </c>
      <c r="E868" s="69">
        <f t="shared" ca="1" si="201"/>
        <v>0.71468971925236724</v>
      </c>
      <c r="F868" s="69">
        <f t="shared" ca="1" si="201"/>
        <v>7.9431205378907854E-2</v>
      </c>
      <c r="G868" s="69">
        <f t="shared" ca="1" si="201"/>
        <v>0.52958213881650151</v>
      </c>
      <c r="H868" s="69">
        <f t="shared" ca="1" si="201"/>
        <v>-2.1774562658639778</v>
      </c>
      <c r="I868" s="69">
        <f t="shared" ca="1" si="201"/>
        <v>-0.26550965663596826</v>
      </c>
      <c r="J868" s="69">
        <f t="shared" ca="1" si="201"/>
        <v>-1.5669987886029195</v>
      </c>
      <c r="K868" s="69">
        <f t="shared" ca="1" si="201"/>
        <v>-0.45987675261974953</v>
      </c>
      <c r="L868" s="69">
        <f t="shared" ca="1" si="201"/>
        <v>-0.62992017563378622</v>
      </c>
      <c r="N868" s="69">
        <f t="shared" ca="1" si="190"/>
        <v>-0.20206975034119418</v>
      </c>
      <c r="O868" s="69">
        <f t="shared" ca="1" si="191"/>
        <v>0.15989380777185175</v>
      </c>
      <c r="P868" s="69">
        <f t="shared" ca="1" si="192"/>
        <v>-0.84061206778705944</v>
      </c>
      <c r="Q868" s="69">
        <f t="shared" ca="1" si="193"/>
        <v>0.7637983981141262</v>
      </c>
      <c r="R868" s="69">
        <f t="shared" ca="1" si="194"/>
        <v>7.3136519971258959E-2</v>
      </c>
      <c r="S868" s="69">
        <f t="shared" ca="1" si="195"/>
        <v>0.56240911107331004</v>
      </c>
      <c r="T868" s="69">
        <f t="shared" ca="1" si="196"/>
        <v>-2.1822873035791677</v>
      </c>
      <c r="U868" s="69">
        <f t="shared" ca="1" si="197"/>
        <v>-0.24246952975825861</v>
      </c>
      <c r="V868" s="69">
        <f t="shared" ca="1" si="198"/>
        <v>-1.5731083821765168</v>
      </c>
      <c r="W868" s="69">
        <f t="shared" ca="1" si="199"/>
        <v>-0.45889539579565058</v>
      </c>
      <c r="X868" s="69">
        <f t="shared" ca="1" si="200"/>
        <v>-0.60275168525935074</v>
      </c>
    </row>
    <row r="869" spans="2:24" x14ac:dyDescent="0.2">
      <c r="B869" s="69">
        <f t="shared" ca="1" si="189"/>
        <v>-0.16951020701023545</v>
      </c>
      <c r="C869" s="69">
        <f t="shared" ca="1" si="201"/>
        <v>1.1133007559600678</v>
      </c>
      <c r="D869" s="69">
        <f t="shared" ca="1" si="201"/>
        <v>-0.50400474517917937</v>
      </c>
      <c r="E869" s="69">
        <f t="shared" ca="1" si="201"/>
        <v>-1.2907279890956083</v>
      </c>
      <c r="F869" s="69">
        <f t="shared" ca="1" si="201"/>
        <v>-1.8286615460626821</v>
      </c>
      <c r="G869" s="69">
        <f t="shared" ca="1" si="201"/>
        <v>-2.6971569815019736</v>
      </c>
      <c r="H869" s="69">
        <f t="shared" ca="1" si="201"/>
        <v>0.67213099383537489</v>
      </c>
      <c r="I869" s="69">
        <f t="shared" ca="1" si="201"/>
        <v>0.13022115302413914</v>
      </c>
      <c r="J869" s="69">
        <f t="shared" ca="1" si="201"/>
        <v>-1.4875802202620811</v>
      </c>
      <c r="K869" s="69">
        <f t="shared" ca="1" si="201"/>
        <v>1.0389250202447602</v>
      </c>
      <c r="L869" s="69">
        <f t="shared" ca="1" si="201"/>
        <v>-0.45073923145324934</v>
      </c>
      <c r="N869" s="69">
        <f t="shared" ca="1" si="190"/>
        <v>-0.13174216317212661</v>
      </c>
      <c r="O869" s="69">
        <f t="shared" ca="1" si="191"/>
        <v>1.0868071928771812</v>
      </c>
      <c r="P869" s="69">
        <f t="shared" ca="1" si="192"/>
        <v>-0.56174681001626936</v>
      </c>
      <c r="Q869" s="69">
        <f t="shared" ca="1" si="193"/>
        <v>-1.2416193102338493</v>
      </c>
      <c r="R869" s="69">
        <f t="shared" ca="1" si="194"/>
        <v>-1.8349562314703309</v>
      </c>
      <c r="S869" s="69">
        <f t="shared" ca="1" si="195"/>
        <v>-2.6643300092451652</v>
      </c>
      <c r="T869" s="69">
        <f t="shared" ca="1" si="196"/>
        <v>0.667299956120185</v>
      </c>
      <c r="U869" s="69">
        <f t="shared" ca="1" si="197"/>
        <v>0.15326127990184879</v>
      </c>
      <c r="V869" s="69">
        <f t="shared" ca="1" si="198"/>
        <v>-1.4936898138356784</v>
      </c>
      <c r="W869" s="69">
        <f t="shared" ca="1" si="199"/>
        <v>1.0399063770688592</v>
      </c>
      <c r="X869" s="69">
        <f t="shared" ca="1" si="200"/>
        <v>-0.42357074107881387</v>
      </c>
    </row>
    <row r="870" spans="2:24" x14ac:dyDescent="0.2">
      <c r="B870" s="69">
        <f t="shared" ca="1" si="189"/>
        <v>-1.6270906740708144</v>
      </c>
      <c r="C870" s="69">
        <f t="shared" ca="1" si="201"/>
        <v>-2.3723746086843533</v>
      </c>
      <c r="D870" s="69">
        <f t="shared" ca="1" si="201"/>
        <v>4.3550109825945399E-2</v>
      </c>
      <c r="E870" s="69">
        <f t="shared" ca="1" si="201"/>
        <v>0.73074547420696123</v>
      </c>
      <c r="F870" s="69">
        <f t="shared" ca="1" si="201"/>
        <v>5.0176533717677642E-2</v>
      </c>
      <c r="G870" s="69">
        <f t="shared" ca="1" si="201"/>
        <v>0.19871972868504903</v>
      </c>
      <c r="H870" s="69">
        <f t="shared" ca="1" si="201"/>
        <v>-1.6527786518397602</v>
      </c>
      <c r="I870" s="69">
        <f t="shared" ca="1" si="201"/>
        <v>-2.286502802814633</v>
      </c>
      <c r="J870" s="69">
        <f t="shared" ca="1" si="201"/>
        <v>0.18542518326074747</v>
      </c>
      <c r="K870" s="69">
        <f t="shared" ca="1" si="201"/>
        <v>-1.1251135986129508</v>
      </c>
      <c r="L870" s="69">
        <f t="shared" ca="1" si="201"/>
        <v>0.54371274971463734</v>
      </c>
      <c r="N870" s="69">
        <f t="shared" ca="1" si="190"/>
        <v>-1.5893226302327057</v>
      </c>
      <c r="O870" s="69">
        <f t="shared" ca="1" si="191"/>
        <v>-2.3988681717672402</v>
      </c>
      <c r="P870" s="69">
        <f t="shared" ca="1" si="192"/>
        <v>-1.4191955011144633E-2</v>
      </c>
      <c r="Q870" s="69">
        <f t="shared" ca="1" si="193"/>
        <v>0.77985415306872019</v>
      </c>
      <c r="R870" s="69">
        <f t="shared" ca="1" si="194"/>
        <v>4.3881848310028747E-2</v>
      </c>
      <c r="S870" s="69">
        <f t="shared" ca="1" si="195"/>
        <v>0.2315467009418575</v>
      </c>
      <c r="T870" s="69">
        <f t="shared" ca="1" si="196"/>
        <v>-1.6576096895549501</v>
      </c>
      <c r="U870" s="69">
        <f t="shared" ca="1" si="197"/>
        <v>-2.2634626759369234</v>
      </c>
      <c r="V870" s="69">
        <f t="shared" ca="1" si="198"/>
        <v>0.17931558968715014</v>
      </c>
      <c r="W870" s="69">
        <f t="shared" ca="1" si="199"/>
        <v>-1.1241322417888517</v>
      </c>
      <c r="X870" s="69">
        <f t="shared" ca="1" si="200"/>
        <v>0.57088124008907282</v>
      </c>
    </row>
    <row r="871" spans="2:24" x14ac:dyDescent="0.2">
      <c r="B871" s="69">
        <f t="shared" ca="1" si="189"/>
        <v>2.0018834942955275</v>
      </c>
      <c r="C871" s="69">
        <f t="shared" ca="1" si="201"/>
        <v>0.97655094811911203</v>
      </c>
      <c r="D871" s="69">
        <f t="shared" ca="1" si="201"/>
        <v>-0.11120600926241547</v>
      </c>
      <c r="E871" s="69">
        <f t="shared" ca="1" si="201"/>
        <v>-0.49964926520363084</v>
      </c>
      <c r="F871" s="69">
        <f t="shared" ca="1" si="201"/>
        <v>-0.383853420950865</v>
      </c>
      <c r="G871" s="69">
        <f t="shared" ca="1" si="201"/>
        <v>1.7215187099358087</v>
      </c>
      <c r="H871" s="69">
        <f t="shared" ca="1" si="201"/>
        <v>1.6501870504005181</v>
      </c>
      <c r="I871" s="69">
        <f t="shared" ca="1" si="201"/>
        <v>-0.36110340767449084</v>
      </c>
      <c r="J871" s="69">
        <f t="shared" ca="1" si="201"/>
        <v>-0.82426453585563775</v>
      </c>
      <c r="K871" s="69">
        <f t="shared" ca="1" si="201"/>
        <v>-0.7925703077219991</v>
      </c>
      <c r="L871" s="69">
        <f t="shared" ca="1" si="201"/>
        <v>0.51947696799804655</v>
      </c>
      <c r="N871" s="69">
        <f t="shared" ca="1" si="190"/>
        <v>2.0396515381336364</v>
      </c>
      <c r="O871" s="69">
        <f t="shared" ca="1" si="191"/>
        <v>0.95005738503622539</v>
      </c>
      <c r="P871" s="69">
        <f t="shared" ca="1" si="192"/>
        <v>-0.16894807409950552</v>
      </c>
      <c r="Q871" s="69">
        <f t="shared" ca="1" si="193"/>
        <v>-0.45054058634187188</v>
      </c>
      <c r="R871" s="69">
        <f t="shared" ca="1" si="194"/>
        <v>-0.39014810635851388</v>
      </c>
      <c r="S871" s="69">
        <f t="shared" ca="1" si="195"/>
        <v>1.7543456821926171</v>
      </c>
      <c r="T871" s="69">
        <f t="shared" ca="1" si="196"/>
        <v>1.6453560126853282</v>
      </c>
      <c r="U871" s="69">
        <f t="shared" ca="1" si="197"/>
        <v>-0.33806328079678116</v>
      </c>
      <c r="V871" s="69">
        <f t="shared" ca="1" si="198"/>
        <v>-0.83037412942923505</v>
      </c>
      <c r="W871" s="69">
        <f t="shared" ca="1" si="199"/>
        <v>-0.79158895089790016</v>
      </c>
      <c r="X871" s="69">
        <f t="shared" ca="1" si="200"/>
        <v>0.54664545837248202</v>
      </c>
    </row>
    <row r="872" spans="2:24" x14ac:dyDescent="0.2">
      <c r="B872" s="69">
        <f t="shared" ca="1" si="189"/>
        <v>-0.97091393983328877</v>
      </c>
      <c r="C872" s="69">
        <f t="shared" ca="1" si="201"/>
        <v>-1.7728429026312669</v>
      </c>
      <c r="D872" s="69">
        <f t="shared" ca="1" si="201"/>
        <v>1.0121608317617099</v>
      </c>
      <c r="E872" s="69">
        <f t="shared" ca="1" si="201"/>
        <v>0.94520523805281276</v>
      </c>
      <c r="F872" s="69">
        <f t="shared" ca="1" si="201"/>
        <v>1.3333905933644468</v>
      </c>
      <c r="G872" s="69">
        <f t="shared" ca="1" si="201"/>
        <v>-0.5554923320443973</v>
      </c>
      <c r="H872" s="69">
        <f t="shared" ca="1" si="201"/>
        <v>2.46799945147009</v>
      </c>
      <c r="I872" s="69">
        <f t="shared" ca="1" si="201"/>
        <v>0.16552770838609621</v>
      </c>
      <c r="J872" s="69">
        <f t="shared" ca="1" si="201"/>
        <v>-1.2569645805592724</v>
      </c>
      <c r="K872" s="69">
        <f t="shared" ca="1" si="201"/>
        <v>-1.1743349043497076</v>
      </c>
      <c r="L872" s="69">
        <f t="shared" ca="1" si="201"/>
        <v>-0.39277276470231542</v>
      </c>
      <c r="N872" s="69">
        <f t="shared" ca="1" si="190"/>
        <v>-0.93314589599517994</v>
      </c>
      <c r="O872" s="69">
        <f t="shared" ca="1" si="191"/>
        <v>-1.7993364657141535</v>
      </c>
      <c r="P872" s="69">
        <f t="shared" ca="1" si="192"/>
        <v>0.95441876692461991</v>
      </c>
      <c r="Q872" s="69">
        <f t="shared" ca="1" si="193"/>
        <v>0.99431391691457172</v>
      </c>
      <c r="R872" s="69">
        <f t="shared" ca="1" si="194"/>
        <v>1.3270959079567979</v>
      </c>
      <c r="S872" s="69">
        <f t="shared" ca="1" si="195"/>
        <v>-0.52266535978758877</v>
      </c>
      <c r="T872" s="69">
        <f t="shared" ca="1" si="196"/>
        <v>2.4631684137549001</v>
      </c>
      <c r="U872" s="69">
        <f t="shared" ca="1" si="197"/>
        <v>0.18856783526380586</v>
      </c>
      <c r="V872" s="69">
        <f t="shared" ca="1" si="198"/>
        <v>-1.2630741741328697</v>
      </c>
      <c r="W872" s="69">
        <f t="shared" ca="1" si="199"/>
        <v>-1.1733535475256085</v>
      </c>
      <c r="X872" s="69">
        <f t="shared" ca="1" si="200"/>
        <v>-0.36560427432787995</v>
      </c>
    </row>
    <row r="873" spans="2:24" x14ac:dyDescent="0.2">
      <c r="B873" s="69">
        <f t="shared" ca="1" si="189"/>
        <v>-1.4877858385629645</v>
      </c>
      <c r="C873" s="69">
        <f t="shared" ca="1" si="201"/>
        <v>0.48423611071950801</v>
      </c>
      <c r="D873" s="69">
        <f t="shared" ca="1" si="201"/>
        <v>-0.44436270346289647</v>
      </c>
      <c r="E873" s="69">
        <f t="shared" ca="1" si="201"/>
        <v>0.44485744257656201</v>
      </c>
      <c r="F873" s="69">
        <f t="shared" ca="1" si="201"/>
        <v>-1.7041713152879701</v>
      </c>
      <c r="G873" s="69">
        <f t="shared" ca="1" si="201"/>
        <v>-0.12654543206233854</v>
      </c>
      <c r="H873" s="69">
        <f t="shared" ca="1" si="201"/>
        <v>1.4056048412077071</v>
      </c>
      <c r="I873" s="69">
        <f t="shared" ca="1" si="201"/>
        <v>-1.2228817383877233</v>
      </c>
      <c r="J873" s="69">
        <f t="shared" ca="1" si="201"/>
        <v>1.2186688204741245</v>
      </c>
      <c r="K873" s="69">
        <f t="shared" ca="1" si="201"/>
        <v>0.89270505075347162</v>
      </c>
      <c r="L873" s="69">
        <f t="shared" ca="1" si="201"/>
        <v>-0.12515629810938811</v>
      </c>
      <c r="N873" s="69">
        <f t="shared" ca="1" si="190"/>
        <v>-1.4500177947248558</v>
      </c>
      <c r="O873" s="69">
        <f t="shared" ca="1" si="191"/>
        <v>0.45774254763662131</v>
      </c>
      <c r="P873" s="69">
        <f t="shared" ca="1" si="192"/>
        <v>-0.50210476829998651</v>
      </c>
      <c r="Q873" s="69">
        <f t="shared" ca="1" si="193"/>
        <v>0.49396612143832097</v>
      </c>
      <c r="R873" s="69">
        <f t="shared" ca="1" si="194"/>
        <v>-1.7104660006956189</v>
      </c>
      <c r="S873" s="69">
        <f t="shared" ca="1" si="195"/>
        <v>-9.3718459805530063E-2</v>
      </c>
      <c r="T873" s="69">
        <f t="shared" ca="1" si="196"/>
        <v>1.4007738034925172</v>
      </c>
      <c r="U873" s="69">
        <f t="shared" ca="1" si="197"/>
        <v>-1.1998416115100137</v>
      </c>
      <c r="V873" s="69">
        <f t="shared" ca="1" si="198"/>
        <v>1.2125592269005272</v>
      </c>
      <c r="W873" s="69">
        <f t="shared" ca="1" si="199"/>
        <v>0.89368640757757056</v>
      </c>
      <c r="X873" s="69">
        <f t="shared" ca="1" si="200"/>
        <v>-9.7987807734952637E-2</v>
      </c>
    </row>
    <row r="874" spans="2:24" x14ac:dyDescent="0.2">
      <c r="B874" s="69">
        <f t="shared" ca="1" si="189"/>
        <v>1.6895841537356984</v>
      </c>
      <c r="C874" s="69">
        <f t="shared" ca="1" si="201"/>
        <v>-1.3369962112603098</v>
      </c>
      <c r="D874" s="69">
        <f t="shared" ca="1" si="201"/>
        <v>-0.40101706689480826</v>
      </c>
      <c r="E874" s="69">
        <f t="shared" ca="1" si="201"/>
        <v>0.42825346172825746</v>
      </c>
      <c r="F874" s="69">
        <f t="shared" ca="1" si="201"/>
        <v>-0.48895583856922586</v>
      </c>
      <c r="G874" s="69">
        <f t="shared" ca="1" si="201"/>
        <v>-1.1638052526954932</v>
      </c>
      <c r="H874" s="69">
        <f t="shared" ca="1" si="201"/>
        <v>-0.77772933575934389</v>
      </c>
      <c r="I874" s="69">
        <f t="shared" ca="1" si="201"/>
        <v>0.70132289247607305</v>
      </c>
      <c r="J874" s="69">
        <f t="shared" ca="1" si="201"/>
        <v>-2.3335047158868701E-2</v>
      </c>
      <c r="K874" s="69">
        <f t="shared" ca="1" si="201"/>
        <v>-0.29796673070547669</v>
      </c>
      <c r="L874" s="69">
        <f t="shared" ca="1" si="201"/>
        <v>0.49931918702614664</v>
      </c>
      <c r="N874" s="69">
        <f t="shared" ca="1" si="190"/>
        <v>1.7273521975738071</v>
      </c>
      <c r="O874" s="69">
        <f t="shared" ca="1" si="191"/>
        <v>-1.3634897743431964</v>
      </c>
      <c r="P874" s="69">
        <f t="shared" ca="1" si="192"/>
        <v>-0.45875913173189831</v>
      </c>
      <c r="Q874" s="69">
        <f t="shared" ca="1" si="193"/>
        <v>0.47736214059001641</v>
      </c>
      <c r="R874" s="69">
        <f t="shared" ca="1" si="194"/>
        <v>-0.49525052397687475</v>
      </c>
      <c r="S874" s="69">
        <f t="shared" ca="1" si="195"/>
        <v>-1.1309782804386848</v>
      </c>
      <c r="T874" s="69">
        <f t="shared" ca="1" si="196"/>
        <v>-0.78256037347453378</v>
      </c>
      <c r="U874" s="69">
        <f t="shared" ca="1" si="197"/>
        <v>0.72436301935378267</v>
      </c>
      <c r="V874" s="69">
        <f t="shared" ca="1" si="198"/>
        <v>-2.944464073246603E-2</v>
      </c>
      <c r="W874" s="69">
        <f t="shared" ca="1" si="199"/>
        <v>-0.29698537388137775</v>
      </c>
      <c r="X874" s="69">
        <f t="shared" ca="1" si="200"/>
        <v>0.52648767740058211</v>
      </c>
    </row>
    <row r="875" spans="2:24" x14ac:dyDescent="0.2">
      <c r="B875" s="69">
        <f t="shared" ca="1" si="189"/>
        <v>0.75948708745500293</v>
      </c>
      <c r="C875" s="69">
        <f t="shared" ca="1" si="201"/>
        <v>0.27760079254443476</v>
      </c>
      <c r="D875" s="69">
        <f t="shared" ca="1" si="201"/>
        <v>0.19593151566864112</v>
      </c>
      <c r="E875" s="69">
        <f t="shared" ca="1" si="201"/>
        <v>1.1157861696443623</v>
      </c>
      <c r="F875" s="69">
        <f t="shared" ca="1" si="201"/>
        <v>-1.1346098924367629</v>
      </c>
      <c r="G875" s="69">
        <f t="shared" ca="1" si="201"/>
        <v>1.4596410794828643</v>
      </c>
      <c r="H875" s="69">
        <f t="shared" ca="1" si="201"/>
        <v>-1.6412324234330389</v>
      </c>
      <c r="I875" s="69">
        <f t="shared" ca="1" si="201"/>
        <v>-0.26841228445403115</v>
      </c>
      <c r="J875" s="69">
        <f t="shared" ca="1" si="201"/>
        <v>0.47210310407840478</v>
      </c>
      <c r="K875" s="69">
        <f t="shared" ca="1" si="201"/>
        <v>-0.23001047408521749</v>
      </c>
      <c r="L875" s="69">
        <f t="shared" ca="1" si="201"/>
        <v>-0.26298612743145239</v>
      </c>
      <c r="N875" s="69">
        <f t="shared" ca="1" si="190"/>
        <v>0.79725513129311176</v>
      </c>
      <c r="O875" s="69">
        <f t="shared" ca="1" si="191"/>
        <v>0.25110722946154806</v>
      </c>
      <c r="P875" s="69">
        <f t="shared" ca="1" si="192"/>
        <v>0.1381894508315511</v>
      </c>
      <c r="Q875" s="69">
        <f t="shared" ca="1" si="193"/>
        <v>1.1648948485061212</v>
      </c>
      <c r="R875" s="69">
        <f t="shared" ca="1" si="194"/>
        <v>-1.1409045778444118</v>
      </c>
      <c r="S875" s="69">
        <f t="shared" ca="1" si="195"/>
        <v>1.4924680517396727</v>
      </c>
      <c r="T875" s="69">
        <f t="shared" ca="1" si="196"/>
        <v>-1.6460634611482288</v>
      </c>
      <c r="U875" s="69">
        <f t="shared" ca="1" si="197"/>
        <v>-0.2453721575763215</v>
      </c>
      <c r="V875" s="69">
        <f t="shared" ca="1" si="198"/>
        <v>0.46599351050480747</v>
      </c>
      <c r="W875" s="69">
        <f t="shared" ca="1" si="199"/>
        <v>-0.22902911726111855</v>
      </c>
      <c r="X875" s="69">
        <f t="shared" ca="1" si="200"/>
        <v>-0.23581763705701692</v>
      </c>
    </row>
    <row r="876" spans="2:24" x14ac:dyDescent="0.2">
      <c r="B876" s="69">
        <f t="shared" ca="1" si="189"/>
        <v>0.77351577310010744</v>
      </c>
      <c r="C876" s="69">
        <f t="shared" ca="1" si="201"/>
        <v>-0.70460368700492948</v>
      </c>
      <c r="D876" s="69">
        <f t="shared" ca="1" si="201"/>
        <v>0.96112446637291871</v>
      </c>
      <c r="E876" s="69">
        <f t="shared" ca="1" si="201"/>
        <v>-1.0861998310386443</v>
      </c>
      <c r="F876" s="69">
        <f t="shared" ca="1" si="201"/>
        <v>-0.4062013297418296</v>
      </c>
      <c r="G876" s="69">
        <f t="shared" ca="1" si="201"/>
        <v>-0.85958738027806569</v>
      </c>
      <c r="H876" s="69">
        <f t="shared" ca="1" si="201"/>
        <v>0.22708515633189802</v>
      </c>
      <c r="I876" s="69">
        <f t="shared" ca="1" si="201"/>
        <v>-0.87610001962750883</v>
      </c>
      <c r="J876" s="69">
        <f t="shared" ca="1" si="201"/>
        <v>-0.75384584012875366</v>
      </c>
      <c r="K876" s="69">
        <f t="shared" ca="1" si="201"/>
        <v>-1.440016458732841</v>
      </c>
      <c r="L876" s="69">
        <f t="shared" ca="1" si="201"/>
        <v>-1.46339749824223</v>
      </c>
      <c r="N876" s="69">
        <f t="shared" ca="1" si="190"/>
        <v>0.81128381693821627</v>
      </c>
      <c r="O876" s="69">
        <f t="shared" ca="1" si="191"/>
        <v>-0.73109725008781612</v>
      </c>
      <c r="P876" s="69">
        <f t="shared" ca="1" si="192"/>
        <v>0.90338240153582872</v>
      </c>
      <c r="Q876" s="69">
        <f t="shared" ca="1" si="193"/>
        <v>-1.0370911521768853</v>
      </c>
      <c r="R876" s="69">
        <f t="shared" ca="1" si="194"/>
        <v>-0.41249601514947848</v>
      </c>
      <c r="S876" s="69">
        <f t="shared" ca="1" si="195"/>
        <v>-0.82676040802125716</v>
      </c>
      <c r="T876" s="69">
        <f t="shared" ca="1" si="196"/>
        <v>0.22225411861670819</v>
      </c>
      <c r="U876" s="69">
        <f t="shared" ca="1" si="197"/>
        <v>-0.85305989274979921</v>
      </c>
      <c r="V876" s="69">
        <f t="shared" ca="1" si="198"/>
        <v>-0.75995543370235097</v>
      </c>
      <c r="W876" s="69">
        <f t="shared" ca="1" si="199"/>
        <v>-1.439035101908742</v>
      </c>
      <c r="X876" s="69">
        <f t="shared" ca="1" si="200"/>
        <v>-1.4362290078677944</v>
      </c>
    </row>
    <row r="877" spans="2:24" x14ac:dyDescent="0.2">
      <c r="B877" s="69">
        <f t="shared" ca="1" si="189"/>
        <v>1.2953623489645887</v>
      </c>
      <c r="C877" s="69">
        <f t="shared" ca="1" si="201"/>
        <v>0.93071019934207622</v>
      </c>
      <c r="D877" s="69">
        <f t="shared" ca="1" si="201"/>
        <v>1.1586376603548856</v>
      </c>
      <c r="E877" s="69">
        <f t="shared" ca="1" si="201"/>
        <v>0.47019706528920219</v>
      </c>
      <c r="F877" s="69">
        <f t="shared" ca="1" si="201"/>
        <v>-0.42723462641502258</v>
      </c>
      <c r="G877" s="69">
        <f t="shared" ca="1" si="201"/>
        <v>-0.17430615587164389</v>
      </c>
      <c r="H877" s="69">
        <f t="shared" ca="1" si="201"/>
        <v>1.0439670605401059</v>
      </c>
      <c r="I877" s="69">
        <f t="shared" ca="1" si="201"/>
        <v>-1.7817478717551767</v>
      </c>
      <c r="J877" s="69">
        <f t="shared" ca="1" si="201"/>
        <v>8.6230205465675627E-2</v>
      </c>
      <c r="K877" s="69">
        <f t="shared" ca="1" si="201"/>
        <v>0.70161331078802935</v>
      </c>
      <c r="L877" s="69">
        <f t="shared" ca="1" si="201"/>
        <v>0.67889910344644411</v>
      </c>
      <c r="N877" s="69">
        <f t="shared" ca="1" si="190"/>
        <v>1.3331303928026974</v>
      </c>
      <c r="O877" s="69">
        <f t="shared" ca="1" si="191"/>
        <v>0.90421663625918958</v>
      </c>
      <c r="P877" s="69">
        <f t="shared" ca="1" si="192"/>
        <v>1.1008955955177955</v>
      </c>
      <c r="Q877" s="69">
        <f t="shared" ca="1" si="193"/>
        <v>0.51930574415096109</v>
      </c>
      <c r="R877" s="69">
        <f t="shared" ca="1" si="194"/>
        <v>-0.43352931182267146</v>
      </c>
      <c r="S877" s="69">
        <f t="shared" ca="1" si="195"/>
        <v>-0.14147918361483541</v>
      </c>
      <c r="T877" s="69">
        <f t="shared" ca="1" si="196"/>
        <v>1.039136022824916</v>
      </c>
      <c r="U877" s="69">
        <f t="shared" ca="1" si="197"/>
        <v>-1.7587077448774671</v>
      </c>
      <c r="V877" s="69">
        <f t="shared" ca="1" si="198"/>
        <v>8.0120611892078294E-2</v>
      </c>
      <c r="W877" s="69">
        <f t="shared" ca="1" si="199"/>
        <v>0.7025946676121283</v>
      </c>
      <c r="X877" s="69">
        <f t="shared" ca="1" si="200"/>
        <v>0.70606759382087958</v>
      </c>
    </row>
    <row r="878" spans="2:24" x14ac:dyDescent="0.2">
      <c r="B878" s="69">
        <f t="shared" ca="1" si="189"/>
        <v>1.1503560521956055</v>
      </c>
      <c r="C878" s="69">
        <f t="shared" ca="1" si="201"/>
        <v>-0.15378837717826432</v>
      </c>
      <c r="D878" s="69">
        <f t="shared" ca="1" si="201"/>
        <v>2.4047708026385979</v>
      </c>
      <c r="E878" s="69">
        <f t="shared" ca="1" si="201"/>
        <v>-0.34163146257782595</v>
      </c>
      <c r="F878" s="69">
        <f t="shared" ca="1" si="201"/>
        <v>0.29374752781755409</v>
      </c>
      <c r="G878" s="69">
        <f t="shared" ca="1" si="201"/>
        <v>1.9727079836556531</v>
      </c>
      <c r="H878" s="69">
        <f t="shared" ca="1" si="201"/>
        <v>0.56485607075827859</v>
      </c>
      <c r="I878" s="69">
        <f t="shared" ca="1" si="201"/>
        <v>0.41810823274321568</v>
      </c>
      <c r="J878" s="69">
        <f t="shared" ca="1" si="201"/>
        <v>0.19193161517474319</v>
      </c>
      <c r="K878" s="69">
        <f t="shared" ca="1" si="201"/>
        <v>0.31970269874267321</v>
      </c>
      <c r="L878" s="69">
        <f t="shared" ca="1" si="201"/>
        <v>-0.90423367305765334</v>
      </c>
      <c r="N878" s="69">
        <f t="shared" ca="1" si="190"/>
        <v>1.1881240960337143</v>
      </c>
      <c r="O878" s="69">
        <f t="shared" ca="1" si="191"/>
        <v>-0.18028194026115102</v>
      </c>
      <c r="P878" s="69">
        <f t="shared" ca="1" si="192"/>
        <v>2.3470287378015078</v>
      </c>
      <c r="Q878" s="69">
        <f t="shared" ca="1" si="193"/>
        <v>-0.29252278371606699</v>
      </c>
      <c r="R878" s="69">
        <f t="shared" ca="1" si="194"/>
        <v>0.28745284240990521</v>
      </c>
      <c r="S878" s="69">
        <f t="shared" ca="1" si="195"/>
        <v>2.0055349559124616</v>
      </c>
      <c r="T878" s="69">
        <f t="shared" ca="1" si="196"/>
        <v>0.5600250330430887</v>
      </c>
      <c r="U878" s="69">
        <f t="shared" ca="1" si="197"/>
        <v>0.44114835962092536</v>
      </c>
      <c r="V878" s="69">
        <f t="shared" ca="1" si="198"/>
        <v>0.18582202160114586</v>
      </c>
      <c r="W878" s="69">
        <f t="shared" ca="1" si="199"/>
        <v>0.32068405556677215</v>
      </c>
      <c r="X878" s="69">
        <f t="shared" ca="1" si="200"/>
        <v>-0.87706518268321787</v>
      </c>
    </row>
    <row r="879" spans="2:24" x14ac:dyDescent="0.2">
      <c r="B879" s="69">
        <f t="shared" ca="1" si="189"/>
        <v>1.3165892034656139</v>
      </c>
      <c r="C879" s="69">
        <f t="shared" ca="1" si="201"/>
        <v>-0.39955909777592519</v>
      </c>
      <c r="D879" s="69">
        <f t="shared" ca="1" si="201"/>
        <v>-0.68714932933125517</v>
      </c>
      <c r="E879" s="69">
        <f t="shared" ca="1" si="201"/>
        <v>-0.91221007099068929</v>
      </c>
      <c r="F879" s="69">
        <f t="shared" ca="1" si="201"/>
        <v>3.722584835839772E-2</v>
      </c>
      <c r="G879" s="69">
        <f t="shared" ca="1" si="201"/>
        <v>-1.1132288568204338</v>
      </c>
      <c r="H879" s="69">
        <f t="shared" ca="1" si="201"/>
        <v>1.4482989401507651</v>
      </c>
      <c r="I879" s="69">
        <f t="shared" ca="1" si="201"/>
        <v>1.3451768396605348</v>
      </c>
      <c r="J879" s="69">
        <f t="shared" ca="1" si="201"/>
        <v>-2.1713845263331302</v>
      </c>
      <c r="K879" s="69">
        <f t="shared" ca="1" si="201"/>
        <v>-0.37003318869697466</v>
      </c>
      <c r="L879" s="69">
        <f t="shared" ca="1" si="201"/>
        <v>-0.38020185553572011</v>
      </c>
      <c r="N879" s="69">
        <f t="shared" ca="1" si="190"/>
        <v>1.3543572473037226</v>
      </c>
      <c r="O879" s="69">
        <f t="shared" ca="1" si="191"/>
        <v>-0.42605266085881188</v>
      </c>
      <c r="P879" s="69">
        <f t="shared" ca="1" si="192"/>
        <v>-0.74489139416834516</v>
      </c>
      <c r="Q879" s="69">
        <f t="shared" ca="1" si="193"/>
        <v>-0.86310139212893033</v>
      </c>
      <c r="R879" s="69">
        <f t="shared" ca="1" si="194"/>
        <v>3.0931162950748825E-2</v>
      </c>
      <c r="S879" s="69">
        <f t="shared" ca="1" si="195"/>
        <v>-1.0804018845636254</v>
      </c>
      <c r="T879" s="69">
        <f t="shared" ca="1" si="196"/>
        <v>1.4434679024355752</v>
      </c>
      <c r="U879" s="69">
        <f t="shared" ca="1" si="197"/>
        <v>1.3682169665382444</v>
      </c>
      <c r="V879" s="69">
        <f t="shared" ca="1" si="198"/>
        <v>-2.1774941199067275</v>
      </c>
      <c r="W879" s="69">
        <f t="shared" ca="1" si="199"/>
        <v>-0.36905183187287571</v>
      </c>
      <c r="X879" s="69">
        <f t="shared" ca="1" si="200"/>
        <v>-0.35303336516128464</v>
      </c>
    </row>
    <row r="880" spans="2:24" x14ac:dyDescent="0.2">
      <c r="B880" s="69">
        <f t="shared" ca="1" si="189"/>
        <v>-1.134974407754175</v>
      </c>
      <c r="C880" s="69">
        <f t="shared" ca="1" si="201"/>
        <v>-0.87029176027180344</v>
      </c>
      <c r="D880" s="69">
        <f t="shared" ca="1" si="201"/>
        <v>-0.70168712936706268</v>
      </c>
      <c r="E880" s="69">
        <f t="shared" ca="1" si="201"/>
        <v>-1.2644282572845966</v>
      </c>
      <c r="F880" s="69">
        <f t="shared" ca="1" si="201"/>
        <v>-0.81538867967358331</v>
      </c>
      <c r="G880" s="69">
        <f t="shared" ca="1" si="201"/>
        <v>-1.6532904536490574</v>
      </c>
      <c r="H880" s="69">
        <f t="shared" ca="1" si="201"/>
        <v>0.39070327205907185</v>
      </c>
      <c r="I880" s="69">
        <f t="shared" ca="1" si="201"/>
        <v>1.0079293523431969</v>
      </c>
      <c r="J880" s="69">
        <f t="shared" ca="1" si="201"/>
        <v>-0.63266285161253877</v>
      </c>
      <c r="K880" s="69">
        <f t="shared" ca="1" si="201"/>
        <v>-0.15547405350905599</v>
      </c>
      <c r="L880" s="69">
        <f t="shared" ca="1" si="201"/>
        <v>2.0373374786950387</v>
      </c>
      <c r="N880" s="69">
        <f t="shared" ca="1" si="190"/>
        <v>-1.0972063639160663</v>
      </c>
      <c r="O880" s="69">
        <f t="shared" ca="1" si="191"/>
        <v>-0.89678532335469008</v>
      </c>
      <c r="P880" s="69">
        <f t="shared" ca="1" si="192"/>
        <v>-0.75942919420415267</v>
      </c>
      <c r="Q880" s="69">
        <f t="shared" ca="1" si="193"/>
        <v>-1.2153195784228377</v>
      </c>
      <c r="R880" s="69">
        <f t="shared" ca="1" si="194"/>
        <v>-0.82168336508123219</v>
      </c>
      <c r="S880" s="69">
        <f t="shared" ca="1" si="195"/>
        <v>-1.6204634813922489</v>
      </c>
      <c r="T880" s="69">
        <f t="shared" ca="1" si="196"/>
        <v>0.38587223434388201</v>
      </c>
      <c r="U880" s="69">
        <f t="shared" ca="1" si="197"/>
        <v>1.0309694792209065</v>
      </c>
      <c r="V880" s="69">
        <f t="shared" ca="1" si="198"/>
        <v>-0.63877244518613607</v>
      </c>
      <c r="W880" s="69">
        <f t="shared" ca="1" si="199"/>
        <v>-0.15449269668495705</v>
      </c>
      <c r="X880" s="69">
        <f t="shared" ca="1" si="200"/>
        <v>2.064505969069474</v>
      </c>
    </row>
    <row r="881" spans="2:24" x14ac:dyDescent="0.2">
      <c r="B881" s="69">
        <f t="shared" ca="1" si="189"/>
        <v>0.19299332432664443</v>
      </c>
      <c r="C881" s="69">
        <f t="shared" ca="1" si="201"/>
        <v>-1.4502685721432946</v>
      </c>
      <c r="D881" s="69">
        <f t="shared" ca="1" si="201"/>
        <v>0.25506125058724172</v>
      </c>
      <c r="E881" s="69">
        <f t="shared" ca="1" si="201"/>
        <v>1.3539643808176753</v>
      </c>
      <c r="F881" s="69">
        <f t="shared" ca="1" si="201"/>
        <v>-0.80687826152239384</v>
      </c>
      <c r="G881" s="69">
        <f t="shared" ca="1" si="201"/>
        <v>0.13319232826481983</v>
      </c>
      <c r="H881" s="69">
        <f t="shared" ca="1" si="201"/>
        <v>-1.2625792521671451</v>
      </c>
      <c r="I881" s="69">
        <f t="shared" ca="1" si="201"/>
        <v>-0.35514727680730773</v>
      </c>
      <c r="J881" s="69">
        <f t="shared" ca="1" si="201"/>
        <v>-0.62516690300731825</v>
      </c>
      <c r="K881" s="69">
        <f t="shared" ca="1" si="201"/>
        <v>1.326050332652158</v>
      </c>
      <c r="L881" s="69">
        <f t="shared" ca="1" si="201"/>
        <v>-0.93344814808986742</v>
      </c>
      <c r="N881" s="69">
        <f t="shared" ca="1" si="190"/>
        <v>0.23076136816475323</v>
      </c>
      <c r="O881" s="69">
        <f t="shared" ca="1" si="191"/>
        <v>-1.4767621352261813</v>
      </c>
      <c r="P881" s="69">
        <f t="shared" ca="1" si="192"/>
        <v>0.19731918575015167</v>
      </c>
      <c r="Q881" s="69">
        <f t="shared" ca="1" si="193"/>
        <v>1.4030730596794343</v>
      </c>
      <c r="R881" s="69">
        <f t="shared" ca="1" si="194"/>
        <v>-0.81317294693004272</v>
      </c>
      <c r="S881" s="69">
        <f t="shared" ca="1" si="195"/>
        <v>0.1660193005216283</v>
      </c>
      <c r="T881" s="69">
        <f t="shared" ca="1" si="196"/>
        <v>-1.267410289882335</v>
      </c>
      <c r="U881" s="69">
        <f t="shared" ca="1" si="197"/>
        <v>-0.33210714992959806</v>
      </c>
      <c r="V881" s="69">
        <f t="shared" ca="1" si="198"/>
        <v>-0.63127649658091556</v>
      </c>
      <c r="W881" s="69">
        <f t="shared" ca="1" si="199"/>
        <v>1.327031689476257</v>
      </c>
      <c r="X881" s="69">
        <f t="shared" ca="1" si="200"/>
        <v>-0.90627965771543195</v>
      </c>
    </row>
    <row r="882" spans="2:24" x14ac:dyDescent="0.2">
      <c r="B882" s="69">
        <f t="shared" ca="1" si="189"/>
        <v>1.1039336852036592</v>
      </c>
      <c r="C882" s="69">
        <f t="shared" ca="1" si="201"/>
        <v>0.12951843462298374</v>
      </c>
      <c r="D882" s="69">
        <f t="shared" ca="1" si="201"/>
        <v>0.50404019152767998</v>
      </c>
      <c r="E882" s="69">
        <f t="shared" ca="1" si="201"/>
        <v>0.18086708992787293</v>
      </c>
      <c r="F882" s="69">
        <f t="shared" ca="1" si="201"/>
        <v>-2.2811939659932761</v>
      </c>
      <c r="G882" s="69">
        <f t="shared" ca="1" si="201"/>
        <v>1.9480388255561418</v>
      </c>
      <c r="H882" s="69">
        <f t="shared" ca="1" si="201"/>
        <v>-0.56527961225753909</v>
      </c>
      <c r="I882" s="69">
        <f t="shared" ca="1" si="201"/>
        <v>0.24059461507090044</v>
      </c>
      <c r="J882" s="69">
        <f t="shared" ca="1" si="201"/>
        <v>0.96425090460356577</v>
      </c>
      <c r="K882" s="69">
        <f t="shared" ca="1" si="201"/>
        <v>-1.6741864926667231</v>
      </c>
      <c r="L882" s="69">
        <f t="shared" ca="1" si="201"/>
        <v>-1.0467846174519961</v>
      </c>
      <c r="N882" s="69">
        <f t="shared" ca="1" si="190"/>
        <v>1.1417017290417679</v>
      </c>
      <c r="O882" s="69">
        <f t="shared" ca="1" si="191"/>
        <v>0.10302487154009705</v>
      </c>
      <c r="P882" s="69">
        <f t="shared" ca="1" si="192"/>
        <v>0.44629812669058994</v>
      </c>
      <c r="Q882" s="69">
        <f t="shared" ca="1" si="193"/>
        <v>0.22997576878963188</v>
      </c>
      <c r="R882" s="69">
        <f t="shared" ca="1" si="194"/>
        <v>-2.2874886514009249</v>
      </c>
      <c r="S882" s="69">
        <f t="shared" ca="1" si="195"/>
        <v>1.9808657978129502</v>
      </c>
      <c r="T882" s="69">
        <f t="shared" ca="1" si="196"/>
        <v>-0.57011064997272898</v>
      </c>
      <c r="U882" s="69">
        <f t="shared" ca="1" si="197"/>
        <v>0.26363474194861009</v>
      </c>
      <c r="V882" s="69">
        <f t="shared" ca="1" si="198"/>
        <v>0.95814131102996847</v>
      </c>
      <c r="W882" s="69">
        <f t="shared" ca="1" si="199"/>
        <v>-1.6732051358426241</v>
      </c>
      <c r="X882" s="69">
        <f t="shared" ca="1" si="200"/>
        <v>-1.0196161270775606</v>
      </c>
    </row>
    <row r="883" spans="2:24" x14ac:dyDescent="0.2">
      <c r="B883" s="69">
        <f t="shared" ca="1" si="189"/>
        <v>-0.44678098035163688</v>
      </c>
      <c r="C883" s="69">
        <f t="shared" ca="1" si="201"/>
        <v>2.189300812247629</v>
      </c>
      <c r="D883" s="69">
        <f t="shared" ca="1" si="201"/>
        <v>-2.6469366893114025E-2</v>
      </c>
      <c r="E883" s="69">
        <f t="shared" ca="1" si="201"/>
        <v>0.74293928107591201</v>
      </c>
      <c r="F883" s="69">
        <f t="shared" ca="1" si="201"/>
        <v>1.1715687218900939</v>
      </c>
      <c r="G883" s="69">
        <f t="shared" ca="1" si="201"/>
        <v>-0.24451510978237528</v>
      </c>
      <c r="H883" s="69">
        <f t="shared" ca="1" si="201"/>
        <v>-1.7350881767720672</v>
      </c>
      <c r="I883" s="69">
        <f t="shared" ca="1" si="201"/>
        <v>-0.41539787799360622</v>
      </c>
      <c r="J883" s="69">
        <f t="shared" ca="1" si="201"/>
        <v>-0.26123148416925934</v>
      </c>
      <c r="K883" s="69">
        <f t="shared" ca="1" si="201"/>
        <v>1.7405452332388596</v>
      </c>
      <c r="L883" s="69">
        <f t="shared" ca="1" si="201"/>
        <v>-0.14722611197644039</v>
      </c>
      <c r="N883" s="69">
        <f t="shared" ca="1" si="190"/>
        <v>-0.40901293651352805</v>
      </c>
      <c r="O883" s="69">
        <f t="shared" ca="1" si="191"/>
        <v>2.1628072491647421</v>
      </c>
      <c r="P883" s="69">
        <f t="shared" ca="1" si="192"/>
        <v>-8.4211431730204053E-2</v>
      </c>
      <c r="Q883" s="69">
        <f t="shared" ca="1" si="193"/>
        <v>0.79204795993767096</v>
      </c>
      <c r="R883" s="69">
        <f t="shared" ca="1" si="194"/>
        <v>1.165274036482445</v>
      </c>
      <c r="S883" s="69">
        <f t="shared" ca="1" si="195"/>
        <v>-0.21168813752556681</v>
      </c>
      <c r="T883" s="69">
        <f t="shared" ca="1" si="196"/>
        <v>-1.7399192144872571</v>
      </c>
      <c r="U883" s="69">
        <f t="shared" ca="1" si="197"/>
        <v>-0.39235775111589655</v>
      </c>
      <c r="V883" s="69">
        <f t="shared" ca="1" si="198"/>
        <v>-0.26734107774285665</v>
      </c>
      <c r="W883" s="69">
        <f t="shared" ca="1" si="199"/>
        <v>1.7415265900629586</v>
      </c>
      <c r="X883" s="69">
        <f t="shared" ca="1" si="200"/>
        <v>-0.12005762160200492</v>
      </c>
    </row>
    <row r="884" spans="2:24" x14ac:dyDescent="0.2">
      <c r="B884" s="69">
        <f t="shared" ca="1" si="189"/>
        <v>-0.47894854085002253</v>
      </c>
      <c r="C884" s="69">
        <f t="shared" ca="1" si="201"/>
        <v>-1.0933462903982136</v>
      </c>
      <c r="D884" s="69">
        <f t="shared" ca="1" si="201"/>
        <v>9.4162617761121781E-2</v>
      </c>
      <c r="E884" s="69">
        <f t="shared" ca="1" si="201"/>
        <v>0.10626012016001475</v>
      </c>
      <c r="F884" s="69">
        <f t="shared" ca="1" si="201"/>
        <v>0.28012889627395554</v>
      </c>
      <c r="G884" s="69">
        <f t="shared" ca="1" si="201"/>
        <v>0.98116645288574489</v>
      </c>
      <c r="H884" s="69">
        <f t="shared" ca="1" si="201"/>
        <v>-0.32983238677790838</v>
      </c>
      <c r="I884" s="69">
        <f t="shared" ca="1" si="201"/>
        <v>-0.13899611608425755</v>
      </c>
      <c r="J884" s="69">
        <f t="shared" ca="1" si="201"/>
        <v>-0.54733069078721686</v>
      </c>
      <c r="K884" s="69">
        <f t="shared" ca="1" si="201"/>
        <v>0.16023449991908362</v>
      </c>
      <c r="L884" s="69">
        <f t="shared" ca="1" si="201"/>
        <v>-0.73713603506879721</v>
      </c>
      <c r="N884" s="69">
        <f t="shared" ca="1" si="190"/>
        <v>-0.4411804970119137</v>
      </c>
      <c r="O884" s="69">
        <f t="shared" ca="1" si="191"/>
        <v>-1.1198398534811003</v>
      </c>
      <c r="P884" s="69">
        <f t="shared" ca="1" si="192"/>
        <v>3.6420552924031749E-2</v>
      </c>
      <c r="Q884" s="69">
        <f t="shared" ca="1" si="193"/>
        <v>0.1553687990217737</v>
      </c>
      <c r="R884" s="69">
        <f t="shared" ca="1" si="194"/>
        <v>0.27383421086630666</v>
      </c>
      <c r="S884" s="69">
        <f t="shared" ca="1" si="195"/>
        <v>1.0139934251425533</v>
      </c>
      <c r="T884" s="69">
        <f t="shared" ca="1" si="196"/>
        <v>-0.33466342449309822</v>
      </c>
      <c r="U884" s="69">
        <f t="shared" ca="1" si="197"/>
        <v>-0.1159559892065479</v>
      </c>
      <c r="V884" s="69">
        <f t="shared" ca="1" si="198"/>
        <v>-0.55344028436081416</v>
      </c>
      <c r="W884" s="69">
        <f t="shared" ca="1" si="199"/>
        <v>0.16121585674318256</v>
      </c>
      <c r="X884" s="69">
        <f t="shared" ca="1" si="200"/>
        <v>-0.70996754469436174</v>
      </c>
    </row>
    <row r="885" spans="2:24" x14ac:dyDescent="0.2">
      <c r="B885" s="69">
        <f t="shared" ca="1" si="189"/>
        <v>3.8125848049252613E-2</v>
      </c>
      <c r="C885" s="69">
        <f t="shared" ca="1" si="201"/>
        <v>1.2676853212202928</v>
      </c>
      <c r="D885" s="69">
        <f t="shared" ca="1" si="201"/>
        <v>-0.12949729860399711</v>
      </c>
      <c r="E885" s="69">
        <f t="shared" ca="1" si="201"/>
        <v>-2.4255284260609504</v>
      </c>
      <c r="F885" s="69">
        <f t="shared" ca="1" si="201"/>
        <v>-2.0310918645361848</v>
      </c>
      <c r="G885" s="69">
        <f t="shared" ca="1" si="201"/>
        <v>0.50872835448801057</v>
      </c>
      <c r="H885" s="69">
        <f t="shared" ca="1" si="201"/>
        <v>-0.43281551419311304</v>
      </c>
      <c r="I885" s="69">
        <f t="shared" ref="C885:L948" ca="1" si="202">NORMINV(RAND(),$C$7,$F$7)</f>
        <v>-0.23680583403415573</v>
      </c>
      <c r="J885" s="69">
        <f t="shared" ca="1" si="202"/>
        <v>2.7005793423126403</v>
      </c>
      <c r="K885" s="69">
        <f t="shared" ca="1" si="202"/>
        <v>-2.018681666346827</v>
      </c>
      <c r="L885" s="69">
        <f t="shared" ca="1" si="202"/>
        <v>1.0072896025773055</v>
      </c>
      <c r="N885" s="69">
        <f t="shared" ca="1" si="190"/>
        <v>7.5893891887361425E-2</v>
      </c>
      <c r="O885" s="69">
        <f t="shared" ca="1" si="191"/>
        <v>1.2411917581374061</v>
      </c>
      <c r="P885" s="69">
        <f t="shared" ca="1" si="192"/>
        <v>-0.18723936344108716</v>
      </c>
      <c r="Q885" s="69">
        <f t="shared" ca="1" si="193"/>
        <v>-2.3764197471991917</v>
      </c>
      <c r="R885" s="69">
        <f t="shared" ca="1" si="194"/>
        <v>-2.0373865499438337</v>
      </c>
      <c r="S885" s="69">
        <f t="shared" ca="1" si="195"/>
        <v>0.5415553267448191</v>
      </c>
      <c r="T885" s="69">
        <f t="shared" ca="1" si="196"/>
        <v>-0.43764655190830287</v>
      </c>
      <c r="U885" s="69">
        <f t="shared" ca="1" si="197"/>
        <v>-0.21376570715644608</v>
      </c>
      <c r="V885" s="69">
        <f t="shared" ca="1" si="198"/>
        <v>2.694469748739043</v>
      </c>
      <c r="W885" s="69">
        <f t="shared" ca="1" si="199"/>
        <v>-2.0177003095227279</v>
      </c>
      <c r="X885" s="69">
        <f t="shared" ca="1" si="200"/>
        <v>1.0344580929517411</v>
      </c>
    </row>
    <row r="886" spans="2:24" x14ac:dyDescent="0.2">
      <c r="B886" s="69">
        <f t="shared" ca="1" si="189"/>
        <v>-0.26296514752481054</v>
      </c>
      <c r="C886" s="69">
        <f t="shared" ca="1" si="202"/>
        <v>-0.62185821765768501</v>
      </c>
      <c r="D886" s="69">
        <f t="shared" ca="1" si="202"/>
        <v>1.8120235445783421</v>
      </c>
      <c r="E886" s="69">
        <f t="shared" ca="1" si="202"/>
        <v>-0.69663915136946752</v>
      </c>
      <c r="F886" s="69">
        <f t="shared" ca="1" si="202"/>
        <v>-1.4449021096973211</v>
      </c>
      <c r="G886" s="69">
        <f t="shared" ca="1" si="202"/>
        <v>1.7907787641002237</v>
      </c>
      <c r="H886" s="69">
        <f t="shared" ca="1" si="202"/>
        <v>2.1420620114744411</v>
      </c>
      <c r="I886" s="69">
        <f t="shared" ca="1" si="202"/>
        <v>-0.46334917326134567</v>
      </c>
      <c r="J886" s="69">
        <f t="shared" ca="1" si="202"/>
        <v>0.22234752543383018</v>
      </c>
      <c r="K886" s="69">
        <f t="shared" ca="1" si="202"/>
        <v>-0.79119025833854617</v>
      </c>
      <c r="L886" s="69">
        <f t="shared" ca="1" si="202"/>
        <v>0.23830900541428945</v>
      </c>
      <c r="N886" s="69">
        <f t="shared" ca="1" si="190"/>
        <v>-0.22519710368670171</v>
      </c>
      <c r="O886" s="69">
        <f t="shared" ca="1" si="191"/>
        <v>-0.64835178074057165</v>
      </c>
      <c r="P886" s="69">
        <f t="shared" ca="1" si="192"/>
        <v>1.754281479741252</v>
      </c>
      <c r="Q886" s="69">
        <f t="shared" ca="1" si="193"/>
        <v>-0.64753047250770857</v>
      </c>
      <c r="R886" s="69">
        <f t="shared" ca="1" si="194"/>
        <v>-1.45119679510497</v>
      </c>
      <c r="S886" s="69">
        <f t="shared" ca="1" si="195"/>
        <v>1.8236057363570322</v>
      </c>
      <c r="T886" s="69">
        <f t="shared" ca="1" si="196"/>
        <v>2.1372309737592512</v>
      </c>
      <c r="U886" s="69">
        <f t="shared" ca="1" si="197"/>
        <v>-0.44030904638363599</v>
      </c>
      <c r="V886" s="69">
        <f t="shared" ca="1" si="198"/>
        <v>0.21623793186023285</v>
      </c>
      <c r="W886" s="69">
        <f t="shared" ca="1" si="199"/>
        <v>-0.79020890151444723</v>
      </c>
      <c r="X886" s="69">
        <f t="shared" ca="1" si="200"/>
        <v>0.26547749578872493</v>
      </c>
    </row>
    <row r="887" spans="2:24" x14ac:dyDescent="0.2">
      <c r="B887" s="69">
        <f t="shared" ca="1" si="189"/>
        <v>-1.7395739829041295</v>
      </c>
      <c r="C887" s="69">
        <f t="shared" ca="1" si="202"/>
        <v>0.87354909459707397</v>
      </c>
      <c r="D887" s="69">
        <f t="shared" ca="1" si="202"/>
        <v>1.5597528147321986</v>
      </c>
      <c r="E887" s="69">
        <f t="shared" ca="1" si="202"/>
        <v>-1.5380567924292365</v>
      </c>
      <c r="F887" s="69">
        <f t="shared" ca="1" si="202"/>
        <v>-8.8923163334920091E-2</v>
      </c>
      <c r="G887" s="69">
        <f t="shared" ca="1" si="202"/>
        <v>-0.2661375814560365</v>
      </c>
      <c r="H887" s="69">
        <f t="shared" ca="1" si="202"/>
        <v>-0.20870403292248343</v>
      </c>
      <c r="I887" s="69">
        <f t="shared" ca="1" si="202"/>
        <v>0.70597653172341901</v>
      </c>
      <c r="J887" s="69">
        <f t="shared" ca="1" si="202"/>
        <v>1.9571524334652688</v>
      </c>
      <c r="K887" s="69">
        <f t="shared" ca="1" si="202"/>
        <v>-0.51761945998624892</v>
      </c>
      <c r="L887" s="69">
        <f t="shared" ca="1" si="202"/>
        <v>0.50284614258268834</v>
      </c>
      <c r="N887" s="69">
        <f t="shared" ca="1" si="190"/>
        <v>-1.7018059390660207</v>
      </c>
      <c r="O887" s="69">
        <f t="shared" ca="1" si="191"/>
        <v>0.84705553151418733</v>
      </c>
      <c r="P887" s="69">
        <f t="shared" ca="1" si="192"/>
        <v>1.5020107498951085</v>
      </c>
      <c r="Q887" s="69">
        <f t="shared" ca="1" si="193"/>
        <v>-1.4889481135674776</v>
      </c>
      <c r="R887" s="69">
        <f t="shared" ca="1" si="194"/>
        <v>-9.5217848742568986E-2</v>
      </c>
      <c r="S887" s="69">
        <f t="shared" ca="1" si="195"/>
        <v>-0.23331060919922803</v>
      </c>
      <c r="T887" s="69">
        <f t="shared" ca="1" si="196"/>
        <v>-0.21353507063767327</v>
      </c>
      <c r="U887" s="69">
        <f t="shared" ca="1" si="197"/>
        <v>0.72901665860112863</v>
      </c>
      <c r="V887" s="69">
        <f t="shared" ca="1" si="198"/>
        <v>1.9510428398916715</v>
      </c>
      <c r="W887" s="69">
        <f t="shared" ca="1" si="199"/>
        <v>-0.51663810316214998</v>
      </c>
      <c r="X887" s="69">
        <f t="shared" ca="1" si="200"/>
        <v>0.53001463295712381</v>
      </c>
    </row>
    <row r="888" spans="2:24" x14ac:dyDescent="0.2">
      <c r="B888" s="69">
        <f t="shared" ca="1" si="189"/>
        <v>1.6101555141476935</v>
      </c>
      <c r="C888" s="69">
        <f t="shared" ca="1" si="202"/>
        <v>-0.24528810350000924</v>
      </c>
      <c r="D888" s="69">
        <f t="shared" ca="1" si="202"/>
        <v>1.000626466374539</v>
      </c>
      <c r="E888" s="69">
        <f t="shared" ca="1" si="202"/>
        <v>-1.153284167081533</v>
      </c>
      <c r="F888" s="69">
        <f t="shared" ca="1" si="202"/>
        <v>0.4564975610445321</v>
      </c>
      <c r="G888" s="69">
        <f t="shared" ca="1" si="202"/>
        <v>-0.86950750610426142</v>
      </c>
      <c r="H888" s="69">
        <f t="shared" ca="1" si="202"/>
        <v>0.20874166248465031</v>
      </c>
      <c r="I888" s="69">
        <f t="shared" ca="1" si="202"/>
        <v>-0.19385454938390742</v>
      </c>
      <c r="J888" s="69">
        <f t="shared" ca="1" si="202"/>
        <v>-0.2512647333329398</v>
      </c>
      <c r="K888" s="69">
        <f t="shared" ca="1" si="202"/>
        <v>0.51265200531013444</v>
      </c>
      <c r="L888" s="69">
        <f t="shared" ca="1" si="202"/>
        <v>0.65325167863500544</v>
      </c>
      <c r="N888" s="69">
        <f t="shared" ca="1" si="190"/>
        <v>1.6479235579858023</v>
      </c>
      <c r="O888" s="69">
        <f t="shared" ca="1" si="191"/>
        <v>-0.27178166658289593</v>
      </c>
      <c r="P888" s="69">
        <f t="shared" ca="1" si="192"/>
        <v>0.94288440153744901</v>
      </c>
      <c r="Q888" s="69">
        <f t="shared" ca="1" si="193"/>
        <v>-1.1041754882197741</v>
      </c>
      <c r="R888" s="69">
        <f t="shared" ca="1" si="194"/>
        <v>0.45020287563688322</v>
      </c>
      <c r="S888" s="69">
        <f t="shared" ca="1" si="195"/>
        <v>-0.83668053384745289</v>
      </c>
      <c r="T888" s="69">
        <f t="shared" ca="1" si="196"/>
        <v>0.20391062476946048</v>
      </c>
      <c r="U888" s="69">
        <f t="shared" ca="1" si="197"/>
        <v>-0.17081442250619777</v>
      </c>
      <c r="V888" s="69">
        <f t="shared" ca="1" si="198"/>
        <v>-0.25737432690653711</v>
      </c>
      <c r="W888" s="69">
        <f t="shared" ca="1" si="199"/>
        <v>0.51363336213423338</v>
      </c>
      <c r="X888" s="69">
        <f t="shared" ca="1" si="200"/>
        <v>0.68042016900944091</v>
      </c>
    </row>
    <row r="889" spans="2:24" x14ac:dyDescent="0.2">
      <c r="B889" s="69">
        <f t="shared" ca="1" si="189"/>
        <v>-1.3389169463108874</v>
      </c>
      <c r="C889" s="69">
        <f t="shared" ca="1" si="202"/>
        <v>1.9687052601185924</v>
      </c>
      <c r="D889" s="69">
        <f t="shared" ca="1" si="202"/>
        <v>0.33234450105687208</v>
      </c>
      <c r="E889" s="69">
        <f t="shared" ca="1" si="202"/>
        <v>0.32752112826780061</v>
      </c>
      <c r="F889" s="69">
        <f t="shared" ca="1" si="202"/>
        <v>1.4772669923581654</v>
      </c>
      <c r="G889" s="69">
        <f t="shared" ca="1" si="202"/>
        <v>0.27478058968598251</v>
      </c>
      <c r="H889" s="69">
        <f t="shared" ca="1" si="202"/>
        <v>1.1999845863715342</v>
      </c>
      <c r="I889" s="69">
        <f t="shared" ca="1" si="202"/>
        <v>5.3160299891081488E-2</v>
      </c>
      <c r="J889" s="69">
        <f t="shared" ca="1" si="202"/>
        <v>-0.287271601452115</v>
      </c>
      <c r="K889" s="69">
        <f t="shared" ca="1" si="202"/>
        <v>-0.37339001224298402</v>
      </c>
      <c r="L889" s="69">
        <f t="shared" ca="1" si="202"/>
        <v>2.0352615602215502</v>
      </c>
      <c r="N889" s="69">
        <f t="shared" ca="1" si="190"/>
        <v>-1.3011489024727787</v>
      </c>
      <c r="O889" s="69">
        <f t="shared" ca="1" si="191"/>
        <v>1.9422116970357057</v>
      </c>
      <c r="P889" s="69">
        <f t="shared" ca="1" si="192"/>
        <v>0.27460243621978203</v>
      </c>
      <c r="Q889" s="69">
        <f t="shared" ca="1" si="193"/>
        <v>0.37662980712955957</v>
      </c>
      <c r="R889" s="69">
        <f t="shared" ca="1" si="194"/>
        <v>1.4709723069505165</v>
      </c>
      <c r="S889" s="69">
        <f t="shared" ca="1" si="195"/>
        <v>0.30760756194279099</v>
      </c>
      <c r="T889" s="69">
        <f t="shared" ca="1" si="196"/>
        <v>1.1951535486563443</v>
      </c>
      <c r="U889" s="69">
        <f t="shared" ca="1" si="197"/>
        <v>7.6200426768791144E-2</v>
      </c>
      <c r="V889" s="69">
        <f t="shared" ca="1" si="198"/>
        <v>-0.2933811950257123</v>
      </c>
      <c r="W889" s="69">
        <f t="shared" ca="1" si="199"/>
        <v>-0.37240865541888507</v>
      </c>
      <c r="X889" s="69">
        <f t="shared" ca="1" si="200"/>
        <v>2.0624300505959856</v>
      </c>
    </row>
    <row r="890" spans="2:24" x14ac:dyDescent="0.2">
      <c r="B890" s="69">
        <f t="shared" ca="1" si="189"/>
        <v>0.36581569303922173</v>
      </c>
      <c r="C890" s="69">
        <f t="shared" ca="1" si="202"/>
        <v>0.59770220061866697</v>
      </c>
      <c r="D890" s="69">
        <f t="shared" ca="1" si="202"/>
        <v>-0.23655780560174108</v>
      </c>
      <c r="E890" s="69">
        <f t="shared" ca="1" si="202"/>
        <v>8.9600922208287664E-2</v>
      </c>
      <c r="F890" s="69">
        <f t="shared" ca="1" si="202"/>
        <v>-6.8804509865102267E-2</v>
      </c>
      <c r="G890" s="69">
        <f t="shared" ca="1" si="202"/>
        <v>-0.66715556019313182</v>
      </c>
      <c r="H890" s="69">
        <f t="shared" ca="1" si="202"/>
        <v>-0.24378376188488787</v>
      </c>
      <c r="I890" s="69">
        <f t="shared" ca="1" si="202"/>
        <v>-0.2613376878265648</v>
      </c>
      <c r="J890" s="69">
        <f t="shared" ca="1" si="202"/>
        <v>1.0051447106254621</v>
      </c>
      <c r="K890" s="69">
        <f t="shared" ca="1" si="202"/>
        <v>0.78276288005710271</v>
      </c>
      <c r="L890" s="69">
        <f t="shared" ca="1" si="202"/>
        <v>0.18632598520479099</v>
      </c>
      <c r="N890" s="69">
        <f t="shared" ca="1" si="190"/>
        <v>0.40358373687733057</v>
      </c>
      <c r="O890" s="69">
        <f t="shared" ca="1" si="191"/>
        <v>0.57120863753578033</v>
      </c>
      <c r="P890" s="69">
        <f t="shared" ca="1" si="192"/>
        <v>-0.2942998704388311</v>
      </c>
      <c r="Q890" s="69">
        <f t="shared" ca="1" si="193"/>
        <v>0.1387096010700466</v>
      </c>
      <c r="R890" s="69">
        <f t="shared" ca="1" si="194"/>
        <v>-7.5099195272751162E-2</v>
      </c>
      <c r="S890" s="69">
        <f t="shared" ca="1" si="195"/>
        <v>-0.6343285879363233</v>
      </c>
      <c r="T890" s="69">
        <f t="shared" ca="1" si="196"/>
        <v>-0.24861479960007771</v>
      </c>
      <c r="U890" s="69">
        <f t="shared" ca="1" si="197"/>
        <v>-0.23829756094885515</v>
      </c>
      <c r="V890" s="69">
        <f t="shared" ca="1" si="198"/>
        <v>0.99903511705186476</v>
      </c>
      <c r="W890" s="69">
        <f t="shared" ca="1" si="199"/>
        <v>0.78374423688120165</v>
      </c>
      <c r="X890" s="69">
        <f t="shared" ca="1" si="200"/>
        <v>0.21349447557922646</v>
      </c>
    </row>
    <row r="891" spans="2:24" x14ac:dyDescent="0.2">
      <c r="B891" s="69">
        <f t="shared" ca="1" si="189"/>
        <v>-1.6592393360829356</v>
      </c>
      <c r="C891" s="69">
        <f t="shared" ca="1" si="202"/>
        <v>0.75177212064947452</v>
      </c>
      <c r="D891" s="69">
        <f t="shared" ca="1" si="202"/>
        <v>-1.1101910564632904</v>
      </c>
      <c r="E891" s="69">
        <f t="shared" ca="1" si="202"/>
        <v>-0.89587483974988313</v>
      </c>
      <c r="F891" s="69">
        <f t="shared" ca="1" si="202"/>
        <v>-0.48197761339348943</v>
      </c>
      <c r="G891" s="69">
        <f t="shared" ca="1" si="202"/>
        <v>-0.22423850654345254</v>
      </c>
      <c r="H891" s="69">
        <f t="shared" ca="1" si="202"/>
        <v>-0.76636063823857137</v>
      </c>
      <c r="I891" s="69">
        <f t="shared" ca="1" si="202"/>
        <v>-1.6082149504476919</v>
      </c>
      <c r="J891" s="69">
        <f t="shared" ca="1" si="202"/>
        <v>1.063352152247325</v>
      </c>
      <c r="K891" s="69">
        <f t="shared" ca="1" si="202"/>
        <v>0.28172999575299851</v>
      </c>
      <c r="L891" s="69">
        <f t="shared" ca="1" si="202"/>
        <v>0.61722250441853699</v>
      </c>
      <c r="N891" s="69">
        <f t="shared" ca="1" si="190"/>
        <v>-1.6214712922448269</v>
      </c>
      <c r="O891" s="69">
        <f t="shared" ca="1" si="191"/>
        <v>0.72527855756658788</v>
      </c>
      <c r="P891" s="69">
        <f t="shared" ca="1" si="192"/>
        <v>-1.1679331213003805</v>
      </c>
      <c r="Q891" s="69">
        <f t="shared" ca="1" si="193"/>
        <v>-0.84676616088812418</v>
      </c>
      <c r="R891" s="69">
        <f t="shared" ca="1" si="194"/>
        <v>-0.48827229880113832</v>
      </c>
      <c r="S891" s="69">
        <f t="shared" ca="1" si="195"/>
        <v>-0.19141153428664406</v>
      </c>
      <c r="T891" s="69">
        <f t="shared" ca="1" si="196"/>
        <v>-0.77119167595376126</v>
      </c>
      <c r="U891" s="69">
        <f t="shared" ca="1" si="197"/>
        <v>-1.5851748235699823</v>
      </c>
      <c r="V891" s="69">
        <f t="shared" ca="1" si="198"/>
        <v>1.0572425586737277</v>
      </c>
      <c r="W891" s="69">
        <f t="shared" ca="1" si="199"/>
        <v>0.28271135257709745</v>
      </c>
      <c r="X891" s="69">
        <f t="shared" ca="1" si="200"/>
        <v>0.64439099479297246</v>
      </c>
    </row>
    <row r="892" spans="2:24" x14ac:dyDescent="0.2">
      <c r="B892" s="69">
        <f t="shared" ca="1" si="189"/>
        <v>0.37719944911999082</v>
      </c>
      <c r="C892" s="69">
        <f t="shared" ca="1" si="202"/>
        <v>2.4256181023632419</v>
      </c>
      <c r="D892" s="69">
        <f t="shared" ca="1" si="202"/>
        <v>-0.57880659870151296</v>
      </c>
      <c r="E892" s="69">
        <f t="shared" ca="1" si="202"/>
        <v>0.68427525389982624</v>
      </c>
      <c r="F892" s="69">
        <f t="shared" ca="1" si="202"/>
        <v>0.12382720087220074</v>
      </c>
      <c r="G892" s="69">
        <f t="shared" ca="1" si="202"/>
        <v>-1.5161153448536064</v>
      </c>
      <c r="H892" s="69">
        <f t="shared" ca="1" si="202"/>
        <v>-0.27586052922940602</v>
      </c>
      <c r="I892" s="69">
        <f t="shared" ca="1" si="202"/>
        <v>0.58096666998301028</v>
      </c>
      <c r="J892" s="69">
        <f t="shared" ca="1" si="202"/>
        <v>1.377589570271329</v>
      </c>
      <c r="K892" s="69">
        <f t="shared" ca="1" si="202"/>
        <v>-8.6312463985358454E-2</v>
      </c>
      <c r="L892" s="69">
        <f t="shared" ca="1" si="202"/>
        <v>-0.38639054716743026</v>
      </c>
      <c r="N892" s="69">
        <f t="shared" ca="1" si="190"/>
        <v>0.41496749295809965</v>
      </c>
      <c r="O892" s="69">
        <f t="shared" ca="1" si="191"/>
        <v>2.3991245392803551</v>
      </c>
      <c r="P892" s="69">
        <f t="shared" ca="1" si="192"/>
        <v>-0.63654866353860295</v>
      </c>
      <c r="Q892" s="69">
        <f t="shared" ca="1" si="193"/>
        <v>0.7333839327615852</v>
      </c>
      <c r="R892" s="69">
        <f t="shared" ca="1" si="194"/>
        <v>0.11753251546455185</v>
      </c>
      <c r="S892" s="69">
        <f t="shared" ca="1" si="195"/>
        <v>-1.483288372596798</v>
      </c>
      <c r="T892" s="69">
        <f t="shared" ca="1" si="196"/>
        <v>-0.28069156694459585</v>
      </c>
      <c r="U892" s="69">
        <f t="shared" ca="1" si="197"/>
        <v>0.6040067968607199</v>
      </c>
      <c r="V892" s="69">
        <f t="shared" ca="1" si="198"/>
        <v>1.3714799766977317</v>
      </c>
      <c r="W892" s="69">
        <f t="shared" ca="1" si="199"/>
        <v>-8.5331107161259495E-2</v>
      </c>
      <c r="X892" s="69">
        <f t="shared" ca="1" si="200"/>
        <v>-0.35922205679299479</v>
      </c>
    </row>
    <row r="893" spans="2:24" x14ac:dyDescent="0.2">
      <c r="B893" s="69">
        <f t="shared" ca="1" si="189"/>
        <v>-1.5761587955044849</v>
      </c>
      <c r="C893" s="69">
        <f t="shared" ca="1" si="202"/>
        <v>0.13958990006837188</v>
      </c>
      <c r="D893" s="69">
        <f t="shared" ca="1" si="202"/>
        <v>-1.0019345360754328</v>
      </c>
      <c r="E893" s="69">
        <f t="shared" ca="1" si="202"/>
        <v>0.89016435544569195</v>
      </c>
      <c r="F893" s="69">
        <f t="shared" ca="1" si="202"/>
        <v>-0.168354441577587</v>
      </c>
      <c r="G893" s="69">
        <f t="shared" ca="1" si="202"/>
        <v>2.3622947896534412</v>
      </c>
      <c r="H893" s="69">
        <f t="shared" ca="1" si="202"/>
        <v>0.52884248883651463</v>
      </c>
      <c r="I893" s="69">
        <f t="shared" ca="1" si="202"/>
        <v>-3.8574371724072423E-2</v>
      </c>
      <c r="J893" s="69">
        <f t="shared" ca="1" si="202"/>
        <v>0.49415811941536142</v>
      </c>
      <c r="K893" s="69">
        <f t="shared" ca="1" si="202"/>
        <v>0.55626671580902609</v>
      </c>
      <c r="L893" s="69">
        <f t="shared" ca="1" si="202"/>
        <v>-0.75420764697888032</v>
      </c>
      <c r="N893" s="69">
        <f t="shared" ca="1" si="190"/>
        <v>-1.5383907516663762</v>
      </c>
      <c r="O893" s="69">
        <f t="shared" ca="1" si="191"/>
        <v>0.1130963369854852</v>
      </c>
      <c r="P893" s="69">
        <f t="shared" ca="1" si="192"/>
        <v>-1.0596766009125229</v>
      </c>
      <c r="Q893" s="69">
        <f t="shared" ca="1" si="193"/>
        <v>0.9392730343074509</v>
      </c>
      <c r="R893" s="69">
        <f t="shared" ca="1" si="194"/>
        <v>-0.17464912698523591</v>
      </c>
      <c r="S893" s="69">
        <f t="shared" ca="1" si="195"/>
        <v>2.3951217619102496</v>
      </c>
      <c r="T893" s="69">
        <f t="shared" ca="1" si="196"/>
        <v>0.52401145112132475</v>
      </c>
      <c r="U893" s="69">
        <f t="shared" ca="1" si="197"/>
        <v>-1.5534244846362767E-2</v>
      </c>
      <c r="V893" s="69">
        <f t="shared" ca="1" si="198"/>
        <v>0.48804852584176411</v>
      </c>
      <c r="W893" s="69">
        <f t="shared" ca="1" si="199"/>
        <v>0.55724807263312504</v>
      </c>
      <c r="X893" s="69">
        <f t="shared" ca="1" si="200"/>
        <v>-0.72703915660444485</v>
      </c>
    </row>
    <row r="894" spans="2:24" x14ac:dyDescent="0.2">
      <c r="B894" s="69">
        <f t="shared" ca="1" si="189"/>
        <v>0.68705344194287754</v>
      </c>
      <c r="C894" s="69">
        <f t="shared" ca="1" si="202"/>
        <v>0.9266534090694637</v>
      </c>
      <c r="D894" s="69">
        <f t="shared" ca="1" si="202"/>
        <v>1.9553334825123634</v>
      </c>
      <c r="E894" s="69">
        <f t="shared" ca="1" si="202"/>
        <v>0.70644043077397678</v>
      </c>
      <c r="F894" s="69">
        <f t="shared" ca="1" si="202"/>
        <v>-7.665089771605002E-2</v>
      </c>
      <c r="G894" s="69">
        <f t="shared" ca="1" si="202"/>
        <v>0.34076470644752876</v>
      </c>
      <c r="H894" s="69">
        <f t="shared" ca="1" si="202"/>
        <v>-2.3957293313274599</v>
      </c>
      <c r="I894" s="69">
        <f t="shared" ca="1" si="202"/>
        <v>0.32314207558395175</v>
      </c>
      <c r="J894" s="69">
        <f t="shared" ca="1" si="202"/>
        <v>-0.49410608054452809</v>
      </c>
      <c r="K894" s="69">
        <f t="shared" ca="1" si="202"/>
        <v>-1.2809231635801761</v>
      </c>
      <c r="L894" s="69">
        <f t="shared" ca="1" si="202"/>
        <v>-0.91327669618879925</v>
      </c>
      <c r="N894" s="69">
        <f t="shared" ca="1" si="190"/>
        <v>0.72482148578098637</v>
      </c>
      <c r="O894" s="69">
        <f t="shared" ca="1" si="191"/>
        <v>0.90015984598657706</v>
      </c>
      <c r="P894" s="69">
        <f t="shared" ca="1" si="192"/>
        <v>1.8975914176752733</v>
      </c>
      <c r="Q894" s="69">
        <f t="shared" ca="1" si="193"/>
        <v>0.75554910963573574</v>
      </c>
      <c r="R894" s="69">
        <f t="shared" ca="1" si="194"/>
        <v>-8.2945583123698916E-2</v>
      </c>
      <c r="S894" s="69">
        <f t="shared" ca="1" si="195"/>
        <v>0.37359167870433724</v>
      </c>
      <c r="T894" s="69">
        <f t="shared" ca="1" si="196"/>
        <v>-2.4005603690426498</v>
      </c>
      <c r="U894" s="69">
        <f t="shared" ca="1" si="197"/>
        <v>0.34618220246166143</v>
      </c>
      <c r="V894" s="69">
        <f t="shared" ca="1" si="198"/>
        <v>-0.5002156741181254</v>
      </c>
      <c r="W894" s="69">
        <f t="shared" ca="1" si="199"/>
        <v>-1.279941806756077</v>
      </c>
      <c r="X894" s="69">
        <f t="shared" ca="1" si="200"/>
        <v>-0.88610820581436378</v>
      </c>
    </row>
    <row r="895" spans="2:24" x14ac:dyDescent="0.2">
      <c r="B895" s="69">
        <f t="shared" ca="1" si="189"/>
        <v>-1.1651874735371668E-2</v>
      </c>
      <c r="C895" s="69">
        <f t="shared" ca="1" si="202"/>
        <v>0.2509895407705855</v>
      </c>
      <c r="D895" s="69">
        <f t="shared" ca="1" si="202"/>
        <v>-0.30092811383803708</v>
      </c>
      <c r="E895" s="69">
        <f t="shared" ca="1" si="202"/>
        <v>-0.38566904607830721</v>
      </c>
      <c r="F895" s="69">
        <f t="shared" ca="1" si="202"/>
        <v>-0.127125338865198</v>
      </c>
      <c r="G895" s="69">
        <f t="shared" ca="1" si="202"/>
        <v>0.45533391101586435</v>
      </c>
      <c r="H895" s="69">
        <f t="shared" ca="1" si="202"/>
        <v>-7.7323226425786276E-2</v>
      </c>
      <c r="I895" s="69">
        <f t="shared" ca="1" si="202"/>
        <v>0.76367552501119063</v>
      </c>
      <c r="J895" s="69">
        <f t="shared" ca="1" si="202"/>
        <v>-1.3602113404600336</v>
      </c>
      <c r="K895" s="69">
        <f t="shared" ca="1" si="202"/>
        <v>0.43948050708292946</v>
      </c>
      <c r="L895" s="69">
        <f t="shared" ca="1" si="202"/>
        <v>0.16760194539580572</v>
      </c>
      <c r="N895" s="69">
        <f t="shared" ca="1" si="190"/>
        <v>2.6116169102737154E-2</v>
      </c>
      <c r="O895" s="69">
        <f t="shared" ca="1" si="191"/>
        <v>0.2244959776876988</v>
      </c>
      <c r="P895" s="69">
        <f t="shared" ca="1" si="192"/>
        <v>-0.35867017867512713</v>
      </c>
      <c r="Q895" s="69">
        <f t="shared" ca="1" si="193"/>
        <v>-0.33656036721654825</v>
      </c>
      <c r="R895" s="69">
        <f t="shared" ca="1" si="194"/>
        <v>-0.13342002427284691</v>
      </c>
      <c r="S895" s="69">
        <f t="shared" ca="1" si="195"/>
        <v>0.48816088327267282</v>
      </c>
      <c r="T895" s="69">
        <f t="shared" ca="1" si="196"/>
        <v>-8.2154264140976124E-2</v>
      </c>
      <c r="U895" s="69">
        <f t="shared" ca="1" si="197"/>
        <v>0.78671565188890025</v>
      </c>
      <c r="V895" s="69">
        <f t="shared" ca="1" si="198"/>
        <v>-1.3663209340336309</v>
      </c>
      <c r="W895" s="69">
        <f t="shared" ca="1" si="199"/>
        <v>0.44046186390702841</v>
      </c>
      <c r="X895" s="69">
        <f t="shared" ca="1" si="200"/>
        <v>0.1947704357702412</v>
      </c>
    </row>
    <row r="896" spans="2:24" x14ac:dyDescent="0.2">
      <c r="B896" s="69">
        <f t="shared" ca="1" si="189"/>
        <v>0.57948112408557739</v>
      </c>
      <c r="C896" s="69">
        <f t="shared" ca="1" si="202"/>
        <v>0.7020572677586624</v>
      </c>
      <c r="D896" s="69">
        <f t="shared" ca="1" si="202"/>
        <v>-1.7852198448575898</v>
      </c>
      <c r="E896" s="69">
        <f t="shared" ca="1" si="202"/>
        <v>0.14393678882226604</v>
      </c>
      <c r="F896" s="69">
        <f t="shared" ca="1" si="202"/>
        <v>0.75291897901052562</v>
      </c>
      <c r="G896" s="69">
        <f t="shared" ca="1" si="202"/>
        <v>-0.82526955548501302</v>
      </c>
      <c r="H896" s="69">
        <f t="shared" ca="1" si="202"/>
        <v>0.60729150089199524</v>
      </c>
      <c r="I896" s="69">
        <f t="shared" ca="1" si="202"/>
        <v>3.6416104698156954E-2</v>
      </c>
      <c r="J896" s="69">
        <f t="shared" ca="1" si="202"/>
        <v>-2.588848885546438</v>
      </c>
      <c r="K896" s="69">
        <f t="shared" ca="1" si="202"/>
        <v>-0.91745218571206921</v>
      </c>
      <c r="L896" s="69">
        <f t="shared" ca="1" si="202"/>
        <v>0.12814424241927028</v>
      </c>
      <c r="N896" s="69">
        <f t="shared" ca="1" si="190"/>
        <v>0.61724916792368623</v>
      </c>
      <c r="O896" s="69">
        <f t="shared" ca="1" si="191"/>
        <v>0.67556370467577576</v>
      </c>
      <c r="P896" s="69">
        <f t="shared" ca="1" si="192"/>
        <v>-1.8429619096946799</v>
      </c>
      <c r="Q896" s="69">
        <f t="shared" ca="1" si="193"/>
        <v>0.19304546768402497</v>
      </c>
      <c r="R896" s="69">
        <f t="shared" ca="1" si="194"/>
        <v>0.74662429360287674</v>
      </c>
      <c r="S896" s="69">
        <f t="shared" ca="1" si="195"/>
        <v>-0.79244258322820449</v>
      </c>
      <c r="T896" s="69">
        <f t="shared" ca="1" si="196"/>
        <v>0.60246046317680535</v>
      </c>
      <c r="U896" s="69">
        <f t="shared" ca="1" si="197"/>
        <v>5.945623157586661E-2</v>
      </c>
      <c r="V896" s="69">
        <f t="shared" ca="1" si="198"/>
        <v>-2.5949584791200353</v>
      </c>
      <c r="W896" s="69">
        <f t="shared" ca="1" si="199"/>
        <v>-0.91647082888797027</v>
      </c>
      <c r="X896" s="69">
        <f t="shared" ca="1" si="200"/>
        <v>0.15531273279370575</v>
      </c>
    </row>
    <row r="897" spans="2:24" x14ac:dyDescent="0.2">
      <c r="B897" s="69">
        <f t="shared" ca="1" si="189"/>
        <v>-0.68797348787487322</v>
      </c>
      <c r="C897" s="69">
        <f t="shared" ca="1" si="202"/>
        <v>1.3695230006632078</v>
      </c>
      <c r="D897" s="69">
        <f t="shared" ca="1" si="202"/>
        <v>0.43608044170304472</v>
      </c>
      <c r="E897" s="69">
        <f t="shared" ca="1" si="202"/>
        <v>-0.65997652331027279</v>
      </c>
      <c r="F897" s="69">
        <f t="shared" ca="1" si="202"/>
        <v>-0.44768338597446866</v>
      </c>
      <c r="G897" s="69">
        <f t="shared" ca="1" si="202"/>
        <v>1.8402361318591602</v>
      </c>
      <c r="H897" s="69">
        <f t="shared" ca="1" si="202"/>
        <v>0.62722850735594493</v>
      </c>
      <c r="I897" s="69">
        <f t="shared" ca="1" si="202"/>
        <v>1.1927612191144932</v>
      </c>
      <c r="J897" s="69">
        <f t="shared" ca="1" si="202"/>
        <v>1.0206128254491844</v>
      </c>
      <c r="K897" s="69">
        <f t="shared" ca="1" si="202"/>
        <v>7.5202262530813468E-2</v>
      </c>
      <c r="L897" s="69">
        <f t="shared" ca="1" si="202"/>
        <v>0.18715010128500448</v>
      </c>
      <c r="N897" s="69">
        <f t="shared" ca="1" si="190"/>
        <v>-0.65020544403676439</v>
      </c>
      <c r="O897" s="69">
        <f t="shared" ca="1" si="191"/>
        <v>1.3430294375803211</v>
      </c>
      <c r="P897" s="69">
        <f t="shared" ca="1" si="192"/>
        <v>0.37833837686595467</v>
      </c>
      <c r="Q897" s="69">
        <f t="shared" ca="1" si="193"/>
        <v>-0.61086784444851383</v>
      </c>
      <c r="R897" s="69">
        <f t="shared" ca="1" si="194"/>
        <v>-0.45397807138211754</v>
      </c>
      <c r="S897" s="69">
        <f t="shared" ca="1" si="195"/>
        <v>1.8730631041159687</v>
      </c>
      <c r="T897" s="69">
        <f t="shared" ca="1" si="196"/>
        <v>0.62239746964075504</v>
      </c>
      <c r="U897" s="69">
        <f t="shared" ca="1" si="197"/>
        <v>1.2158013459922028</v>
      </c>
      <c r="V897" s="69">
        <f t="shared" ca="1" si="198"/>
        <v>1.0145032318755871</v>
      </c>
      <c r="W897" s="69">
        <f t="shared" ca="1" si="199"/>
        <v>7.6183619354912413E-2</v>
      </c>
      <c r="X897" s="69">
        <f t="shared" ca="1" si="200"/>
        <v>0.21431859165943995</v>
      </c>
    </row>
    <row r="898" spans="2:24" x14ac:dyDescent="0.2">
      <c r="B898" s="69">
        <f t="shared" ca="1" si="189"/>
        <v>1.1344930623872123</v>
      </c>
      <c r="C898" s="69">
        <f t="shared" ca="1" si="202"/>
        <v>-1.5957230563150897</v>
      </c>
      <c r="D898" s="69">
        <f t="shared" ca="1" si="202"/>
        <v>-0.96400451727060776</v>
      </c>
      <c r="E898" s="69">
        <f t="shared" ca="1" si="202"/>
        <v>0.75629478007469608</v>
      </c>
      <c r="F898" s="69">
        <f t="shared" ca="1" si="202"/>
        <v>0.92670161438190668</v>
      </c>
      <c r="G898" s="69">
        <f t="shared" ca="1" si="202"/>
        <v>0.38951142151121165</v>
      </c>
      <c r="H898" s="69">
        <f t="shared" ca="1" si="202"/>
        <v>0.25292041694459888</v>
      </c>
      <c r="I898" s="69">
        <f t="shared" ca="1" si="202"/>
        <v>1.4769622973816323</v>
      </c>
      <c r="J898" s="69">
        <f t="shared" ca="1" si="202"/>
        <v>-0.9773355040937316</v>
      </c>
      <c r="K898" s="69">
        <f t="shared" ca="1" si="202"/>
        <v>-0.42045821484413626</v>
      </c>
      <c r="L898" s="69">
        <f t="shared" ca="1" si="202"/>
        <v>-0.15095114570749568</v>
      </c>
      <c r="N898" s="69">
        <f t="shared" ca="1" si="190"/>
        <v>1.172261106225321</v>
      </c>
      <c r="O898" s="69">
        <f t="shared" ca="1" si="191"/>
        <v>-1.6222166193979763</v>
      </c>
      <c r="P898" s="69">
        <f t="shared" ca="1" si="192"/>
        <v>-1.0217465821076979</v>
      </c>
      <c r="Q898" s="69">
        <f t="shared" ca="1" si="193"/>
        <v>0.80540345893645504</v>
      </c>
      <c r="R898" s="69">
        <f t="shared" ca="1" si="194"/>
        <v>0.9204069289742578</v>
      </c>
      <c r="S898" s="69">
        <f t="shared" ca="1" si="195"/>
        <v>0.42233839376802013</v>
      </c>
      <c r="T898" s="69">
        <f t="shared" ca="1" si="196"/>
        <v>0.24808937922940905</v>
      </c>
      <c r="U898" s="69">
        <f t="shared" ca="1" si="197"/>
        <v>1.5000024242593419</v>
      </c>
      <c r="V898" s="69">
        <f t="shared" ca="1" si="198"/>
        <v>-0.9834450976673289</v>
      </c>
      <c r="W898" s="69">
        <f t="shared" ca="1" si="199"/>
        <v>-0.41947685802003731</v>
      </c>
      <c r="X898" s="69">
        <f t="shared" ca="1" si="200"/>
        <v>-0.12378265533306021</v>
      </c>
    </row>
    <row r="899" spans="2:24" x14ac:dyDescent="0.2">
      <c r="B899" s="69">
        <f t="shared" ca="1" si="189"/>
        <v>1.1449564724820027</v>
      </c>
      <c r="C899" s="69">
        <f t="shared" ca="1" si="202"/>
        <v>-1.18749782022046</v>
      </c>
      <c r="D899" s="69">
        <f t="shared" ca="1" si="202"/>
        <v>-0.72109040454526252</v>
      </c>
      <c r="E899" s="69">
        <f t="shared" ca="1" si="202"/>
        <v>-0.56221000827817735</v>
      </c>
      <c r="F899" s="69">
        <f t="shared" ca="1" si="202"/>
        <v>-0.89781618904372062</v>
      </c>
      <c r="G899" s="69">
        <f t="shared" ca="1" si="202"/>
        <v>-1.379700639422917</v>
      </c>
      <c r="H899" s="69">
        <f t="shared" ca="1" si="202"/>
        <v>1.1553755928920224</v>
      </c>
      <c r="I899" s="69">
        <f t="shared" ca="1" si="202"/>
        <v>0.95557178949199018</v>
      </c>
      <c r="J899" s="69">
        <f t="shared" ca="1" si="202"/>
        <v>0.80000470215582098</v>
      </c>
      <c r="K899" s="69">
        <f t="shared" ca="1" si="202"/>
        <v>0.25003273124268272</v>
      </c>
      <c r="L899" s="69">
        <f t="shared" ca="1" si="202"/>
        <v>0.41560998035710023</v>
      </c>
      <c r="N899" s="69">
        <f t="shared" ca="1" si="190"/>
        <v>1.1827245163201114</v>
      </c>
      <c r="O899" s="69">
        <f t="shared" ca="1" si="191"/>
        <v>-1.2139913833033467</v>
      </c>
      <c r="P899" s="69">
        <f t="shared" ca="1" si="192"/>
        <v>-0.77883246938235251</v>
      </c>
      <c r="Q899" s="69">
        <f t="shared" ca="1" si="193"/>
        <v>-0.51310132941641839</v>
      </c>
      <c r="R899" s="69">
        <f t="shared" ca="1" si="194"/>
        <v>-0.90411087445136951</v>
      </c>
      <c r="S899" s="69">
        <f t="shared" ca="1" si="195"/>
        <v>-1.3468736671661086</v>
      </c>
      <c r="T899" s="69">
        <f t="shared" ca="1" si="196"/>
        <v>1.1505445551768325</v>
      </c>
      <c r="U899" s="69">
        <f t="shared" ca="1" si="197"/>
        <v>0.9786119163696998</v>
      </c>
      <c r="V899" s="69">
        <f t="shared" ca="1" si="198"/>
        <v>0.79389510858222367</v>
      </c>
      <c r="W899" s="69">
        <f t="shared" ca="1" si="199"/>
        <v>0.25101408806678166</v>
      </c>
      <c r="X899" s="69">
        <f t="shared" ca="1" si="200"/>
        <v>0.4427784707315357</v>
      </c>
    </row>
    <row r="900" spans="2:24" x14ac:dyDescent="0.2">
      <c r="B900" s="69">
        <f t="shared" ca="1" si="189"/>
        <v>0.86772117044048602</v>
      </c>
      <c r="C900" s="69">
        <f t="shared" ca="1" si="202"/>
        <v>-6.9150484109448684E-2</v>
      </c>
      <c r="D900" s="69">
        <f t="shared" ca="1" si="202"/>
        <v>-0.66995972698724804</v>
      </c>
      <c r="E900" s="69">
        <f t="shared" ca="1" si="202"/>
        <v>0.77857397189109201</v>
      </c>
      <c r="F900" s="69">
        <f t="shared" ca="1" si="202"/>
        <v>-0.70028741019073049</v>
      </c>
      <c r="G900" s="69">
        <f t="shared" ca="1" si="202"/>
        <v>0.65156312030639174</v>
      </c>
      <c r="H900" s="69">
        <f t="shared" ca="1" si="202"/>
        <v>1.103534989122245</v>
      </c>
      <c r="I900" s="69">
        <f t="shared" ca="1" si="202"/>
        <v>0.31490424597414352</v>
      </c>
      <c r="J900" s="69">
        <f t="shared" ca="1" si="202"/>
        <v>1.3397802536490797</v>
      </c>
      <c r="K900" s="69">
        <f t="shared" ca="1" si="202"/>
        <v>0.37905951199959609</v>
      </c>
      <c r="L900" s="69">
        <f t="shared" ca="1" si="202"/>
        <v>6.2580240184106316E-3</v>
      </c>
      <c r="N900" s="69">
        <f t="shared" ca="1" si="190"/>
        <v>0.90548921427859486</v>
      </c>
      <c r="O900" s="69">
        <f t="shared" ca="1" si="191"/>
        <v>-9.5644047192335366E-2</v>
      </c>
      <c r="P900" s="69">
        <f t="shared" ca="1" si="192"/>
        <v>-0.72770179182433803</v>
      </c>
      <c r="Q900" s="69">
        <f t="shared" ca="1" si="193"/>
        <v>0.82768265075285097</v>
      </c>
      <c r="R900" s="69">
        <f t="shared" ca="1" si="194"/>
        <v>-0.70658209559837937</v>
      </c>
      <c r="S900" s="69">
        <f t="shared" ca="1" si="195"/>
        <v>0.68439009256320027</v>
      </c>
      <c r="T900" s="69">
        <f t="shared" ca="1" si="196"/>
        <v>1.0987039514070551</v>
      </c>
      <c r="U900" s="69">
        <f t="shared" ca="1" si="197"/>
        <v>0.33794437285185319</v>
      </c>
      <c r="V900" s="69">
        <f t="shared" ca="1" si="198"/>
        <v>1.3336706600754824</v>
      </c>
      <c r="W900" s="69">
        <f t="shared" ca="1" si="199"/>
        <v>0.38004086882369503</v>
      </c>
      <c r="X900" s="69">
        <f t="shared" ca="1" si="200"/>
        <v>3.3426514392846107E-2</v>
      </c>
    </row>
    <row r="901" spans="2:24" x14ac:dyDescent="0.2">
      <c r="B901" s="69">
        <f t="shared" ca="1" si="189"/>
        <v>1.671433328520801</v>
      </c>
      <c r="C901" s="69">
        <f t="shared" ca="1" si="202"/>
        <v>1.4868154550761772</v>
      </c>
      <c r="D901" s="69">
        <f t="shared" ca="1" si="202"/>
        <v>-0.99346804328221083</v>
      </c>
      <c r="E901" s="69">
        <f t="shared" ca="1" si="202"/>
        <v>-0.34508413990742365</v>
      </c>
      <c r="F901" s="69">
        <f t="shared" ca="1" si="202"/>
        <v>0.50649848351226356</v>
      </c>
      <c r="G901" s="69">
        <f t="shared" ca="1" si="202"/>
        <v>-0.31187560834940997</v>
      </c>
      <c r="H901" s="69">
        <f t="shared" ca="1" si="202"/>
        <v>-1.3626676844589365</v>
      </c>
      <c r="I901" s="69">
        <f t="shared" ca="1" si="202"/>
        <v>-0.54451303284843156</v>
      </c>
      <c r="J901" s="69">
        <f t="shared" ca="1" si="202"/>
        <v>-0.3459741863947976</v>
      </c>
      <c r="K901" s="69">
        <f t="shared" ca="1" si="202"/>
        <v>-0.52208559798954668</v>
      </c>
      <c r="L901" s="69">
        <f t="shared" ca="1" si="202"/>
        <v>1.1240816615742548</v>
      </c>
      <c r="N901" s="69">
        <f t="shared" ca="1" si="190"/>
        <v>1.7092013723589097</v>
      </c>
      <c r="O901" s="69">
        <f t="shared" ca="1" si="191"/>
        <v>1.4603218919932905</v>
      </c>
      <c r="P901" s="69">
        <f t="shared" ca="1" si="192"/>
        <v>-1.0512101081193008</v>
      </c>
      <c r="Q901" s="69">
        <f t="shared" ca="1" si="193"/>
        <v>-0.29597546104566469</v>
      </c>
      <c r="R901" s="69">
        <f t="shared" ca="1" si="194"/>
        <v>0.50020379810461468</v>
      </c>
      <c r="S901" s="69">
        <f t="shared" ca="1" si="195"/>
        <v>-0.2790486360926015</v>
      </c>
      <c r="T901" s="69">
        <f t="shared" ca="1" si="196"/>
        <v>-1.3674987221741264</v>
      </c>
      <c r="U901" s="69">
        <f t="shared" ca="1" si="197"/>
        <v>-0.52147290597072193</v>
      </c>
      <c r="V901" s="69">
        <f t="shared" ca="1" si="198"/>
        <v>-0.35208377996839491</v>
      </c>
      <c r="W901" s="69">
        <f t="shared" ca="1" si="199"/>
        <v>-0.52110424116544773</v>
      </c>
      <c r="X901" s="69">
        <f t="shared" ca="1" si="200"/>
        <v>1.1512501519486904</v>
      </c>
    </row>
    <row r="902" spans="2:24" x14ac:dyDescent="0.2">
      <c r="B902" s="69">
        <f t="shared" ca="1" si="189"/>
        <v>0.17560612342946422</v>
      </c>
      <c r="C902" s="69">
        <f t="shared" ca="1" si="202"/>
        <v>-0.41341293751264985</v>
      </c>
      <c r="D902" s="69">
        <f t="shared" ca="1" si="202"/>
        <v>0.23515277668277826</v>
      </c>
      <c r="E902" s="69">
        <f t="shared" ca="1" si="202"/>
        <v>-0.86260922621218061</v>
      </c>
      <c r="F902" s="69">
        <f t="shared" ca="1" si="202"/>
        <v>-0.29729624359771595</v>
      </c>
      <c r="G902" s="69">
        <f t="shared" ca="1" si="202"/>
        <v>1.069718193596731</v>
      </c>
      <c r="H902" s="69">
        <f t="shared" ca="1" si="202"/>
        <v>-1.5590083975328011</v>
      </c>
      <c r="I902" s="69">
        <f t="shared" ca="1" si="202"/>
        <v>0.65568612964327611</v>
      </c>
      <c r="J902" s="69">
        <f t="shared" ca="1" si="202"/>
        <v>-1.495804534993237</v>
      </c>
      <c r="K902" s="69">
        <f t="shared" ca="1" si="202"/>
        <v>1.2152764186886122</v>
      </c>
      <c r="L902" s="69">
        <f t="shared" ca="1" si="202"/>
        <v>-0.15589676453623968</v>
      </c>
      <c r="N902" s="69">
        <f t="shared" ca="1" si="190"/>
        <v>0.21337416726757302</v>
      </c>
      <c r="O902" s="69">
        <f t="shared" ca="1" si="191"/>
        <v>-0.43990650059553654</v>
      </c>
      <c r="P902" s="69">
        <f t="shared" ca="1" si="192"/>
        <v>0.17741071184568824</v>
      </c>
      <c r="Q902" s="69">
        <f t="shared" ca="1" si="193"/>
        <v>-0.81350054735042165</v>
      </c>
      <c r="R902" s="69">
        <f t="shared" ca="1" si="194"/>
        <v>-0.30359092900536483</v>
      </c>
      <c r="S902" s="69">
        <f t="shared" ca="1" si="195"/>
        <v>1.1025451658535395</v>
      </c>
      <c r="T902" s="69">
        <f t="shared" ca="1" si="196"/>
        <v>-1.563839435247991</v>
      </c>
      <c r="U902" s="69">
        <f t="shared" ca="1" si="197"/>
        <v>0.67872625652098573</v>
      </c>
      <c r="V902" s="69">
        <f t="shared" ca="1" si="198"/>
        <v>-1.5019141285668343</v>
      </c>
      <c r="W902" s="69">
        <f t="shared" ca="1" si="199"/>
        <v>1.2162577755127113</v>
      </c>
      <c r="X902" s="69">
        <f t="shared" ca="1" si="200"/>
        <v>-0.12872827416180421</v>
      </c>
    </row>
    <row r="903" spans="2:24" x14ac:dyDescent="0.2">
      <c r="B903" s="69">
        <f t="shared" ca="1" si="189"/>
        <v>-0.19093094832891894</v>
      </c>
      <c r="C903" s="69">
        <f t="shared" ca="1" si="202"/>
        <v>0.40990570660105041</v>
      </c>
      <c r="D903" s="69">
        <f t="shared" ca="1" si="202"/>
        <v>0.32126960691471151</v>
      </c>
      <c r="E903" s="69">
        <f t="shared" ca="1" si="202"/>
        <v>0.42256664281596673</v>
      </c>
      <c r="F903" s="69">
        <f t="shared" ca="1" si="202"/>
        <v>-0.83973296093880978</v>
      </c>
      <c r="G903" s="69">
        <f t="shared" ca="1" si="202"/>
        <v>-1.153246208733707</v>
      </c>
      <c r="H903" s="69">
        <f t="shared" ca="1" si="202"/>
        <v>-1.0116920215074785</v>
      </c>
      <c r="I903" s="69">
        <f t="shared" ca="1" si="202"/>
        <v>1.4113324426855842</v>
      </c>
      <c r="J903" s="69">
        <f t="shared" ca="1" si="202"/>
        <v>-0.51462791548596432</v>
      </c>
      <c r="K903" s="69">
        <f t="shared" ca="1" si="202"/>
        <v>0.37215444184110785</v>
      </c>
      <c r="L903" s="69">
        <f t="shared" ca="1" si="202"/>
        <v>-0.12027582895136595</v>
      </c>
      <c r="N903" s="69">
        <f t="shared" ca="1" si="190"/>
        <v>-0.1531629044908101</v>
      </c>
      <c r="O903" s="69">
        <f t="shared" ca="1" si="191"/>
        <v>0.38341214351816372</v>
      </c>
      <c r="P903" s="69">
        <f t="shared" ca="1" si="192"/>
        <v>0.26352754207762147</v>
      </c>
      <c r="Q903" s="69">
        <f t="shared" ca="1" si="193"/>
        <v>0.47167532167772569</v>
      </c>
      <c r="R903" s="69">
        <f t="shared" ca="1" si="194"/>
        <v>-0.84602764634645866</v>
      </c>
      <c r="S903" s="69">
        <f t="shared" ca="1" si="195"/>
        <v>-1.1204192364768986</v>
      </c>
      <c r="T903" s="69">
        <f t="shared" ca="1" si="196"/>
        <v>-1.0165230592226684</v>
      </c>
      <c r="U903" s="69">
        <f t="shared" ca="1" si="197"/>
        <v>1.4343725695632938</v>
      </c>
      <c r="V903" s="69">
        <f t="shared" ca="1" si="198"/>
        <v>-0.52073750905956162</v>
      </c>
      <c r="W903" s="69">
        <f t="shared" ca="1" si="199"/>
        <v>0.3731357986652068</v>
      </c>
      <c r="X903" s="69">
        <f t="shared" ca="1" si="200"/>
        <v>-9.310733857693046E-2</v>
      </c>
    </row>
    <row r="904" spans="2:24" x14ac:dyDescent="0.2">
      <c r="B904" s="69">
        <f t="shared" ca="1" si="189"/>
        <v>-0.33296785968567599</v>
      </c>
      <c r="C904" s="69">
        <f t="shared" ca="1" si="202"/>
        <v>-4.6114148103557621E-2</v>
      </c>
      <c r="D904" s="69">
        <f t="shared" ca="1" si="202"/>
        <v>1.1046459599036997</v>
      </c>
      <c r="E904" s="69">
        <f t="shared" ca="1" si="202"/>
        <v>1.3120949984001902</v>
      </c>
      <c r="F904" s="69">
        <f t="shared" ca="1" si="202"/>
        <v>-2.0248620765418033</v>
      </c>
      <c r="G904" s="69">
        <f t="shared" ca="1" si="202"/>
        <v>1.5947794293935147</v>
      </c>
      <c r="H904" s="69">
        <f t="shared" ca="1" si="202"/>
        <v>0.79457977147951642</v>
      </c>
      <c r="I904" s="69">
        <f t="shared" ca="1" si="202"/>
        <v>0.22564359931966507</v>
      </c>
      <c r="J904" s="69">
        <f t="shared" ca="1" si="202"/>
        <v>1.3249661634391185</v>
      </c>
      <c r="K904" s="69">
        <f t="shared" ca="1" si="202"/>
        <v>2.7492111048990666</v>
      </c>
      <c r="L904" s="69">
        <f t="shared" ca="1" si="202"/>
        <v>0.42751163855509633</v>
      </c>
      <c r="N904" s="69">
        <f t="shared" ca="1" si="190"/>
        <v>-0.29519981584756716</v>
      </c>
      <c r="O904" s="69">
        <f t="shared" ca="1" si="191"/>
        <v>-7.260771118644431E-2</v>
      </c>
      <c r="P904" s="69">
        <f t="shared" ca="1" si="192"/>
        <v>1.0469038950666096</v>
      </c>
      <c r="Q904" s="69">
        <f t="shared" ca="1" si="193"/>
        <v>1.3612036772619491</v>
      </c>
      <c r="R904" s="69">
        <f t="shared" ca="1" si="194"/>
        <v>-2.0311567619494522</v>
      </c>
      <c r="S904" s="69">
        <f t="shared" ca="1" si="195"/>
        <v>1.6276064016503231</v>
      </c>
      <c r="T904" s="69">
        <f t="shared" ca="1" si="196"/>
        <v>0.78974873376432653</v>
      </c>
      <c r="U904" s="69">
        <f t="shared" ca="1" si="197"/>
        <v>0.24868372619737472</v>
      </c>
      <c r="V904" s="69">
        <f t="shared" ca="1" si="198"/>
        <v>1.3188565698655212</v>
      </c>
      <c r="W904" s="69">
        <f t="shared" ca="1" si="199"/>
        <v>2.7501924617231657</v>
      </c>
      <c r="X904" s="69">
        <f t="shared" ca="1" si="200"/>
        <v>0.4546801289295318</v>
      </c>
    </row>
    <row r="905" spans="2:24" x14ac:dyDescent="0.2">
      <c r="B905" s="69">
        <f t="shared" ca="1" si="189"/>
        <v>0.59190949433882423</v>
      </c>
      <c r="C905" s="69">
        <f t="shared" ca="1" si="202"/>
        <v>-0.63111324134812763</v>
      </c>
      <c r="D905" s="69">
        <f t="shared" ca="1" si="202"/>
        <v>0.63198925079226242</v>
      </c>
      <c r="E905" s="69">
        <f t="shared" ca="1" si="202"/>
        <v>6.93954586352349E-2</v>
      </c>
      <c r="F905" s="69">
        <f t="shared" ca="1" si="202"/>
        <v>0.72166188552488453</v>
      </c>
      <c r="G905" s="69">
        <f t="shared" ca="1" si="202"/>
        <v>3.8887950823296893E-2</v>
      </c>
      <c r="H905" s="69">
        <f t="shared" ca="1" si="202"/>
        <v>0.64869719105717594</v>
      </c>
      <c r="I905" s="69">
        <f t="shared" ca="1" si="202"/>
        <v>2.1175669231649218E-2</v>
      </c>
      <c r="J905" s="69">
        <f t="shared" ca="1" si="202"/>
        <v>-0.25991087255642742</v>
      </c>
      <c r="K905" s="69">
        <f t="shared" ca="1" si="202"/>
        <v>-1.9300613116505732</v>
      </c>
      <c r="L905" s="69">
        <f t="shared" ca="1" si="202"/>
        <v>-0.32493025870841269</v>
      </c>
      <c r="N905" s="69">
        <f t="shared" ca="1" si="190"/>
        <v>0.62967753817693306</v>
      </c>
      <c r="O905" s="69">
        <f t="shared" ca="1" si="191"/>
        <v>-0.65760680443101427</v>
      </c>
      <c r="P905" s="69">
        <f t="shared" ca="1" si="192"/>
        <v>0.57424718595517243</v>
      </c>
      <c r="Q905" s="69">
        <f t="shared" ca="1" si="193"/>
        <v>0.11850413749699384</v>
      </c>
      <c r="R905" s="69">
        <f t="shared" ca="1" si="194"/>
        <v>0.71536720011723565</v>
      </c>
      <c r="S905" s="69">
        <f t="shared" ca="1" si="195"/>
        <v>7.1714923080105381E-2</v>
      </c>
      <c r="T905" s="69">
        <f t="shared" ca="1" si="196"/>
        <v>0.64386615334198605</v>
      </c>
      <c r="U905" s="69">
        <f t="shared" ca="1" si="197"/>
        <v>4.4215796109358871E-2</v>
      </c>
      <c r="V905" s="69">
        <f t="shared" ca="1" si="198"/>
        <v>-0.26602046613002472</v>
      </c>
      <c r="W905" s="69">
        <f t="shared" ca="1" si="199"/>
        <v>-1.9290799548264741</v>
      </c>
      <c r="X905" s="69">
        <f t="shared" ca="1" si="200"/>
        <v>-0.29776176833397722</v>
      </c>
    </row>
    <row r="906" spans="2:24" x14ac:dyDescent="0.2">
      <c r="B906" s="69">
        <f t="shared" ref="B906:B969" ca="1" si="203">NORMINV(RAND(),$C$7,$F$7)</f>
        <v>-9.8805940282593555E-2</v>
      </c>
      <c r="C906" s="69">
        <f t="shared" ca="1" si="202"/>
        <v>1.1554500795840625</v>
      </c>
      <c r="D906" s="69">
        <f t="shared" ca="1" si="202"/>
        <v>-1.911233967560918</v>
      </c>
      <c r="E906" s="69">
        <f t="shared" ca="1" si="202"/>
        <v>0.32277803066485589</v>
      </c>
      <c r="F906" s="69">
        <f t="shared" ca="1" si="202"/>
        <v>0.25660804826627909</v>
      </c>
      <c r="G906" s="69">
        <f t="shared" ca="1" si="202"/>
        <v>0.37935622956094495</v>
      </c>
      <c r="H906" s="69">
        <f t="shared" ca="1" si="202"/>
        <v>-6.8615285417074123E-2</v>
      </c>
      <c r="I906" s="69">
        <f t="shared" ca="1" si="202"/>
        <v>-0.15675098527572909</v>
      </c>
      <c r="J906" s="69">
        <f t="shared" ca="1" si="202"/>
        <v>1.1698477036053248</v>
      </c>
      <c r="K906" s="69">
        <f t="shared" ca="1" si="202"/>
        <v>0.24315142523948838</v>
      </c>
      <c r="L906" s="69">
        <f t="shared" ca="1" si="202"/>
        <v>1.6652085703265427</v>
      </c>
      <c r="N906" s="69">
        <f t="shared" ref="N906:N969" ca="1" si="204">B906-$B$1010</f>
        <v>-6.1037896444484735E-2</v>
      </c>
      <c r="O906" s="69">
        <f t="shared" ref="O906:O969" ca="1" si="205">C906-$C$1010</f>
        <v>1.1289565165011759</v>
      </c>
      <c r="P906" s="69">
        <f t="shared" ref="P906:P969" ca="1" si="206">D906-$D$1010</f>
        <v>-1.9689760323980081</v>
      </c>
      <c r="Q906" s="69">
        <f t="shared" ref="Q906:Q969" ca="1" si="207">E906-$E$1010</f>
        <v>0.37188670952661484</v>
      </c>
      <c r="R906" s="69">
        <f t="shared" ref="R906:R969" ca="1" si="208">F906-$F$1010</f>
        <v>0.25031336285863021</v>
      </c>
      <c r="S906" s="69">
        <f t="shared" ref="S906:S969" ca="1" si="209">G906-$G$1010</f>
        <v>0.41218320181775342</v>
      </c>
      <c r="T906" s="69">
        <f t="shared" ref="T906:T969" ca="1" si="210">H906-$H$1010</f>
        <v>-7.3446323132263971E-2</v>
      </c>
      <c r="U906" s="69">
        <f t="shared" ref="U906:U969" ca="1" si="211">I906-$I$1010</f>
        <v>-0.13371085839801944</v>
      </c>
      <c r="V906" s="69">
        <f t="shared" ref="V906:V969" ca="1" si="212">J906-$J$1010</f>
        <v>1.1637381100317274</v>
      </c>
      <c r="W906" s="69">
        <f t="shared" ref="W906:W969" ca="1" si="213">K906-$K$1010</f>
        <v>0.24413278206358732</v>
      </c>
      <c r="X906" s="69">
        <f t="shared" ref="X906:X969" ca="1" si="214">L906-$L$1010</f>
        <v>1.6923770607009783</v>
      </c>
    </row>
    <row r="907" spans="2:24" x14ac:dyDescent="0.2">
      <c r="B907" s="69">
        <f t="shared" ca="1" si="203"/>
        <v>0.33999037727972892</v>
      </c>
      <c r="C907" s="69">
        <f t="shared" ca="1" si="202"/>
        <v>-2.0935711053570238E-2</v>
      </c>
      <c r="D907" s="69">
        <f t="shared" ca="1" si="202"/>
        <v>-1.1295996112845368</v>
      </c>
      <c r="E907" s="69">
        <f t="shared" ca="1" si="202"/>
        <v>-0.83655748198989743</v>
      </c>
      <c r="F907" s="69">
        <f t="shared" ca="1" si="202"/>
        <v>-0.22658551224754542</v>
      </c>
      <c r="G907" s="69">
        <f t="shared" ca="1" si="202"/>
        <v>-0.35672801857723174</v>
      </c>
      <c r="H907" s="69">
        <f t="shared" ca="1" si="202"/>
        <v>-0.19038274509462277</v>
      </c>
      <c r="I907" s="69">
        <f t="shared" ca="1" si="202"/>
        <v>-1.910469883571464</v>
      </c>
      <c r="J907" s="69">
        <f t="shared" ca="1" si="202"/>
        <v>1.6558503784725795</v>
      </c>
      <c r="K907" s="69">
        <f t="shared" ca="1" si="202"/>
        <v>-1.6922898001901086</v>
      </c>
      <c r="L907" s="69">
        <f t="shared" ca="1" si="202"/>
        <v>0.38150091475353504</v>
      </c>
      <c r="N907" s="69">
        <f t="shared" ca="1" si="204"/>
        <v>0.37775842111783775</v>
      </c>
      <c r="O907" s="69">
        <f t="shared" ca="1" si="205"/>
        <v>-4.7429274136456923E-2</v>
      </c>
      <c r="P907" s="69">
        <f t="shared" ca="1" si="206"/>
        <v>-1.1873416761216269</v>
      </c>
      <c r="Q907" s="69">
        <f t="shared" ca="1" si="207"/>
        <v>-0.78744880312813847</v>
      </c>
      <c r="R907" s="69">
        <f t="shared" ca="1" si="208"/>
        <v>-0.23288019765519433</v>
      </c>
      <c r="S907" s="69">
        <f t="shared" ca="1" si="209"/>
        <v>-0.32390104632042327</v>
      </c>
      <c r="T907" s="69">
        <f t="shared" ca="1" si="210"/>
        <v>-0.19521378280981261</v>
      </c>
      <c r="U907" s="69">
        <f t="shared" ca="1" si="211"/>
        <v>-1.8874297566937543</v>
      </c>
      <c r="V907" s="69">
        <f t="shared" ca="1" si="212"/>
        <v>1.6497407848989822</v>
      </c>
      <c r="W907" s="69">
        <f t="shared" ca="1" si="213"/>
        <v>-1.6913084433660095</v>
      </c>
      <c r="X907" s="69">
        <f t="shared" ca="1" si="214"/>
        <v>0.40866940512797051</v>
      </c>
    </row>
    <row r="908" spans="2:24" x14ac:dyDescent="0.2">
      <c r="B908" s="69">
        <f t="shared" ca="1" si="203"/>
        <v>-0.5366171254547264</v>
      </c>
      <c r="C908" s="69">
        <f t="shared" ca="1" si="202"/>
        <v>-0.68082348781493573</v>
      </c>
      <c r="D908" s="69">
        <f t="shared" ca="1" si="202"/>
        <v>0.57060597103570965</v>
      </c>
      <c r="E908" s="69">
        <f t="shared" ca="1" si="202"/>
        <v>0.21231515549243582</v>
      </c>
      <c r="F908" s="69">
        <f t="shared" ca="1" si="202"/>
        <v>0.5601809910065626</v>
      </c>
      <c r="G908" s="69">
        <f t="shared" ca="1" si="202"/>
        <v>0.40796215321159657</v>
      </c>
      <c r="H908" s="69">
        <f t="shared" ca="1" si="202"/>
        <v>-0.71608507412620681</v>
      </c>
      <c r="I908" s="69">
        <f t="shared" ca="1" si="202"/>
        <v>9.7110139638053844E-2</v>
      </c>
      <c r="J908" s="69">
        <f t="shared" ca="1" si="202"/>
        <v>1.1743805282877644</v>
      </c>
      <c r="K908" s="69">
        <f t="shared" ca="1" si="202"/>
        <v>-1.16011198952537</v>
      </c>
      <c r="L908" s="69">
        <f t="shared" ca="1" si="202"/>
        <v>0.50763562627607994</v>
      </c>
      <c r="N908" s="69">
        <f t="shared" ca="1" si="204"/>
        <v>-0.49884908161661756</v>
      </c>
      <c r="O908" s="69">
        <f t="shared" ca="1" si="205"/>
        <v>-0.70731705089782237</v>
      </c>
      <c r="P908" s="69">
        <f t="shared" ca="1" si="206"/>
        <v>0.51286390619861966</v>
      </c>
      <c r="Q908" s="69">
        <f t="shared" ca="1" si="207"/>
        <v>0.26142383435419475</v>
      </c>
      <c r="R908" s="69">
        <f t="shared" ca="1" si="208"/>
        <v>0.55388630559891372</v>
      </c>
      <c r="S908" s="69">
        <f t="shared" ca="1" si="209"/>
        <v>0.44078912546840504</v>
      </c>
      <c r="T908" s="69">
        <f t="shared" ca="1" si="210"/>
        <v>-0.7209161118413967</v>
      </c>
      <c r="U908" s="69">
        <f t="shared" ca="1" si="211"/>
        <v>0.12015026651576349</v>
      </c>
      <c r="V908" s="69">
        <f t="shared" ca="1" si="212"/>
        <v>1.1682709347141671</v>
      </c>
      <c r="W908" s="69">
        <f t="shared" ca="1" si="213"/>
        <v>-1.1591306327012709</v>
      </c>
      <c r="X908" s="69">
        <f t="shared" ca="1" si="214"/>
        <v>0.53480411665051542</v>
      </c>
    </row>
    <row r="909" spans="2:24" x14ac:dyDescent="0.2">
      <c r="B909" s="69">
        <f t="shared" ca="1" si="203"/>
        <v>-1.2183480946179841</v>
      </c>
      <c r="C909" s="69">
        <f t="shared" ca="1" si="202"/>
        <v>0.17141185999864719</v>
      </c>
      <c r="D909" s="69">
        <f t="shared" ca="1" si="202"/>
        <v>1.8145213979579635</v>
      </c>
      <c r="E909" s="69">
        <f t="shared" ca="1" si="202"/>
        <v>0.65570345904252614</v>
      </c>
      <c r="F909" s="69">
        <f t="shared" ca="1" si="202"/>
        <v>-7.6697643579947364E-2</v>
      </c>
      <c r="G909" s="69">
        <f t="shared" ca="1" si="202"/>
        <v>0.71999928543173097</v>
      </c>
      <c r="H909" s="69">
        <f t="shared" ca="1" si="202"/>
        <v>-0.1693887156333517</v>
      </c>
      <c r="I909" s="69">
        <f t="shared" ca="1" si="202"/>
        <v>1.492257086618485</v>
      </c>
      <c r="J909" s="69">
        <f t="shared" ca="1" si="202"/>
        <v>-1.7868449900592727</v>
      </c>
      <c r="K909" s="69">
        <f t="shared" ca="1" si="202"/>
        <v>1.0324205428125801</v>
      </c>
      <c r="L909" s="69">
        <f t="shared" ca="1" si="202"/>
        <v>9.1839610490230261E-3</v>
      </c>
      <c r="N909" s="69">
        <f t="shared" ca="1" si="204"/>
        <v>-1.1805800507798754</v>
      </c>
      <c r="O909" s="69">
        <f t="shared" ca="1" si="205"/>
        <v>0.1449182969157605</v>
      </c>
      <c r="P909" s="69">
        <f t="shared" ca="1" si="206"/>
        <v>1.7567793331208734</v>
      </c>
      <c r="Q909" s="69">
        <f t="shared" ca="1" si="207"/>
        <v>0.7048121379042851</v>
      </c>
      <c r="R909" s="69">
        <f t="shared" ca="1" si="208"/>
        <v>-8.2992328987596259E-2</v>
      </c>
      <c r="S909" s="69">
        <f t="shared" ca="1" si="209"/>
        <v>0.7528262576885395</v>
      </c>
      <c r="T909" s="69">
        <f t="shared" ca="1" si="210"/>
        <v>-0.17421975334854153</v>
      </c>
      <c r="U909" s="69">
        <f t="shared" ca="1" si="211"/>
        <v>1.5152972134961946</v>
      </c>
      <c r="V909" s="69">
        <f t="shared" ca="1" si="212"/>
        <v>-1.79295458363287</v>
      </c>
      <c r="W909" s="69">
        <f t="shared" ca="1" si="213"/>
        <v>1.0334018996366792</v>
      </c>
      <c r="X909" s="69">
        <f t="shared" ca="1" si="214"/>
        <v>3.6352451423458505E-2</v>
      </c>
    </row>
    <row r="910" spans="2:24" x14ac:dyDescent="0.2">
      <c r="B910" s="69">
        <f t="shared" ca="1" si="203"/>
        <v>2.0387054281678867</v>
      </c>
      <c r="C910" s="69">
        <f t="shared" ca="1" si="202"/>
        <v>-1.0755294415682592</v>
      </c>
      <c r="D910" s="69">
        <f t="shared" ca="1" si="202"/>
        <v>-0.98918627215391108</v>
      </c>
      <c r="E910" s="69">
        <f t="shared" ca="1" si="202"/>
        <v>0.73496761877217232</v>
      </c>
      <c r="F910" s="69">
        <f t="shared" ca="1" si="202"/>
        <v>1.2073382756988582</v>
      </c>
      <c r="G910" s="69">
        <f t="shared" ca="1" si="202"/>
        <v>-0.44128660566927241</v>
      </c>
      <c r="H910" s="69">
        <f t="shared" ca="1" si="202"/>
        <v>-0.77796642284380435</v>
      </c>
      <c r="I910" s="69">
        <f t="shared" ca="1" si="202"/>
        <v>-1.2244920836159698</v>
      </c>
      <c r="J910" s="69">
        <f t="shared" ca="1" si="202"/>
        <v>-0.75416555967451626</v>
      </c>
      <c r="K910" s="69">
        <f t="shared" ca="1" si="202"/>
        <v>-1.4064341046905138</v>
      </c>
      <c r="L910" s="69">
        <f t="shared" ca="1" si="202"/>
        <v>-9.9198809833098478E-2</v>
      </c>
      <c r="N910" s="69">
        <f t="shared" ca="1" si="204"/>
        <v>2.0764734720059956</v>
      </c>
      <c r="O910" s="69">
        <f t="shared" ca="1" si="205"/>
        <v>-1.1020230046511459</v>
      </c>
      <c r="P910" s="69">
        <f t="shared" ca="1" si="206"/>
        <v>-1.0469283369910012</v>
      </c>
      <c r="Q910" s="69">
        <f t="shared" ca="1" si="207"/>
        <v>0.78407629763393127</v>
      </c>
      <c r="R910" s="69">
        <f t="shared" ca="1" si="208"/>
        <v>1.2010435902912093</v>
      </c>
      <c r="S910" s="69">
        <f t="shared" ca="1" si="209"/>
        <v>-0.40845963341246394</v>
      </c>
      <c r="T910" s="69">
        <f t="shared" ca="1" si="210"/>
        <v>-0.78279746055899424</v>
      </c>
      <c r="U910" s="69">
        <f t="shared" ca="1" si="211"/>
        <v>-1.2014519567382602</v>
      </c>
      <c r="V910" s="69">
        <f t="shared" ca="1" si="212"/>
        <v>-0.76027515324811357</v>
      </c>
      <c r="W910" s="69">
        <f t="shared" ca="1" si="213"/>
        <v>-1.4054527478664147</v>
      </c>
      <c r="X910" s="69">
        <f t="shared" ca="1" si="214"/>
        <v>-7.2030319458663006E-2</v>
      </c>
    </row>
    <row r="911" spans="2:24" x14ac:dyDescent="0.2">
      <c r="B911" s="69">
        <f t="shared" ca="1" si="203"/>
        <v>1.4948013791427737</v>
      </c>
      <c r="C911" s="69">
        <f t="shared" ca="1" si="202"/>
        <v>0.1089351180571505</v>
      </c>
      <c r="D911" s="69">
        <f t="shared" ref="C911:L974" ca="1" si="215">NORMINV(RAND(),$C$7,$F$7)</f>
        <v>-0.22434590622260289</v>
      </c>
      <c r="E911" s="69">
        <f t="shared" ca="1" si="215"/>
        <v>-1.4355991175478207</v>
      </c>
      <c r="F911" s="69">
        <f t="shared" ca="1" si="215"/>
        <v>-1.0049707152744796</v>
      </c>
      <c r="G911" s="69">
        <f t="shared" ca="1" si="215"/>
        <v>-0.56714040327660453</v>
      </c>
      <c r="H911" s="69">
        <f t="shared" ca="1" si="215"/>
        <v>-1.4780523463830222</v>
      </c>
      <c r="I911" s="69">
        <f t="shared" ca="1" si="215"/>
        <v>5.4655560340514241E-2</v>
      </c>
      <c r="J911" s="69">
        <f t="shared" ca="1" si="215"/>
        <v>9.2669001047319108E-2</v>
      </c>
      <c r="K911" s="69">
        <f t="shared" ca="1" si="215"/>
        <v>-0.46542395434238404</v>
      </c>
      <c r="L911" s="69">
        <f t="shared" ca="1" si="215"/>
        <v>0.93777588334403528</v>
      </c>
      <c r="N911" s="69">
        <f t="shared" ca="1" si="204"/>
        <v>1.5325694229808824</v>
      </c>
      <c r="O911" s="69">
        <f t="shared" ca="1" si="205"/>
        <v>8.2441554974263823E-2</v>
      </c>
      <c r="P911" s="69">
        <f t="shared" ca="1" si="206"/>
        <v>-0.28208797105969291</v>
      </c>
      <c r="Q911" s="69">
        <f t="shared" ca="1" si="207"/>
        <v>-1.3864904386860617</v>
      </c>
      <c r="R911" s="69">
        <f t="shared" ca="1" si="208"/>
        <v>-1.0112654006821284</v>
      </c>
      <c r="S911" s="69">
        <f t="shared" ca="1" si="209"/>
        <v>-0.534313431019796</v>
      </c>
      <c r="T911" s="69">
        <f t="shared" ca="1" si="210"/>
        <v>-1.4828833840982121</v>
      </c>
      <c r="U911" s="69">
        <f t="shared" ca="1" si="211"/>
        <v>7.7695687218223897E-2</v>
      </c>
      <c r="V911" s="69">
        <f t="shared" ca="1" si="212"/>
        <v>8.6559407473721775E-2</v>
      </c>
      <c r="W911" s="69">
        <f t="shared" ca="1" si="213"/>
        <v>-0.46444259751828509</v>
      </c>
      <c r="X911" s="69">
        <f t="shared" ca="1" si="214"/>
        <v>0.96494437371847075</v>
      </c>
    </row>
    <row r="912" spans="2:24" x14ac:dyDescent="0.2">
      <c r="B912" s="69">
        <f t="shared" ca="1" si="203"/>
        <v>0.57038997227389254</v>
      </c>
      <c r="C912" s="69">
        <f t="shared" ca="1" si="215"/>
        <v>1.1056077324445739</v>
      </c>
      <c r="D912" s="69">
        <f t="shared" ca="1" si="215"/>
        <v>1.126235088673186</v>
      </c>
      <c r="E912" s="69">
        <f t="shared" ca="1" si="215"/>
        <v>-6.2258379178336834E-2</v>
      </c>
      <c r="F912" s="69">
        <f t="shared" ca="1" si="215"/>
        <v>-0.55664990784886093</v>
      </c>
      <c r="G912" s="69">
        <f t="shared" ca="1" si="215"/>
        <v>-0.99417001342788169</v>
      </c>
      <c r="H912" s="69">
        <f t="shared" ca="1" si="215"/>
        <v>-6.0528403721374156E-2</v>
      </c>
      <c r="I912" s="69">
        <f t="shared" ca="1" si="215"/>
        <v>0.81441386233191415</v>
      </c>
      <c r="J912" s="69">
        <f t="shared" ca="1" si="215"/>
        <v>-0.19175775626675248</v>
      </c>
      <c r="K912" s="69">
        <f t="shared" ca="1" si="215"/>
        <v>-5.3089057807574724E-2</v>
      </c>
      <c r="L912" s="69">
        <f t="shared" ca="1" si="215"/>
        <v>-0.28916828525169097</v>
      </c>
      <c r="N912" s="69">
        <f t="shared" ca="1" si="204"/>
        <v>0.60815801611200138</v>
      </c>
      <c r="O912" s="69">
        <f t="shared" ca="1" si="205"/>
        <v>1.0791141693616872</v>
      </c>
      <c r="P912" s="69">
        <f t="shared" ca="1" si="206"/>
        <v>1.0684930238360959</v>
      </c>
      <c r="Q912" s="69">
        <f t="shared" ca="1" si="207"/>
        <v>-1.3149700316577889E-2</v>
      </c>
      <c r="R912" s="69">
        <f t="shared" ca="1" si="208"/>
        <v>-0.56294459325650981</v>
      </c>
      <c r="S912" s="69">
        <f t="shared" ca="1" si="209"/>
        <v>-0.96134304117107316</v>
      </c>
      <c r="T912" s="69">
        <f t="shared" ca="1" si="210"/>
        <v>-6.5359441436563998E-2</v>
      </c>
      <c r="U912" s="69">
        <f t="shared" ca="1" si="211"/>
        <v>0.83745398920962377</v>
      </c>
      <c r="V912" s="69">
        <f t="shared" ca="1" si="212"/>
        <v>-0.19786734984034982</v>
      </c>
      <c r="W912" s="69">
        <f t="shared" ca="1" si="213"/>
        <v>-5.2107700983475773E-2</v>
      </c>
      <c r="X912" s="69">
        <f t="shared" ca="1" si="214"/>
        <v>-0.2619997948772555</v>
      </c>
    </row>
    <row r="913" spans="2:24" x14ac:dyDescent="0.2">
      <c r="B913" s="69">
        <f t="shared" ca="1" si="203"/>
        <v>0.32118050950546101</v>
      </c>
      <c r="C913" s="69">
        <f t="shared" ca="1" si="215"/>
        <v>0.51738944876172666</v>
      </c>
      <c r="D913" s="69">
        <f t="shared" ca="1" si="215"/>
        <v>0.3174369069198259</v>
      </c>
      <c r="E913" s="69">
        <f t="shared" ca="1" si="215"/>
        <v>-0.29799765681897172</v>
      </c>
      <c r="F913" s="69">
        <f t="shared" ca="1" si="215"/>
        <v>0.16238748974114597</v>
      </c>
      <c r="G913" s="69">
        <f t="shared" ca="1" si="215"/>
        <v>-1.4107567313567546</v>
      </c>
      <c r="H913" s="69">
        <f t="shared" ca="1" si="215"/>
        <v>0.43147882563959933</v>
      </c>
      <c r="I913" s="69">
        <f t="shared" ca="1" si="215"/>
        <v>-0.71655997420327822</v>
      </c>
      <c r="J913" s="69">
        <f t="shared" ca="1" si="215"/>
        <v>-0.49466775793786044</v>
      </c>
      <c r="K913" s="69">
        <f t="shared" ca="1" si="215"/>
        <v>-1.8284022629758303</v>
      </c>
      <c r="L913" s="69">
        <f t="shared" ca="1" si="215"/>
        <v>-1.3334580080608469</v>
      </c>
      <c r="N913" s="69">
        <f t="shared" ca="1" si="204"/>
        <v>0.35894855334356984</v>
      </c>
      <c r="O913" s="69">
        <f t="shared" ca="1" si="205"/>
        <v>0.49089588567883996</v>
      </c>
      <c r="P913" s="69">
        <f t="shared" ca="1" si="206"/>
        <v>0.25969484208273586</v>
      </c>
      <c r="Q913" s="69">
        <f t="shared" ca="1" si="207"/>
        <v>-0.24888897795721276</v>
      </c>
      <c r="R913" s="69">
        <f t="shared" ca="1" si="208"/>
        <v>0.15609280433349706</v>
      </c>
      <c r="S913" s="69">
        <f t="shared" ca="1" si="209"/>
        <v>-1.3779297590999462</v>
      </c>
      <c r="T913" s="69">
        <f t="shared" ca="1" si="210"/>
        <v>0.42664778792440949</v>
      </c>
      <c r="U913" s="69">
        <f t="shared" ca="1" si="211"/>
        <v>-0.69351984732556859</v>
      </c>
      <c r="V913" s="69">
        <f t="shared" ca="1" si="212"/>
        <v>-0.50077735151145775</v>
      </c>
      <c r="W913" s="69">
        <f t="shared" ca="1" si="213"/>
        <v>-1.8274209061517313</v>
      </c>
      <c r="X913" s="69">
        <f t="shared" ca="1" si="214"/>
        <v>-1.3062895176864113</v>
      </c>
    </row>
    <row r="914" spans="2:24" x14ac:dyDescent="0.2">
      <c r="B914" s="69">
        <f t="shared" ca="1" si="203"/>
        <v>0.88595873431144723</v>
      </c>
      <c r="C914" s="69">
        <f t="shared" ca="1" si="215"/>
        <v>1.3427499527660323</v>
      </c>
      <c r="D914" s="69">
        <f t="shared" ca="1" si="215"/>
        <v>0.18168972923559626</v>
      </c>
      <c r="E914" s="69">
        <f t="shared" ca="1" si="215"/>
        <v>1.4173923426136636</v>
      </c>
      <c r="F914" s="69">
        <f t="shared" ca="1" si="215"/>
        <v>0.51385244593599055</v>
      </c>
      <c r="G914" s="69">
        <f t="shared" ca="1" si="215"/>
        <v>0.14101917784168383</v>
      </c>
      <c r="H914" s="69">
        <f t="shared" ca="1" si="215"/>
        <v>-0.20452137098027137</v>
      </c>
      <c r="I914" s="69">
        <f t="shared" ca="1" si="215"/>
        <v>3.2464238488739303</v>
      </c>
      <c r="J914" s="69">
        <f t="shared" ca="1" si="215"/>
        <v>0.72177883621470507</v>
      </c>
      <c r="K914" s="69">
        <f t="shared" ca="1" si="215"/>
        <v>1.4558376149605587</v>
      </c>
      <c r="L914" s="69">
        <f t="shared" ca="1" si="215"/>
        <v>0.62826886522952408</v>
      </c>
      <c r="N914" s="69">
        <f t="shared" ca="1" si="204"/>
        <v>0.92372677814955606</v>
      </c>
      <c r="O914" s="69">
        <f t="shared" ca="1" si="205"/>
        <v>1.3162563896831456</v>
      </c>
      <c r="P914" s="69">
        <f t="shared" ca="1" si="206"/>
        <v>0.12394766439850623</v>
      </c>
      <c r="Q914" s="69">
        <f t="shared" ca="1" si="207"/>
        <v>1.4665010214754226</v>
      </c>
      <c r="R914" s="69">
        <f t="shared" ca="1" si="208"/>
        <v>0.50755776052834167</v>
      </c>
      <c r="S914" s="69">
        <f t="shared" ca="1" si="209"/>
        <v>0.1738461500984923</v>
      </c>
      <c r="T914" s="69">
        <f t="shared" ca="1" si="210"/>
        <v>-0.20935240869546121</v>
      </c>
      <c r="U914" s="69">
        <f t="shared" ca="1" si="211"/>
        <v>3.2694639757516399</v>
      </c>
      <c r="V914" s="69">
        <f t="shared" ca="1" si="212"/>
        <v>0.71566924264110776</v>
      </c>
      <c r="W914" s="69">
        <f t="shared" ca="1" si="213"/>
        <v>1.4568189717846578</v>
      </c>
      <c r="X914" s="69">
        <f t="shared" ca="1" si="214"/>
        <v>0.65543735560395955</v>
      </c>
    </row>
    <row r="915" spans="2:24" x14ac:dyDescent="0.2">
      <c r="B915" s="69">
        <f t="shared" ca="1" si="203"/>
        <v>-1.0708848234041455</v>
      </c>
      <c r="C915" s="69">
        <f t="shared" ca="1" si="215"/>
        <v>0.85597579476424557</v>
      </c>
      <c r="D915" s="69">
        <f t="shared" ca="1" si="215"/>
        <v>-0.70239784727877508</v>
      </c>
      <c r="E915" s="69">
        <f t="shared" ca="1" si="215"/>
        <v>-1.377210242874809</v>
      </c>
      <c r="F915" s="69">
        <f t="shared" ca="1" si="215"/>
        <v>-1.5127516300350627</v>
      </c>
      <c r="G915" s="69">
        <f t="shared" ca="1" si="215"/>
        <v>0.90611344717390119</v>
      </c>
      <c r="H915" s="69">
        <f t="shared" ca="1" si="215"/>
        <v>-1.4315077127946569</v>
      </c>
      <c r="I915" s="69">
        <f t="shared" ca="1" si="215"/>
        <v>-1.0477379543660135</v>
      </c>
      <c r="J915" s="69">
        <f t="shared" ca="1" si="215"/>
        <v>1.3184251719611217</v>
      </c>
      <c r="K915" s="69">
        <f t="shared" ca="1" si="215"/>
        <v>-6.8038352125950483E-5</v>
      </c>
      <c r="L915" s="69">
        <f t="shared" ca="1" si="215"/>
        <v>-0.67597644081105013</v>
      </c>
      <c r="N915" s="69">
        <f t="shared" ca="1" si="204"/>
        <v>-1.0331167795660368</v>
      </c>
      <c r="O915" s="69">
        <f t="shared" ca="1" si="205"/>
        <v>0.82948223168135893</v>
      </c>
      <c r="P915" s="69">
        <f t="shared" ca="1" si="206"/>
        <v>-0.76013991211586507</v>
      </c>
      <c r="Q915" s="69">
        <f t="shared" ca="1" si="207"/>
        <v>-1.32810156401305</v>
      </c>
      <c r="R915" s="69">
        <f t="shared" ca="1" si="208"/>
        <v>-1.5190463154427116</v>
      </c>
      <c r="S915" s="69">
        <f t="shared" ca="1" si="209"/>
        <v>0.93894041943070972</v>
      </c>
      <c r="T915" s="69">
        <f t="shared" ca="1" si="210"/>
        <v>-1.4363387505098468</v>
      </c>
      <c r="U915" s="69">
        <f t="shared" ca="1" si="211"/>
        <v>-1.0246978274883038</v>
      </c>
      <c r="V915" s="69">
        <f t="shared" ca="1" si="212"/>
        <v>1.3123155783875244</v>
      </c>
      <c r="W915" s="69">
        <f t="shared" ca="1" si="213"/>
        <v>9.1331847197300103E-4</v>
      </c>
      <c r="X915" s="69">
        <f t="shared" ca="1" si="214"/>
        <v>-0.64880795043661466</v>
      </c>
    </row>
    <row r="916" spans="2:24" x14ac:dyDescent="0.2">
      <c r="B916" s="69">
        <f t="shared" ca="1" si="203"/>
        <v>0.47405503831287538</v>
      </c>
      <c r="C916" s="69">
        <f t="shared" ca="1" si="215"/>
        <v>-1.0372179255210559</v>
      </c>
      <c r="D916" s="69">
        <f t="shared" ca="1" si="215"/>
        <v>-1.6014144877336605</v>
      </c>
      <c r="E916" s="69">
        <f t="shared" ca="1" si="215"/>
        <v>1.8169051426971048</v>
      </c>
      <c r="F916" s="69">
        <f t="shared" ca="1" si="215"/>
        <v>0.57093517645962366</v>
      </c>
      <c r="G916" s="69">
        <f t="shared" ca="1" si="215"/>
        <v>0.75425567002725336</v>
      </c>
      <c r="H916" s="69">
        <f t="shared" ca="1" si="215"/>
        <v>1.1726108319709687</v>
      </c>
      <c r="I916" s="69">
        <f t="shared" ca="1" si="215"/>
        <v>0.31802753057145761</v>
      </c>
      <c r="J916" s="69">
        <f t="shared" ca="1" si="215"/>
        <v>-1.1205428036646075</v>
      </c>
      <c r="K916" s="69">
        <f t="shared" ca="1" si="215"/>
        <v>1.9708450276053211</v>
      </c>
      <c r="L916" s="69">
        <f t="shared" ca="1" si="215"/>
        <v>7.1643045522768317E-2</v>
      </c>
      <c r="N916" s="69">
        <f t="shared" ca="1" si="204"/>
        <v>0.51182308215098415</v>
      </c>
      <c r="O916" s="69">
        <f t="shared" ca="1" si="205"/>
        <v>-1.0637114886039425</v>
      </c>
      <c r="P916" s="69">
        <f t="shared" ca="1" si="206"/>
        <v>-1.6591565525707506</v>
      </c>
      <c r="Q916" s="69">
        <f t="shared" ca="1" si="207"/>
        <v>1.8660138215588638</v>
      </c>
      <c r="R916" s="69">
        <f t="shared" ca="1" si="208"/>
        <v>0.56464049105197478</v>
      </c>
      <c r="S916" s="69">
        <f t="shared" ca="1" si="209"/>
        <v>0.78708264228406188</v>
      </c>
      <c r="T916" s="69">
        <f t="shared" ca="1" si="210"/>
        <v>1.1677797942557788</v>
      </c>
      <c r="U916" s="69">
        <f t="shared" ca="1" si="211"/>
        <v>0.34106765744916728</v>
      </c>
      <c r="V916" s="69">
        <f t="shared" ca="1" si="212"/>
        <v>-1.1266523972382048</v>
      </c>
      <c r="W916" s="69">
        <f t="shared" ca="1" si="213"/>
        <v>1.9718263844294202</v>
      </c>
      <c r="X916" s="69">
        <f t="shared" ca="1" si="214"/>
        <v>9.8811535897203789E-2</v>
      </c>
    </row>
    <row r="917" spans="2:24" x14ac:dyDescent="0.2">
      <c r="B917" s="69">
        <f t="shared" ca="1" si="203"/>
        <v>-0.23547863902178143</v>
      </c>
      <c r="C917" s="69">
        <f t="shared" ca="1" si="215"/>
        <v>-0.94356099706947094</v>
      </c>
      <c r="D917" s="69">
        <f t="shared" ca="1" si="215"/>
        <v>0.15692538600693726</v>
      </c>
      <c r="E917" s="69">
        <f t="shared" ca="1" si="215"/>
        <v>0.203690027613048</v>
      </c>
      <c r="F917" s="69">
        <f t="shared" ca="1" si="215"/>
        <v>1.6279869581320867</v>
      </c>
      <c r="G917" s="69">
        <f t="shared" ca="1" si="215"/>
        <v>-6.1822676331670996E-2</v>
      </c>
      <c r="H917" s="69">
        <f t="shared" ca="1" si="215"/>
        <v>-0.52251319641933502</v>
      </c>
      <c r="I917" s="69">
        <f t="shared" ca="1" si="215"/>
        <v>-1.1777192598264603</v>
      </c>
      <c r="J917" s="69">
        <f t="shared" ca="1" si="215"/>
        <v>-1.2448958374877597</v>
      </c>
      <c r="K917" s="69">
        <f t="shared" ca="1" si="215"/>
        <v>-0.22452688145824118</v>
      </c>
      <c r="L917" s="69">
        <f t="shared" ca="1" si="215"/>
        <v>-1.8798595246738965</v>
      </c>
      <c r="N917" s="69">
        <f t="shared" ca="1" si="204"/>
        <v>-0.19771059518367262</v>
      </c>
      <c r="O917" s="69">
        <f t="shared" ca="1" si="205"/>
        <v>-0.97005456015235758</v>
      </c>
      <c r="P917" s="69">
        <f t="shared" ca="1" si="206"/>
        <v>9.9183321169847224E-2</v>
      </c>
      <c r="Q917" s="69">
        <f t="shared" ca="1" si="207"/>
        <v>0.25279870647480696</v>
      </c>
      <c r="R917" s="69">
        <f t="shared" ca="1" si="208"/>
        <v>1.6216922727244378</v>
      </c>
      <c r="S917" s="69">
        <f t="shared" ca="1" si="209"/>
        <v>-2.8995704074862516E-2</v>
      </c>
      <c r="T917" s="69">
        <f t="shared" ca="1" si="210"/>
        <v>-0.52734423413452491</v>
      </c>
      <c r="U917" s="69">
        <f t="shared" ca="1" si="211"/>
        <v>-1.1546791329487507</v>
      </c>
      <c r="V917" s="69">
        <f t="shared" ca="1" si="212"/>
        <v>-1.251005431061357</v>
      </c>
      <c r="W917" s="69">
        <f t="shared" ca="1" si="213"/>
        <v>-0.22354552463414223</v>
      </c>
      <c r="X917" s="69">
        <f t="shared" ca="1" si="214"/>
        <v>-1.8526910342994609</v>
      </c>
    </row>
    <row r="918" spans="2:24" x14ac:dyDescent="0.2">
      <c r="B918" s="69">
        <f t="shared" ca="1" si="203"/>
        <v>-0.77367331444602905</v>
      </c>
      <c r="C918" s="69">
        <f t="shared" ca="1" si="215"/>
        <v>2.7657203841656779</v>
      </c>
      <c r="D918" s="69">
        <f t="shared" ca="1" si="215"/>
        <v>-0.45722099629007318</v>
      </c>
      <c r="E918" s="69">
        <f t="shared" ca="1" si="215"/>
        <v>-0.7958055844668237</v>
      </c>
      <c r="F918" s="69">
        <f t="shared" ca="1" si="215"/>
        <v>-0.83571554767978695</v>
      </c>
      <c r="G918" s="69">
        <f t="shared" ca="1" si="215"/>
        <v>0.2353626798699561</v>
      </c>
      <c r="H918" s="69">
        <f t="shared" ca="1" si="215"/>
        <v>-1.002101057531865</v>
      </c>
      <c r="I918" s="69">
        <f t="shared" ca="1" si="215"/>
        <v>-0.31551922242367547</v>
      </c>
      <c r="J918" s="69">
        <f t="shared" ca="1" si="215"/>
        <v>0.73385204057411701</v>
      </c>
      <c r="K918" s="69">
        <f t="shared" ca="1" si="215"/>
        <v>-0.64036067145735764</v>
      </c>
      <c r="L918" s="69">
        <f t="shared" ca="1" si="215"/>
        <v>1.1772220346270406</v>
      </c>
      <c r="N918" s="69">
        <f t="shared" ca="1" si="204"/>
        <v>-0.73590527060792021</v>
      </c>
      <c r="O918" s="69">
        <f t="shared" ca="1" si="205"/>
        <v>2.739226821082791</v>
      </c>
      <c r="P918" s="69">
        <f t="shared" ca="1" si="206"/>
        <v>-0.51496306112716317</v>
      </c>
      <c r="Q918" s="69">
        <f t="shared" ca="1" si="207"/>
        <v>-0.74669690560506474</v>
      </c>
      <c r="R918" s="69">
        <f t="shared" ca="1" si="208"/>
        <v>-0.84201023308743583</v>
      </c>
      <c r="S918" s="69">
        <f t="shared" ca="1" si="209"/>
        <v>0.2681896521267646</v>
      </c>
      <c r="T918" s="69">
        <f t="shared" ca="1" si="210"/>
        <v>-1.0069320952470548</v>
      </c>
      <c r="U918" s="69">
        <f t="shared" ca="1" si="211"/>
        <v>-0.29247909554596579</v>
      </c>
      <c r="V918" s="69">
        <f t="shared" ca="1" si="212"/>
        <v>0.72774244700051971</v>
      </c>
      <c r="W918" s="69">
        <f t="shared" ca="1" si="213"/>
        <v>-0.6393793146332587</v>
      </c>
      <c r="X918" s="69">
        <f t="shared" ca="1" si="214"/>
        <v>1.2043905250014761</v>
      </c>
    </row>
    <row r="919" spans="2:24" x14ac:dyDescent="0.2">
      <c r="B919" s="69">
        <f t="shared" ca="1" si="203"/>
        <v>-1.7004203244289189</v>
      </c>
      <c r="C919" s="69">
        <f t="shared" ca="1" si="215"/>
        <v>-0.80403624372908589</v>
      </c>
      <c r="D919" s="69">
        <f t="shared" ca="1" si="215"/>
        <v>1.2183910650692633</v>
      </c>
      <c r="E919" s="69">
        <f t="shared" ca="1" si="215"/>
        <v>-0.59593460394378683</v>
      </c>
      <c r="F919" s="69">
        <f t="shared" ca="1" si="215"/>
        <v>-0.59053500773866752</v>
      </c>
      <c r="G919" s="69">
        <f t="shared" ca="1" si="215"/>
        <v>-0.15267306513290313</v>
      </c>
      <c r="H919" s="69">
        <f t="shared" ca="1" si="215"/>
        <v>0.71062769816032945</v>
      </c>
      <c r="I919" s="69">
        <f t="shared" ca="1" si="215"/>
        <v>1.6970174708420833</v>
      </c>
      <c r="J919" s="69">
        <f t="shared" ca="1" si="215"/>
        <v>0.15542264798682509</v>
      </c>
      <c r="K919" s="69">
        <f t="shared" ca="1" si="215"/>
        <v>-0.65960029003529519</v>
      </c>
      <c r="L919" s="69">
        <f t="shared" ca="1" si="215"/>
        <v>0.13099328093309245</v>
      </c>
      <c r="N919" s="69">
        <f t="shared" ca="1" si="204"/>
        <v>-1.6626522805908102</v>
      </c>
      <c r="O919" s="69">
        <f t="shared" ca="1" si="205"/>
        <v>-0.83052980681197253</v>
      </c>
      <c r="P919" s="69">
        <f t="shared" ca="1" si="206"/>
        <v>1.1606490002321732</v>
      </c>
      <c r="Q919" s="69">
        <f t="shared" ca="1" si="207"/>
        <v>-0.54682592508202787</v>
      </c>
      <c r="R919" s="69">
        <f t="shared" ca="1" si="208"/>
        <v>-0.5968296931463164</v>
      </c>
      <c r="S919" s="69">
        <f t="shared" ca="1" si="209"/>
        <v>-0.11984609287609466</v>
      </c>
      <c r="T919" s="69">
        <f t="shared" ca="1" si="210"/>
        <v>0.70579666044513956</v>
      </c>
      <c r="U919" s="69">
        <f t="shared" ca="1" si="211"/>
        <v>1.7200575977197929</v>
      </c>
      <c r="V919" s="69">
        <f t="shared" ca="1" si="212"/>
        <v>0.14931305441322776</v>
      </c>
      <c r="W919" s="69">
        <f t="shared" ca="1" si="213"/>
        <v>-0.65861893321119624</v>
      </c>
      <c r="X919" s="69">
        <f t="shared" ca="1" si="214"/>
        <v>0.15816177130752793</v>
      </c>
    </row>
    <row r="920" spans="2:24" x14ac:dyDescent="0.2">
      <c r="B920" s="69">
        <f t="shared" ca="1" si="203"/>
        <v>-0.7198251230529239</v>
      </c>
      <c r="C920" s="69">
        <f t="shared" ca="1" si="215"/>
        <v>-0.75792706647050223</v>
      </c>
      <c r="D920" s="69">
        <f t="shared" ca="1" si="215"/>
        <v>0.56333050188777434</v>
      </c>
      <c r="E920" s="69">
        <f t="shared" ca="1" si="215"/>
        <v>0.12572174967580954</v>
      </c>
      <c r="F920" s="69">
        <f t="shared" ca="1" si="215"/>
        <v>0.51897263905427415</v>
      </c>
      <c r="G920" s="69">
        <f t="shared" ca="1" si="215"/>
        <v>0.92485936094200139</v>
      </c>
      <c r="H920" s="69">
        <f t="shared" ca="1" si="215"/>
        <v>-0.60761603288262533</v>
      </c>
      <c r="I920" s="69">
        <f t="shared" ca="1" si="215"/>
        <v>-0.91415312024279627</v>
      </c>
      <c r="J920" s="69">
        <f t="shared" ca="1" si="215"/>
        <v>0.60146131317032314</v>
      </c>
      <c r="K920" s="69">
        <f t="shared" ca="1" si="215"/>
        <v>1.3187460727937528</v>
      </c>
      <c r="L920" s="69">
        <f t="shared" ca="1" si="215"/>
        <v>0.86444361240815648</v>
      </c>
      <c r="N920" s="69">
        <f t="shared" ca="1" si="204"/>
        <v>-0.68205707921481507</v>
      </c>
      <c r="O920" s="69">
        <f t="shared" ca="1" si="205"/>
        <v>-0.78442062955338887</v>
      </c>
      <c r="P920" s="69">
        <f t="shared" ca="1" si="206"/>
        <v>0.50558843705068435</v>
      </c>
      <c r="Q920" s="69">
        <f t="shared" ca="1" si="207"/>
        <v>0.17483042853756847</v>
      </c>
      <c r="R920" s="69">
        <f t="shared" ca="1" si="208"/>
        <v>0.51267795364662527</v>
      </c>
      <c r="S920" s="69">
        <f t="shared" ca="1" si="209"/>
        <v>0.95768633319880991</v>
      </c>
      <c r="T920" s="69">
        <f t="shared" ca="1" si="210"/>
        <v>-0.61244707059781522</v>
      </c>
      <c r="U920" s="69">
        <f t="shared" ca="1" si="211"/>
        <v>-0.89111299336508665</v>
      </c>
      <c r="V920" s="69">
        <f t="shared" ca="1" si="212"/>
        <v>0.59535171959672584</v>
      </c>
      <c r="W920" s="69">
        <f t="shared" ca="1" si="213"/>
        <v>1.3197274296178518</v>
      </c>
      <c r="X920" s="69">
        <f t="shared" ca="1" si="214"/>
        <v>0.89161210278259195</v>
      </c>
    </row>
    <row r="921" spans="2:24" x14ac:dyDescent="0.2">
      <c r="B921" s="69">
        <f t="shared" ca="1" si="203"/>
        <v>-1.0770169886375371</v>
      </c>
      <c r="C921" s="69">
        <f t="shared" ca="1" si="215"/>
        <v>1.9188288039757742</v>
      </c>
      <c r="D921" s="69">
        <f t="shared" ca="1" si="215"/>
        <v>7.4560912431222426E-2</v>
      </c>
      <c r="E921" s="69">
        <f t="shared" ca="1" si="215"/>
        <v>1.0336320169800934</v>
      </c>
      <c r="F921" s="69">
        <f t="shared" ca="1" si="215"/>
        <v>6.9335957649898833E-2</v>
      </c>
      <c r="G921" s="69">
        <f t="shared" ca="1" si="215"/>
        <v>1.0966201278022336</v>
      </c>
      <c r="H921" s="69">
        <f t="shared" ca="1" si="215"/>
        <v>-1.2249746858938102</v>
      </c>
      <c r="I921" s="69">
        <f t="shared" ca="1" si="215"/>
        <v>0.87201384659179426</v>
      </c>
      <c r="J921" s="69">
        <f t="shared" ca="1" si="215"/>
        <v>-0.11100654892924938</v>
      </c>
      <c r="K921" s="69">
        <f t="shared" ca="1" si="215"/>
        <v>-0.46242808346201486</v>
      </c>
      <c r="L921" s="69">
        <f t="shared" ca="1" si="215"/>
        <v>-1.4673283171797806</v>
      </c>
      <c r="N921" s="69">
        <f t="shared" ca="1" si="204"/>
        <v>-1.0392489447994284</v>
      </c>
      <c r="O921" s="69">
        <f t="shared" ca="1" si="205"/>
        <v>1.8923352408928875</v>
      </c>
      <c r="P921" s="69">
        <f t="shared" ca="1" si="206"/>
        <v>1.6818847594132394E-2</v>
      </c>
      <c r="Q921" s="69">
        <f t="shared" ca="1" si="207"/>
        <v>1.0827406958418524</v>
      </c>
      <c r="R921" s="69">
        <f t="shared" ca="1" si="208"/>
        <v>6.3041272242249938E-2</v>
      </c>
      <c r="S921" s="69">
        <f t="shared" ca="1" si="209"/>
        <v>1.129447100059042</v>
      </c>
      <c r="T921" s="69">
        <f t="shared" ca="1" si="210"/>
        <v>-1.2298057236090001</v>
      </c>
      <c r="U921" s="69">
        <f t="shared" ca="1" si="211"/>
        <v>0.89505397346950388</v>
      </c>
      <c r="V921" s="69">
        <f t="shared" ca="1" si="212"/>
        <v>-0.11711614250284672</v>
      </c>
      <c r="W921" s="69">
        <f t="shared" ca="1" si="213"/>
        <v>-0.46144672663791592</v>
      </c>
      <c r="X921" s="69">
        <f t="shared" ca="1" si="214"/>
        <v>-1.440159826805345</v>
      </c>
    </row>
    <row r="922" spans="2:24" x14ac:dyDescent="0.2">
      <c r="B922" s="69">
        <f t="shared" ca="1" si="203"/>
        <v>-1.2519500534057282</v>
      </c>
      <c r="C922" s="69">
        <f t="shared" ca="1" si="215"/>
        <v>-0.23832338137823694</v>
      </c>
      <c r="D922" s="69">
        <f t="shared" ca="1" si="215"/>
        <v>0.61385508043262915</v>
      </c>
      <c r="E922" s="69">
        <f t="shared" ca="1" si="215"/>
        <v>0.21494046534431324</v>
      </c>
      <c r="F922" s="69">
        <f t="shared" ca="1" si="215"/>
        <v>0.76165799572317072</v>
      </c>
      <c r="G922" s="69">
        <f t="shared" ca="1" si="215"/>
        <v>0.50191557252005359</v>
      </c>
      <c r="H922" s="69">
        <f t="shared" ca="1" si="215"/>
        <v>-1.5763877932939057</v>
      </c>
      <c r="I922" s="69">
        <f t="shared" ca="1" si="215"/>
        <v>-0.1050841239194298</v>
      </c>
      <c r="J922" s="69">
        <f t="shared" ca="1" si="215"/>
        <v>-1.0640126538676933</v>
      </c>
      <c r="K922" s="69">
        <f t="shared" ca="1" si="215"/>
        <v>0.2703703152428471</v>
      </c>
      <c r="L922" s="69">
        <f t="shared" ca="1" si="215"/>
        <v>0.17257588968620793</v>
      </c>
      <c r="N922" s="69">
        <f t="shared" ca="1" si="204"/>
        <v>-1.2141820095676195</v>
      </c>
      <c r="O922" s="69">
        <f t="shared" ca="1" si="205"/>
        <v>-0.26481694446112364</v>
      </c>
      <c r="P922" s="69">
        <f t="shared" ca="1" si="206"/>
        <v>0.55611301559553916</v>
      </c>
      <c r="Q922" s="69">
        <f t="shared" ca="1" si="207"/>
        <v>0.26404914420607217</v>
      </c>
      <c r="R922" s="69">
        <f t="shared" ca="1" si="208"/>
        <v>0.75536331031552184</v>
      </c>
      <c r="S922" s="69">
        <f t="shared" ca="1" si="209"/>
        <v>0.53474254477686212</v>
      </c>
      <c r="T922" s="69">
        <f t="shared" ca="1" si="210"/>
        <v>-1.5812188310090955</v>
      </c>
      <c r="U922" s="69">
        <f t="shared" ca="1" si="211"/>
        <v>-8.2043997041720135E-2</v>
      </c>
      <c r="V922" s="69">
        <f t="shared" ca="1" si="212"/>
        <v>-1.0701222474412906</v>
      </c>
      <c r="W922" s="69">
        <f t="shared" ca="1" si="213"/>
        <v>0.27135167206694605</v>
      </c>
      <c r="X922" s="69">
        <f t="shared" ca="1" si="214"/>
        <v>0.19974438006064341</v>
      </c>
    </row>
    <row r="923" spans="2:24" x14ac:dyDescent="0.2">
      <c r="B923" s="69">
        <f t="shared" ca="1" si="203"/>
        <v>0.16273830076771448</v>
      </c>
      <c r="C923" s="69">
        <f t="shared" ca="1" si="215"/>
        <v>1.3599580848074162</v>
      </c>
      <c r="D923" s="69">
        <f t="shared" ca="1" si="215"/>
        <v>0.69427644706627245</v>
      </c>
      <c r="E923" s="69">
        <f t="shared" ca="1" si="215"/>
        <v>0.22747760236818437</v>
      </c>
      <c r="F923" s="69">
        <f t="shared" ca="1" si="215"/>
        <v>1.7822854777786168</v>
      </c>
      <c r="G923" s="69">
        <f t="shared" ca="1" si="215"/>
        <v>-2.2068033722040734E-2</v>
      </c>
      <c r="H923" s="69">
        <f t="shared" ca="1" si="215"/>
        <v>7.5339548552361288E-2</v>
      </c>
      <c r="I923" s="69">
        <f t="shared" ca="1" si="215"/>
        <v>0.30234721320281172</v>
      </c>
      <c r="J923" s="69">
        <f t="shared" ca="1" si="215"/>
        <v>1.2346184147046562</v>
      </c>
      <c r="K923" s="69">
        <f t="shared" ca="1" si="215"/>
        <v>-0.72774510729905106</v>
      </c>
      <c r="L923" s="69">
        <f t="shared" ca="1" si="215"/>
        <v>1.6508798499379362</v>
      </c>
      <c r="N923" s="69">
        <f t="shared" ca="1" si="204"/>
        <v>0.20050634460582328</v>
      </c>
      <c r="O923" s="69">
        <f t="shared" ca="1" si="205"/>
        <v>1.3334645217245296</v>
      </c>
      <c r="P923" s="69">
        <f t="shared" ca="1" si="206"/>
        <v>0.63653438222918246</v>
      </c>
      <c r="Q923" s="69">
        <f t="shared" ca="1" si="207"/>
        <v>0.27658628122994333</v>
      </c>
      <c r="R923" s="69">
        <f t="shared" ca="1" si="208"/>
        <v>1.7759907923709679</v>
      </c>
      <c r="S923" s="69">
        <f t="shared" ca="1" si="209"/>
        <v>1.0758938534767747E-2</v>
      </c>
      <c r="T923" s="69">
        <f t="shared" ca="1" si="210"/>
        <v>7.050851083717144E-2</v>
      </c>
      <c r="U923" s="69">
        <f t="shared" ca="1" si="211"/>
        <v>0.32538734008052139</v>
      </c>
      <c r="V923" s="69">
        <f t="shared" ca="1" si="212"/>
        <v>1.2285088211310589</v>
      </c>
      <c r="W923" s="69">
        <f t="shared" ca="1" si="213"/>
        <v>-0.72676375047495212</v>
      </c>
      <c r="X923" s="69">
        <f t="shared" ca="1" si="214"/>
        <v>1.6780483403123718</v>
      </c>
    </row>
    <row r="924" spans="2:24" x14ac:dyDescent="0.2">
      <c r="B924" s="69">
        <f t="shared" ca="1" si="203"/>
        <v>0.25670645126066866</v>
      </c>
      <c r="C924" s="69">
        <f t="shared" ca="1" si="215"/>
        <v>0.5391114821664551</v>
      </c>
      <c r="D924" s="69">
        <f t="shared" ca="1" si="215"/>
        <v>-0.36240922379333673</v>
      </c>
      <c r="E924" s="69">
        <f t="shared" ca="1" si="215"/>
        <v>-0.77411268145873169</v>
      </c>
      <c r="F924" s="69">
        <f t="shared" ca="1" si="215"/>
        <v>9.0883120491998207E-3</v>
      </c>
      <c r="G924" s="69">
        <f t="shared" ca="1" si="215"/>
        <v>-0.14944899846306245</v>
      </c>
      <c r="H924" s="69">
        <f t="shared" ca="1" si="215"/>
        <v>0.34650529300576849</v>
      </c>
      <c r="I924" s="69">
        <f t="shared" ca="1" si="215"/>
        <v>-0.21773344017553184</v>
      </c>
      <c r="J924" s="69">
        <f t="shared" ca="1" si="215"/>
        <v>-0.44875403587368728</v>
      </c>
      <c r="K924" s="69">
        <f t="shared" ca="1" si="215"/>
        <v>1.5365129192774771</v>
      </c>
      <c r="L924" s="69">
        <f t="shared" ca="1" si="215"/>
        <v>-0.49259264556965049</v>
      </c>
      <c r="N924" s="69">
        <f t="shared" ca="1" si="204"/>
        <v>0.29447449509877749</v>
      </c>
      <c r="O924" s="69">
        <f t="shared" ca="1" si="205"/>
        <v>0.51261791908356846</v>
      </c>
      <c r="P924" s="69">
        <f t="shared" ca="1" si="206"/>
        <v>-0.42015128863042678</v>
      </c>
      <c r="Q924" s="69">
        <f t="shared" ca="1" si="207"/>
        <v>-0.72500400259697273</v>
      </c>
      <c r="R924" s="69">
        <f t="shared" ca="1" si="208"/>
        <v>2.7936266415509248E-3</v>
      </c>
      <c r="S924" s="69">
        <f t="shared" ca="1" si="209"/>
        <v>-0.11662202620625398</v>
      </c>
      <c r="T924" s="69">
        <f t="shared" ca="1" si="210"/>
        <v>0.34167425529057865</v>
      </c>
      <c r="U924" s="69">
        <f t="shared" ca="1" si="211"/>
        <v>-0.19469331329782219</v>
      </c>
      <c r="V924" s="69">
        <f t="shared" ca="1" si="212"/>
        <v>-0.45486362944728459</v>
      </c>
      <c r="W924" s="69">
        <f t="shared" ca="1" si="213"/>
        <v>1.5374942761015762</v>
      </c>
      <c r="X924" s="69">
        <f t="shared" ca="1" si="214"/>
        <v>-0.46542415519521502</v>
      </c>
    </row>
    <row r="925" spans="2:24" x14ac:dyDescent="0.2">
      <c r="B925" s="69">
        <f t="shared" ca="1" si="203"/>
        <v>-1.6559681680149774</v>
      </c>
      <c r="C925" s="69">
        <f t="shared" ca="1" si="215"/>
        <v>1.0134912270180418</v>
      </c>
      <c r="D925" s="69">
        <f t="shared" ca="1" si="215"/>
        <v>-0.33363861452946036</v>
      </c>
      <c r="E925" s="69">
        <f t="shared" ca="1" si="215"/>
        <v>1.00651956910771</v>
      </c>
      <c r="F925" s="69">
        <f t="shared" ca="1" si="215"/>
        <v>0.26650988194171715</v>
      </c>
      <c r="G925" s="69">
        <f t="shared" ca="1" si="215"/>
        <v>-0.94716381467077015</v>
      </c>
      <c r="H925" s="69">
        <f t="shared" ca="1" si="215"/>
        <v>8.4085266906960707E-2</v>
      </c>
      <c r="I925" s="69">
        <f t="shared" ca="1" si="215"/>
        <v>0.60740050171094029</v>
      </c>
      <c r="J925" s="69">
        <f t="shared" ca="1" si="215"/>
        <v>1.5673429641114891</v>
      </c>
      <c r="K925" s="69">
        <f t="shared" ca="1" si="215"/>
        <v>-0.29210970676754688</v>
      </c>
      <c r="L925" s="69">
        <f t="shared" ca="1" si="215"/>
        <v>-1.0493879549667038</v>
      </c>
      <c r="N925" s="69">
        <f t="shared" ca="1" si="204"/>
        <v>-1.6182001241768686</v>
      </c>
      <c r="O925" s="69">
        <f t="shared" ca="1" si="205"/>
        <v>0.9869976639351552</v>
      </c>
      <c r="P925" s="69">
        <f t="shared" ca="1" si="206"/>
        <v>-0.39138067936655041</v>
      </c>
      <c r="Q925" s="69">
        <f t="shared" ca="1" si="207"/>
        <v>1.055628247969469</v>
      </c>
      <c r="R925" s="69">
        <f t="shared" ca="1" si="208"/>
        <v>0.26021519653406827</v>
      </c>
      <c r="S925" s="69">
        <f t="shared" ca="1" si="209"/>
        <v>-0.91433684241396163</v>
      </c>
      <c r="T925" s="69">
        <f t="shared" ca="1" si="210"/>
        <v>7.9254229191770859E-2</v>
      </c>
      <c r="U925" s="69">
        <f t="shared" ca="1" si="211"/>
        <v>0.63044062858864991</v>
      </c>
      <c r="V925" s="69">
        <f t="shared" ca="1" si="212"/>
        <v>1.5612333705378918</v>
      </c>
      <c r="W925" s="69">
        <f t="shared" ca="1" si="213"/>
        <v>-0.29112834994344794</v>
      </c>
      <c r="X925" s="69">
        <f t="shared" ca="1" si="214"/>
        <v>-1.0222194645922682</v>
      </c>
    </row>
    <row r="926" spans="2:24" x14ac:dyDescent="0.2">
      <c r="B926" s="69">
        <f t="shared" ca="1" si="203"/>
        <v>1.5631479071325407</v>
      </c>
      <c r="C926" s="69">
        <f t="shared" ca="1" si="215"/>
        <v>0.7792871782710441</v>
      </c>
      <c r="D926" s="69">
        <f t="shared" ca="1" si="215"/>
        <v>0.24990057155725243</v>
      </c>
      <c r="E926" s="69">
        <f t="shared" ca="1" si="215"/>
        <v>-0.63181865804015591</v>
      </c>
      <c r="F926" s="69">
        <f t="shared" ca="1" si="215"/>
        <v>-1.1326271146054681</v>
      </c>
      <c r="G926" s="69">
        <f t="shared" ca="1" si="215"/>
        <v>0.51476958440868559</v>
      </c>
      <c r="H926" s="69">
        <f t="shared" ca="1" si="215"/>
        <v>-1.1394674818966468</v>
      </c>
      <c r="I926" s="69">
        <f t="shared" ca="1" si="215"/>
        <v>-7.4536029275162841E-2</v>
      </c>
      <c r="J926" s="69">
        <f t="shared" ca="1" si="215"/>
        <v>-0.34323969949845684</v>
      </c>
      <c r="K926" s="69">
        <f t="shared" ca="1" si="215"/>
        <v>-1.0473569219239971</v>
      </c>
      <c r="L926" s="69">
        <f t="shared" ca="1" si="215"/>
        <v>1.5377167100391385</v>
      </c>
      <c r="N926" s="69">
        <f t="shared" ca="1" si="204"/>
        <v>1.6009159509706494</v>
      </c>
      <c r="O926" s="69">
        <f t="shared" ca="1" si="205"/>
        <v>0.75279361518815746</v>
      </c>
      <c r="P926" s="69">
        <f t="shared" ca="1" si="206"/>
        <v>0.19215850672016238</v>
      </c>
      <c r="Q926" s="69">
        <f t="shared" ca="1" si="207"/>
        <v>-0.58270997917839695</v>
      </c>
      <c r="R926" s="69">
        <f t="shared" ca="1" si="208"/>
        <v>-1.1389218000131169</v>
      </c>
      <c r="S926" s="69">
        <f t="shared" ca="1" si="209"/>
        <v>0.54759655666549412</v>
      </c>
      <c r="T926" s="69">
        <f t="shared" ca="1" si="210"/>
        <v>-1.1442985196118367</v>
      </c>
      <c r="U926" s="69">
        <f t="shared" ca="1" si="211"/>
        <v>-5.1495902397453185E-2</v>
      </c>
      <c r="V926" s="69">
        <f t="shared" ca="1" si="212"/>
        <v>-0.34934929307205415</v>
      </c>
      <c r="W926" s="69">
        <f t="shared" ca="1" si="213"/>
        <v>-1.046375565099898</v>
      </c>
      <c r="X926" s="69">
        <f t="shared" ca="1" si="214"/>
        <v>1.564885200413574</v>
      </c>
    </row>
    <row r="927" spans="2:24" x14ac:dyDescent="0.2">
      <c r="B927" s="69">
        <f t="shared" ca="1" si="203"/>
        <v>1.738167777694597</v>
      </c>
      <c r="C927" s="69">
        <f t="shared" ca="1" si="215"/>
        <v>0.35782146088211003</v>
      </c>
      <c r="D927" s="69">
        <f t="shared" ca="1" si="215"/>
        <v>0.63874037269827988</v>
      </c>
      <c r="E927" s="69">
        <f t="shared" ca="1" si="215"/>
        <v>-0.76679055422664233</v>
      </c>
      <c r="F927" s="69">
        <f t="shared" ca="1" si="215"/>
        <v>-0.2496731792136338</v>
      </c>
      <c r="G927" s="69">
        <f t="shared" ca="1" si="215"/>
        <v>0.49730172576970255</v>
      </c>
      <c r="H927" s="69">
        <f t="shared" ca="1" si="215"/>
        <v>2.6592257778757542</v>
      </c>
      <c r="I927" s="69">
        <f t="shared" ca="1" si="215"/>
        <v>-0.16943494969057446</v>
      </c>
      <c r="J927" s="69">
        <f t="shared" ca="1" si="215"/>
        <v>-1.0769965042620762</v>
      </c>
      <c r="K927" s="69">
        <f t="shared" ca="1" si="215"/>
        <v>0.72398643685331088</v>
      </c>
      <c r="L927" s="69">
        <f t="shared" ca="1" si="215"/>
        <v>0.44261143739526349</v>
      </c>
      <c r="N927" s="69">
        <f t="shared" ca="1" si="204"/>
        <v>1.7759358215327057</v>
      </c>
      <c r="O927" s="69">
        <f t="shared" ca="1" si="205"/>
        <v>0.33132789779922334</v>
      </c>
      <c r="P927" s="69">
        <f t="shared" ca="1" si="206"/>
        <v>0.58099830786118989</v>
      </c>
      <c r="Q927" s="69">
        <f t="shared" ca="1" si="207"/>
        <v>-0.71768187536488337</v>
      </c>
      <c r="R927" s="69">
        <f t="shared" ca="1" si="208"/>
        <v>-0.25596786462128268</v>
      </c>
      <c r="S927" s="69">
        <f t="shared" ca="1" si="209"/>
        <v>0.53012869802651108</v>
      </c>
      <c r="T927" s="69">
        <f t="shared" ca="1" si="210"/>
        <v>2.6543947401605643</v>
      </c>
      <c r="U927" s="69">
        <f t="shared" ca="1" si="211"/>
        <v>-0.14639482281286481</v>
      </c>
      <c r="V927" s="69">
        <f t="shared" ca="1" si="212"/>
        <v>-1.0831060978356735</v>
      </c>
      <c r="W927" s="69">
        <f t="shared" ca="1" si="213"/>
        <v>0.72496779367740982</v>
      </c>
      <c r="X927" s="69">
        <f t="shared" ca="1" si="214"/>
        <v>0.46977992776969896</v>
      </c>
    </row>
    <row r="928" spans="2:24" x14ac:dyDescent="0.2">
      <c r="B928" s="69">
        <f t="shared" ca="1" si="203"/>
        <v>2.4412918872204259E-2</v>
      </c>
      <c r="C928" s="69">
        <f t="shared" ca="1" si="215"/>
        <v>2.0693768856940298</v>
      </c>
      <c r="D928" s="69">
        <f t="shared" ca="1" si="215"/>
        <v>-1.7976962277443558</v>
      </c>
      <c r="E928" s="69">
        <f t="shared" ca="1" si="215"/>
        <v>-0.29999958118841813</v>
      </c>
      <c r="F928" s="69">
        <f t="shared" ca="1" si="215"/>
        <v>1.2783331881462512</v>
      </c>
      <c r="G928" s="69">
        <f t="shared" ca="1" si="215"/>
        <v>0.43764648865545758</v>
      </c>
      <c r="H928" s="69">
        <f t="shared" ca="1" si="215"/>
        <v>0.96326061923033179</v>
      </c>
      <c r="I928" s="69">
        <f t="shared" ca="1" si="215"/>
        <v>0.18589553856675914</v>
      </c>
      <c r="J928" s="69">
        <f t="shared" ca="1" si="215"/>
        <v>-0.673440563893137</v>
      </c>
      <c r="K928" s="69">
        <f t="shared" ca="1" si="215"/>
        <v>1.0599786379684049</v>
      </c>
      <c r="L928" s="69">
        <f t="shared" ca="1" si="215"/>
        <v>-2.0816737630290869</v>
      </c>
      <c r="N928" s="69">
        <f t="shared" ca="1" si="204"/>
        <v>6.2180962710313079E-2</v>
      </c>
      <c r="O928" s="69">
        <f t="shared" ca="1" si="205"/>
        <v>2.0428833226111429</v>
      </c>
      <c r="P928" s="69">
        <f t="shared" ca="1" si="206"/>
        <v>-1.8554382925814459</v>
      </c>
      <c r="Q928" s="69">
        <f t="shared" ca="1" si="207"/>
        <v>-0.25089090232665917</v>
      </c>
      <c r="R928" s="69">
        <f t="shared" ca="1" si="208"/>
        <v>1.2720385027386023</v>
      </c>
      <c r="S928" s="69">
        <f t="shared" ca="1" si="209"/>
        <v>0.47047346091226605</v>
      </c>
      <c r="T928" s="69">
        <f t="shared" ca="1" si="210"/>
        <v>0.9584295815151419</v>
      </c>
      <c r="U928" s="69">
        <f t="shared" ca="1" si="211"/>
        <v>0.20893566544446879</v>
      </c>
      <c r="V928" s="69">
        <f t="shared" ca="1" si="212"/>
        <v>-0.67955015746673431</v>
      </c>
      <c r="W928" s="69">
        <f t="shared" ca="1" si="213"/>
        <v>1.0609599947925039</v>
      </c>
      <c r="X928" s="69">
        <f t="shared" ca="1" si="214"/>
        <v>-2.0545052726546515</v>
      </c>
    </row>
    <row r="929" spans="2:24" x14ac:dyDescent="0.2">
      <c r="B929" s="69">
        <f t="shared" ca="1" si="203"/>
        <v>-1.0169163855199583</v>
      </c>
      <c r="C929" s="69">
        <f t="shared" ca="1" si="215"/>
        <v>-1.1358724605435062</v>
      </c>
      <c r="D929" s="69">
        <f t="shared" ca="1" si="215"/>
        <v>-0.20351482262040441</v>
      </c>
      <c r="E929" s="69">
        <f t="shared" ca="1" si="215"/>
        <v>0.31735146847356582</v>
      </c>
      <c r="F929" s="69">
        <f t="shared" ca="1" si="215"/>
        <v>-1.8628802723205942</v>
      </c>
      <c r="G929" s="69">
        <f t="shared" ca="1" si="215"/>
        <v>0.12269484382822489</v>
      </c>
      <c r="H929" s="69">
        <f t="shared" ca="1" si="215"/>
        <v>-0.53955239764214047</v>
      </c>
      <c r="I929" s="69">
        <f t="shared" ca="1" si="215"/>
        <v>-0.92892295091507449</v>
      </c>
      <c r="J929" s="69">
        <f t="shared" ca="1" si="215"/>
        <v>-1.1799368329277453</v>
      </c>
      <c r="K929" s="69">
        <f t="shared" ca="1" si="215"/>
        <v>-0.36803405364689651</v>
      </c>
      <c r="L929" s="69">
        <f t="shared" ca="1" si="215"/>
        <v>2.4139485205447255</v>
      </c>
      <c r="N929" s="69">
        <f t="shared" ca="1" si="204"/>
        <v>-0.9791483416818495</v>
      </c>
      <c r="O929" s="69">
        <f t="shared" ca="1" si="205"/>
        <v>-1.1623660236263929</v>
      </c>
      <c r="P929" s="69">
        <f t="shared" ca="1" si="206"/>
        <v>-0.26125688745749442</v>
      </c>
      <c r="Q929" s="69">
        <f t="shared" ca="1" si="207"/>
        <v>0.36646014733532478</v>
      </c>
      <c r="R929" s="69">
        <f t="shared" ca="1" si="208"/>
        <v>-1.869174957728243</v>
      </c>
      <c r="S929" s="69">
        <f t="shared" ca="1" si="209"/>
        <v>0.15552181608503338</v>
      </c>
      <c r="T929" s="69">
        <f t="shared" ca="1" si="210"/>
        <v>-0.54438343535733036</v>
      </c>
      <c r="U929" s="69">
        <f t="shared" ca="1" si="211"/>
        <v>-0.90588282403736486</v>
      </c>
      <c r="V929" s="69">
        <f t="shared" ca="1" si="212"/>
        <v>-1.1860464265013426</v>
      </c>
      <c r="W929" s="69">
        <f t="shared" ca="1" si="213"/>
        <v>-0.36705269682279756</v>
      </c>
      <c r="X929" s="69">
        <f t="shared" ca="1" si="214"/>
        <v>2.4411170109191609</v>
      </c>
    </row>
    <row r="930" spans="2:24" x14ac:dyDescent="0.2">
      <c r="B930" s="69">
        <f t="shared" ca="1" si="203"/>
        <v>-0.23939622126737881</v>
      </c>
      <c r="C930" s="69">
        <f t="shared" ca="1" si="215"/>
        <v>-1.5849298747161306E-2</v>
      </c>
      <c r="D930" s="69">
        <f t="shared" ca="1" si="215"/>
        <v>-0.79969227285239397</v>
      </c>
      <c r="E930" s="69">
        <f t="shared" ca="1" si="215"/>
        <v>0.5139858051086641</v>
      </c>
      <c r="F930" s="69">
        <f t="shared" ca="1" si="215"/>
        <v>-1.2614820712473955</v>
      </c>
      <c r="G930" s="69">
        <f t="shared" ca="1" si="215"/>
        <v>1.1313552912016589</v>
      </c>
      <c r="H930" s="69">
        <f t="shared" ca="1" si="215"/>
        <v>-0.45381708030302625</v>
      </c>
      <c r="I930" s="69">
        <f t="shared" ca="1" si="215"/>
        <v>-0.52545083704847284</v>
      </c>
      <c r="J930" s="69">
        <f t="shared" ca="1" si="215"/>
        <v>-1.0114699129992235</v>
      </c>
      <c r="K930" s="69">
        <f t="shared" ca="1" si="215"/>
        <v>-0.3039919382014451</v>
      </c>
      <c r="L930" s="69">
        <f t="shared" ca="1" si="215"/>
        <v>-0.97579489308031919</v>
      </c>
      <c r="N930" s="69">
        <f t="shared" ca="1" si="204"/>
        <v>-0.20162817742926997</v>
      </c>
      <c r="O930" s="69">
        <f t="shared" ca="1" si="205"/>
        <v>-4.2342861830047991E-2</v>
      </c>
      <c r="P930" s="69">
        <f t="shared" ca="1" si="206"/>
        <v>-0.85743433768948396</v>
      </c>
      <c r="Q930" s="69">
        <f t="shared" ca="1" si="207"/>
        <v>0.56309448397042305</v>
      </c>
      <c r="R930" s="69">
        <f t="shared" ca="1" si="208"/>
        <v>-1.2677767566550444</v>
      </c>
      <c r="S930" s="69">
        <f t="shared" ca="1" si="209"/>
        <v>1.1641822634584673</v>
      </c>
      <c r="T930" s="69">
        <f t="shared" ca="1" si="210"/>
        <v>-0.45864811801821609</v>
      </c>
      <c r="U930" s="69">
        <f t="shared" ca="1" si="211"/>
        <v>-0.50241071017076322</v>
      </c>
      <c r="V930" s="69">
        <f t="shared" ca="1" si="212"/>
        <v>-1.0175795065728208</v>
      </c>
      <c r="W930" s="69">
        <f t="shared" ca="1" si="213"/>
        <v>-0.30301058137734616</v>
      </c>
      <c r="X930" s="69">
        <f t="shared" ca="1" si="214"/>
        <v>-0.94862640270588372</v>
      </c>
    </row>
    <row r="931" spans="2:24" x14ac:dyDescent="0.2">
      <c r="B931" s="69">
        <f t="shared" ca="1" si="203"/>
        <v>-8.4057501983825014E-2</v>
      </c>
      <c r="C931" s="69">
        <f t="shared" ca="1" si="215"/>
        <v>1.5280672328113705</v>
      </c>
      <c r="D931" s="69">
        <f t="shared" ca="1" si="215"/>
        <v>-0.98041156133081597</v>
      </c>
      <c r="E931" s="69">
        <f t="shared" ca="1" si="215"/>
        <v>-3.814695465686252E-2</v>
      </c>
      <c r="F931" s="69">
        <f t="shared" ca="1" si="215"/>
        <v>1.1622754986280415</v>
      </c>
      <c r="G931" s="69">
        <f t="shared" ca="1" si="215"/>
        <v>-0.43287145135406979</v>
      </c>
      <c r="H931" s="69">
        <f t="shared" ca="1" si="215"/>
        <v>0.51853038305667465</v>
      </c>
      <c r="I931" s="69">
        <f t="shared" ca="1" si="215"/>
        <v>-5.2723403954476361E-2</v>
      </c>
      <c r="J931" s="69">
        <f t="shared" ca="1" si="215"/>
        <v>0.5857753080766972</v>
      </c>
      <c r="K931" s="69">
        <f t="shared" ca="1" si="215"/>
        <v>0.40174378084862039</v>
      </c>
      <c r="L931" s="69">
        <f t="shared" ca="1" si="215"/>
        <v>-1.7590446118580738</v>
      </c>
      <c r="N931" s="69">
        <f t="shared" ca="1" si="204"/>
        <v>-4.6289458145716195E-2</v>
      </c>
      <c r="O931" s="69">
        <f t="shared" ca="1" si="205"/>
        <v>1.5015736697284838</v>
      </c>
      <c r="P931" s="69">
        <f t="shared" ca="1" si="206"/>
        <v>-1.0381536261679061</v>
      </c>
      <c r="Q931" s="69">
        <f t="shared" ca="1" si="207"/>
        <v>1.0961724204896425E-2</v>
      </c>
      <c r="R931" s="69">
        <f t="shared" ca="1" si="208"/>
        <v>1.1559808132203926</v>
      </c>
      <c r="S931" s="69">
        <f t="shared" ca="1" si="209"/>
        <v>-0.40004447909726132</v>
      </c>
      <c r="T931" s="69">
        <f t="shared" ca="1" si="210"/>
        <v>0.51369934534148476</v>
      </c>
      <c r="U931" s="69">
        <f t="shared" ca="1" si="211"/>
        <v>-2.9683277076766705E-2</v>
      </c>
      <c r="V931" s="69">
        <f t="shared" ca="1" si="212"/>
        <v>0.57966571450309989</v>
      </c>
      <c r="W931" s="69">
        <f t="shared" ca="1" si="213"/>
        <v>0.40272513767271934</v>
      </c>
      <c r="X931" s="69">
        <f t="shared" ca="1" si="214"/>
        <v>-1.7318761214836382</v>
      </c>
    </row>
    <row r="932" spans="2:24" x14ac:dyDescent="0.2">
      <c r="B932" s="69">
        <f t="shared" ca="1" si="203"/>
        <v>1.1972559676112184</v>
      </c>
      <c r="C932" s="69">
        <f t="shared" ca="1" si="215"/>
        <v>0.68210886565304318</v>
      </c>
      <c r="D932" s="69">
        <f t="shared" ca="1" si="215"/>
        <v>0.34136524124594458</v>
      </c>
      <c r="E932" s="69">
        <f t="shared" ca="1" si="215"/>
        <v>-0.42860483645320108</v>
      </c>
      <c r="F932" s="69">
        <f t="shared" ca="1" si="215"/>
        <v>1.061185484290639</v>
      </c>
      <c r="G932" s="69">
        <f t="shared" ca="1" si="215"/>
        <v>1.2587133609870385</v>
      </c>
      <c r="H932" s="69">
        <f t="shared" ca="1" si="215"/>
        <v>1.3438234946370775</v>
      </c>
      <c r="I932" s="69">
        <f t="shared" ca="1" si="215"/>
        <v>-0.81691514459391557</v>
      </c>
      <c r="J932" s="69">
        <f t="shared" ca="1" si="215"/>
        <v>-0.44546371621733449</v>
      </c>
      <c r="K932" s="69">
        <f t="shared" ca="1" si="215"/>
        <v>1.2482613246073353</v>
      </c>
      <c r="L932" s="69">
        <f t="shared" ca="1" si="215"/>
        <v>0.18227738504575045</v>
      </c>
      <c r="N932" s="69">
        <f t="shared" ca="1" si="204"/>
        <v>1.2350240114493272</v>
      </c>
      <c r="O932" s="69">
        <f t="shared" ca="1" si="205"/>
        <v>0.65561530257015654</v>
      </c>
      <c r="P932" s="69">
        <f t="shared" ca="1" si="206"/>
        <v>0.28362317640885454</v>
      </c>
      <c r="Q932" s="69">
        <f t="shared" ca="1" si="207"/>
        <v>-0.37949615759144212</v>
      </c>
      <c r="R932" s="69">
        <f t="shared" ca="1" si="208"/>
        <v>1.0548907988829901</v>
      </c>
      <c r="S932" s="69">
        <f t="shared" ca="1" si="209"/>
        <v>1.2915403332438469</v>
      </c>
      <c r="T932" s="69">
        <f t="shared" ca="1" si="210"/>
        <v>1.3389924569218876</v>
      </c>
      <c r="U932" s="69">
        <f t="shared" ca="1" si="211"/>
        <v>-0.79387501771620594</v>
      </c>
      <c r="V932" s="69">
        <f t="shared" ca="1" si="212"/>
        <v>-0.4515733097909318</v>
      </c>
      <c r="W932" s="69">
        <f t="shared" ca="1" si="213"/>
        <v>1.2492426814314344</v>
      </c>
      <c r="X932" s="69">
        <f t="shared" ca="1" si="214"/>
        <v>0.20944587542018592</v>
      </c>
    </row>
    <row r="933" spans="2:24" x14ac:dyDescent="0.2">
      <c r="B933" s="69">
        <f t="shared" ca="1" si="203"/>
        <v>0.41717085456375674</v>
      </c>
      <c r="C933" s="69">
        <f t="shared" ca="1" si="215"/>
        <v>0.19493977339592247</v>
      </c>
      <c r="D933" s="69">
        <f t="shared" ca="1" si="215"/>
        <v>-0.97002762739473081</v>
      </c>
      <c r="E933" s="69">
        <f t="shared" ca="1" si="215"/>
        <v>6.7280514869429334E-2</v>
      </c>
      <c r="F933" s="69">
        <f t="shared" ca="1" si="215"/>
        <v>0.60188977439299829</v>
      </c>
      <c r="G933" s="69">
        <f t="shared" ca="1" si="215"/>
        <v>1.8808415742602116</v>
      </c>
      <c r="H933" s="69">
        <f t="shared" ca="1" si="215"/>
        <v>1.652450047605573</v>
      </c>
      <c r="I933" s="69">
        <f t="shared" ca="1" si="215"/>
        <v>1.102119524446765</v>
      </c>
      <c r="J933" s="69">
        <f t="shared" ca="1" si="215"/>
        <v>-1.303894941579411</v>
      </c>
      <c r="K933" s="69">
        <f t="shared" ca="1" si="215"/>
        <v>-0.15675864168320638</v>
      </c>
      <c r="L933" s="69">
        <f t="shared" ca="1" si="215"/>
        <v>0.70829299611909524</v>
      </c>
      <c r="N933" s="69">
        <f t="shared" ca="1" si="204"/>
        <v>0.45493889840186558</v>
      </c>
      <c r="O933" s="69">
        <f t="shared" ca="1" si="205"/>
        <v>0.16844621031303578</v>
      </c>
      <c r="P933" s="69">
        <f t="shared" ca="1" si="206"/>
        <v>-1.0277696922318209</v>
      </c>
      <c r="Q933" s="69">
        <f t="shared" ca="1" si="207"/>
        <v>0.11638919373118828</v>
      </c>
      <c r="R933" s="69">
        <f t="shared" ca="1" si="208"/>
        <v>0.59559508898534941</v>
      </c>
      <c r="S933" s="69">
        <f t="shared" ca="1" si="209"/>
        <v>1.91366854651702</v>
      </c>
      <c r="T933" s="69">
        <f t="shared" ca="1" si="210"/>
        <v>1.6476190098903831</v>
      </c>
      <c r="U933" s="69">
        <f t="shared" ca="1" si="211"/>
        <v>1.1251596513244746</v>
      </c>
      <c r="V933" s="69">
        <f t="shared" ca="1" si="212"/>
        <v>-1.3100045351530083</v>
      </c>
      <c r="W933" s="69">
        <f t="shared" ca="1" si="213"/>
        <v>-0.15577728485910744</v>
      </c>
      <c r="X933" s="69">
        <f t="shared" ca="1" si="214"/>
        <v>0.73546148649353071</v>
      </c>
    </row>
    <row r="934" spans="2:24" x14ac:dyDescent="0.2">
      <c r="B934" s="69">
        <f t="shared" ca="1" si="203"/>
        <v>-1.0812919353493702</v>
      </c>
      <c r="C934" s="69">
        <f t="shared" ca="1" si="215"/>
        <v>-1.1877011643635622</v>
      </c>
      <c r="D934" s="69">
        <f t="shared" ca="1" si="215"/>
        <v>4.2106477237208645E-2</v>
      </c>
      <c r="E934" s="69">
        <f t="shared" ca="1" si="215"/>
        <v>0.51018509160769188</v>
      </c>
      <c r="F934" s="69">
        <f t="shared" ca="1" si="215"/>
        <v>0.44881128500788264</v>
      </c>
      <c r="G934" s="69">
        <f t="shared" ca="1" si="215"/>
        <v>1.125670896252934</v>
      </c>
      <c r="H934" s="69">
        <f t="shared" ca="1" si="215"/>
        <v>0.15587213297182279</v>
      </c>
      <c r="I934" s="69">
        <f t="shared" ca="1" si="215"/>
        <v>-0.85668614807427934</v>
      </c>
      <c r="J934" s="69">
        <f t="shared" ca="1" si="215"/>
        <v>0.14787005351044882</v>
      </c>
      <c r="K934" s="69">
        <f t="shared" ca="1" si="215"/>
        <v>0.3334019520754129</v>
      </c>
      <c r="L934" s="69">
        <f t="shared" ca="1" si="215"/>
        <v>-0.58392154070099223</v>
      </c>
      <c r="N934" s="69">
        <f t="shared" ca="1" si="204"/>
        <v>-1.0435238915112615</v>
      </c>
      <c r="O934" s="69">
        <f t="shared" ca="1" si="205"/>
        <v>-1.2141947274464489</v>
      </c>
      <c r="P934" s="69">
        <f t="shared" ca="1" si="206"/>
        <v>-1.5635587599881387E-2</v>
      </c>
      <c r="Q934" s="69">
        <f t="shared" ca="1" si="207"/>
        <v>0.55929377046945083</v>
      </c>
      <c r="R934" s="69">
        <f t="shared" ca="1" si="208"/>
        <v>0.44251659960023376</v>
      </c>
      <c r="S934" s="69">
        <f t="shared" ca="1" si="209"/>
        <v>1.1584978685097425</v>
      </c>
      <c r="T934" s="69">
        <f t="shared" ca="1" si="210"/>
        <v>0.15104109525663295</v>
      </c>
      <c r="U934" s="69">
        <f t="shared" ca="1" si="211"/>
        <v>-0.83364602119656972</v>
      </c>
      <c r="V934" s="69">
        <f t="shared" ca="1" si="212"/>
        <v>0.14176045993685149</v>
      </c>
      <c r="W934" s="69">
        <f t="shared" ca="1" si="213"/>
        <v>0.33438330889951184</v>
      </c>
      <c r="X934" s="69">
        <f t="shared" ca="1" si="214"/>
        <v>-0.55675305032655675</v>
      </c>
    </row>
    <row r="935" spans="2:24" x14ac:dyDescent="0.2">
      <c r="B935" s="69">
        <f t="shared" ca="1" si="203"/>
        <v>0.14181599649950241</v>
      </c>
      <c r="C935" s="69">
        <f t="shared" ca="1" si="215"/>
        <v>-0.34862379723251968</v>
      </c>
      <c r="D935" s="69">
        <f t="shared" ca="1" si="215"/>
        <v>-1.86629300253353</v>
      </c>
      <c r="E935" s="69">
        <f t="shared" ca="1" si="215"/>
        <v>-0.51057320485519564</v>
      </c>
      <c r="F935" s="69">
        <f t="shared" ca="1" si="215"/>
        <v>0.39377092594712854</v>
      </c>
      <c r="G935" s="69">
        <f t="shared" ca="1" si="215"/>
        <v>1.0447371980227986</v>
      </c>
      <c r="H935" s="69">
        <f t="shared" ca="1" si="215"/>
        <v>0.25939577849012857</v>
      </c>
      <c r="I935" s="69">
        <f t="shared" ca="1" si="215"/>
        <v>0.81762263223063902</v>
      </c>
      <c r="J935" s="69">
        <f t="shared" ca="1" si="215"/>
        <v>-1.0907153379861005</v>
      </c>
      <c r="K935" s="69">
        <f t="shared" ca="1" si="215"/>
        <v>-0.33770058164034811</v>
      </c>
      <c r="L935" s="69">
        <f t="shared" ca="1" si="215"/>
        <v>0.32369127327091546</v>
      </c>
      <c r="N935" s="69">
        <f t="shared" ca="1" si="204"/>
        <v>0.17958404033761122</v>
      </c>
      <c r="O935" s="69">
        <f t="shared" ca="1" si="205"/>
        <v>-0.37511736031540638</v>
      </c>
      <c r="P935" s="69">
        <f t="shared" ca="1" si="206"/>
        <v>-1.9240350673706201</v>
      </c>
      <c r="Q935" s="69">
        <f t="shared" ca="1" si="207"/>
        <v>-0.46146452599343668</v>
      </c>
      <c r="R935" s="69">
        <f t="shared" ca="1" si="208"/>
        <v>0.38747624053947965</v>
      </c>
      <c r="S935" s="69">
        <f t="shared" ca="1" si="209"/>
        <v>1.077564170279607</v>
      </c>
      <c r="T935" s="69">
        <f t="shared" ca="1" si="210"/>
        <v>0.25456474077493874</v>
      </c>
      <c r="U935" s="69">
        <f t="shared" ca="1" si="211"/>
        <v>0.84066275910834865</v>
      </c>
      <c r="V935" s="69">
        <f t="shared" ca="1" si="212"/>
        <v>-1.0968249315596978</v>
      </c>
      <c r="W935" s="69">
        <f t="shared" ca="1" si="213"/>
        <v>-0.33671922481624916</v>
      </c>
      <c r="X935" s="69">
        <f t="shared" ca="1" si="214"/>
        <v>0.35085976364535093</v>
      </c>
    </row>
    <row r="936" spans="2:24" x14ac:dyDescent="0.2">
      <c r="B936" s="69">
        <f t="shared" ca="1" si="203"/>
        <v>-1.1147756013993839</v>
      </c>
      <c r="C936" s="69">
        <f t="shared" ca="1" si="215"/>
        <v>-2.0745982805132326</v>
      </c>
      <c r="D936" s="69">
        <f t="shared" ca="1" si="215"/>
        <v>-0.84527179601467373</v>
      </c>
      <c r="E936" s="69">
        <f t="shared" ca="1" si="215"/>
        <v>1.6630022456851554</v>
      </c>
      <c r="F936" s="69">
        <f t="shared" ca="1" si="215"/>
        <v>-0.13601791281990244</v>
      </c>
      <c r="G936" s="69">
        <f t="shared" ca="1" si="215"/>
        <v>-1.5883548877808107</v>
      </c>
      <c r="H936" s="69">
        <f t="shared" ca="1" si="215"/>
        <v>-0.5217058070323547</v>
      </c>
      <c r="I936" s="69">
        <f t="shared" ref="C936:L999" ca="1" si="216">NORMINV(RAND(),$C$7,$F$7)</f>
        <v>-0.46238694138899489</v>
      </c>
      <c r="J936" s="69">
        <f t="shared" ca="1" si="216"/>
        <v>0.53970113302727718</v>
      </c>
      <c r="K936" s="69">
        <f t="shared" ca="1" si="216"/>
        <v>2.0086519072247215</v>
      </c>
      <c r="L936" s="69">
        <f t="shared" ca="1" si="216"/>
        <v>-0.29875637287756501</v>
      </c>
      <c r="N936" s="69">
        <f t="shared" ca="1" si="204"/>
        <v>-1.0770075575612752</v>
      </c>
      <c r="O936" s="69">
        <f t="shared" ca="1" si="205"/>
        <v>-2.1010918435961194</v>
      </c>
      <c r="P936" s="69">
        <f t="shared" ca="1" si="206"/>
        <v>-0.90301386085176372</v>
      </c>
      <c r="Q936" s="69">
        <f t="shared" ca="1" si="207"/>
        <v>1.7121109245469144</v>
      </c>
      <c r="R936" s="69">
        <f t="shared" ca="1" si="208"/>
        <v>-0.14231259822755135</v>
      </c>
      <c r="S936" s="69">
        <f t="shared" ca="1" si="209"/>
        <v>-1.5555279155240023</v>
      </c>
      <c r="T936" s="69">
        <f t="shared" ca="1" si="210"/>
        <v>-0.52653684474754459</v>
      </c>
      <c r="U936" s="69">
        <f t="shared" ca="1" si="211"/>
        <v>-0.43934681451128521</v>
      </c>
      <c r="V936" s="69">
        <f t="shared" ca="1" si="212"/>
        <v>0.53359153945367988</v>
      </c>
      <c r="W936" s="69">
        <f t="shared" ca="1" si="213"/>
        <v>2.0096332640488206</v>
      </c>
      <c r="X936" s="69">
        <f t="shared" ca="1" si="214"/>
        <v>-0.27158788250312954</v>
      </c>
    </row>
    <row r="937" spans="2:24" x14ac:dyDescent="0.2">
      <c r="B937" s="69">
        <f t="shared" ca="1" si="203"/>
        <v>1.2181762368260776</v>
      </c>
      <c r="C937" s="69">
        <f t="shared" ca="1" si="216"/>
        <v>1.2033410202743116</v>
      </c>
      <c r="D937" s="69">
        <f t="shared" ca="1" si="216"/>
        <v>0.41661644787618651</v>
      </c>
      <c r="E937" s="69">
        <f t="shared" ca="1" si="216"/>
        <v>2.2388087841625754</v>
      </c>
      <c r="F937" s="69">
        <f t="shared" ca="1" si="216"/>
        <v>1.4291270780014755</v>
      </c>
      <c r="G937" s="69">
        <f t="shared" ca="1" si="216"/>
        <v>1.6947140612810327</v>
      </c>
      <c r="H937" s="69">
        <f t="shared" ca="1" si="216"/>
        <v>-2.3336510247366253</v>
      </c>
      <c r="I937" s="69">
        <f t="shared" ca="1" si="216"/>
        <v>-0.53478394233858262</v>
      </c>
      <c r="J937" s="69">
        <f t="shared" ca="1" si="216"/>
        <v>1.4852179075762904</v>
      </c>
      <c r="K937" s="69">
        <f t="shared" ca="1" si="216"/>
        <v>0.89103401979782082</v>
      </c>
      <c r="L937" s="69">
        <f t="shared" ca="1" si="216"/>
        <v>-0.93673777857439988</v>
      </c>
      <c r="N937" s="69">
        <f t="shared" ca="1" si="204"/>
        <v>1.2559442806641863</v>
      </c>
      <c r="O937" s="69">
        <f t="shared" ca="1" si="205"/>
        <v>1.1768474571914249</v>
      </c>
      <c r="P937" s="69">
        <f t="shared" ca="1" si="206"/>
        <v>0.35887438303909647</v>
      </c>
      <c r="Q937" s="69">
        <f t="shared" ca="1" si="207"/>
        <v>2.2879174630243342</v>
      </c>
      <c r="R937" s="69">
        <f t="shared" ca="1" si="208"/>
        <v>1.4228323925938267</v>
      </c>
      <c r="S937" s="69">
        <f t="shared" ca="1" si="209"/>
        <v>1.7275410335378412</v>
      </c>
      <c r="T937" s="69">
        <f t="shared" ca="1" si="210"/>
        <v>-2.3384820624518152</v>
      </c>
      <c r="U937" s="69">
        <f t="shared" ca="1" si="211"/>
        <v>-0.511743815460873</v>
      </c>
      <c r="V937" s="69">
        <f t="shared" ca="1" si="212"/>
        <v>1.479108314002693</v>
      </c>
      <c r="W937" s="69">
        <f t="shared" ca="1" si="213"/>
        <v>0.89201537662191976</v>
      </c>
      <c r="X937" s="69">
        <f t="shared" ca="1" si="214"/>
        <v>-0.90956928819996441</v>
      </c>
    </row>
    <row r="938" spans="2:24" x14ac:dyDescent="0.2">
      <c r="B938" s="69">
        <f t="shared" ca="1" si="203"/>
        <v>5.0363346005026066E-2</v>
      </c>
      <c r="C938" s="69">
        <f t="shared" ca="1" si="216"/>
        <v>-0.44942965504372956</v>
      </c>
      <c r="D938" s="69">
        <f t="shared" ca="1" si="216"/>
        <v>1.1116851294825911</v>
      </c>
      <c r="E938" s="69">
        <f t="shared" ca="1" si="216"/>
        <v>2.3997607442046567</v>
      </c>
      <c r="F938" s="69">
        <f t="shared" ca="1" si="216"/>
        <v>0.44339377203937297</v>
      </c>
      <c r="G938" s="69">
        <f t="shared" ca="1" si="216"/>
        <v>1.1603893743987057</v>
      </c>
      <c r="H938" s="69">
        <f t="shared" ca="1" si="216"/>
        <v>-0.33208633410514771</v>
      </c>
      <c r="I938" s="69">
        <f t="shared" ca="1" si="216"/>
        <v>0.40438033245382249</v>
      </c>
      <c r="J938" s="69">
        <f t="shared" ca="1" si="216"/>
        <v>-0.85192063042864741</v>
      </c>
      <c r="K938" s="69">
        <f t="shared" ca="1" si="216"/>
        <v>2.2003131570547154</v>
      </c>
      <c r="L938" s="69">
        <f t="shared" ca="1" si="216"/>
        <v>-0.97154125136720659</v>
      </c>
      <c r="N938" s="69">
        <f t="shared" ca="1" si="204"/>
        <v>8.8131389843134886E-2</v>
      </c>
      <c r="O938" s="69">
        <f t="shared" ca="1" si="205"/>
        <v>-0.47592321812661625</v>
      </c>
      <c r="P938" s="69">
        <f t="shared" ca="1" si="206"/>
        <v>1.053943064645501</v>
      </c>
      <c r="Q938" s="69">
        <f t="shared" ca="1" si="207"/>
        <v>2.4488694230664154</v>
      </c>
      <c r="R938" s="69">
        <f t="shared" ca="1" si="208"/>
        <v>0.43709908663172409</v>
      </c>
      <c r="S938" s="69">
        <f t="shared" ca="1" si="209"/>
        <v>1.1932163466555141</v>
      </c>
      <c r="T938" s="69">
        <f t="shared" ca="1" si="210"/>
        <v>-0.33691737182033754</v>
      </c>
      <c r="U938" s="69">
        <f t="shared" ca="1" si="211"/>
        <v>0.42742045933153217</v>
      </c>
      <c r="V938" s="69">
        <f t="shared" ca="1" si="212"/>
        <v>-0.85803022400224471</v>
      </c>
      <c r="W938" s="69">
        <f t="shared" ca="1" si="213"/>
        <v>2.2012945138788145</v>
      </c>
      <c r="X938" s="69">
        <f t="shared" ca="1" si="214"/>
        <v>-0.94437276099277112</v>
      </c>
    </row>
    <row r="939" spans="2:24" x14ac:dyDescent="0.2">
      <c r="B939" s="69">
        <f t="shared" ca="1" si="203"/>
        <v>0.4207325157575767</v>
      </c>
      <c r="C939" s="69">
        <f t="shared" ca="1" si="216"/>
        <v>-1.6338255265395754</v>
      </c>
      <c r="D939" s="69">
        <f t="shared" ca="1" si="216"/>
        <v>0.14109837679579937</v>
      </c>
      <c r="E939" s="69">
        <f t="shared" ca="1" si="216"/>
        <v>0.64773437061949102</v>
      </c>
      <c r="F939" s="69">
        <f t="shared" ca="1" si="216"/>
        <v>2.1223341322158649</v>
      </c>
      <c r="G939" s="69">
        <f t="shared" ca="1" si="216"/>
        <v>0.11129590438132572</v>
      </c>
      <c r="H939" s="69">
        <f t="shared" ca="1" si="216"/>
        <v>-0.18079488457526374</v>
      </c>
      <c r="I939" s="69">
        <f t="shared" ca="1" si="216"/>
        <v>0.90212891867451794</v>
      </c>
      <c r="J939" s="69">
        <f t="shared" ca="1" si="216"/>
        <v>-4.889443758122234E-2</v>
      </c>
      <c r="K939" s="69">
        <f t="shared" ca="1" si="216"/>
        <v>0.79361684718640091</v>
      </c>
      <c r="L939" s="69">
        <f t="shared" ca="1" si="216"/>
        <v>0.13965657928012329</v>
      </c>
      <c r="N939" s="69">
        <f t="shared" ca="1" si="204"/>
        <v>0.45850055959568553</v>
      </c>
      <c r="O939" s="69">
        <f t="shared" ca="1" si="205"/>
        <v>-1.660319089622462</v>
      </c>
      <c r="P939" s="69">
        <f t="shared" ca="1" si="206"/>
        <v>8.3356311958709337E-2</v>
      </c>
      <c r="Q939" s="69">
        <f t="shared" ca="1" si="207"/>
        <v>0.69684304948124998</v>
      </c>
      <c r="R939" s="69">
        <f t="shared" ca="1" si="208"/>
        <v>2.116039446808216</v>
      </c>
      <c r="S939" s="69">
        <f t="shared" ca="1" si="209"/>
        <v>0.1441228766381342</v>
      </c>
      <c r="T939" s="69">
        <f t="shared" ca="1" si="210"/>
        <v>-0.18562592229045358</v>
      </c>
      <c r="U939" s="69">
        <f t="shared" ca="1" si="211"/>
        <v>0.92516904555222756</v>
      </c>
      <c r="V939" s="69">
        <f t="shared" ca="1" si="212"/>
        <v>-5.5004031154819673E-2</v>
      </c>
      <c r="W939" s="69">
        <f t="shared" ca="1" si="213"/>
        <v>0.79459820401049985</v>
      </c>
      <c r="X939" s="69">
        <f t="shared" ca="1" si="214"/>
        <v>0.16682506965455876</v>
      </c>
    </row>
    <row r="940" spans="2:24" x14ac:dyDescent="0.2">
      <c r="B940" s="69">
        <f t="shared" ca="1" si="203"/>
        <v>-0.44550556636612254</v>
      </c>
      <c r="C940" s="69">
        <f t="shared" ca="1" si="216"/>
        <v>-0.18179416302843135</v>
      </c>
      <c r="D940" s="69">
        <f t="shared" ca="1" si="216"/>
        <v>0.39720111458929308</v>
      </c>
      <c r="E940" s="69">
        <f t="shared" ca="1" si="216"/>
        <v>-0.94467165314780221</v>
      </c>
      <c r="F940" s="69">
        <f t="shared" ca="1" si="216"/>
        <v>-0.80814736944502819</v>
      </c>
      <c r="G940" s="69">
        <f t="shared" ca="1" si="216"/>
        <v>-1.1840419973043019</v>
      </c>
      <c r="H940" s="69">
        <f t="shared" ca="1" si="216"/>
        <v>1.8058571637752792</v>
      </c>
      <c r="I940" s="69">
        <f t="shared" ca="1" si="216"/>
        <v>-0.70405750225277552</v>
      </c>
      <c r="J940" s="69">
        <f t="shared" ca="1" si="216"/>
        <v>9.8713934498998263E-2</v>
      </c>
      <c r="K940" s="69">
        <f t="shared" ca="1" si="216"/>
        <v>0.88669817228288483</v>
      </c>
      <c r="L940" s="69">
        <f t="shared" ca="1" si="216"/>
        <v>0.73880961914770915</v>
      </c>
      <c r="N940" s="69">
        <f t="shared" ca="1" si="204"/>
        <v>-0.40773752252801371</v>
      </c>
      <c r="O940" s="69">
        <f t="shared" ca="1" si="205"/>
        <v>-0.20828772611131804</v>
      </c>
      <c r="P940" s="69">
        <f t="shared" ca="1" si="206"/>
        <v>0.33945904975220303</v>
      </c>
      <c r="Q940" s="69">
        <f t="shared" ca="1" si="207"/>
        <v>-0.89556297428604326</v>
      </c>
      <c r="R940" s="69">
        <f t="shared" ca="1" si="208"/>
        <v>-0.81444205485267707</v>
      </c>
      <c r="S940" s="69">
        <f t="shared" ca="1" si="209"/>
        <v>-1.1512150250474935</v>
      </c>
      <c r="T940" s="69">
        <f t="shared" ca="1" si="210"/>
        <v>1.8010261260600893</v>
      </c>
      <c r="U940" s="69">
        <f t="shared" ca="1" si="211"/>
        <v>-0.6810173753750659</v>
      </c>
      <c r="V940" s="69">
        <f t="shared" ca="1" si="212"/>
        <v>9.260434092540093E-2</v>
      </c>
      <c r="W940" s="69">
        <f t="shared" ca="1" si="213"/>
        <v>0.88767952910698378</v>
      </c>
      <c r="X940" s="69">
        <f t="shared" ca="1" si="214"/>
        <v>0.76597810952214462</v>
      </c>
    </row>
    <row r="941" spans="2:24" x14ac:dyDescent="0.2">
      <c r="B941" s="69">
        <f t="shared" ca="1" si="203"/>
        <v>0.8093039500579674</v>
      </c>
      <c r="C941" s="69">
        <f t="shared" ca="1" si="216"/>
        <v>0.99474066962594554</v>
      </c>
      <c r="D941" s="69">
        <f t="shared" ca="1" si="216"/>
        <v>0.12985433717089151</v>
      </c>
      <c r="E941" s="69">
        <f t="shared" ca="1" si="216"/>
        <v>1.1643018776045644</v>
      </c>
      <c r="F941" s="69">
        <f t="shared" ca="1" si="216"/>
        <v>0.42739871610290064</v>
      </c>
      <c r="G941" s="69">
        <f t="shared" ca="1" si="216"/>
        <v>-0.11362540723029499</v>
      </c>
      <c r="H941" s="69">
        <f t="shared" ca="1" si="216"/>
        <v>-0.34732532207979511</v>
      </c>
      <c r="I941" s="69">
        <f t="shared" ca="1" si="216"/>
        <v>-0.11613825567213311</v>
      </c>
      <c r="J941" s="69">
        <f t="shared" ca="1" si="216"/>
        <v>0.56244798231523241</v>
      </c>
      <c r="K941" s="69">
        <f t="shared" ca="1" si="216"/>
        <v>-0.6099422300733025</v>
      </c>
      <c r="L941" s="69">
        <f t="shared" ca="1" si="216"/>
        <v>-0.39364659772884303</v>
      </c>
      <c r="N941" s="69">
        <f t="shared" ca="1" si="204"/>
        <v>0.84707199389607624</v>
      </c>
      <c r="O941" s="69">
        <f t="shared" ca="1" si="205"/>
        <v>0.9682471065430589</v>
      </c>
      <c r="P941" s="69">
        <f t="shared" ca="1" si="206"/>
        <v>7.2112272333801478E-2</v>
      </c>
      <c r="Q941" s="69">
        <f t="shared" ca="1" si="207"/>
        <v>1.2134105564663233</v>
      </c>
      <c r="R941" s="69">
        <f t="shared" ca="1" si="208"/>
        <v>0.42110403069525176</v>
      </c>
      <c r="S941" s="69">
        <f t="shared" ca="1" si="209"/>
        <v>-8.0798434973486516E-2</v>
      </c>
      <c r="T941" s="69">
        <f t="shared" ca="1" si="210"/>
        <v>-0.35215635979498494</v>
      </c>
      <c r="U941" s="69">
        <f t="shared" ca="1" si="211"/>
        <v>-9.3098128794423446E-2</v>
      </c>
      <c r="V941" s="69">
        <f t="shared" ca="1" si="212"/>
        <v>0.5563383887416351</v>
      </c>
      <c r="W941" s="69">
        <f t="shared" ca="1" si="213"/>
        <v>-0.60896087324920356</v>
      </c>
      <c r="X941" s="69">
        <f t="shared" ca="1" si="214"/>
        <v>-0.36647810735440756</v>
      </c>
    </row>
    <row r="942" spans="2:24" x14ac:dyDescent="0.2">
      <c r="B942" s="69">
        <f t="shared" ca="1" si="203"/>
        <v>0.34627422287255649</v>
      </c>
      <c r="C942" s="69">
        <f t="shared" ca="1" si="216"/>
        <v>-0.92455688396281077</v>
      </c>
      <c r="D942" s="69">
        <f t="shared" ca="1" si="216"/>
        <v>3.7688019933348492E-2</v>
      </c>
      <c r="E942" s="69">
        <f t="shared" ca="1" si="216"/>
        <v>-0.51993335800790152</v>
      </c>
      <c r="F942" s="69">
        <f t="shared" ca="1" si="216"/>
        <v>0.66422716249408231</v>
      </c>
      <c r="G942" s="69">
        <f t="shared" ca="1" si="216"/>
        <v>-0.87530704160576056</v>
      </c>
      <c r="H942" s="69">
        <f t="shared" ca="1" si="216"/>
        <v>5.2712796347210225E-2</v>
      </c>
      <c r="I942" s="69">
        <f t="shared" ca="1" si="216"/>
        <v>1.4035716785948547</v>
      </c>
      <c r="J942" s="69">
        <f t="shared" ca="1" si="216"/>
        <v>0.89628452521771396</v>
      </c>
      <c r="K942" s="69">
        <f t="shared" ca="1" si="216"/>
        <v>-1.0232169633765349</v>
      </c>
      <c r="L942" s="69">
        <f t="shared" ca="1" si="216"/>
        <v>-0.31980737097127643</v>
      </c>
      <c r="N942" s="69">
        <f t="shared" ca="1" si="204"/>
        <v>0.38404226671066533</v>
      </c>
      <c r="O942" s="69">
        <f t="shared" ca="1" si="205"/>
        <v>-0.95105044704569741</v>
      </c>
      <c r="P942" s="69">
        <f t="shared" ca="1" si="206"/>
        <v>-2.005404490374154E-2</v>
      </c>
      <c r="Q942" s="69">
        <f t="shared" ca="1" si="207"/>
        <v>-0.47082467914614257</v>
      </c>
      <c r="R942" s="69">
        <f t="shared" ca="1" si="208"/>
        <v>0.65793247708643343</v>
      </c>
      <c r="S942" s="69">
        <f t="shared" ca="1" si="209"/>
        <v>-0.84248006934895203</v>
      </c>
      <c r="T942" s="69">
        <f t="shared" ca="1" si="210"/>
        <v>4.7881758632020377E-2</v>
      </c>
      <c r="U942" s="69">
        <f t="shared" ca="1" si="211"/>
        <v>1.4266118054725643</v>
      </c>
      <c r="V942" s="69">
        <f t="shared" ca="1" si="212"/>
        <v>0.89017493164411665</v>
      </c>
      <c r="W942" s="69">
        <f t="shared" ca="1" si="213"/>
        <v>-1.0222356065524358</v>
      </c>
      <c r="X942" s="69">
        <f t="shared" ca="1" si="214"/>
        <v>-0.29263888059684096</v>
      </c>
    </row>
    <row r="943" spans="2:24" x14ac:dyDescent="0.2">
      <c r="B943" s="69">
        <f t="shared" ca="1" si="203"/>
        <v>0.42348038904095647</v>
      </c>
      <c r="C943" s="69">
        <f t="shared" ca="1" si="216"/>
        <v>-1.5635088068994902</v>
      </c>
      <c r="D943" s="69">
        <f t="shared" ca="1" si="216"/>
        <v>-0.30429414027040186</v>
      </c>
      <c r="E943" s="69">
        <f t="shared" ca="1" si="216"/>
        <v>-1.9303418036512654</v>
      </c>
      <c r="F943" s="69">
        <f t="shared" ca="1" si="216"/>
        <v>-0.84456942257763845</v>
      </c>
      <c r="G943" s="69">
        <f t="shared" ca="1" si="216"/>
        <v>-0.1788884071064159</v>
      </c>
      <c r="H943" s="69">
        <f t="shared" ca="1" si="216"/>
        <v>-0.70668911570443682</v>
      </c>
      <c r="I943" s="69">
        <f t="shared" ca="1" si="216"/>
        <v>2.2609302765306278</v>
      </c>
      <c r="J943" s="69">
        <f t="shared" ca="1" si="216"/>
        <v>0.39264216858439349</v>
      </c>
      <c r="K943" s="69">
        <f t="shared" ca="1" si="216"/>
        <v>0.13897748321462375</v>
      </c>
      <c r="L943" s="69">
        <f t="shared" ca="1" si="216"/>
        <v>0.43523815080872236</v>
      </c>
      <c r="N943" s="69">
        <f t="shared" ca="1" si="204"/>
        <v>0.46124843287906531</v>
      </c>
      <c r="O943" s="69">
        <f t="shared" ca="1" si="205"/>
        <v>-1.5900023699823769</v>
      </c>
      <c r="P943" s="69">
        <f t="shared" ca="1" si="206"/>
        <v>-0.3620362051074919</v>
      </c>
      <c r="Q943" s="69">
        <f t="shared" ca="1" si="207"/>
        <v>-1.8812331247895064</v>
      </c>
      <c r="R943" s="69">
        <f t="shared" ca="1" si="208"/>
        <v>-0.85086410798528733</v>
      </c>
      <c r="S943" s="69">
        <f t="shared" ca="1" si="209"/>
        <v>-0.14606143484960743</v>
      </c>
      <c r="T943" s="69">
        <f t="shared" ca="1" si="210"/>
        <v>-0.71152015341962671</v>
      </c>
      <c r="U943" s="69">
        <f t="shared" ca="1" si="211"/>
        <v>2.2839704034083375</v>
      </c>
      <c r="V943" s="69">
        <f t="shared" ca="1" si="212"/>
        <v>0.38653257501079619</v>
      </c>
      <c r="W943" s="69">
        <f t="shared" ca="1" si="213"/>
        <v>0.13995884003872269</v>
      </c>
      <c r="X943" s="69">
        <f t="shared" ca="1" si="214"/>
        <v>0.46240664118315783</v>
      </c>
    </row>
    <row r="944" spans="2:24" x14ac:dyDescent="0.2">
      <c r="B944" s="69">
        <f t="shared" ca="1" si="203"/>
        <v>-1.2684421950778419</v>
      </c>
      <c r="C944" s="69">
        <f t="shared" ca="1" si="216"/>
        <v>-0.10639824556115422</v>
      </c>
      <c r="D944" s="69">
        <f t="shared" ca="1" si="216"/>
        <v>-2.3623185238509974</v>
      </c>
      <c r="E944" s="69">
        <f t="shared" ca="1" si="216"/>
        <v>-1.4569850761260403</v>
      </c>
      <c r="F944" s="69">
        <f t="shared" ca="1" si="216"/>
        <v>-1.1488464331290009</v>
      </c>
      <c r="G944" s="69">
        <f t="shared" ca="1" si="216"/>
        <v>0.12821961017868139</v>
      </c>
      <c r="H944" s="69">
        <f t="shared" ca="1" si="216"/>
        <v>-1.3201977368182756</v>
      </c>
      <c r="I944" s="69">
        <f t="shared" ca="1" si="216"/>
        <v>0.91490038361541692</v>
      </c>
      <c r="J944" s="69">
        <f t="shared" ca="1" si="216"/>
        <v>1.1786525736252371</v>
      </c>
      <c r="K944" s="69">
        <f t="shared" ca="1" si="216"/>
        <v>-0.77329167078501182</v>
      </c>
      <c r="L944" s="69">
        <f t="shared" ca="1" si="216"/>
        <v>0.33924664347850103</v>
      </c>
      <c r="N944" s="69">
        <f t="shared" ca="1" si="204"/>
        <v>-1.2306741512397332</v>
      </c>
      <c r="O944" s="69">
        <f t="shared" ca="1" si="205"/>
        <v>-0.1328918086440409</v>
      </c>
      <c r="P944" s="69">
        <f t="shared" ca="1" si="206"/>
        <v>-2.4200605886880875</v>
      </c>
      <c r="Q944" s="69">
        <f t="shared" ca="1" si="207"/>
        <v>-1.4078763972642814</v>
      </c>
      <c r="R944" s="69">
        <f t="shared" ca="1" si="208"/>
        <v>-1.1551411185366498</v>
      </c>
      <c r="S944" s="69">
        <f t="shared" ca="1" si="209"/>
        <v>0.16104658243548986</v>
      </c>
      <c r="T944" s="69">
        <f t="shared" ca="1" si="210"/>
        <v>-1.3250287745334655</v>
      </c>
      <c r="U944" s="69">
        <f t="shared" ca="1" si="211"/>
        <v>0.93794051049312654</v>
      </c>
      <c r="V944" s="69">
        <f t="shared" ca="1" si="212"/>
        <v>1.1725429800516398</v>
      </c>
      <c r="W944" s="69">
        <f t="shared" ca="1" si="213"/>
        <v>-0.77231031396091288</v>
      </c>
      <c r="X944" s="69">
        <f t="shared" ca="1" si="214"/>
        <v>0.3664151338529365</v>
      </c>
    </row>
    <row r="945" spans="2:24" x14ac:dyDescent="0.2">
      <c r="B945" s="69">
        <f t="shared" ca="1" si="203"/>
        <v>-1.1701463342718015</v>
      </c>
      <c r="C945" s="69">
        <f t="shared" ca="1" si="216"/>
        <v>-1.2452973532060057</v>
      </c>
      <c r="D945" s="69">
        <f t="shared" ca="1" si="216"/>
        <v>4.5005195279194762E-2</v>
      </c>
      <c r="E945" s="69">
        <f t="shared" ca="1" si="216"/>
        <v>1.1238818481232511</v>
      </c>
      <c r="F945" s="69">
        <f t="shared" ca="1" si="216"/>
        <v>0.49327971793769249</v>
      </c>
      <c r="G945" s="69">
        <f t="shared" ca="1" si="216"/>
        <v>0.55569366133756648</v>
      </c>
      <c r="H945" s="69">
        <f t="shared" ca="1" si="216"/>
        <v>1.4606445995316817</v>
      </c>
      <c r="I945" s="69">
        <f t="shared" ca="1" si="216"/>
        <v>-0.19293472290161184</v>
      </c>
      <c r="J945" s="69">
        <f t="shared" ca="1" si="216"/>
        <v>0.61304847746091817</v>
      </c>
      <c r="K945" s="69">
        <f t="shared" ca="1" si="216"/>
        <v>-0.90314136901785091</v>
      </c>
      <c r="L945" s="69">
        <f t="shared" ca="1" si="216"/>
        <v>-1.9922993661804513</v>
      </c>
      <c r="N945" s="69">
        <f t="shared" ca="1" si="204"/>
        <v>-1.1323782904336928</v>
      </c>
      <c r="O945" s="69">
        <f t="shared" ca="1" si="205"/>
        <v>-1.2717909162888923</v>
      </c>
      <c r="P945" s="69">
        <f t="shared" ca="1" si="206"/>
        <v>-1.273686955789527E-2</v>
      </c>
      <c r="Q945" s="69">
        <f t="shared" ca="1" si="207"/>
        <v>1.1729905269850101</v>
      </c>
      <c r="R945" s="69">
        <f t="shared" ca="1" si="208"/>
        <v>0.4869850325300436</v>
      </c>
      <c r="S945" s="69">
        <f t="shared" ca="1" si="209"/>
        <v>0.58852063359437501</v>
      </c>
      <c r="T945" s="69">
        <f t="shared" ca="1" si="210"/>
        <v>1.4558135618164918</v>
      </c>
      <c r="U945" s="69">
        <f t="shared" ca="1" si="211"/>
        <v>-0.16989459602390219</v>
      </c>
      <c r="V945" s="69">
        <f t="shared" ca="1" si="212"/>
        <v>0.60693888388732087</v>
      </c>
      <c r="W945" s="69">
        <f t="shared" ca="1" si="213"/>
        <v>-0.90216001219375197</v>
      </c>
      <c r="X945" s="69">
        <f t="shared" ca="1" si="214"/>
        <v>-1.9651308758060158</v>
      </c>
    </row>
    <row r="946" spans="2:24" x14ac:dyDescent="0.2">
      <c r="B946" s="69">
        <f t="shared" ca="1" si="203"/>
        <v>-1.2546723654913809</v>
      </c>
      <c r="C946" s="69">
        <f t="shared" ca="1" si="216"/>
        <v>-0.35912474444316184</v>
      </c>
      <c r="D946" s="69">
        <f t="shared" ca="1" si="216"/>
        <v>1.9140117872507936</v>
      </c>
      <c r="E946" s="69">
        <f t="shared" ca="1" si="216"/>
        <v>-4.955213545155375E-2</v>
      </c>
      <c r="F946" s="69">
        <f t="shared" ca="1" si="216"/>
        <v>0.92546638877702991</v>
      </c>
      <c r="G946" s="69">
        <f t="shared" ca="1" si="216"/>
        <v>0.25531009230683155</v>
      </c>
      <c r="H946" s="69">
        <f t="shared" ca="1" si="216"/>
        <v>0.10119961563571019</v>
      </c>
      <c r="I946" s="69">
        <f t="shared" ca="1" si="216"/>
        <v>-0.22032457277113235</v>
      </c>
      <c r="J946" s="69">
        <f t="shared" ca="1" si="216"/>
        <v>1.5502906635817078</v>
      </c>
      <c r="K946" s="69">
        <f t="shared" ca="1" si="216"/>
        <v>-0.66975198526769364</v>
      </c>
      <c r="L946" s="69">
        <f t="shared" ca="1" si="216"/>
        <v>1.0809364650849962</v>
      </c>
      <c r="N946" s="69">
        <f t="shared" ca="1" si="204"/>
        <v>-1.2169043216532722</v>
      </c>
      <c r="O946" s="69">
        <f t="shared" ca="1" si="205"/>
        <v>-0.38561830752604853</v>
      </c>
      <c r="P946" s="69">
        <f t="shared" ca="1" si="206"/>
        <v>1.8562697224137035</v>
      </c>
      <c r="Q946" s="69">
        <f t="shared" ca="1" si="207"/>
        <v>-4.4345658979480507E-4</v>
      </c>
      <c r="R946" s="69">
        <f t="shared" ca="1" si="208"/>
        <v>0.91917170336938103</v>
      </c>
      <c r="S946" s="69">
        <f t="shared" ca="1" si="209"/>
        <v>0.28813706456364002</v>
      </c>
      <c r="T946" s="69">
        <f t="shared" ca="1" si="210"/>
        <v>9.6368577920520337E-2</v>
      </c>
      <c r="U946" s="69">
        <f t="shared" ca="1" si="211"/>
        <v>-0.1972844458934227</v>
      </c>
      <c r="V946" s="69">
        <f t="shared" ca="1" si="212"/>
        <v>1.5441810700081104</v>
      </c>
      <c r="W946" s="69">
        <f t="shared" ca="1" si="213"/>
        <v>-0.66877062844359469</v>
      </c>
      <c r="X946" s="69">
        <f t="shared" ca="1" si="214"/>
        <v>1.1081049554594318</v>
      </c>
    </row>
    <row r="947" spans="2:24" x14ac:dyDescent="0.2">
      <c r="B947" s="69">
        <f t="shared" ca="1" si="203"/>
        <v>-0.13700828008125857</v>
      </c>
      <c r="C947" s="69">
        <f t="shared" ca="1" si="216"/>
        <v>0.46677792773723936</v>
      </c>
      <c r="D947" s="69">
        <f t="shared" ca="1" si="216"/>
        <v>-2.9766364278116102</v>
      </c>
      <c r="E947" s="69">
        <f t="shared" ca="1" si="216"/>
        <v>-0.81870924460541294</v>
      </c>
      <c r="F947" s="69">
        <f t="shared" ca="1" si="216"/>
        <v>1.8365062121914668</v>
      </c>
      <c r="G947" s="69">
        <f t="shared" ca="1" si="216"/>
        <v>0.9707570164982755</v>
      </c>
      <c r="H947" s="69">
        <f t="shared" ca="1" si="216"/>
        <v>2.0359985544104289</v>
      </c>
      <c r="I947" s="69">
        <f t="shared" ca="1" si="216"/>
        <v>-0.82455060839814165</v>
      </c>
      <c r="J947" s="69">
        <f t="shared" ca="1" si="216"/>
        <v>0.86006144999529099</v>
      </c>
      <c r="K947" s="69">
        <f t="shared" ca="1" si="216"/>
        <v>-0.64718947468169152</v>
      </c>
      <c r="L947" s="69">
        <f t="shared" ca="1" si="216"/>
        <v>0.89475079121473833</v>
      </c>
      <c r="N947" s="69">
        <f t="shared" ca="1" si="204"/>
        <v>-9.9240236243149746E-2</v>
      </c>
      <c r="O947" s="69">
        <f t="shared" ca="1" si="205"/>
        <v>0.44028436465435267</v>
      </c>
      <c r="P947" s="69">
        <f t="shared" ca="1" si="206"/>
        <v>-3.0343784926487003</v>
      </c>
      <c r="Q947" s="69">
        <f t="shared" ca="1" si="207"/>
        <v>-0.76960056574365399</v>
      </c>
      <c r="R947" s="69">
        <f t="shared" ca="1" si="208"/>
        <v>1.8302115267838179</v>
      </c>
      <c r="S947" s="69">
        <f t="shared" ca="1" si="209"/>
        <v>1.0035839887550839</v>
      </c>
      <c r="T947" s="69">
        <f t="shared" ca="1" si="210"/>
        <v>2.031167516695239</v>
      </c>
      <c r="U947" s="69">
        <f t="shared" ca="1" si="211"/>
        <v>-0.80151048152043203</v>
      </c>
      <c r="V947" s="69">
        <f t="shared" ca="1" si="212"/>
        <v>0.85395185642169369</v>
      </c>
      <c r="W947" s="69">
        <f t="shared" ca="1" si="213"/>
        <v>-0.64620811785759258</v>
      </c>
      <c r="X947" s="69">
        <f t="shared" ca="1" si="214"/>
        <v>0.9219192815891738</v>
      </c>
    </row>
    <row r="948" spans="2:24" x14ac:dyDescent="0.2">
      <c r="B948" s="69">
        <f t="shared" ca="1" si="203"/>
        <v>-2.456334806960216</v>
      </c>
      <c r="C948" s="69">
        <f t="shared" ca="1" si="216"/>
        <v>-1.5015233357094828</v>
      </c>
      <c r="D948" s="69">
        <f t="shared" ca="1" si="216"/>
        <v>-0.89322360310009252</v>
      </c>
      <c r="E948" s="69">
        <f t="shared" ca="1" si="216"/>
        <v>0.49303885295121325</v>
      </c>
      <c r="F948" s="69">
        <f t="shared" ca="1" si="216"/>
        <v>-0.97202322255393181</v>
      </c>
      <c r="G948" s="69">
        <f t="shared" ca="1" si="216"/>
        <v>0.72713807268459729</v>
      </c>
      <c r="H948" s="69">
        <f t="shared" ca="1" si="216"/>
        <v>-0.12672730660232509</v>
      </c>
      <c r="I948" s="69">
        <f t="shared" ca="1" si="216"/>
        <v>-9.2190285399994576E-2</v>
      </c>
      <c r="J948" s="69">
        <f t="shared" ca="1" si="216"/>
        <v>0.30262360255101262</v>
      </c>
      <c r="K948" s="69">
        <f t="shared" ca="1" si="216"/>
        <v>-1.0172161584548238</v>
      </c>
      <c r="L948" s="69">
        <f t="shared" ca="1" si="216"/>
        <v>-0.36315552603649937</v>
      </c>
      <c r="N948" s="69">
        <f t="shared" ca="1" si="204"/>
        <v>-2.4185667631221071</v>
      </c>
      <c r="O948" s="69">
        <f t="shared" ca="1" si="205"/>
        <v>-1.5280168987923695</v>
      </c>
      <c r="P948" s="69">
        <f t="shared" ca="1" si="206"/>
        <v>-0.95096566793718251</v>
      </c>
      <c r="Q948" s="69">
        <f t="shared" ca="1" si="207"/>
        <v>0.54214753181297215</v>
      </c>
      <c r="R948" s="69">
        <f t="shared" ca="1" si="208"/>
        <v>-0.97831790796158069</v>
      </c>
      <c r="S948" s="69">
        <f t="shared" ca="1" si="209"/>
        <v>0.75996504494140582</v>
      </c>
      <c r="T948" s="69">
        <f t="shared" ca="1" si="210"/>
        <v>-0.13155834431751492</v>
      </c>
      <c r="U948" s="69">
        <f t="shared" ca="1" si="211"/>
        <v>-6.9150158522284927E-2</v>
      </c>
      <c r="V948" s="69">
        <f t="shared" ca="1" si="212"/>
        <v>0.29651400897741531</v>
      </c>
      <c r="W948" s="69">
        <f t="shared" ca="1" si="213"/>
        <v>-1.0162348016307248</v>
      </c>
      <c r="X948" s="69">
        <f t="shared" ca="1" si="214"/>
        <v>-0.33598703566206389</v>
      </c>
    </row>
    <row r="949" spans="2:24" x14ac:dyDescent="0.2">
      <c r="B949" s="69">
        <f t="shared" ca="1" si="203"/>
        <v>0.69507571345551977</v>
      </c>
      <c r="C949" s="69">
        <f t="shared" ca="1" si="216"/>
        <v>0.8364833364136085</v>
      </c>
      <c r="D949" s="69">
        <f t="shared" ca="1" si="216"/>
        <v>0.62444802369640351</v>
      </c>
      <c r="E949" s="69">
        <f t="shared" ca="1" si="216"/>
        <v>0.10770153367196973</v>
      </c>
      <c r="F949" s="69">
        <f t="shared" ca="1" si="216"/>
        <v>-0.98253900393388349</v>
      </c>
      <c r="G949" s="69">
        <f t="shared" ca="1" si="216"/>
        <v>-0.62826332331735601</v>
      </c>
      <c r="H949" s="69">
        <f t="shared" ca="1" si="216"/>
        <v>-0.40738379738229852</v>
      </c>
      <c r="I949" s="69">
        <f t="shared" ca="1" si="216"/>
        <v>0.74825762698679876</v>
      </c>
      <c r="J949" s="69">
        <f t="shared" ca="1" si="216"/>
        <v>0.18616657711743759</v>
      </c>
      <c r="K949" s="69">
        <f t="shared" ca="1" si="216"/>
        <v>-1.5518866334690025</v>
      </c>
      <c r="L949" s="69">
        <f t="shared" ca="1" si="216"/>
        <v>2.187796133770139</v>
      </c>
      <c r="N949" s="69">
        <f t="shared" ca="1" si="204"/>
        <v>0.73284375729362861</v>
      </c>
      <c r="O949" s="69">
        <f t="shared" ca="1" si="205"/>
        <v>0.80998977333072186</v>
      </c>
      <c r="P949" s="69">
        <f t="shared" ca="1" si="206"/>
        <v>0.56670595885931352</v>
      </c>
      <c r="Q949" s="69">
        <f t="shared" ca="1" si="207"/>
        <v>0.15681021253372868</v>
      </c>
      <c r="R949" s="69">
        <f t="shared" ca="1" si="208"/>
        <v>-0.98883368934153237</v>
      </c>
      <c r="S949" s="69">
        <f t="shared" ca="1" si="209"/>
        <v>-0.59543635106054749</v>
      </c>
      <c r="T949" s="69">
        <f t="shared" ca="1" si="210"/>
        <v>-0.41221483509748835</v>
      </c>
      <c r="U949" s="69">
        <f t="shared" ca="1" si="211"/>
        <v>0.77129775386450838</v>
      </c>
      <c r="V949" s="69">
        <f t="shared" ca="1" si="212"/>
        <v>0.18005698354384025</v>
      </c>
      <c r="W949" s="69">
        <f t="shared" ca="1" si="213"/>
        <v>-1.5509052766449034</v>
      </c>
      <c r="X949" s="69">
        <f t="shared" ca="1" si="214"/>
        <v>2.2149646241445744</v>
      </c>
    </row>
    <row r="950" spans="2:24" x14ac:dyDescent="0.2">
      <c r="B950" s="69">
        <f t="shared" ca="1" si="203"/>
        <v>-9.8521817311369008E-3</v>
      </c>
      <c r="C950" s="69">
        <f t="shared" ca="1" si="216"/>
        <v>0.67180564946147758</v>
      </c>
      <c r="D950" s="69">
        <f t="shared" ca="1" si="216"/>
        <v>-0.75108820154576961</v>
      </c>
      <c r="E950" s="69">
        <f t="shared" ca="1" si="216"/>
        <v>-0.83643477130588795</v>
      </c>
      <c r="F950" s="69">
        <f t="shared" ca="1" si="216"/>
        <v>0.88167538879177265</v>
      </c>
      <c r="G950" s="69">
        <f t="shared" ca="1" si="216"/>
        <v>-0.14042614209193505</v>
      </c>
      <c r="H950" s="69">
        <f t="shared" ca="1" si="216"/>
        <v>0.21516453287538864</v>
      </c>
      <c r="I950" s="69">
        <f t="shared" ca="1" si="216"/>
        <v>0.16038555614848318</v>
      </c>
      <c r="J950" s="69">
        <f t="shared" ca="1" si="216"/>
        <v>0.38189978456859325</v>
      </c>
      <c r="K950" s="69">
        <f t="shared" ca="1" si="216"/>
        <v>-0.73939500368729816</v>
      </c>
      <c r="L950" s="69">
        <f t="shared" ca="1" si="216"/>
        <v>1.1416011520578309</v>
      </c>
      <c r="N950" s="69">
        <f t="shared" ca="1" si="204"/>
        <v>2.7915862106971917E-2</v>
      </c>
      <c r="O950" s="69">
        <f t="shared" ca="1" si="205"/>
        <v>0.64531208637859094</v>
      </c>
      <c r="P950" s="69">
        <f t="shared" ca="1" si="206"/>
        <v>-0.8088302663828596</v>
      </c>
      <c r="Q950" s="69">
        <f t="shared" ca="1" si="207"/>
        <v>-0.78732609244412899</v>
      </c>
      <c r="R950" s="69">
        <f t="shared" ca="1" si="208"/>
        <v>0.87538070338412377</v>
      </c>
      <c r="S950" s="69">
        <f t="shared" ca="1" si="209"/>
        <v>-0.10759916983512657</v>
      </c>
      <c r="T950" s="69">
        <f t="shared" ca="1" si="210"/>
        <v>0.21033349516019881</v>
      </c>
      <c r="U950" s="69">
        <f t="shared" ca="1" si="211"/>
        <v>0.18342568302619283</v>
      </c>
      <c r="V950" s="69">
        <f t="shared" ca="1" si="212"/>
        <v>0.37579019099499594</v>
      </c>
      <c r="W950" s="69">
        <f t="shared" ca="1" si="213"/>
        <v>-0.73841364686319921</v>
      </c>
      <c r="X950" s="69">
        <f t="shared" ca="1" si="214"/>
        <v>1.1687696424322664</v>
      </c>
    </row>
    <row r="951" spans="2:24" x14ac:dyDescent="0.2">
      <c r="B951" s="69">
        <f t="shared" ca="1" si="203"/>
        <v>0.19098620888828402</v>
      </c>
      <c r="C951" s="69">
        <f t="shared" ca="1" si="216"/>
        <v>-0.72294650552355577</v>
      </c>
      <c r="D951" s="69">
        <f t="shared" ca="1" si="216"/>
        <v>2.4609586949178568</v>
      </c>
      <c r="E951" s="69">
        <f t="shared" ca="1" si="216"/>
        <v>2.7071161423468038</v>
      </c>
      <c r="F951" s="69">
        <f t="shared" ca="1" si="216"/>
        <v>0.53314147134953216</v>
      </c>
      <c r="G951" s="69">
        <f t="shared" ca="1" si="216"/>
        <v>0.91793168150253279</v>
      </c>
      <c r="H951" s="69">
        <f t="shared" ca="1" si="216"/>
        <v>-1.037442163454811</v>
      </c>
      <c r="I951" s="69">
        <f t="shared" ca="1" si="216"/>
        <v>-0.78080071653930916</v>
      </c>
      <c r="J951" s="69">
        <f t="shared" ca="1" si="216"/>
        <v>0.7789978587906653</v>
      </c>
      <c r="K951" s="69">
        <f t="shared" ca="1" si="216"/>
        <v>3.9138414017258878E-2</v>
      </c>
      <c r="L951" s="69">
        <f t="shared" ca="1" si="216"/>
        <v>-0.8638242413260222</v>
      </c>
      <c r="N951" s="69">
        <f t="shared" ca="1" si="204"/>
        <v>0.22875425272639283</v>
      </c>
      <c r="O951" s="69">
        <f t="shared" ca="1" si="205"/>
        <v>-0.74944006860644241</v>
      </c>
      <c r="P951" s="69">
        <f t="shared" ca="1" si="206"/>
        <v>2.4032166300807667</v>
      </c>
      <c r="Q951" s="69">
        <f t="shared" ca="1" si="207"/>
        <v>2.7562248212085625</v>
      </c>
      <c r="R951" s="69">
        <f t="shared" ca="1" si="208"/>
        <v>0.52684678594188328</v>
      </c>
      <c r="S951" s="69">
        <f t="shared" ca="1" si="209"/>
        <v>0.95075865375934132</v>
      </c>
      <c r="T951" s="69">
        <f t="shared" ca="1" si="210"/>
        <v>-1.0422732011700009</v>
      </c>
      <c r="U951" s="69">
        <f t="shared" ca="1" si="211"/>
        <v>-0.75776058966159954</v>
      </c>
      <c r="V951" s="69">
        <f t="shared" ca="1" si="212"/>
        <v>0.77288826521706799</v>
      </c>
      <c r="W951" s="69">
        <f t="shared" ca="1" si="213"/>
        <v>4.011977084135783E-2</v>
      </c>
      <c r="X951" s="69">
        <f t="shared" ca="1" si="214"/>
        <v>-0.83665575095158673</v>
      </c>
    </row>
    <row r="952" spans="2:24" x14ac:dyDescent="0.2">
      <c r="B952" s="69">
        <f t="shared" ca="1" si="203"/>
        <v>0.93436091859670456</v>
      </c>
      <c r="C952" s="69">
        <f t="shared" ca="1" si="216"/>
        <v>-0.55207843199258477</v>
      </c>
      <c r="D952" s="69">
        <f t="shared" ca="1" si="216"/>
        <v>-0.30546810416203324</v>
      </c>
      <c r="E952" s="69">
        <f t="shared" ca="1" si="216"/>
        <v>-1.3760764696594263</v>
      </c>
      <c r="F952" s="69">
        <f t="shared" ca="1" si="216"/>
        <v>1.3226356695732815</v>
      </c>
      <c r="G952" s="69">
        <f t="shared" ca="1" si="216"/>
        <v>1.5241346891673886</v>
      </c>
      <c r="H952" s="69">
        <f t="shared" ca="1" si="216"/>
        <v>-0.39669430374889908</v>
      </c>
      <c r="I952" s="69">
        <f t="shared" ca="1" si="216"/>
        <v>0.81624585058030541</v>
      </c>
      <c r="J952" s="69">
        <f t="shared" ca="1" si="216"/>
        <v>0.51823897388008799</v>
      </c>
      <c r="K952" s="69">
        <f t="shared" ca="1" si="216"/>
        <v>1.6295041756358051</v>
      </c>
      <c r="L952" s="69">
        <f t="shared" ca="1" si="216"/>
        <v>-0.46522950191388829</v>
      </c>
      <c r="N952" s="69">
        <f t="shared" ca="1" si="204"/>
        <v>0.97212896243481339</v>
      </c>
      <c r="O952" s="69">
        <f t="shared" ca="1" si="205"/>
        <v>-0.57857199507547141</v>
      </c>
      <c r="P952" s="69">
        <f t="shared" ca="1" si="206"/>
        <v>-0.36321016899912328</v>
      </c>
      <c r="Q952" s="69">
        <f t="shared" ca="1" si="207"/>
        <v>-1.3269677907976674</v>
      </c>
      <c r="R952" s="69">
        <f t="shared" ca="1" si="208"/>
        <v>1.3163409841656326</v>
      </c>
      <c r="S952" s="69">
        <f t="shared" ca="1" si="209"/>
        <v>1.556961661424197</v>
      </c>
      <c r="T952" s="69">
        <f t="shared" ca="1" si="210"/>
        <v>-0.40152534146408891</v>
      </c>
      <c r="U952" s="69">
        <f t="shared" ca="1" si="211"/>
        <v>0.83928597745801503</v>
      </c>
      <c r="V952" s="69">
        <f t="shared" ca="1" si="212"/>
        <v>0.51212938030649069</v>
      </c>
      <c r="W952" s="69">
        <f t="shared" ca="1" si="213"/>
        <v>1.6304855324599041</v>
      </c>
      <c r="X952" s="69">
        <f t="shared" ca="1" si="214"/>
        <v>-0.43806101153945282</v>
      </c>
    </row>
    <row r="953" spans="2:24" x14ac:dyDescent="0.2">
      <c r="B953" s="69">
        <f t="shared" ca="1" si="203"/>
        <v>-0.51768441342687166</v>
      </c>
      <c r="C953" s="69">
        <f t="shared" ca="1" si="216"/>
        <v>-1.3447763871616499E-2</v>
      </c>
      <c r="D953" s="69">
        <f t="shared" ca="1" si="216"/>
        <v>0.11959398900422154</v>
      </c>
      <c r="E953" s="69">
        <f t="shared" ca="1" si="216"/>
        <v>-0.46093932484796279</v>
      </c>
      <c r="F953" s="69">
        <f t="shared" ca="1" si="216"/>
        <v>-0.18197606217108567</v>
      </c>
      <c r="G953" s="69">
        <f t="shared" ca="1" si="216"/>
        <v>-1.2291660910104913</v>
      </c>
      <c r="H953" s="69">
        <f t="shared" ca="1" si="216"/>
        <v>0.58942987543308001</v>
      </c>
      <c r="I953" s="69">
        <f t="shared" ca="1" si="216"/>
        <v>-0.89503909588659425</v>
      </c>
      <c r="J953" s="69">
        <f t="shared" ca="1" si="216"/>
        <v>-0.23694025424259058</v>
      </c>
      <c r="K953" s="69">
        <f t="shared" ca="1" si="216"/>
        <v>-0.9542687189537068</v>
      </c>
      <c r="L953" s="69">
        <f t="shared" ca="1" si="216"/>
        <v>0.49346529016255786</v>
      </c>
      <c r="N953" s="69">
        <f t="shared" ca="1" si="204"/>
        <v>-0.47991636958876283</v>
      </c>
      <c r="O953" s="69">
        <f t="shared" ca="1" si="205"/>
        <v>-3.9941326954503184E-2</v>
      </c>
      <c r="P953" s="69">
        <f t="shared" ca="1" si="206"/>
        <v>6.1851924167131506E-2</v>
      </c>
      <c r="Q953" s="69">
        <f t="shared" ca="1" si="207"/>
        <v>-0.41183064598620384</v>
      </c>
      <c r="R953" s="69">
        <f t="shared" ca="1" si="208"/>
        <v>-0.18827074757873458</v>
      </c>
      <c r="S953" s="69">
        <f t="shared" ca="1" si="209"/>
        <v>-1.1963391187536829</v>
      </c>
      <c r="T953" s="69">
        <f t="shared" ca="1" si="210"/>
        <v>0.58459883771789012</v>
      </c>
      <c r="U953" s="69">
        <f t="shared" ca="1" si="211"/>
        <v>-0.87199896900888463</v>
      </c>
      <c r="V953" s="69">
        <f t="shared" ca="1" si="212"/>
        <v>-0.24304984781618791</v>
      </c>
      <c r="W953" s="69">
        <f t="shared" ca="1" si="213"/>
        <v>-0.95328736212960785</v>
      </c>
      <c r="X953" s="69">
        <f t="shared" ca="1" si="214"/>
        <v>0.52063378053699338</v>
      </c>
    </row>
    <row r="954" spans="2:24" x14ac:dyDescent="0.2">
      <c r="B954" s="69">
        <f t="shared" ca="1" si="203"/>
        <v>-0.29338672494837181</v>
      </c>
      <c r="C954" s="69">
        <f t="shared" ca="1" si="216"/>
        <v>-1.2908383850725884</v>
      </c>
      <c r="D954" s="69">
        <f t="shared" ca="1" si="216"/>
        <v>0.31788048166179217</v>
      </c>
      <c r="E954" s="69">
        <f t="shared" ca="1" si="216"/>
        <v>0.45251208332767467</v>
      </c>
      <c r="F954" s="69">
        <f t="shared" ca="1" si="216"/>
        <v>-0.2248575622190313</v>
      </c>
      <c r="G954" s="69">
        <f t="shared" ca="1" si="216"/>
        <v>-0.75852672675777344</v>
      </c>
      <c r="H954" s="69">
        <f t="shared" ca="1" si="216"/>
        <v>1.113394780732202</v>
      </c>
      <c r="I954" s="69">
        <f t="shared" ca="1" si="216"/>
        <v>8.0424950010217183E-2</v>
      </c>
      <c r="J954" s="69">
        <f t="shared" ca="1" si="216"/>
        <v>1.2209329493868923</v>
      </c>
      <c r="K954" s="69">
        <f t="shared" ca="1" si="216"/>
        <v>-0.3259147004163841</v>
      </c>
      <c r="L954" s="69">
        <f t="shared" ca="1" si="216"/>
        <v>1.1935594530560383</v>
      </c>
      <c r="N954" s="69">
        <f t="shared" ca="1" si="204"/>
        <v>-0.25561868111026298</v>
      </c>
      <c r="O954" s="69">
        <f t="shared" ca="1" si="205"/>
        <v>-1.3173319481554751</v>
      </c>
      <c r="P954" s="69">
        <f t="shared" ca="1" si="206"/>
        <v>0.26013841682470212</v>
      </c>
      <c r="Q954" s="69">
        <f t="shared" ca="1" si="207"/>
        <v>0.50162076218943363</v>
      </c>
      <c r="R954" s="69">
        <f t="shared" ca="1" si="208"/>
        <v>-0.23115224762668021</v>
      </c>
      <c r="S954" s="69">
        <f t="shared" ca="1" si="209"/>
        <v>-0.72569975450096491</v>
      </c>
      <c r="T954" s="69">
        <f t="shared" ca="1" si="210"/>
        <v>1.1085637430170121</v>
      </c>
      <c r="U954" s="69">
        <f t="shared" ca="1" si="211"/>
        <v>0.10346507688792683</v>
      </c>
      <c r="V954" s="69">
        <f t="shared" ca="1" si="212"/>
        <v>1.214823355813295</v>
      </c>
      <c r="W954" s="69">
        <f t="shared" ca="1" si="213"/>
        <v>-0.32493334359228515</v>
      </c>
      <c r="X954" s="69">
        <f t="shared" ca="1" si="214"/>
        <v>1.2207279434304739</v>
      </c>
    </row>
    <row r="955" spans="2:24" x14ac:dyDescent="0.2">
      <c r="B955" s="69">
        <f t="shared" ca="1" si="203"/>
        <v>0.80127038173768272</v>
      </c>
      <c r="C955" s="69">
        <f t="shared" ca="1" si="216"/>
        <v>1.2763205195850651</v>
      </c>
      <c r="D955" s="69">
        <f t="shared" ca="1" si="216"/>
        <v>1.5590163257647287</v>
      </c>
      <c r="E955" s="69">
        <f t="shared" ca="1" si="216"/>
        <v>-0.21728301678410203</v>
      </c>
      <c r="F955" s="69">
        <f t="shared" ca="1" si="216"/>
        <v>0.71029170630257565</v>
      </c>
      <c r="G955" s="69">
        <f t="shared" ca="1" si="216"/>
        <v>0.9747527811595138</v>
      </c>
      <c r="H955" s="69">
        <f t="shared" ca="1" si="216"/>
        <v>1.4684861468155408</v>
      </c>
      <c r="I955" s="69">
        <f t="shared" ca="1" si="216"/>
        <v>-0.87144854768800839</v>
      </c>
      <c r="J955" s="69">
        <f t="shared" ca="1" si="216"/>
        <v>-0.50106416281406141</v>
      </c>
      <c r="K955" s="69">
        <f t="shared" ca="1" si="216"/>
        <v>-1.5294708719003012</v>
      </c>
      <c r="L955" s="69">
        <f t="shared" ca="1" si="216"/>
        <v>-0.94915399070279616</v>
      </c>
      <c r="N955" s="69">
        <f t="shared" ca="1" si="204"/>
        <v>0.83903842557579156</v>
      </c>
      <c r="O955" s="69">
        <f t="shared" ca="1" si="205"/>
        <v>1.2498269565021785</v>
      </c>
      <c r="P955" s="69">
        <f t="shared" ca="1" si="206"/>
        <v>1.5012742609276386</v>
      </c>
      <c r="Q955" s="69">
        <f t="shared" ca="1" si="207"/>
        <v>-0.1681743379223431</v>
      </c>
      <c r="R955" s="69">
        <f t="shared" ca="1" si="208"/>
        <v>0.70399702089492677</v>
      </c>
      <c r="S955" s="69">
        <f t="shared" ca="1" si="209"/>
        <v>1.0075797534163222</v>
      </c>
      <c r="T955" s="69">
        <f t="shared" ca="1" si="210"/>
        <v>1.4636551091003509</v>
      </c>
      <c r="U955" s="69">
        <f t="shared" ca="1" si="211"/>
        <v>-0.84840842081029877</v>
      </c>
      <c r="V955" s="69">
        <f t="shared" ca="1" si="212"/>
        <v>-0.50717375638765871</v>
      </c>
      <c r="W955" s="69">
        <f t="shared" ca="1" si="213"/>
        <v>-1.5284895150762021</v>
      </c>
      <c r="X955" s="69">
        <f t="shared" ca="1" si="214"/>
        <v>-0.92198550032836069</v>
      </c>
    </row>
    <row r="956" spans="2:24" x14ac:dyDescent="0.2">
      <c r="B956" s="69">
        <f t="shared" ca="1" si="203"/>
        <v>-0.42729199401272999</v>
      </c>
      <c r="C956" s="69">
        <f t="shared" ca="1" si="216"/>
        <v>0.89657813189505231</v>
      </c>
      <c r="D956" s="69">
        <f t="shared" ca="1" si="216"/>
        <v>0.49017833920188386</v>
      </c>
      <c r="E956" s="69">
        <f t="shared" ca="1" si="216"/>
        <v>2.2486575867677958</v>
      </c>
      <c r="F956" s="69">
        <f t="shared" ca="1" si="216"/>
        <v>-1.3479252315136205</v>
      </c>
      <c r="G956" s="69">
        <f t="shared" ca="1" si="216"/>
        <v>0.11061263164457651</v>
      </c>
      <c r="H956" s="69">
        <f t="shared" ca="1" si="216"/>
        <v>7.7686804495379486E-2</v>
      </c>
      <c r="I956" s="69">
        <f t="shared" ca="1" si="216"/>
        <v>1.1874716868750086</v>
      </c>
      <c r="J956" s="69">
        <f t="shared" ca="1" si="216"/>
        <v>-0.43920225270146962</v>
      </c>
      <c r="K956" s="69">
        <f t="shared" ca="1" si="216"/>
        <v>1.3778683789283857</v>
      </c>
      <c r="L956" s="69">
        <f t="shared" ca="1" si="216"/>
        <v>-1.270289251133637</v>
      </c>
      <c r="N956" s="69">
        <f t="shared" ca="1" si="204"/>
        <v>-0.38952395017462116</v>
      </c>
      <c r="O956" s="69">
        <f t="shared" ca="1" si="205"/>
        <v>0.87008456881216567</v>
      </c>
      <c r="P956" s="69">
        <f t="shared" ca="1" si="206"/>
        <v>0.43243627436479382</v>
      </c>
      <c r="Q956" s="69">
        <f t="shared" ca="1" si="207"/>
        <v>2.2977662656295545</v>
      </c>
      <c r="R956" s="69">
        <f t="shared" ca="1" si="208"/>
        <v>-1.3542199169212694</v>
      </c>
      <c r="S956" s="69">
        <f t="shared" ca="1" si="209"/>
        <v>0.14343960390138499</v>
      </c>
      <c r="T956" s="69">
        <f t="shared" ca="1" si="210"/>
        <v>7.2855766780189637E-2</v>
      </c>
      <c r="U956" s="69">
        <f t="shared" ca="1" si="211"/>
        <v>1.2105118137527182</v>
      </c>
      <c r="V956" s="69">
        <f t="shared" ca="1" si="212"/>
        <v>-0.44531184627506692</v>
      </c>
      <c r="W956" s="69">
        <f t="shared" ca="1" si="213"/>
        <v>1.3788497357524847</v>
      </c>
      <c r="X956" s="69">
        <f t="shared" ca="1" si="214"/>
        <v>-1.2431207607592014</v>
      </c>
    </row>
    <row r="957" spans="2:24" x14ac:dyDescent="0.2">
      <c r="B957" s="69">
        <f t="shared" ca="1" si="203"/>
        <v>-0.34433555107587782</v>
      </c>
      <c r="C957" s="69">
        <f t="shared" ca="1" si="216"/>
        <v>1.0370663968965943</v>
      </c>
      <c r="D957" s="69">
        <f t="shared" ca="1" si="216"/>
        <v>0.133205312327112</v>
      </c>
      <c r="E957" s="69">
        <f t="shared" ca="1" si="216"/>
        <v>-0.4684895785994671</v>
      </c>
      <c r="F957" s="69">
        <f t="shared" ca="1" si="216"/>
        <v>-1.4976044254649021</v>
      </c>
      <c r="G957" s="69">
        <f t="shared" ca="1" si="216"/>
        <v>-0.30800395759802129</v>
      </c>
      <c r="H957" s="69">
        <f t="shared" ca="1" si="216"/>
        <v>-1.1674715423378146</v>
      </c>
      <c r="I957" s="69">
        <f t="shared" ca="1" si="216"/>
        <v>1.0047079268602233</v>
      </c>
      <c r="J957" s="69">
        <f t="shared" ca="1" si="216"/>
        <v>-1.2940743611606715</v>
      </c>
      <c r="K957" s="69">
        <f t="shared" ca="1" si="216"/>
        <v>-0.28488803929438378</v>
      </c>
      <c r="L957" s="69">
        <f t="shared" ca="1" si="216"/>
        <v>-0.84985844898028107</v>
      </c>
      <c r="N957" s="69">
        <f t="shared" ca="1" si="204"/>
        <v>-0.30656750723776899</v>
      </c>
      <c r="O957" s="69">
        <f t="shared" ca="1" si="205"/>
        <v>1.0105728338137077</v>
      </c>
      <c r="P957" s="69">
        <f t="shared" ca="1" si="206"/>
        <v>7.5463247490021965E-2</v>
      </c>
      <c r="Q957" s="69">
        <f t="shared" ca="1" si="207"/>
        <v>-0.41938089973770815</v>
      </c>
      <c r="R957" s="69">
        <f t="shared" ca="1" si="208"/>
        <v>-1.503899110872551</v>
      </c>
      <c r="S957" s="69">
        <f t="shared" ca="1" si="209"/>
        <v>-0.27517698534121282</v>
      </c>
      <c r="T957" s="69">
        <f t="shared" ca="1" si="210"/>
        <v>-1.1723025800530045</v>
      </c>
      <c r="U957" s="69">
        <f t="shared" ca="1" si="211"/>
        <v>1.0277480537379329</v>
      </c>
      <c r="V957" s="69">
        <f t="shared" ca="1" si="212"/>
        <v>-1.3001839547342688</v>
      </c>
      <c r="W957" s="69">
        <f t="shared" ca="1" si="213"/>
        <v>-0.28390668247028483</v>
      </c>
      <c r="X957" s="69">
        <f t="shared" ca="1" si="214"/>
        <v>-0.82268995860584559</v>
      </c>
    </row>
    <row r="958" spans="2:24" x14ac:dyDescent="0.2">
      <c r="B958" s="69">
        <f t="shared" ca="1" si="203"/>
        <v>-1.4726284242046415</v>
      </c>
      <c r="C958" s="69">
        <f t="shared" ca="1" si="216"/>
        <v>0.32392945337653034</v>
      </c>
      <c r="D958" s="69">
        <f t="shared" ca="1" si="216"/>
        <v>-0.30628169971992886</v>
      </c>
      <c r="E958" s="69">
        <f t="shared" ca="1" si="216"/>
        <v>-0.90824739142770627</v>
      </c>
      <c r="F958" s="69">
        <f t="shared" ca="1" si="216"/>
        <v>0.29832489527953271</v>
      </c>
      <c r="G958" s="69">
        <f t="shared" ca="1" si="216"/>
        <v>-0.61098916783112223</v>
      </c>
      <c r="H958" s="69">
        <f t="shared" ca="1" si="216"/>
        <v>-0.31525504813600413</v>
      </c>
      <c r="I958" s="69">
        <f t="shared" ca="1" si="216"/>
        <v>0.80193492134845978</v>
      </c>
      <c r="J958" s="69">
        <f t="shared" ca="1" si="216"/>
        <v>2.9719751783801081</v>
      </c>
      <c r="K958" s="69">
        <f t="shared" ca="1" si="216"/>
        <v>-0.77953702138806436</v>
      </c>
      <c r="L958" s="69">
        <f t="shared" ca="1" si="216"/>
        <v>5.9477548376907864E-2</v>
      </c>
      <c r="N958" s="69">
        <f t="shared" ca="1" si="204"/>
        <v>-1.4348603803665327</v>
      </c>
      <c r="O958" s="69">
        <f t="shared" ca="1" si="205"/>
        <v>0.29743589029364365</v>
      </c>
      <c r="P958" s="69">
        <f t="shared" ca="1" si="206"/>
        <v>-0.3640237645570189</v>
      </c>
      <c r="Q958" s="69">
        <f t="shared" ca="1" si="207"/>
        <v>-0.85913871256594732</v>
      </c>
      <c r="R958" s="69">
        <f t="shared" ca="1" si="208"/>
        <v>0.29203020987188383</v>
      </c>
      <c r="S958" s="69">
        <f t="shared" ca="1" si="209"/>
        <v>-0.5781621955743137</v>
      </c>
      <c r="T958" s="69">
        <f t="shared" ca="1" si="210"/>
        <v>-0.32008608585119397</v>
      </c>
      <c r="U958" s="69">
        <f t="shared" ca="1" si="211"/>
        <v>0.82497504822616941</v>
      </c>
      <c r="V958" s="69">
        <f t="shared" ca="1" si="212"/>
        <v>2.9658655848065107</v>
      </c>
      <c r="W958" s="69">
        <f t="shared" ca="1" si="213"/>
        <v>-0.77855566456396541</v>
      </c>
      <c r="X958" s="69">
        <f t="shared" ca="1" si="214"/>
        <v>8.6646038751343343E-2</v>
      </c>
    </row>
    <row r="959" spans="2:24" x14ac:dyDescent="0.2">
      <c r="B959" s="69">
        <f t="shared" ca="1" si="203"/>
        <v>-0.60899407202380162</v>
      </c>
      <c r="C959" s="69">
        <f t="shared" ca="1" si="216"/>
        <v>1.9810122844801246</v>
      </c>
      <c r="D959" s="69">
        <f t="shared" ca="1" si="216"/>
        <v>1.1566792946524673</v>
      </c>
      <c r="E959" s="69">
        <f t="shared" ca="1" si="216"/>
        <v>0.30378027081119197</v>
      </c>
      <c r="F959" s="69">
        <f t="shared" ca="1" si="216"/>
        <v>1.3972934688619039</v>
      </c>
      <c r="G959" s="69">
        <f t="shared" ca="1" si="216"/>
        <v>4.5834127390102855E-2</v>
      </c>
      <c r="H959" s="69">
        <f t="shared" ca="1" si="216"/>
        <v>0.32764978907778819</v>
      </c>
      <c r="I959" s="69">
        <f t="shared" ca="1" si="216"/>
        <v>0.90210708664977513</v>
      </c>
      <c r="J959" s="69">
        <f t="shared" ca="1" si="216"/>
        <v>0.58839347737727576</v>
      </c>
      <c r="K959" s="69">
        <f t="shared" ca="1" si="216"/>
        <v>0.82666679069809368</v>
      </c>
      <c r="L959" s="69">
        <f t="shared" ca="1" si="216"/>
        <v>0.51222824546584578</v>
      </c>
      <c r="N959" s="69">
        <f t="shared" ca="1" si="204"/>
        <v>-0.57122602818569279</v>
      </c>
      <c r="O959" s="69">
        <f t="shared" ca="1" si="205"/>
        <v>1.9545187213972379</v>
      </c>
      <c r="P959" s="69">
        <f t="shared" ca="1" si="206"/>
        <v>1.0989372298153772</v>
      </c>
      <c r="Q959" s="69">
        <f t="shared" ca="1" si="207"/>
        <v>0.35288894967295092</v>
      </c>
      <c r="R959" s="69">
        <f t="shared" ca="1" si="208"/>
        <v>1.390998783454255</v>
      </c>
      <c r="S959" s="69">
        <f t="shared" ca="1" si="209"/>
        <v>7.8661099646911342E-2</v>
      </c>
      <c r="T959" s="69">
        <f t="shared" ca="1" si="210"/>
        <v>0.32281875136259836</v>
      </c>
      <c r="U959" s="69">
        <f t="shared" ca="1" si="211"/>
        <v>0.92514721352748475</v>
      </c>
      <c r="V959" s="69">
        <f t="shared" ca="1" si="212"/>
        <v>0.58228388380367846</v>
      </c>
      <c r="W959" s="69">
        <f t="shared" ca="1" si="213"/>
        <v>0.82764814752219262</v>
      </c>
      <c r="X959" s="69">
        <f t="shared" ca="1" si="214"/>
        <v>0.53939673584028125</v>
      </c>
    </row>
    <row r="960" spans="2:24" x14ac:dyDescent="0.2">
      <c r="B960" s="69">
        <f t="shared" ca="1" si="203"/>
        <v>1.4414642303427505</v>
      </c>
      <c r="C960" s="69">
        <f t="shared" ca="1" si="216"/>
        <v>0.96952561979435847</v>
      </c>
      <c r="D960" s="69">
        <f t="shared" ca="1" si="216"/>
        <v>0.94834792893063247</v>
      </c>
      <c r="E960" s="69">
        <f t="shared" ca="1" si="216"/>
        <v>-0.46720642026182152</v>
      </c>
      <c r="F960" s="69">
        <f t="shared" ca="1" si="216"/>
        <v>1.0601418747435263</v>
      </c>
      <c r="G960" s="69">
        <f t="shared" ca="1" si="216"/>
        <v>1.0544179395454389</v>
      </c>
      <c r="H960" s="69">
        <f t="shared" ca="1" si="216"/>
        <v>0.44229627214158046</v>
      </c>
      <c r="I960" s="69">
        <f t="shared" ca="1" si="216"/>
        <v>0.69665154388685147</v>
      </c>
      <c r="J960" s="69">
        <f t="shared" ca="1" si="216"/>
        <v>-0.44875604705218453</v>
      </c>
      <c r="K960" s="69">
        <f t="shared" ca="1" si="216"/>
        <v>-0.38445141175761971</v>
      </c>
      <c r="L960" s="69">
        <f t="shared" ca="1" si="216"/>
        <v>-0.88475911057232637</v>
      </c>
      <c r="N960" s="69">
        <f t="shared" ca="1" si="204"/>
        <v>1.4792322741808592</v>
      </c>
      <c r="O960" s="69">
        <f t="shared" ca="1" si="205"/>
        <v>0.94303205671147183</v>
      </c>
      <c r="P960" s="69">
        <f t="shared" ca="1" si="206"/>
        <v>0.89060586409354248</v>
      </c>
      <c r="Q960" s="69">
        <f t="shared" ca="1" si="207"/>
        <v>-0.41809774140006256</v>
      </c>
      <c r="R960" s="69">
        <f t="shared" ca="1" si="208"/>
        <v>1.0538471893358774</v>
      </c>
      <c r="S960" s="69">
        <f t="shared" ca="1" si="209"/>
        <v>1.0872449118022474</v>
      </c>
      <c r="T960" s="69">
        <f t="shared" ca="1" si="210"/>
        <v>0.43746523442639063</v>
      </c>
      <c r="U960" s="69">
        <f t="shared" ca="1" si="211"/>
        <v>0.71969167076456109</v>
      </c>
      <c r="V960" s="69">
        <f t="shared" ca="1" si="212"/>
        <v>-0.45486564062578183</v>
      </c>
      <c r="W960" s="69">
        <f t="shared" ca="1" si="213"/>
        <v>-0.38347005493352077</v>
      </c>
      <c r="X960" s="69">
        <f t="shared" ca="1" si="214"/>
        <v>-0.8575906201978909</v>
      </c>
    </row>
    <row r="961" spans="2:24" x14ac:dyDescent="0.2">
      <c r="B961" s="69">
        <f t="shared" ca="1" si="203"/>
        <v>0.31369253107695455</v>
      </c>
      <c r="C961" s="69">
        <f t="shared" ca="1" si="216"/>
        <v>-0.74343135495351265</v>
      </c>
      <c r="D961" s="69">
        <f t="shared" ca="1" si="216"/>
        <v>0.38790432718433349</v>
      </c>
      <c r="E961" s="69">
        <f t="shared" ca="1" si="216"/>
        <v>1.1211183395843942</v>
      </c>
      <c r="F961" s="69">
        <f t="shared" ca="1" si="216"/>
        <v>2.1873514644354031</v>
      </c>
      <c r="G961" s="69">
        <f t="shared" ca="1" si="216"/>
        <v>3.7692417408734386E-2</v>
      </c>
      <c r="H961" s="69">
        <f t="shared" ca="1" si="216"/>
        <v>1.1795589920183411</v>
      </c>
      <c r="I961" s="69">
        <f t="shared" ca="1" si="216"/>
        <v>0.1112794851957673</v>
      </c>
      <c r="J961" s="69">
        <f t="shared" ca="1" si="216"/>
        <v>-1.220778447812092</v>
      </c>
      <c r="K961" s="69">
        <f t="shared" ca="1" si="216"/>
        <v>-2.5154550760440082</v>
      </c>
      <c r="L961" s="69">
        <f t="shared" ca="1" si="216"/>
        <v>0.47701827616534448</v>
      </c>
      <c r="N961" s="69">
        <f t="shared" ca="1" si="204"/>
        <v>0.35146057491506338</v>
      </c>
      <c r="O961" s="69">
        <f t="shared" ca="1" si="205"/>
        <v>-0.76992491803639929</v>
      </c>
      <c r="P961" s="69">
        <f t="shared" ca="1" si="206"/>
        <v>0.33016226234724344</v>
      </c>
      <c r="Q961" s="69">
        <f t="shared" ca="1" si="207"/>
        <v>1.1702270184461532</v>
      </c>
      <c r="R961" s="69">
        <f t="shared" ca="1" si="208"/>
        <v>2.1810567790277542</v>
      </c>
      <c r="S961" s="69">
        <f t="shared" ca="1" si="209"/>
        <v>7.0519389665542859E-2</v>
      </c>
      <c r="T961" s="69">
        <f t="shared" ca="1" si="210"/>
        <v>1.1747279543031512</v>
      </c>
      <c r="U961" s="69">
        <f t="shared" ca="1" si="211"/>
        <v>0.13431961207347695</v>
      </c>
      <c r="V961" s="69">
        <f t="shared" ca="1" si="212"/>
        <v>-1.2268880413856893</v>
      </c>
      <c r="W961" s="69">
        <f t="shared" ca="1" si="213"/>
        <v>-2.5144737192199091</v>
      </c>
      <c r="X961" s="69">
        <f t="shared" ca="1" si="214"/>
        <v>0.50418676653978001</v>
      </c>
    </row>
    <row r="962" spans="2:24" x14ac:dyDescent="0.2">
      <c r="B962" s="69">
        <f t="shared" ca="1" si="203"/>
        <v>0.82726066525221598</v>
      </c>
      <c r="C962" s="69">
        <f t="shared" ca="1" si="216"/>
        <v>0.21543258206596197</v>
      </c>
      <c r="D962" s="69">
        <f t="shared" ref="C962:L1008" ca="1" si="217">NORMINV(RAND(),$C$7,$F$7)</f>
        <v>-0.73695645489371198</v>
      </c>
      <c r="E962" s="69">
        <f t="shared" ca="1" si="217"/>
        <v>0.33358528143428123</v>
      </c>
      <c r="F962" s="69">
        <f t="shared" ca="1" si="217"/>
        <v>1.8096741224857364</v>
      </c>
      <c r="G962" s="69">
        <f t="shared" ca="1" si="217"/>
        <v>-1.4859408516552408</v>
      </c>
      <c r="H962" s="69">
        <f t="shared" ca="1" si="217"/>
        <v>-0.95449955466871794</v>
      </c>
      <c r="I962" s="69">
        <f t="shared" ca="1" si="217"/>
        <v>-1.8448414508380191</v>
      </c>
      <c r="J962" s="69">
        <f t="shared" ca="1" si="217"/>
        <v>0.18888155262436668</v>
      </c>
      <c r="K962" s="69">
        <f t="shared" ca="1" si="217"/>
        <v>-0.72001556357849328</v>
      </c>
      <c r="L962" s="69">
        <f t="shared" ca="1" si="217"/>
        <v>-1.3059995873235546</v>
      </c>
      <c r="N962" s="69">
        <f t="shared" ca="1" si="204"/>
        <v>0.86502870909032481</v>
      </c>
      <c r="O962" s="69">
        <f t="shared" ca="1" si="205"/>
        <v>0.18893901898307527</v>
      </c>
      <c r="P962" s="69">
        <f t="shared" ca="1" si="206"/>
        <v>-0.79469851973080197</v>
      </c>
      <c r="Q962" s="69">
        <f t="shared" ca="1" si="207"/>
        <v>0.38269396029604019</v>
      </c>
      <c r="R962" s="69">
        <f t="shared" ca="1" si="208"/>
        <v>1.8033794370780876</v>
      </c>
      <c r="S962" s="69">
        <f t="shared" ca="1" si="209"/>
        <v>-1.4531138793984324</v>
      </c>
      <c r="T962" s="69">
        <f t="shared" ca="1" si="210"/>
        <v>-0.95933059238390783</v>
      </c>
      <c r="U962" s="69">
        <f t="shared" ca="1" si="211"/>
        <v>-1.8218013239603095</v>
      </c>
      <c r="V962" s="69">
        <f t="shared" ca="1" si="212"/>
        <v>0.18277195905076934</v>
      </c>
      <c r="W962" s="69">
        <f t="shared" ca="1" si="213"/>
        <v>-0.71903420675439433</v>
      </c>
      <c r="X962" s="69">
        <f t="shared" ca="1" si="214"/>
        <v>-1.278831096949119</v>
      </c>
    </row>
    <row r="963" spans="2:24" x14ac:dyDescent="0.2">
      <c r="B963" s="69">
        <f t="shared" ca="1" si="203"/>
        <v>0.98735055047228648</v>
      </c>
      <c r="C963" s="69">
        <f t="shared" ca="1" si="217"/>
        <v>-1.988297569819262</v>
      </c>
      <c r="D963" s="69">
        <f t="shared" ca="1" si="217"/>
        <v>-0.50173598509277206</v>
      </c>
      <c r="E963" s="69">
        <f t="shared" ca="1" si="217"/>
        <v>-0.1577497138045966</v>
      </c>
      <c r="F963" s="69">
        <f t="shared" ca="1" si="217"/>
        <v>0.13947536047905365</v>
      </c>
      <c r="G963" s="69">
        <f t="shared" ca="1" si="217"/>
        <v>-0.85145371379696733</v>
      </c>
      <c r="H963" s="69">
        <f t="shared" ca="1" si="217"/>
        <v>-0.36804541738728691</v>
      </c>
      <c r="I963" s="69">
        <f t="shared" ca="1" si="217"/>
        <v>0.95700186904058693</v>
      </c>
      <c r="J963" s="69">
        <f t="shared" ca="1" si="217"/>
        <v>1.0728767749250971</v>
      </c>
      <c r="K963" s="69">
        <f t="shared" ca="1" si="217"/>
        <v>2.5564267373144425</v>
      </c>
      <c r="L963" s="69">
        <f t="shared" ca="1" si="217"/>
        <v>3.3709653861686357</v>
      </c>
      <c r="N963" s="69">
        <f t="shared" ca="1" si="204"/>
        <v>1.0251185943103953</v>
      </c>
      <c r="O963" s="69">
        <f t="shared" ca="1" si="205"/>
        <v>-2.0147911329021486</v>
      </c>
      <c r="P963" s="69">
        <f t="shared" ca="1" si="206"/>
        <v>-0.55947804992986205</v>
      </c>
      <c r="Q963" s="69">
        <f t="shared" ca="1" si="207"/>
        <v>-0.10864103494283765</v>
      </c>
      <c r="R963" s="69">
        <f t="shared" ca="1" si="208"/>
        <v>0.13318067507140474</v>
      </c>
      <c r="S963" s="69">
        <f t="shared" ca="1" si="209"/>
        <v>-0.8186267415401588</v>
      </c>
      <c r="T963" s="69">
        <f t="shared" ca="1" si="210"/>
        <v>-0.37287645510247674</v>
      </c>
      <c r="U963" s="69">
        <f t="shared" ca="1" si="211"/>
        <v>0.98004199591829655</v>
      </c>
      <c r="V963" s="69">
        <f t="shared" ca="1" si="212"/>
        <v>1.0667671813514998</v>
      </c>
      <c r="W963" s="69">
        <f t="shared" ca="1" si="213"/>
        <v>2.5574080941385415</v>
      </c>
      <c r="X963" s="69">
        <f t="shared" ca="1" si="214"/>
        <v>3.3981338765430711</v>
      </c>
    </row>
    <row r="964" spans="2:24" x14ac:dyDescent="0.2">
      <c r="B964" s="69">
        <f t="shared" ca="1" si="203"/>
        <v>-0.22398889737581848</v>
      </c>
      <c r="C964" s="69">
        <f t="shared" ca="1" si="217"/>
        <v>1.2160564522612274</v>
      </c>
      <c r="D964" s="69">
        <f t="shared" ca="1" si="217"/>
        <v>0.73359928414054931</v>
      </c>
      <c r="E964" s="69">
        <f t="shared" ca="1" si="217"/>
        <v>-1.3691901109492113</v>
      </c>
      <c r="F964" s="69">
        <f t="shared" ca="1" si="217"/>
        <v>-5.2526222289791353E-3</v>
      </c>
      <c r="G964" s="69">
        <f t="shared" ca="1" si="217"/>
        <v>-0.49654740550136572</v>
      </c>
      <c r="H964" s="69">
        <f t="shared" ca="1" si="217"/>
        <v>0.51788448390120001</v>
      </c>
      <c r="I964" s="69">
        <f t="shared" ca="1" si="217"/>
        <v>1.1573119472381466</v>
      </c>
      <c r="J964" s="69">
        <f t="shared" ca="1" si="217"/>
        <v>-0.28512544738024515</v>
      </c>
      <c r="K964" s="69">
        <f t="shared" ca="1" si="217"/>
        <v>-1.0408733702325206</v>
      </c>
      <c r="L964" s="69">
        <f t="shared" ca="1" si="217"/>
        <v>-0.45139478765986479</v>
      </c>
      <c r="N964" s="69">
        <f t="shared" ca="1" si="204"/>
        <v>-0.18622085353770967</v>
      </c>
      <c r="O964" s="69">
        <f t="shared" ca="1" si="205"/>
        <v>1.1895628891783407</v>
      </c>
      <c r="P964" s="69">
        <f t="shared" ca="1" si="206"/>
        <v>0.67585721930345932</v>
      </c>
      <c r="Q964" s="69">
        <f t="shared" ca="1" si="207"/>
        <v>-1.3200814320874523</v>
      </c>
      <c r="R964" s="69">
        <f t="shared" ca="1" si="208"/>
        <v>-1.1547307636628031E-2</v>
      </c>
      <c r="S964" s="69">
        <f t="shared" ca="1" si="209"/>
        <v>-0.46372043324455725</v>
      </c>
      <c r="T964" s="69">
        <f t="shared" ca="1" si="210"/>
        <v>0.51305344618601012</v>
      </c>
      <c r="U964" s="69">
        <f t="shared" ca="1" si="211"/>
        <v>1.1803520741158562</v>
      </c>
      <c r="V964" s="69">
        <f t="shared" ca="1" si="212"/>
        <v>-0.29123504095384245</v>
      </c>
      <c r="W964" s="69">
        <f t="shared" ca="1" si="213"/>
        <v>-1.0398920134084215</v>
      </c>
      <c r="X964" s="69">
        <f t="shared" ca="1" si="214"/>
        <v>-0.42422629728542932</v>
      </c>
    </row>
    <row r="965" spans="2:24" x14ac:dyDescent="0.2">
      <c r="B965" s="69">
        <f t="shared" ca="1" si="203"/>
        <v>1.456835163040938</v>
      </c>
      <c r="C965" s="69">
        <f t="shared" ca="1" si="217"/>
        <v>0.23851579664355652</v>
      </c>
      <c r="D965" s="69">
        <f t="shared" ca="1" si="217"/>
        <v>-1.4828404476125001</v>
      </c>
      <c r="E965" s="69">
        <f t="shared" ca="1" si="217"/>
        <v>-0.46298147220434377</v>
      </c>
      <c r="F965" s="69">
        <f t="shared" ca="1" si="217"/>
        <v>-0.70948756712931316</v>
      </c>
      <c r="G965" s="69">
        <f t="shared" ca="1" si="217"/>
        <v>-1.4349666033045407</v>
      </c>
      <c r="H965" s="69">
        <f t="shared" ca="1" si="217"/>
        <v>-0.76540823001276737</v>
      </c>
      <c r="I965" s="69">
        <f t="shared" ca="1" si="217"/>
        <v>-0.17075300599799545</v>
      </c>
      <c r="J965" s="69">
        <f t="shared" ca="1" si="217"/>
        <v>-3.5450505139248127E-2</v>
      </c>
      <c r="K965" s="69">
        <f t="shared" ca="1" si="217"/>
        <v>-1.5507924270336337</v>
      </c>
      <c r="L965" s="69">
        <f t="shared" ca="1" si="217"/>
        <v>1.2116373295817706</v>
      </c>
      <c r="N965" s="69">
        <f t="shared" ca="1" si="204"/>
        <v>1.4946032068790467</v>
      </c>
      <c r="O965" s="69">
        <f t="shared" ca="1" si="205"/>
        <v>0.21202223356066982</v>
      </c>
      <c r="P965" s="69">
        <f t="shared" ca="1" si="206"/>
        <v>-1.5405825124495902</v>
      </c>
      <c r="Q965" s="69">
        <f t="shared" ca="1" si="207"/>
        <v>-0.41387279334258481</v>
      </c>
      <c r="R965" s="69">
        <f t="shared" ca="1" si="208"/>
        <v>-0.71578225253696204</v>
      </c>
      <c r="S965" s="69">
        <f t="shared" ca="1" si="209"/>
        <v>-1.4021396310477323</v>
      </c>
      <c r="T965" s="69">
        <f t="shared" ca="1" si="210"/>
        <v>-0.77023926772795726</v>
      </c>
      <c r="U965" s="69">
        <f t="shared" ca="1" si="211"/>
        <v>-0.1477128791202858</v>
      </c>
      <c r="V965" s="69">
        <f t="shared" ca="1" si="212"/>
        <v>-4.156009871284546E-2</v>
      </c>
      <c r="W965" s="69">
        <f t="shared" ca="1" si="213"/>
        <v>-1.5498110702095347</v>
      </c>
      <c r="X965" s="69">
        <f t="shared" ca="1" si="214"/>
        <v>1.2388058199562062</v>
      </c>
    </row>
    <row r="966" spans="2:24" x14ac:dyDescent="0.2">
      <c r="B966" s="69">
        <f t="shared" ca="1" si="203"/>
        <v>0.28490244873993842</v>
      </c>
      <c r="C966" s="69">
        <f t="shared" ca="1" si="217"/>
        <v>-0.1396705841863633</v>
      </c>
      <c r="D966" s="69">
        <f t="shared" ca="1" si="217"/>
        <v>1.7317885111617071</v>
      </c>
      <c r="E966" s="69">
        <f t="shared" ca="1" si="217"/>
        <v>0.64547227559140408</v>
      </c>
      <c r="F966" s="69">
        <f t="shared" ca="1" si="217"/>
        <v>0.59921030738189385</v>
      </c>
      <c r="G966" s="69">
        <f t="shared" ca="1" si="217"/>
        <v>0.41713978385112338</v>
      </c>
      <c r="H966" s="69">
        <f t="shared" ca="1" si="217"/>
        <v>-0.35537424927901873</v>
      </c>
      <c r="I966" s="69">
        <f t="shared" ca="1" si="217"/>
        <v>-0.87692653897333095</v>
      </c>
      <c r="J966" s="69">
        <f t="shared" ca="1" si="217"/>
        <v>0.19693995306324269</v>
      </c>
      <c r="K966" s="69">
        <f t="shared" ca="1" si="217"/>
        <v>-3.134384393768716E-3</v>
      </c>
      <c r="L966" s="69">
        <f t="shared" ca="1" si="217"/>
        <v>-1.2746805553022622</v>
      </c>
      <c r="N966" s="69">
        <f t="shared" ca="1" si="204"/>
        <v>0.32267049257804725</v>
      </c>
      <c r="O966" s="69">
        <f t="shared" ca="1" si="205"/>
        <v>-0.16616414726925</v>
      </c>
      <c r="P966" s="69">
        <f t="shared" ca="1" si="206"/>
        <v>1.674046446324617</v>
      </c>
      <c r="Q966" s="69">
        <f t="shared" ca="1" si="207"/>
        <v>0.69458095445316304</v>
      </c>
      <c r="R966" s="69">
        <f t="shared" ca="1" si="208"/>
        <v>0.59291562197424497</v>
      </c>
      <c r="S966" s="69">
        <f t="shared" ca="1" si="209"/>
        <v>0.44996675610793185</v>
      </c>
      <c r="T966" s="69">
        <f t="shared" ca="1" si="210"/>
        <v>-0.36020528699420856</v>
      </c>
      <c r="U966" s="69">
        <f t="shared" ca="1" si="211"/>
        <v>-0.85388641209562133</v>
      </c>
      <c r="V966" s="69">
        <f t="shared" ca="1" si="212"/>
        <v>0.19083035948964536</v>
      </c>
      <c r="W966" s="69">
        <f t="shared" ca="1" si="213"/>
        <v>-2.1530275696697646E-3</v>
      </c>
      <c r="X966" s="69">
        <f t="shared" ca="1" si="214"/>
        <v>-1.2475120649278266</v>
      </c>
    </row>
    <row r="967" spans="2:24" x14ac:dyDescent="0.2">
      <c r="B967" s="69">
        <f t="shared" ca="1" si="203"/>
        <v>-1.29438375602308</v>
      </c>
      <c r="C967" s="69">
        <f t="shared" ca="1" si="217"/>
        <v>1.1841648985174227</v>
      </c>
      <c r="D967" s="69">
        <f t="shared" ca="1" si="217"/>
        <v>0.34861076377686129</v>
      </c>
      <c r="E967" s="69">
        <f t="shared" ca="1" si="217"/>
        <v>-1.8123645572665867</v>
      </c>
      <c r="F967" s="69">
        <f t="shared" ca="1" si="217"/>
        <v>6.6510259507399555E-2</v>
      </c>
      <c r="G967" s="69">
        <f t="shared" ca="1" si="217"/>
        <v>-1.2519889451037032</v>
      </c>
      <c r="H967" s="69">
        <f t="shared" ca="1" si="217"/>
        <v>-0.69762452875376213</v>
      </c>
      <c r="I967" s="69">
        <f t="shared" ca="1" si="217"/>
        <v>-1.0394155458194894</v>
      </c>
      <c r="J967" s="69">
        <f t="shared" ca="1" si="217"/>
        <v>-0.41709399819363563</v>
      </c>
      <c r="K967" s="69">
        <f t="shared" ca="1" si="217"/>
        <v>0.20706414589587699</v>
      </c>
      <c r="L967" s="69">
        <f t="shared" ca="1" si="217"/>
        <v>-0.27547969743328593</v>
      </c>
      <c r="N967" s="69">
        <f t="shared" ca="1" si="204"/>
        <v>-1.2566157121849713</v>
      </c>
      <c r="O967" s="69">
        <f t="shared" ca="1" si="205"/>
        <v>1.157671335434536</v>
      </c>
      <c r="P967" s="69">
        <f t="shared" ca="1" si="206"/>
        <v>0.29086869893977124</v>
      </c>
      <c r="Q967" s="69">
        <f t="shared" ca="1" si="207"/>
        <v>-1.7632558784048278</v>
      </c>
      <c r="R967" s="69">
        <f t="shared" ca="1" si="208"/>
        <v>6.021557409975066E-2</v>
      </c>
      <c r="S967" s="69">
        <f t="shared" ca="1" si="209"/>
        <v>-1.2191619728468948</v>
      </c>
      <c r="T967" s="69">
        <f t="shared" ca="1" si="210"/>
        <v>-0.70245556646895202</v>
      </c>
      <c r="U967" s="69">
        <f t="shared" ca="1" si="211"/>
        <v>-1.0163754189417797</v>
      </c>
      <c r="V967" s="69">
        <f t="shared" ca="1" si="212"/>
        <v>-0.42320359176723293</v>
      </c>
      <c r="W967" s="69">
        <f t="shared" ca="1" si="213"/>
        <v>0.20804550271997593</v>
      </c>
      <c r="X967" s="69">
        <f t="shared" ca="1" si="214"/>
        <v>-0.24831120705885046</v>
      </c>
    </row>
    <row r="968" spans="2:24" x14ac:dyDescent="0.2">
      <c r="B968" s="69">
        <f t="shared" ca="1" si="203"/>
        <v>0.37981784465059931</v>
      </c>
      <c r="C968" s="69">
        <f t="shared" ca="1" si="217"/>
        <v>1.8422177672719844</v>
      </c>
      <c r="D968" s="69">
        <f t="shared" ca="1" si="217"/>
        <v>-2.4456278615475169</v>
      </c>
      <c r="E968" s="69">
        <f t="shared" ca="1" si="217"/>
        <v>1.3409300107386934</v>
      </c>
      <c r="F968" s="69">
        <f t="shared" ca="1" si="217"/>
        <v>1.066259885445952</v>
      </c>
      <c r="G968" s="69">
        <f t="shared" ca="1" si="217"/>
        <v>0.68373002952827144</v>
      </c>
      <c r="H968" s="69">
        <f t="shared" ca="1" si="217"/>
        <v>-0.49468474717880334</v>
      </c>
      <c r="I968" s="69">
        <f t="shared" ca="1" si="217"/>
        <v>-0.85756198761287339</v>
      </c>
      <c r="J968" s="69">
        <f t="shared" ca="1" si="217"/>
        <v>-0.10235810264814083</v>
      </c>
      <c r="K968" s="69">
        <f t="shared" ca="1" si="217"/>
        <v>0.46025514113267607</v>
      </c>
      <c r="L968" s="69">
        <f t="shared" ca="1" si="217"/>
        <v>0.44974238202752603</v>
      </c>
      <c r="N968" s="69">
        <f t="shared" ca="1" si="204"/>
        <v>0.41758588848870815</v>
      </c>
      <c r="O968" s="69">
        <f t="shared" ca="1" si="205"/>
        <v>1.8157242041890977</v>
      </c>
      <c r="P968" s="69">
        <f t="shared" ca="1" si="206"/>
        <v>-2.503369926384607</v>
      </c>
      <c r="Q968" s="69">
        <f t="shared" ca="1" si="207"/>
        <v>1.3900386896004524</v>
      </c>
      <c r="R968" s="69">
        <f t="shared" ca="1" si="208"/>
        <v>1.0599652000383031</v>
      </c>
      <c r="S968" s="69">
        <f t="shared" ca="1" si="209"/>
        <v>0.71655700178507997</v>
      </c>
      <c r="T968" s="69">
        <f t="shared" ca="1" si="210"/>
        <v>-0.49951578489399318</v>
      </c>
      <c r="U968" s="69">
        <f t="shared" ca="1" si="211"/>
        <v>-0.83452186073516377</v>
      </c>
      <c r="V968" s="69">
        <f t="shared" ca="1" si="212"/>
        <v>-0.10846769622173816</v>
      </c>
      <c r="W968" s="69">
        <f t="shared" ca="1" si="213"/>
        <v>0.46123649795677502</v>
      </c>
      <c r="X968" s="69">
        <f t="shared" ca="1" si="214"/>
        <v>0.47691087240196151</v>
      </c>
    </row>
    <row r="969" spans="2:24" x14ac:dyDescent="0.2">
      <c r="B969" s="69">
        <f t="shared" ca="1" si="203"/>
        <v>-0.24376182660726173</v>
      </c>
      <c r="C969" s="69">
        <f t="shared" ca="1" si="217"/>
        <v>1.1450071090362659</v>
      </c>
      <c r="D969" s="69">
        <f t="shared" ca="1" si="217"/>
        <v>-1.47708767998986</v>
      </c>
      <c r="E969" s="69">
        <f t="shared" ca="1" si="217"/>
        <v>0.58275683483110563</v>
      </c>
      <c r="F969" s="69">
        <f t="shared" ca="1" si="217"/>
        <v>-0.86970567384466368</v>
      </c>
      <c r="G969" s="69">
        <f t="shared" ca="1" si="217"/>
        <v>0.1882604032992542</v>
      </c>
      <c r="H969" s="69">
        <f t="shared" ca="1" si="217"/>
        <v>1.5062553658858158</v>
      </c>
      <c r="I969" s="69">
        <f t="shared" ca="1" si="217"/>
        <v>-0.47878089468168755</v>
      </c>
      <c r="J969" s="69">
        <f t="shared" ca="1" si="217"/>
        <v>-0.86973933303074935</v>
      </c>
      <c r="K969" s="69">
        <f t="shared" ca="1" si="217"/>
        <v>1.1136817634088854</v>
      </c>
      <c r="L969" s="69">
        <f t="shared" ca="1" si="217"/>
        <v>-0.10863589604948094</v>
      </c>
      <c r="N969" s="69">
        <f t="shared" ca="1" si="204"/>
        <v>-0.20599378276915292</v>
      </c>
      <c r="O969" s="69">
        <f t="shared" ca="1" si="205"/>
        <v>1.1185135459533793</v>
      </c>
      <c r="P969" s="69">
        <f t="shared" ca="1" si="206"/>
        <v>-1.5348297448269501</v>
      </c>
      <c r="Q969" s="69">
        <f t="shared" ca="1" si="207"/>
        <v>0.63186551369286459</v>
      </c>
      <c r="R969" s="69">
        <f t="shared" ca="1" si="208"/>
        <v>-0.87600035925231257</v>
      </c>
      <c r="S969" s="69">
        <f t="shared" ca="1" si="209"/>
        <v>0.22108737555606267</v>
      </c>
      <c r="T969" s="69">
        <f t="shared" ca="1" si="210"/>
        <v>1.5014243281706259</v>
      </c>
      <c r="U969" s="69">
        <f t="shared" ca="1" si="211"/>
        <v>-0.45574076780397788</v>
      </c>
      <c r="V969" s="69">
        <f t="shared" ca="1" si="212"/>
        <v>-0.87584892660434666</v>
      </c>
      <c r="W969" s="69">
        <f t="shared" ca="1" si="213"/>
        <v>1.1146631202329844</v>
      </c>
      <c r="X969" s="69">
        <f t="shared" ca="1" si="214"/>
        <v>-8.1467405675045457E-2</v>
      </c>
    </row>
    <row r="970" spans="2:24" x14ac:dyDescent="0.2">
      <c r="B970" s="69">
        <f t="shared" ref="B970:B1008" ca="1" si="218">NORMINV(RAND(),$C$7,$F$7)</f>
        <v>1.4802283715721738</v>
      </c>
      <c r="C970" s="69">
        <f t="shared" ca="1" si="217"/>
        <v>-1.722404969486534</v>
      </c>
      <c r="D970" s="69">
        <f t="shared" ca="1" si="217"/>
        <v>1.9047055324151043</v>
      </c>
      <c r="E970" s="69">
        <f t="shared" ca="1" si="217"/>
        <v>-1.1015129146618823</v>
      </c>
      <c r="F970" s="69">
        <f t="shared" ca="1" si="217"/>
        <v>0.38081511747285285</v>
      </c>
      <c r="G970" s="69">
        <f t="shared" ca="1" si="217"/>
        <v>1.1099650300038668</v>
      </c>
      <c r="H970" s="69">
        <f t="shared" ca="1" si="217"/>
        <v>-0.61525080873419047</v>
      </c>
      <c r="I970" s="69">
        <f t="shared" ca="1" si="217"/>
        <v>-1.5203365359790915</v>
      </c>
      <c r="J970" s="69">
        <f t="shared" ca="1" si="217"/>
        <v>-0.18412872024101543</v>
      </c>
      <c r="K970" s="69">
        <f t="shared" ca="1" si="217"/>
        <v>-0.88402536917747132</v>
      </c>
      <c r="L970" s="69">
        <f t="shared" ca="1" si="217"/>
        <v>1.0756578067625915</v>
      </c>
      <c r="N970" s="69">
        <f t="shared" ref="N970:N1008" ca="1" si="219">B970-$B$1010</f>
        <v>1.5179964154102825</v>
      </c>
      <c r="O970" s="69">
        <f t="shared" ref="O970:O1008" ca="1" si="220">C970-$C$1010</f>
        <v>-1.7488985325694206</v>
      </c>
      <c r="P970" s="69">
        <f t="shared" ref="P970:P1008" ca="1" si="221">D970-$D$1010</f>
        <v>1.8469634675780142</v>
      </c>
      <c r="Q970" s="69">
        <f t="shared" ref="Q970:Q1008" ca="1" si="222">E970-$E$1010</f>
        <v>-1.0524042358001233</v>
      </c>
      <c r="R970" s="69">
        <f t="shared" ref="R970:R1008" ca="1" si="223">F970-$F$1010</f>
        <v>0.37452043206520397</v>
      </c>
      <c r="S970" s="69">
        <f t="shared" ref="S970:S1008" ca="1" si="224">G970-$G$1010</f>
        <v>1.1427920022606752</v>
      </c>
      <c r="T970" s="69">
        <f t="shared" ref="T970:T1008" ca="1" si="225">H970-$H$1010</f>
        <v>-0.62008184644938036</v>
      </c>
      <c r="U970" s="69">
        <f t="shared" ref="U970:U1008" ca="1" si="226">I970-$I$1010</f>
        <v>-1.4972964091013818</v>
      </c>
      <c r="V970" s="69">
        <f t="shared" ref="V970:V1008" ca="1" si="227">J970-$J$1010</f>
        <v>-0.19023831381461276</v>
      </c>
      <c r="W970" s="69">
        <f t="shared" ref="W970:W1008" ca="1" si="228">K970-$K$1010</f>
        <v>-0.88304401235337238</v>
      </c>
      <c r="X970" s="69">
        <f t="shared" ref="X970:X1008" ca="1" si="229">L970-$L$1010</f>
        <v>1.1028262971370271</v>
      </c>
    </row>
    <row r="971" spans="2:24" x14ac:dyDescent="0.2">
      <c r="B971" s="69">
        <f t="shared" ca="1" si="218"/>
        <v>0.367357395247706</v>
      </c>
      <c r="C971" s="69">
        <f t="shared" ca="1" si="217"/>
        <v>-0.59878276263588848</v>
      </c>
      <c r="D971" s="69">
        <f t="shared" ca="1" si="217"/>
        <v>0.6396794009055381</v>
      </c>
      <c r="E971" s="69">
        <f t="shared" ca="1" si="217"/>
        <v>-0.12202931605585846</v>
      </c>
      <c r="F971" s="69">
        <f t="shared" ca="1" si="217"/>
        <v>-0.58480464881749883</v>
      </c>
      <c r="G971" s="69">
        <f t="shared" ca="1" si="217"/>
        <v>0.9613427684480218</v>
      </c>
      <c r="H971" s="69">
        <f t="shared" ca="1" si="217"/>
        <v>0.81370551887849862</v>
      </c>
      <c r="I971" s="69">
        <f t="shared" ca="1" si="217"/>
        <v>-1.5332943907864833</v>
      </c>
      <c r="J971" s="69">
        <f t="shared" ca="1" si="217"/>
        <v>-0.91834041476840356</v>
      </c>
      <c r="K971" s="69">
        <f t="shared" ca="1" si="217"/>
        <v>0.48547962816503026</v>
      </c>
      <c r="L971" s="69">
        <f t="shared" ca="1" si="217"/>
        <v>-0.28367332432010106</v>
      </c>
      <c r="N971" s="69">
        <f t="shared" ca="1" si="219"/>
        <v>0.40512543908581483</v>
      </c>
      <c r="O971" s="69">
        <f t="shared" ca="1" si="220"/>
        <v>-0.62527632571877512</v>
      </c>
      <c r="P971" s="69">
        <f t="shared" ca="1" si="221"/>
        <v>0.58193733606844811</v>
      </c>
      <c r="Q971" s="69">
        <f t="shared" ca="1" si="222"/>
        <v>-7.2920637194099511E-2</v>
      </c>
      <c r="R971" s="69">
        <f t="shared" ca="1" si="223"/>
        <v>-0.59109933422514771</v>
      </c>
      <c r="S971" s="69">
        <f t="shared" ca="1" si="224"/>
        <v>0.99416974070483033</v>
      </c>
      <c r="T971" s="69">
        <f t="shared" ca="1" si="225"/>
        <v>0.80887448116330873</v>
      </c>
      <c r="U971" s="69">
        <f t="shared" ca="1" si="226"/>
        <v>-1.5102542639087737</v>
      </c>
      <c r="V971" s="69">
        <f t="shared" ca="1" si="227"/>
        <v>-0.92445000834200086</v>
      </c>
      <c r="W971" s="69">
        <f t="shared" ca="1" si="228"/>
        <v>0.48646098498912921</v>
      </c>
      <c r="X971" s="69">
        <f t="shared" ca="1" si="229"/>
        <v>-0.25650483394566559</v>
      </c>
    </row>
    <row r="972" spans="2:24" x14ac:dyDescent="0.2">
      <c r="B972" s="69">
        <f t="shared" ca="1" si="218"/>
        <v>0.11489269106262108</v>
      </c>
      <c r="C972" s="69">
        <f t="shared" ca="1" si="217"/>
        <v>-1.0706796713677891</v>
      </c>
      <c r="D972" s="69">
        <f t="shared" ca="1" si="217"/>
        <v>-0.74061755591474243</v>
      </c>
      <c r="E972" s="69">
        <f t="shared" ca="1" si="217"/>
        <v>0.29667436546694603</v>
      </c>
      <c r="F972" s="69">
        <f t="shared" ca="1" si="217"/>
        <v>-1.3270887214708778</v>
      </c>
      <c r="G972" s="69">
        <f t="shared" ca="1" si="217"/>
        <v>-0.98087438007185812</v>
      </c>
      <c r="H972" s="69">
        <f t="shared" ca="1" si="217"/>
        <v>-1.1782096969545282</v>
      </c>
      <c r="I972" s="69">
        <f t="shared" ca="1" si="217"/>
        <v>-1.3376694694089533</v>
      </c>
      <c r="J972" s="69">
        <f t="shared" ca="1" si="217"/>
        <v>0.22673010786268694</v>
      </c>
      <c r="K972" s="69">
        <f t="shared" ca="1" si="217"/>
        <v>-0.1984190053920071</v>
      </c>
      <c r="L972" s="69">
        <f t="shared" ca="1" si="217"/>
        <v>0.61599095128407166</v>
      </c>
      <c r="N972" s="69">
        <f t="shared" ca="1" si="219"/>
        <v>0.1526607349007299</v>
      </c>
      <c r="O972" s="69">
        <f t="shared" ca="1" si="220"/>
        <v>-1.0971732344506757</v>
      </c>
      <c r="P972" s="69">
        <f t="shared" ca="1" si="221"/>
        <v>-0.79835962075183242</v>
      </c>
      <c r="Q972" s="69">
        <f t="shared" ca="1" si="222"/>
        <v>0.34578304432870499</v>
      </c>
      <c r="R972" s="69">
        <f t="shared" ca="1" si="223"/>
        <v>-1.3333834068785266</v>
      </c>
      <c r="S972" s="69">
        <f t="shared" ca="1" si="224"/>
        <v>-0.94804740781504959</v>
      </c>
      <c r="T972" s="69">
        <f t="shared" ca="1" si="225"/>
        <v>-1.183040734669718</v>
      </c>
      <c r="U972" s="69">
        <f t="shared" ca="1" si="226"/>
        <v>-1.3146293425312436</v>
      </c>
      <c r="V972" s="69">
        <f t="shared" ca="1" si="227"/>
        <v>0.2206205142890896</v>
      </c>
      <c r="W972" s="69">
        <f t="shared" ca="1" si="228"/>
        <v>-0.19743764856790816</v>
      </c>
      <c r="X972" s="69">
        <f t="shared" ca="1" si="229"/>
        <v>0.64315944165850714</v>
      </c>
    </row>
    <row r="973" spans="2:24" x14ac:dyDescent="0.2">
      <c r="B973" s="69">
        <f t="shared" ca="1" si="218"/>
        <v>1.1525723739256548</v>
      </c>
      <c r="C973" s="69">
        <f t="shared" ca="1" si="217"/>
        <v>2.1410196190807431</v>
      </c>
      <c r="D973" s="69">
        <f t="shared" ca="1" si="217"/>
        <v>1.3249138926303512</v>
      </c>
      <c r="E973" s="69">
        <f t="shared" ca="1" si="217"/>
        <v>1.3074148285579501</v>
      </c>
      <c r="F973" s="69">
        <f t="shared" ca="1" si="217"/>
        <v>-1.7366192140782739</v>
      </c>
      <c r="G973" s="69">
        <f t="shared" ca="1" si="217"/>
        <v>1.1610688022702589</v>
      </c>
      <c r="H973" s="69">
        <f t="shared" ca="1" si="217"/>
        <v>1.1971663660135845</v>
      </c>
      <c r="I973" s="69">
        <f t="shared" ca="1" si="217"/>
        <v>0.11802724828950868</v>
      </c>
      <c r="J973" s="69">
        <f t="shared" ca="1" si="217"/>
        <v>0.51654690339030984</v>
      </c>
      <c r="K973" s="69">
        <f t="shared" ca="1" si="217"/>
        <v>1.5359071383587741</v>
      </c>
      <c r="L973" s="69">
        <f t="shared" ca="1" si="217"/>
        <v>0.3838228021127113</v>
      </c>
      <c r="N973" s="69">
        <f t="shared" ca="1" si="219"/>
        <v>1.1903404177637635</v>
      </c>
      <c r="O973" s="69">
        <f t="shared" ca="1" si="220"/>
        <v>2.1145260559978563</v>
      </c>
      <c r="P973" s="69">
        <f t="shared" ca="1" si="221"/>
        <v>1.2671718277932611</v>
      </c>
      <c r="Q973" s="69">
        <f t="shared" ca="1" si="222"/>
        <v>1.3565235074197091</v>
      </c>
      <c r="R973" s="69">
        <f t="shared" ca="1" si="223"/>
        <v>-1.7429138994859228</v>
      </c>
      <c r="S973" s="69">
        <f t="shared" ca="1" si="224"/>
        <v>1.1938957745270673</v>
      </c>
      <c r="T973" s="69">
        <f t="shared" ca="1" si="225"/>
        <v>1.1923353282983946</v>
      </c>
      <c r="U973" s="69">
        <f t="shared" ca="1" si="226"/>
        <v>0.14106737516721835</v>
      </c>
      <c r="V973" s="69">
        <f t="shared" ca="1" si="227"/>
        <v>0.51043730981671254</v>
      </c>
      <c r="W973" s="69">
        <f t="shared" ca="1" si="228"/>
        <v>1.5368884951828732</v>
      </c>
      <c r="X973" s="69">
        <f t="shared" ca="1" si="229"/>
        <v>0.41099129248714678</v>
      </c>
    </row>
    <row r="974" spans="2:24" x14ac:dyDescent="0.2">
      <c r="B974" s="69">
        <f t="shared" ca="1" si="218"/>
        <v>2.1985803349277493</v>
      </c>
      <c r="C974" s="69">
        <f t="shared" ca="1" si="217"/>
        <v>-1.6251783965943221</v>
      </c>
      <c r="D974" s="69">
        <f t="shared" ca="1" si="217"/>
        <v>-0.79551176665069101</v>
      </c>
      <c r="E974" s="69">
        <f t="shared" ca="1" si="217"/>
        <v>-0.87307421659405937</v>
      </c>
      <c r="F974" s="69">
        <f t="shared" ca="1" si="217"/>
        <v>0.83511123247133967</v>
      </c>
      <c r="G974" s="69">
        <f t="shared" ca="1" si="217"/>
        <v>1.7373763570954472</v>
      </c>
      <c r="H974" s="69">
        <f t="shared" ca="1" si="217"/>
        <v>-0.14508893319351054</v>
      </c>
      <c r="I974" s="69">
        <f t="shared" ca="1" si="217"/>
        <v>-0.8463500412782371</v>
      </c>
      <c r="J974" s="69">
        <f t="shared" ca="1" si="217"/>
        <v>-0.47178735471831573</v>
      </c>
      <c r="K974" s="69">
        <f t="shared" ca="1" si="217"/>
        <v>-0.24240518954606199</v>
      </c>
      <c r="L974" s="69">
        <f t="shared" ca="1" si="217"/>
        <v>0.70480548906073737</v>
      </c>
      <c r="N974" s="69">
        <f t="shared" ca="1" si="219"/>
        <v>2.2363483787658582</v>
      </c>
      <c r="O974" s="69">
        <f t="shared" ca="1" si="220"/>
        <v>-1.6516719596772087</v>
      </c>
      <c r="P974" s="69">
        <f t="shared" ca="1" si="221"/>
        <v>-0.853253831487781</v>
      </c>
      <c r="Q974" s="69">
        <f t="shared" ca="1" si="222"/>
        <v>-0.82396553773230041</v>
      </c>
      <c r="R974" s="69">
        <f t="shared" ca="1" si="223"/>
        <v>0.82881654706369079</v>
      </c>
      <c r="S974" s="69">
        <f t="shared" ca="1" si="224"/>
        <v>1.7702033293522557</v>
      </c>
      <c r="T974" s="69">
        <f t="shared" ca="1" si="225"/>
        <v>-0.14991997090870038</v>
      </c>
      <c r="U974" s="69">
        <f t="shared" ca="1" si="226"/>
        <v>-0.82330991440052748</v>
      </c>
      <c r="V974" s="69">
        <f t="shared" ca="1" si="227"/>
        <v>-0.47789694829191304</v>
      </c>
      <c r="W974" s="69">
        <f t="shared" ca="1" si="228"/>
        <v>-0.24142383272196305</v>
      </c>
      <c r="X974" s="69">
        <f t="shared" ca="1" si="229"/>
        <v>0.73197397943517284</v>
      </c>
    </row>
    <row r="975" spans="2:24" x14ac:dyDescent="0.2">
      <c r="B975" s="69">
        <f t="shared" ca="1" si="218"/>
        <v>0.42130713151653976</v>
      </c>
      <c r="C975" s="69">
        <f t="shared" ca="1" si="217"/>
        <v>8.6870983135878821E-2</v>
      </c>
      <c r="D975" s="69">
        <f t="shared" ca="1" si="217"/>
        <v>-0.23486695341208558</v>
      </c>
      <c r="E975" s="69">
        <f t="shared" ca="1" si="217"/>
        <v>1.538399230116446</v>
      </c>
      <c r="F975" s="69">
        <f t="shared" ca="1" si="217"/>
        <v>0.8486570612854164</v>
      </c>
      <c r="G975" s="69">
        <f t="shared" ca="1" si="217"/>
        <v>0.31201724999371078</v>
      </c>
      <c r="H975" s="69">
        <f t="shared" ca="1" si="217"/>
        <v>-1.4508211789631302</v>
      </c>
      <c r="I975" s="69">
        <f t="shared" ca="1" si="217"/>
        <v>0.29024936328549544</v>
      </c>
      <c r="J975" s="69">
        <f t="shared" ca="1" si="217"/>
        <v>0.12248639049197745</v>
      </c>
      <c r="K975" s="69">
        <f t="shared" ca="1" si="217"/>
        <v>0.29346316932765587</v>
      </c>
      <c r="L975" s="69">
        <f t="shared" ca="1" si="217"/>
        <v>1.8106010976215472</v>
      </c>
      <c r="N975" s="69">
        <f t="shared" ca="1" si="219"/>
        <v>0.45907517535464859</v>
      </c>
      <c r="O975" s="69">
        <f t="shared" ca="1" si="220"/>
        <v>6.037742005299214E-2</v>
      </c>
      <c r="P975" s="69">
        <f t="shared" ca="1" si="221"/>
        <v>-0.29260901824917562</v>
      </c>
      <c r="Q975" s="69">
        <f t="shared" ca="1" si="222"/>
        <v>1.5875079089782049</v>
      </c>
      <c r="R975" s="69">
        <f t="shared" ca="1" si="223"/>
        <v>0.84236237587776752</v>
      </c>
      <c r="S975" s="69">
        <f t="shared" ca="1" si="224"/>
        <v>0.34484422225051925</v>
      </c>
      <c r="T975" s="69">
        <f t="shared" ca="1" si="225"/>
        <v>-1.4556522166783201</v>
      </c>
      <c r="U975" s="69">
        <f t="shared" ca="1" si="226"/>
        <v>0.31328949016320512</v>
      </c>
      <c r="V975" s="69">
        <f t="shared" ca="1" si="227"/>
        <v>0.11637679691838011</v>
      </c>
      <c r="W975" s="69">
        <f t="shared" ca="1" si="228"/>
        <v>0.29444452615175482</v>
      </c>
      <c r="X975" s="69">
        <f t="shared" ca="1" si="229"/>
        <v>1.8377695879959828</v>
      </c>
    </row>
    <row r="976" spans="2:24" x14ac:dyDescent="0.2">
      <c r="B976" s="69">
        <f t="shared" ca="1" si="218"/>
        <v>-0.36794989724853644</v>
      </c>
      <c r="C976" s="69">
        <f t="shared" ca="1" si="217"/>
        <v>-0.58183786525539871</v>
      </c>
      <c r="D976" s="69">
        <f t="shared" ca="1" si="217"/>
        <v>0.52632137574822613</v>
      </c>
      <c r="E976" s="69">
        <f t="shared" ca="1" si="217"/>
        <v>0.43029241462035211</v>
      </c>
      <c r="F976" s="69">
        <f t="shared" ca="1" si="217"/>
        <v>3.5929924789475905E-3</v>
      </c>
      <c r="G976" s="69">
        <f t="shared" ca="1" si="217"/>
        <v>1.2226037534449647</v>
      </c>
      <c r="H976" s="69">
        <f t="shared" ca="1" si="217"/>
        <v>1.1158757313052887</v>
      </c>
      <c r="I976" s="69">
        <f t="shared" ca="1" si="217"/>
        <v>-0.2230518643272916</v>
      </c>
      <c r="J976" s="69">
        <f t="shared" ca="1" si="217"/>
        <v>0.38282895146123014</v>
      </c>
      <c r="K976" s="69">
        <f t="shared" ca="1" si="217"/>
        <v>1.0068682370321549</v>
      </c>
      <c r="L976" s="69">
        <f t="shared" ca="1" si="217"/>
        <v>-0.3388665901097177</v>
      </c>
      <c r="N976" s="69">
        <f t="shared" ca="1" si="219"/>
        <v>-0.33018185341042761</v>
      </c>
      <c r="O976" s="69">
        <f t="shared" ca="1" si="220"/>
        <v>-0.60833142833828535</v>
      </c>
      <c r="P976" s="69">
        <f t="shared" ca="1" si="221"/>
        <v>0.46857931091113608</v>
      </c>
      <c r="Q976" s="69">
        <f t="shared" ca="1" si="222"/>
        <v>0.47940109348211107</v>
      </c>
      <c r="R976" s="69">
        <f t="shared" ca="1" si="223"/>
        <v>-2.7016929287013054E-3</v>
      </c>
      <c r="S976" s="69">
        <f t="shared" ca="1" si="224"/>
        <v>1.2554307257017732</v>
      </c>
      <c r="T976" s="69">
        <f t="shared" ca="1" si="225"/>
        <v>1.1110446935900988</v>
      </c>
      <c r="U976" s="69">
        <f t="shared" ca="1" si="226"/>
        <v>-0.20001173744958195</v>
      </c>
      <c r="V976" s="69">
        <f t="shared" ca="1" si="227"/>
        <v>0.37671935788763283</v>
      </c>
      <c r="W976" s="69">
        <f t="shared" ca="1" si="228"/>
        <v>1.0078495938562539</v>
      </c>
      <c r="X976" s="69">
        <f t="shared" ca="1" si="229"/>
        <v>-0.31169809973528223</v>
      </c>
    </row>
    <row r="977" spans="2:24" x14ac:dyDescent="0.2">
      <c r="B977" s="69">
        <f t="shared" ca="1" si="218"/>
        <v>-0.66427802690949111</v>
      </c>
      <c r="C977" s="69">
        <f t="shared" ca="1" si="217"/>
        <v>0.6557331841473274</v>
      </c>
      <c r="D977" s="69">
        <f t="shared" ca="1" si="217"/>
        <v>0.57267747108731359</v>
      </c>
      <c r="E977" s="69">
        <f t="shared" ca="1" si="217"/>
        <v>-1.2044146879301525</v>
      </c>
      <c r="F977" s="69">
        <f t="shared" ca="1" si="217"/>
        <v>-0.48856480614496062</v>
      </c>
      <c r="G977" s="69">
        <f t="shared" ca="1" si="217"/>
        <v>-0.4141021222634253</v>
      </c>
      <c r="H977" s="69">
        <f t="shared" ca="1" si="217"/>
        <v>0.86227709141413944</v>
      </c>
      <c r="I977" s="69">
        <f t="shared" ca="1" si="217"/>
        <v>-0.89161570128324485</v>
      </c>
      <c r="J977" s="69">
        <f t="shared" ca="1" si="217"/>
        <v>-0.94423130376390119</v>
      </c>
      <c r="K977" s="69">
        <f t="shared" ca="1" si="217"/>
        <v>-0.24924109243707263</v>
      </c>
      <c r="L977" s="69">
        <f t="shared" ca="1" si="217"/>
        <v>1.5548202387748049</v>
      </c>
      <c r="N977" s="69">
        <f t="shared" ca="1" si="219"/>
        <v>-0.62650998307138228</v>
      </c>
      <c r="O977" s="69">
        <f t="shared" ca="1" si="220"/>
        <v>0.62923962106444076</v>
      </c>
      <c r="P977" s="69">
        <f t="shared" ca="1" si="221"/>
        <v>0.5149354062502236</v>
      </c>
      <c r="Q977" s="69">
        <f t="shared" ca="1" si="222"/>
        <v>-1.1553060090683935</v>
      </c>
      <c r="R977" s="69">
        <f t="shared" ca="1" si="223"/>
        <v>-0.4948594915526095</v>
      </c>
      <c r="S977" s="69">
        <f t="shared" ca="1" si="224"/>
        <v>-0.38127515000661683</v>
      </c>
      <c r="T977" s="69">
        <f t="shared" ca="1" si="225"/>
        <v>0.85744605369894955</v>
      </c>
      <c r="U977" s="69">
        <f t="shared" ca="1" si="226"/>
        <v>-0.86857557440553523</v>
      </c>
      <c r="V977" s="69">
        <f t="shared" ca="1" si="227"/>
        <v>-0.95034089733749849</v>
      </c>
      <c r="W977" s="69">
        <f t="shared" ca="1" si="228"/>
        <v>-0.24825973561297368</v>
      </c>
      <c r="X977" s="69">
        <f t="shared" ca="1" si="229"/>
        <v>1.5819887291492405</v>
      </c>
    </row>
    <row r="978" spans="2:24" x14ac:dyDescent="0.2">
      <c r="B978" s="69">
        <f t="shared" ca="1" si="218"/>
        <v>-1.1325525198179245</v>
      </c>
      <c r="C978" s="69">
        <f t="shared" ca="1" si="217"/>
        <v>-0.62673077225532969</v>
      </c>
      <c r="D978" s="69">
        <f t="shared" ca="1" si="217"/>
        <v>0.74675615659881955</v>
      </c>
      <c r="E978" s="69">
        <f t="shared" ca="1" si="217"/>
        <v>0.77944892923619435</v>
      </c>
      <c r="F978" s="69">
        <f t="shared" ca="1" si="217"/>
        <v>1.0751624945849332</v>
      </c>
      <c r="G978" s="69">
        <f t="shared" ca="1" si="217"/>
        <v>-1.0578573717735926</v>
      </c>
      <c r="H978" s="69">
        <f t="shared" ca="1" si="217"/>
        <v>-0.90220503330087032</v>
      </c>
      <c r="I978" s="69">
        <f t="shared" ca="1" si="217"/>
        <v>-1.4501270401756621</v>
      </c>
      <c r="J978" s="69">
        <f t="shared" ca="1" si="217"/>
        <v>0.71744753258239935</v>
      </c>
      <c r="K978" s="69">
        <f t="shared" ca="1" si="217"/>
        <v>-7.8149527446129463E-2</v>
      </c>
      <c r="L978" s="69">
        <f t="shared" ca="1" si="217"/>
        <v>0.48754967130197674</v>
      </c>
      <c r="N978" s="69">
        <f t="shared" ca="1" si="219"/>
        <v>-1.0947844759798158</v>
      </c>
      <c r="O978" s="69">
        <f t="shared" ca="1" si="220"/>
        <v>-0.65322433533821633</v>
      </c>
      <c r="P978" s="69">
        <f t="shared" ca="1" si="221"/>
        <v>0.68901409176172956</v>
      </c>
      <c r="Q978" s="69">
        <f t="shared" ca="1" si="222"/>
        <v>0.82855760809795331</v>
      </c>
      <c r="R978" s="69">
        <f t="shared" ca="1" si="223"/>
        <v>1.0688678091772843</v>
      </c>
      <c r="S978" s="69">
        <f t="shared" ca="1" si="224"/>
        <v>-1.0250303995167842</v>
      </c>
      <c r="T978" s="69">
        <f t="shared" ca="1" si="225"/>
        <v>-0.90703607101606021</v>
      </c>
      <c r="U978" s="69">
        <f t="shared" ca="1" si="226"/>
        <v>-1.4270869132979525</v>
      </c>
      <c r="V978" s="69">
        <f t="shared" ca="1" si="227"/>
        <v>0.71133793900880204</v>
      </c>
      <c r="W978" s="69">
        <f t="shared" ca="1" si="228"/>
        <v>-7.7168170622030519E-2</v>
      </c>
      <c r="X978" s="69">
        <f t="shared" ca="1" si="229"/>
        <v>0.51471816167641227</v>
      </c>
    </row>
    <row r="979" spans="2:24" x14ac:dyDescent="0.2">
      <c r="B979" s="69">
        <f t="shared" ca="1" si="218"/>
        <v>1.9958035735682396</v>
      </c>
      <c r="C979" s="69">
        <f t="shared" ca="1" si="217"/>
        <v>0.13386378777900607</v>
      </c>
      <c r="D979" s="69">
        <f t="shared" ca="1" si="217"/>
        <v>-1.1788641550686572</v>
      </c>
      <c r="E979" s="69">
        <f t="shared" ca="1" si="217"/>
        <v>-0.89785804669554581</v>
      </c>
      <c r="F979" s="69">
        <f t="shared" ca="1" si="217"/>
        <v>-0.84247848043245144</v>
      </c>
      <c r="G979" s="69">
        <f t="shared" ca="1" si="217"/>
        <v>0.86266736593207538</v>
      </c>
      <c r="H979" s="69">
        <f t="shared" ca="1" si="217"/>
        <v>0.60445890980385908</v>
      </c>
      <c r="I979" s="69">
        <f t="shared" ca="1" si="217"/>
        <v>-0.66103903936349451</v>
      </c>
      <c r="J979" s="69">
        <f t="shared" ca="1" si="217"/>
        <v>0.10302456216526912</v>
      </c>
      <c r="K979" s="69">
        <f t="shared" ca="1" si="217"/>
        <v>1.1096029998032031</v>
      </c>
      <c r="L979" s="69">
        <f t="shared" ca="1" si="217"/>
        <v>-1.5345453825966459E-2</v>
      </c>
      <c r="N979" s="69">
        <f t="shared" ca="1" si="219"/>
        <v>2.0335716174063485</v>
      </c>
      <c r="O979" s="69">
        <f t="shared" ca="1" si="220"/>
        <v>0.10737022469611938</v>
      </c>
      <c r="P979" s="69">
        <f t="shared" ca="1" si="221"/>
        <v>-1.2366062199057473</v>
      </c>
      <c r="Q979" s="69">
        <f t="shared" ca="1" si="222"/>
        <v>-0.84874936783378685</v>
      </c>
      <c r="R979" s="69">
        <f t="shared" ca="1" si="223"/>
        <v>-0.84877316584010032</v>
      </c>
      <c r="S979" s="69">
        <f t="shared" ca="1" si="224"/>
        <v>0.89549433818888391</v>
      </c>
      <c r="T979" s="69">
        <f t="shared" ca="1" si="225"/>
        <v>0.59962787208866919</v>
      </c>
      <c r="U979" s="69">
        <f t="shared" ca="1" si="226"/>
        <v>-0.63799891248578489</v>
      </c>
      <c r="V979" s="69">
        <f t="shared" ca="1" si="227"/>
        <v>9.6914968591671785E-2</v>
      </c>
      <c r="W979" s="69">
        <f t="shared" ca="1" si="228"/>
        <v>1.1105843566273021</v>
      </c>
      <c r="X979" s="69">
        <f t="shared" ca="1" si="229"/>
        <v>1.1823036548469021E-2</v>
      </c>
    </row>
    <row r="980" spans="2:24" x14ac:dyDescent="0.2">
      <c r="B980" s="69">
        <f t="shared" ca="1" si="218"/>
        <v>0.35065694803957048</v>
      </c>
      <c r="C980" s="69">
        <f t="shared" ca="1" si="217"/>
        <v>-0.45545814620674352</v>
      </c>
      <c r="D980" s="69">
        <f t="shared" ca="1" si="217"/>
        <v>4.6894776482977546E-2</v>
      </c>
      <c r="E980" s="69">
        <f t="shared" ca="1" si="217"/>
        <v>0.46151464956896943</v>
      </c>
      <c r="F980" s="69">
        <f t="shared" ca="1" si="217"/>
        <v>-0.69215947034781133</v>
      </c>
      <c r="G980" s="69">
        <f t="shared" ca="1" si="217"/>
        <v>0.17545598605288845</v>
      </c>
      <c r="H980" s="69">
        <f t="shared" ca="1" si="217"/>
        <v>-0.14625487631762921</v>
      </c>
      <c r="I980" s="69">
        <f t="shared" ca="1" si="217"/>
        <v>0.67827572480295684</v>
      </c>
      <c r="J980" s="69">
        <f t="shared" ca="1" si="217"/>
        <v>-1.6928939212678018</v>
      </c>
      <c r="K980" s="69">
        <f t="shared" ca="1" si="217"/>
        <v>-0.58760816903722335</v>
      </c>
      <c r="L980" s="69">
        <f t="shared" ca="1" si="217"/>
        <v>0.77637319602548827</v>
      </c>
      <c r="N980" s="69">
        <f t="shared" ca="1" si="219"/>
        <v>0.38842499187767932</v>
      </c>
      <c r="O980" s="69">
        <f t="shared" ca="1" si="220"/>
        <v>-0.48195170928963021</v>
      </c>
      <c r="P980" s="69">
        <f t="shared" ca="1" si="221"/>
        <v>-1.0847288354112486E-2</v>
      </c>
      <c r="Q980" s="69">
        <f t="shared" ca="1" si="222"/>
        <v>0.51062332843072833</v>
      </c>
      <c r="R980" s="69">
        <f t="shared" ca="1" si="223"/>
        <v>-0.69845415575546022</v>
      </c>
      <c r="S980" s="69">
        <f t="shared" ca="1" si="224"/>
        <v>0.20828295830969693</v>
      </c>
      <c r="T980" s="69">
        <f t="shared" ca="1" si="225"/>
        <v>-0.15108591403281904</v>
      </c>
      <c r="U980" s="69">
        <f t="shared" ca="1" si="226"/>
        <v>0.70131585168066646</v>
      </c>
      <c r="V980" s="69">
        <f t="shared" ca="1" si="227"/>
        <v>-1.6990035148413991</v>
      </c>
      <c r="W980" s="69">
        <f t="shared" ca="1" si="228"/>
        <v>-0.5866268122131244</v>
      </c>
      <c r="X980" s="69">
        <f t="shared" ca="1" si="229"/>
        <v>0.80354168639992374</v>
      </c>
    </row>
    <row r="981" spans="2:24" x14ac:dyDescent="0.2">
      <c r="B981" s="69">
        <f t="shared" ca="1" si="218"/>
        <v>-0.90217821217694927</v>
      </c>
      <c r="C981" s="69">
        <f t="shared" ca="1" si="217"/>
        <v>-1.6480576818348185</v>
      </c>
      <c r="D981" s="69">
        <f t="shared" ca="1" si="217"/>
        <v>2.1744519529253754</v>
      </c>
      <c r="E981" s="69">
        <f t="shared" ca="1" si="217"/>
        <v>6.5948456313313017E-2</v>
      </c>
      <c r="F981" s="69">
        <f t="shared" ca="1" si="217"/>
        <v>-0.27492380892537538</v>
      </c>
      <c r="G981" s="69">
        <f t="shared" ca="1" si="217"/>
        <v>-0.35157838301334282</v>
      </c>
      <c r="H981" s="69">
        <f t="shared" ca="1" si="217"/>
        <v>-0.85479300805261238</v>
      </c>
      <c r="I981" s="69">
        <f t="shared" ca="1" si="217"/>
        <v>1.6217079449182679</v>
      </c>
      <c r="J981" s="69">
        <f t="shared" ca="1" si="217"/>
        <v>-0.62367348562530955</v>
      </c>
      <c r="K981" s="69">
        <f t="shared" ca="1" si="217"/>
        <v>-0.83243143841579803</v>
      </c>
      <c r="L981" s="69">
        <f t="shared" ca="1" si="217"/>
        <v>0.24535390523230449</v>
      </c>
      <c r="N981" s="69">
        <f t="shared" ca="1" si="219"/>
        <v>-0.86441016833884043</v>
      </c>
      <c r="O981" s="69">
        <f t="shared" ca="1" si="220"/>
        <v>-1.6745512449177051</v>
      </c>
      <c r="P981" s="69">
        <f t="shared" ca="1" si="221"/>
        <v>2.1167098880882853</v>
      </c>
      <c r="Q981" s="69">
        <f t="shared" ca="1" si="222"/>
        <v>0.11505713517507196</v>
      </c>
      <c r="R981" s="69">
        <f t="shared" ca="1" si="223"/>
        <v>-0.28121849433302426</v>
      </c>
      <c r="S981" s="69">
        <f t="shared" ca="1" si="224"/>
        <v>-0.31875141075653435</v>
      </c>
      <c r="T981" s="69">
        <f t="shared" ca="1" si="225"/>
        <v>-0.85962404576780227</v>
      </c>
      <c r="U981" s="69">
        <f t="shared" ca="1" si="226"/>
        <v>1.6447480717959775</v>
      </c>
      <c r="V981" s="69">
        <f t="shared" ca="1" si="227"/>
        <v>-0.62978307919890686</v>
      </c>
      <c r="W981" s="69">
        <f t="shared" ca="1" si="228"/>
        <v>-0.83145008159169909</v>
      </c>
      <c r="X981" s="69">
        <f t="shared" ca="1" si="229"/>
        <v>0.27252239560673996</v>
      </c>
    </row>
    <row r="982" spans="2:24" x14ac:dyDescent="0.2">
      <c r="B982" s="69">
        <f t="shared" ca="1" si="218"/>
        <v>0.39163016656458682</v>
      </c>
      <c r="C982" s="69">
        <f t="shared" ca="1" si="217"/>
        <v>-8.4809989617222609E-2</v>
      </c>
      <c r="D982" s="69">
        <f t="shared" ca="1" si="217"/>
        <v>1.9858156166125935</v>
      </c>
      <c r="E982" s="69">
        <f t="shared" ca="1" si="217"/>
        <v>3.1146071536785374</v>
      </c>
      <c r="F982" s="69">
        <f t="shared" ca="1" si="217"/>
        <v>0.39559671860772544</v>
      </c>
      <c r="G982" s="69">
        <f t="shared" ca="1" si="217"/>
        <v>-1.0973464251119442</v>
      </c>
      <c r="H982" s="69">
        <f t="shared" ca="1" si="217"/>
        <v>-0.55481484303931361</v>
      </c>
      <c r="I982" s="69">
        <f t="shared" ca="1" si="217"/>
        <v>0.4576932736430594</v>
      </c>
      <c r="J982" s="69">
        <f t="shared" ca="1" si="217"/>
        <v>2.3387465701691976</v>
      </c>
      <c r="K982" s="69">
        <f t="shared" ca="1" si="217"/>
        <v>0.44987128712079244</v>
      </c>
      <c r="L982" s="69">
        <f t="shared" ca="1" si="217"/>
        <v>-0.23577908564749941</v>
      </c>
      <c r="N982" s="69">
        <f t="shared" ca="1" si="219"/>
        <v>0.42939821040269566</v>
      </c>
      <c r="O982" s="69">
        <f t="shared" ca="1" si="220"/>
        <v>-0.11130355270010929</v>
      </c>
      <c r="P982" s="69">
        <f t="shared" ca="1" si="221"/>
        <v>1.9280735517755034</v>
      </c>
      <c r="Q982" s="69">
        <f t="shared" ca="1" si="222"/>
        <v>3.1637158325402961</v>
      </c>
      <c r="R982" s="69">
        <f t="shared" ca="1" si="223"/>
        <v>0.38930203320007656</v>
      </c>
      <c r="S982" s="69">
        <f t="shared" ca="1" si="224"/>
        <v>-1.0645194528551358</v>
      </c>
      <c r="T982" s="69">
        <f t="shared" ca="1" si="225"/>
        <v>-0.5596458807545035</v>
      </c>
      <c r="U982" s="69">
        <f t="shared" ca="1" si="226"/>
        <v>0.48073340052076907</v>
      </c>
      <c r="V982" s="69">
        <f t="shared" ca="1" si="227"/>
        <v>2.3326369765956003</v>
      </c>
      <c r="W982" s="69">
        <f t="shared" ca="1" si="228"/>
        <v>0.45085264394489138</v>
      </c>
      <c r="X982" s="69">
        <f t="shared" ca="1" si="229"/>
        <v>-0.20861059527306394</v>
      </c>
    </row>
    <row r="983" spans="2:24" x14ac:dyDescent="0.2">
      <c r="B983" s="69">
        <f t="shared" ca="1" si="218"/>
        <v>-0.40045725333352455</v>
      </c>
      <c r="C983" s="69">
        <f t="shared" ca="1" si="217"/>
        <v>1.8663917216050556</v>
      </c>
      <c r="D983" s="69">
        <f t="shared" ca="1" si="217"/>
        <v>-2.830073106762512E-2</v>
      </c>
      <c r="E983" s="69">
        <f t="shared" ca="1" si="217"/>
        <v>-0.32192598522646609</v>
      </c>
      <c r="F983" s="69">
        <f t="shared" ca="1" si="217"/>
        <v>-1.2157504886440833</v>
      </c>
      <c r="G983" s="69">
        <f t="shared" ca="1" si="217"/>
        <v>-1.7952171016376701</v>
      </c>
      <c r="H983" s="69">
        <f t="shared" ca="1" si="217"/>
        <v>-2.6881969611661747</v>
      </c>
      <c r="I983" s="69">
        <f t="shared" ca="1" si="217"/>
        <v>0.48739602056623155</v>
      </c>
      <c r="J983" s="69">
        <f t="shared" ca="1" si="217"/>
        <v>0.91627151897380199</v>
      </c>
      <c r="K983" s="69">
        <f t="shared" ca="1" si="217"/>
        <v>0.582932161205863</v>
      </c>
      <c r="L983" s="69">
        <f t="shared" ca="1" si="217"/>
        <v>-0.13565487733650025</v>
      </c>
      <c r="N983" s="69">
        <f t="shared" ca="1" si="219"/>
        <v>-0.36268920949541572</v>
      </c>
      <c r="O983" s="69">
        <f t="shared" ca="1" si="220"/>
        <v>1.839898158522169</v>
      </c>
      <c r="P983" s="69">
        <f t="shared" ca="1" si="221"/>
        <v>-8.6042795904715155E-2</v>
      </c>
      <c r="Q983" s="69">
        <f t="shared" ca="1" si="222"/>
        <v>-0.27281730636470714</v>
      </c>
      <c r="R983" s="69">
        <f t="shared" ca="1" si="223"/>
        <v>-1.2220451740517322</v>
      </c>
      <c r="S983" s="69">
        <f t="shared" ca="1" si="224"/>
        <v>-1.7623901293808617</v>
      </c>
      <c r="T983" s="69">
        <f t="shared" ca="1" si="225"/>
        <v>-2.6930279988813646</v>
      </c>
      <c r="U983" s="69">
        <f t="shared" ca="1" si="226"/>
        <v>0.51043614744394117</v>
      </c>
      <c r="V983" s="69">
        <f t="shared" ca="1" si="227"/>
        <v>0.91016192540020469</v>
      </c>
      <c r="W983" s="69">
        <f t="shared" ca="1" si="228"/>
        <v>0.58391351802996194</v>
      </c>
      <c r="X983" s="69">
        <f t="shared" ca="1" si="229"/>
        <v>-0.10848638696206478</v>
      </c>
    </row>
    <row r="984" spans="2:24" x14ac:dyDescent="0.2">
      <c r="B984" s="69">
        <f t="shared" ca="1" si="218"/>
        <v>0.56423324215436865</v>
      </c>
      <c r="C984" s="69">
        <f t="shared" ca="1" si="217"/>
        <v>1.3692514000336806</v>
      </c>
      <c r="D984" s="69">
        <f t="shared" ca="1" si="217"/>
        <v>0.81104314347208051</v>
      </c>
      <c r="E984" s="69">
        <f t="shared" ca="1" si="217"/>
        <v>0.48554325576631213</v>
      </c>
      <c r="F984" s="69">
        <f t="shared" ca="1" si="217"/>
        <v>-0.73259053300585375</v>
      </c>
      <c r="G984" s="69">
        <f t="shared" ca="1" si="217"/>
        <v>0.39320332923240037</v>
      </c>
      <c r="H984" s="69">
        <f t="shared" ca="1" si="217"/>
        <v>0.21050803798588977</v>
      </c>
      <c r="I984" s="69">
        <f t="shared" ca="1" si="217"/>
        <v>0.70591829917098137</v>
      </c>
      <c r="J984" s="69">
        <f t="shared" ca="1" si="217"/>
        <v>-0.69472929267305605</v>
      </c>
      <c r="K984" s="69">
        <f t="shared" ca="1" si="217"/>
        <v>-0.26064469105296617</v>
      </c>
      <c r="L984" s="69">
        <f t="shared" ca="1" si="217"/>
        <v>-2.4265962785761817</v>
      </c>
      <c r="N984" s="69">
        <f t="shared" ca="1" si="219"/>
        <v>0.60200128599247749</v>
      </c>
      <c r="O984" s="69">
        <f t="shared" ca="1" si="220"/>
        <v>1.342757836950794</v>
      </c>
      <c r="P984" s="69">
        <f t="shared" ca="1" si="221"/>
        <v>0.75330107863499052</v>
      </c>
      <c r="Q984" s="69">
        <f t="shared" ca="1" si="222"/>
        <v>0.53465193462807103</v>
      </c>
      <c r="R984" s="69">
        <f t="shared" ca="1" si="223"/>
        <v>-0.73888521841350263</v>
      </c>
      <c r="S984" s="69">
        <f t="shared" ca="1" si="224"/>
        <v>0.42603030148920884</v>
      </c>
      <c r="T984" s="69">
        <f t="shared" ca="1" si="225"/>
        <v>0.20567700027069993</v>
      </c>
      <c r="U984" s="69">
        <f t="shared" ca="1" si="226"/>
        <v>0.72895842604869099</v>
      </c>
      <c r="V984" s="69">
        <f t="shared" ca="1" si="227"/>
        <v>-0.70083888624665336</v>
      </c>
      <c r="W984" s="69">
        <f t="shared" ca="1" si="228"/>
        <v>-0.25966333422886723</v>
      </c>
      <c r="X984" s="69">
        <f t="shared" ca="1" si="229"/>
        <v>-2.3994277882017463</v>
      </c>
    </row>
    <row r="985" spans="2:24" x14ac:dyDescent="0.2">
      <c r="B985" s="69">
        <f t="shared" ca="1" si="218"/>
        <v>-2.7526588011097584</v>
      </c>
      <c r="C985" s="69">
        <f t="shared" ca="1" si="217"/>
        <v>0.53728472245669312</v>
      </c>
      <c r="D985" s="69">
        <f t="shared" ca="1" si="217"/>
        <v>0.2306673981283083</v>
      </c>
      <c r="E985" s="69">
        <f t="shared" ca="1" si="217"/>
        <v>0.76525102544072487</v>
      </c>
      <c r="F985" s="69">
        <f t="shared" ca="1" si="217"/>
        <v>2.0742455126547252</v>
      </c>
      <c r="G985" s="69">
        <f t="shared" ca="1" si="217"/>
        <v>0.13041569888007742</v>
      </c>
      <c r="H985" s="69">
        <f t="shared" ca="1" si="217"/>
        <v>-1.1377934250796913</v>
      </c>
      <c r="I985" s="69">
        <f t="shared" ca="1" si="217"/>
        <v>0.29687651831660422</v>
      </c>
      <c r="J985" s="69">
        <f t="shared" ca="1" si="217"/>
        <v>0.12200944733111035</v>
      </c>
      <c r="K985" s="69">
        <f t="shared" ca="1" si="217"/>
        <v>1.131276654526929</v>
      </c>
      <c r="L985" s="69">
        <f t="shared" ca="1" si="217"/>
        <v>0.13790497446559699</v>
      </c>
      <c r="N985" s="69">
        <f t="shared" ca="1" si="219"/>
        <v>-2.7148907572716494</v>
      </c>
      <c r="O985" s="69">
        <f t="shared" ca="1" si="220"/>
        <v>0.51079115937380648</v>
      </c>
      <c r="P985" s="69">
        <f t="shared" ca="1" si="221"/>
        <v>0.17292533329121829</v>
      </c>
      <c r="Q985" s="69">
        <f t="shared" ca="1" si="222"/>
        <v>0.81435970430248383</v>
      </c>
      <c r="R985" s="69">
        <f t="shared" ca="1" si="223"/>
        <v>2.0679508272470764</v>
      </c>
      <c r="S985" s="69">
        <f t="shared" ca="1" si="224"/>
        <v>0.1632426711368859</v>
      </c>
      <c r="T985" s="69">
        <f t="shared" ca="1" si="225"/>
        <v>-1.1426244627948812</v>
      </c>
      <c r="U985" s="69">
        <f t="shared" ca="1" si="226"/>
        <v>0.3199166451943139</v>
      </c>
      <c r="V985" s="69">
        <f t="shared" ca="1" si="227"/>
        <v>0.11589985375751302</v>
      </c>
      <c r="W985" s="69">
        <f t="shared" ca="1" si="228"/>
        <v>1.1322580113510281</v>
      </c>
      <c r="X985" s="69">
        <f t="shared" ca="1" si="229"/>
        <v>0.16507346484003246</v>
      </c>
    </row>
    <row r="986" spans="2:24" x14ac:dyDescent="0.2">
      <c r="B986" s="69">
        <f t="shared" ca="1" si="218"/>
        <v>0.46851484335851851</v>
      </c>
      <c r="C986" s="69">
        <f t="shared" ca="1" si="217"/>
        <v>0.87126369979432328</v>
      </c>
      <c r="D986" s="69">
        <f t="shared" ca="1" si="217"/>
        <v>-0.47987629690144551</v>
      </c>
      <c r="E986" s="69">
        <f t="shared" ca="1" si="217"/>
        <v>-0.17120189246663595</v>
      </c>
      <c r="F986" s="69">
        <f t="shared" ca="1" si="217"/>
        <v>2.2245474049249681</v>
      </c>
      <c r="G986" s="69">
        <f t="shared" ca="1" si="217"/>
        <v>0.49619869162021063</v>
      </c>
      <c r="H986" s="69">
        <f t="shared" ca="1" si="217"/>
        <v>-0.7474849483689594</v>
      </c>
      <c r="I986" s="69">
        <f t="shared" ca="1" si="217"/>
        <v>1.5047655994662903</v>
      </c>
      <c r="J986" s="69">
        <f t="shared" ca="1" si="217"/>
        <v>-0.20030087807327321</v>
      </c>
      <c r="K986" s="69">
        <f t="shared" ca="1" si="217"/>
        <v>-0.26954515350276936</v>
      </c>
      <c r="L986" s="69">
        <f t="shared" ca="1" si="217"/>
        <v>0.15909481693706873</v>
      </c>
      <c r="N986" s="69">
        <f t="shared" ca="1" si="219"/>
        <v>0.50628288719662728</v>
      </c>
      <c r="O986" s="69">
        <f t="shared" ca="1" si="220"/>
        <v>0.84477013671143664</v>
      </c>
      <c r="P986" s="69">
        <f t="shared" ca="1" si="221"/>
        <v>-0.5376183617385355</v>
      </c>
      <c r="Q986" s="69">
        <f t="shared" ca="1" si="222"/>
        <v>-0.122093213604877</v>
      </c>
      <c r="R986" s="69">
        <f t="shared" ca="1" si="223"/>
        <v>2.2182527195173192</v>
      </c>
      <c r="S986" s="69">
        <f t="shared" ca="1" si="224"/>
        <v>0.5290256638770191</v>
      </c>
      <c r="T986" s="69">
        <f t="shared" ca="1" si="225"/>
        <v>-0.75231598608414929</v>
      </c>
      <c r="U986" s="69">
        <f t="shared" ca="1" si="226"/>
        <v>1.5278057263439999</v>
      </c>
      <c r="V986" s="69">
        <f t="shared" ca="1" si="227"/>
        <v>-0.20641047164687054</v>
      </c>
      <c r="W986" s="69">
        <f t="shared" ca="1" si="228"/>
        <v>-0.26856379667867042</v>
      </c>
      <c r="X986" s="69">
        <f t="shared" ca="1" si="229"/>
        <v>0.1862633073115042</v>
      </c>
    </row>
    <row r="987" spans="2:24" x14ac:dyDescent="0.2">
      <c r="B987" s="69">
        <f t="shared" ca="1" si="218"/>
        <v>-3.1952138745864853</v>
      </c>
      <c r="C987" s="69">
        <f t="shared" ca="1" si="217"/>
        <v>-4.8923194466900299E-2</v>
      </c>
      <c r="D987" s="69">
        <f t="shared" ca="1" si="217"/>
        <v>-0.99671460112277799</v>
      </c>
      <c r="E987" s="69">
        <f t="shared" ca="1" si="217"/>
        <v>0.25676312959687747</v>
      </c>
      <c r="F987" s="69">
        <f t="shared" ca="1" si="217"/>
        <v>-1.0048996983931515</v>
      </c>
      <c r="G987" s="69">
        <f t="shared" ca="1" si="217"/>
        <v>-0.74410062197581595</v>
      </c>
      <c r="H987" s="69">
        <f t="shared" ca="1" si="217"/>
        <v>4.6191633931263569E-2</v>
      </c>
      <c r="I987" s="69">
        <f t="shared" ref="C987:L1008" ca="1" si="230">NORMINV(RAND(),$C$7,$F$7)</f>
        <v>-0.14242141366430167</v>
      </c>
      <c r="J987" s="69">
        <f t="shared" ca="1" si="230"/>
        <v>-1.1059907714220061</v>
      </c>
      <c r="K987" s="69">
        <f t="shared" ca="1" si="230"/>
        <v>4.9803205797294407E-2</v>
      </c>
      <c r="L987" s="69">
        <f t="shared" ca="1" si="230"/>
        <v>0.15765785339128888</v>
      </c>
      <c r="N987" s="69">
        <f t="shared" ca="1" si="219"/>
        <v>-3.1574458307483764</v>
      </c>
      <c r="O987" s="69">
        <f t="shared" ca="1" si="220"/>
        <v>-7.5416757549786981E-2</v>
      </c>
      <c r="P987" s="69">
        <f t="shared" ca="1" si="221"/>
        <v>-1.054456665959868</v>
      </c>
      <c r="Q987" s="69">
        <f t="shared" ca="1" si="222"/>
        <v>0.30587180845863643</v>
      </c>
      <c r="R987" s="69">
        <f t="shared" ca="1" si="223"/>
        <v>-1.0111943838008004</v>
      </c>
      <c r="S987" s="69">
        <f t="shared" ca="1" si="224"/>
        <v>-0.71127364971900742</v>
      </c>
      <c r="T987" s="69">
        <f t="shared" ca="1" si="225"/>
        <v>4.1360596216073721E-2</v>
      </c>
      <c r="U987" s="69">
        <f t="shared" ca="1" si="226"/>
        <v>-0.11938128678659202</v>
      </c>
      <c r="V987" s="69">
        <f t="shared" ca="1" si="227"/>
        <v>-1.1121003649956034</v>
      </c>
      <c r="W987" s="69">
        <f t="shared" ca="1" si="228"/>
        <v>5.0784562621393359E-2</v>
      </c>
      <c r="X987" s="69">
        <f t="shared" ca="1" si="229"/>
        <v>0.18482634376572435</v>
      </c>
    </row>
    <row r="988" spans="2:24" x14ac:dyDescent="0.2">
      <c r="B988" s="69">
        <f t="shared" ca="1" si="218"/>
        <v>-0.19595261985656809</v>
      </c>
      <c r="C988" s="69">
        <f t="shared" ca="1" si="230"/>
        <v>-0.57668358045032786</v>
      </c>
      <c r="D988" s="69">
        <f t="shared" ca="1" si="230"/>
        <v>2.4721551573406977</v>
      </c>
      <c r="E988" s="69">
        <f t="shared" ca="1" si="230"/>
        <v>1.2456402077478432</v>
      </c>
      <c r="F988" s="69">
        <f t="shared" ca="1" si="230"/>
        <v>-9.3039283318662208E-2</v>
      </c>
      <c r="G988" s="69">
        <f t="shared" ca="1" si="230"/>
        <v>-1.6796213391047408</v>
      </c>
      <c r="H988" s="69">
        <f t="shared" ca="1" si="230"/>
        <v>-1.6926610250939074</v>
      </c>
      <c r="I988" s="69">
        <f t="shared" ca="1" si="230"/>
        <v>1.5699526584116912</v>
      </c>
      <c r="J988" s="69">
        <f t="shared" ca="1" si="230"/>
        <v>1.1206256412394846</v>
      </c>
      <c r="K988" s="69">
        <f t="shared" ca="1" si="230"/>
        <v>-5.1094851282353665E-2</v>
      </c>
      <c r="L988" s="69">
        <f t="shared" ca="1" si="230"/>
        <v>-0.28345404459529272</v>
      </c>
      <c r="N988" s="69">
        <f t="shared" ca="1" si="219"/>
        <v>-0.15818457601845926</v>
      </c>
      <c r="O988" s="69">
        <f t="shared" ca="1" si="220"/>
        <v>-0.6031771435332145</v>
      </c>
      <c r="P988" s="69">
        <f t="shared" ca="1" si="221"/>
        <v>2.4144130925036076</v>
      </c>
      <c r="Q988" s="69">
        <f t="shared" ca="1" si="222"/>
        <v>1.2947488866096022</v>
      </c>
      <c r="R988" s="69">
        <f t="shared" ca="1" si="223"/>
        <v>-9.9333968726311103E-2</v>
      </c>
      <c r="S988" s="69">
        <f t="shared" ca="1" si="224"/>
        <v>-1.6467943668479323</v>
      </c>
      <c r="T988" s="69">
        <f t="shared" ca="1" si="225"/>
        <v>-1.6974920628090973</v>
      </c>
      <c r="U988" s="69">
        <f t="shared" ca="1" si="226"/>
        <v>1.5929927852894008</v>
      </c>
      <c r="V988" s="69">
        <f t="shared" ca="1" si="227"/>
        <v>1.1145160476658873</v>
      </c>
      <c r="W988" s="69">
        <f t="shared" ca="1" si="228"/>
        <v>-5.0113494458254713E-2</v>
      </c>
      <c r="X988" s="69">
        <f t="shared" ca="1" si="229"/>
        <v>-0.25628555422085725</v>
      </c>
    </row>
    <row r="989" spans="2:24" x14ac:dyDescent="0.2">
      <c r="B989" s="69">
        <f t="shared" ca="1" si="218"/>
        <v>0.1288472324368522</v>
      </c>
      <c r="C989" s="69">
        <f t="shared" ca="1" si="230"/>
        <v>-1.1058477750815754</v>
      </c>
      <c r="D989" s="69">
        <f t="shared" ca="1" si="230"/>
        <v>0.46625858997327085</v>
      </c>
      <c r="E989" s="69">
        <f t="shared" ca="1" si="230"/>
        <v>0.35664667579970555</v>
      </c>
      <c r="F989" s="69">
        <f t="shared" ca="1" si="230"/>
        <v>-1.5040184377042667</v>
      </c>
      <c r="G989" s="69">
        <f t="shared" ca="1" si="230"/>
        <v>-0.73381445136175982</v>
      </c>
      <c r="H989" s="69">
        <f t="shared" ca="1" si="230"/>
        <v>-0.25311783657644632</v>
      </c>
      <c r="I989" s="69">
        <f t="shared" ca="1" si="230"/>
        <v>0.18183908698678855</v>
      </c>
      <c r="J989" s="69">
        <f t="shared" ca="1" si="230"/>
        <v>0.8750983107813165</v>
      </c>
      <c r="K989" s="69">
        <f t="shared" ca="1" si="230"/>
        <v>-1.6588135733770204</v>
      </c>
      <c r="L989" s="69">
        <f t="shared" ca="1" si="230"/>
        <v>0.84865313285224075</v>
      </c>
      <c r="N989" s="69">
        <f t="shared" ca="1" si="219"/>
        <v>0.16661527627496103</v>
      </c>
      <c r="O989" s="69">
        <f t="shared" ca="1" si="220"/>
        <v>-1.132341338164462</v>
      </c>
      <c r="P989" s="69">
        <f t="shared" ca="1" si="221"/>
        <v>0.40851652513618081</v>
      </c>
      <c r="Q989" s="69">
        <f t="shared" ca="1" si="222"/>
        <v>0.40575535466146451</v>
      </c>
      <c r="R989" s="69">
        <f t="shared" ca="1" si="223"/>
        <v>-1.5103131231119156</v>
      </c>
      <c r="S989" s="69">
        <f t="shared" ca="1" si="224"/>
        <v>-0.70098747910495129</v>
      </c>
      <c r="T989" s="69">
        <f t="shared" ca="1" si="225"/>
        <v>-0.25794887429163615</v>
      </c>
      <c r="U989" s="69">
        <f t="shared" ca="1" si="226"/>
        <v>0.2048792138644982</v>
      </c>
      <c r="V989" s="69">
        <f t="shared" ca="1" si="227"/>
        <v>0.8689887172077192</v>
      </c>
      <c r="W989" s="69">
        <f t="shared" ca="1" si="228"/>
        <v>-1.6578322165529213</v>
      </c>
      <c r="X989" s="69">
        <f t="shared" ca="1" si="229"/>
        <v>0.87582162322667623</v>
      </c>
    </row>
    <row r="990" spans="2:24" x14ac:dyDescent="0.2">
      <c r="B990" s="69">
        <f t="shared" ca="1" si="218"/>
        <v>0.54273564830720922</v>
      </c>
      <c r="C990" s="69">
        <f t="shared" ca="1" si="230"/>
        <v>1.2388283009740664</v>
      </c>
      <c r="D990" s="69">
        <f t="shared" ca="1" si="230"/>
        <v>2.045933864618712</v>
      </c>
      <c r="E990" s="69">
        <f t="shared" ca="1" si="230"/>
        <v>-1.0948705727531416</v>
      </c>
      <c r="F990" s="69">
        <f t="shared" ca="1" si="230"/>
        <v>1.7612865337097923</v>
      </c>
      <c r="G990" s="69">
        <f t="shared" ca="1" si="230"/>
        <v>-1.3922509276359849</v>
      </c>
      <c r="H990" s="69">
        <f t="shared" ca="1" si="230"/>
        <v>-1.8833064472697956</v>
      </c>
      <c r="I990" s="69">
        <f t="shared" ca="1" si="230"/>
        <v>-0.29495475025989704</v>
      </c>
      <c r="J990" s="69">
        <f t="shared" ca="1" si="230"/>
        <v>-0.17860322847686858</v>
      </c>
      <c r="K990" s="69">
        <f t="shared" ca="1" si="230"/>
        <v>-0.64118446001908447</v>
      </c>
      <c r="L990" s="69">
        <f t="shared" ca="1" si="230"/>
        <v>-0.68571293627333607</v>
      </c>
      <c r="N990" s="69">
        <f t="shared" ca="1" si="219"/>
        <v>0.58050369214531805</v>
      </c>
      <c r="O990" s="69">
        <f t="shared" ca="1" si="220"/>
        <v>1.2123347378911797</v>
      </c>
      <c r="P990" s="69">
        <f t="shared" ca="1" si="221"/>
        <v>1.9881917997816219</v>
      </c>
      <c r="Q990" s="69">
        <f t="shared" ca="1" si="222"/>
        <v>-1.0457618938913826</v>
      </c>
      <c r="R990" s="69">
        <f t="shared" ca="1" si="223"/>
        <v>1.7549918483021434</v>
      </c>
      <c r="S990" s="69">
        <f t="shared" ca="1" si="224"/>
        <v>-1.3594239553791765</v>
      </c>
      <c r="T990" s="69">
        <f t="shared" ca="1" si="225"/>
        <v>-1.8881374849849855</v>
      </c>
      <c r="U990" s="69">
        <f t="shared" ca="1" si="226"/>
        <v>-0.27191462338218736</v>
      </c>
      <c r="V990" s="69">
        <f t="shared" ca="1" si="227"/>
        <v>-0.18471282205046591</v>
      </c>
      <c r="W990" s="69">
        <f t="shared" ca="1" si="228"/>
        <v>-0.64020310319498552</v>
      </c>
      <c r="X990" s="69">
        <f t="shared" ca="1" si="229"/>
        <v>-0.6585444458989006</v>
      </c>
    </row>
    <row r="991" spans="2:24" x14ac:dyDescent="0.2">
      <c r="B991" s="69">
        <f t="shared" ca="1" si="218"/>
        <v>-2.1615601273850431</v>
      </c>
      <c r="C991" s="69">
        <f t="shared" ca="1" si="230"/>
        <v>0.5797391438977022</v>
      </c>
      <c r="D991" s="69">
        <f t="shared" ca="1" si="230"/>
        <v>0.54020697527920192</v>
      </c>
      <c r="E991" s="69">
        <f t="shared" ca="1" si="230"/>
        <v>0.25684546536760594</v>
      </c>
      <c r="F991" s="69">
        <f t="shared" ca="1" si="230"/>
        <v>-2.3192544778799804</v>
      </c>
      <c r="G991" s="69">
        <f t="shared" ca="1" si="230"/>
        <v>-1.3708350400914919E-2</v>
      </c>
      <c r="H991" s="69">
        <f t="shared" ca="1" si="230"/>
        <v>-1.5562545957381921</v>
      </c>
      <c r="I991" s="69">
        <f t="shared" ca="1" si="230"/>
        <v>0.47958712342583093</v>
      </c>
      <c r="J991" s="69">
        <f t="shared" ca="1" si="230"/>
        <v>0.61076157505201945</v>
      </c>
      <c r="K991" s="69">
        <f t="shared" ca="1" si="230"/>
        <v>-0.38727590757032054</v>
      </c>
      <c r="L991" s="69">
        <f t="shared" ca="1" si="230"/>
        <v>-0.27012225806256701</v>
      </c>
      <c r="N991" s="69">
        <f t="shared" ca="1" si="219"/>
        <v>-2.1237920835469342</v>
      </c>
      <c r="O991" s="69">
        <f t="shared" ca="1" si="220"/>
        <v>0.55324558081481556</v>
      </c>
      <c r="P991" s="69">
        <f t="shared" ca="1" si="221"/>
        <v>0.48246491044211187</v>
      </c>
      <c r="Q991" s="69">
        <f t="shared" ca="1" si="222"/>
        <v>0.3059541442293649</v>
      </c>
      <c r="R991" s="69">
        <f t="shared" ca="1" si="223"/>
        <v>-2.3255491632876293</v>
      </c>
      <c r="S991" s="69">
        <f t="shared" ca="1" si="224"/>
        <v>1.911862185589356E-2</v>
      </c>
      <c r="T991" s="69">
        <f t="shared" ca="1" si="225"/>
        <v>-1.561085633453382</v>
      </c>
      <c r="U991" s="69">
        <f t="shared" ca="1" si="226"/>
        <v>0.50262725030354061</v>
      </c>
      <c r="V991" s="69">
        <f t="shared" ca="1" si="227"/>
        <v>0.60465198147842214</v>
      </c>
      <c r="W991" s="69">
        <f t="shared" ca="1" si="228"/>
        <v>-0.3862945507462216</v>
      </c>
      <c r="X991" s="69">
        <f t="shared" ca="1" si="229"/>
        <v>-0.24295376768813154</v>
      </c>
    </row>
    <row r="992" spans="2:24" x14ac:dyDescent="0.2">
      <c r="B992" s="69">
        <f t="shared" ca="1" si="218"/>
        <v>-1.0531155993181207</v>
      </c>
      <c r="C992" s="69">
        <f t="shared" ca="1" si="230"/>
        <v>-1.8042059161281836</v>
      </c>
      <c r="D992" s="69">
        <f t="shared" ca="1" si="230"/>
        <v>-2.1158973686129658E-2</v>
      </c>
      <c r="E992" s="69">
        <f t="shared" ca="1" si="230"/>
        <v>0.37279998866662972</v>
      </c>
      <c r="F992" s="69">
        <f t="shared" ca="1" si="230"/>
        <v>-0.100795206529846</v>
      </c>
      <c r="G992" s="69">
        <f t="shared" ca="1" si="230"/>
        <v>-0.15524415704995989</v>
      </c>
      <c r="H992" s="69">
        <f t="shared" ca="1" si="230"/>
        <v>-2.1191366472270392</v>
      </c>
      <c r="I992" s="69">
        <f t="shared" ca="1" si="230"/>
        <v>-0.67221556498276058</v>
      </c>
      <c r="J992" s="69">
        <f t="shared" ca="1" si="230"/>
        <v>-1.5254868890456796</v>
      </c>
      <c r="K992" s="69">
        <f t="shared" ca="1" si="230"/>
        <v>-1.4099331487510705</v>
      </c>
      <c r="L992" s="69">
        <f t="shared" ca="1" si="230"/>
        <v>0.2805400020235983</v>
      </c>
      <c r="N992" s="69">
        <f t="shared" ca="1" si="219"/>
        <v>-1.015347555480012</v>
      </c>
      <c r="O992" s="69">
        <f t="shared" ca="1" si="220"/>
        <v>-1.8306994792110702</v>
      </c>
      <c r="P992" s="69">
        <f t="shared" ca="1" si="221"/>
        <v>-7.8901038523219696E-2</v>
      </c>
      <c r="Q992" s="69">
        <f t="shared" ca="1" si="222"/>
        <v>0.42190866752838868</v>
      </c>
      <c r="R992" s="69">
        <f t="shared" ca="1" si="223"/>
        <v>-0.10708989193749489</v>
      </c>
      <c r="S992" s="69">
        <f t="shared" ca="1" si="224"/>
        <v>-0.12241718479315142</v>
      </c>
      <c r="T992" s="69">
        <f t="shared" ca="1" si="225"/>
        <v>-2.1239676849422291</v>
      </c>
      <c r="U992" s="69">
        <f t="shared" ca="1" si="226"/>
        <v>-0.64917543810505096</v>
      </c>
      <c r="V992" s="69">
        <f t="shared" ca="1" si="227"/>
        <v>-1.5315964826192769</v>
      </c>
      <c r="W992" s="69">
        <f t="shared" ca="1" si="228"/>
        <v>-1.4089517919269714</v>
      </c>
      <c r="X992" s="69">
        <f t="shared" ca="1" si="229"/>
        <v>0.30770849239803377</v>
      </c>
    </row>
    <row r="993" spans="2:24" x14ac:dyDescent="0.2">
      <c r="B993" s="69">
        <f t="shared" ca="1" si="218"/>
        <v>0.66019195680275677</v>
      </c>
      <c r="C993" s="69">
        <f t="shared" ca="1" si="230"/>
        <v>-0.56841505169796103</v>
      </c>
      <c r="D993" s="69">
        <f t="shared" ca="1" si="230"/>
        <v>-0.98735069872918058</v>
      </c>
      <c r="E993" s="69">
        <f t="shared" ca="1" si="230"/>
        <v>-0.68497434933810009</v>
      </c>
      <c r="F993" s="69">
        <f t="shared" ca="1" si="230"/>
        <v>3.4510856973037227E-2</v>
      </c>
      <c r="G993" s="69">
        <f t="shared" ca="1" si="230"/>
        <v>-9.4671036841524836E-2</v>
      </c>
      <c r="H993" s="69">
        <f t="shared" ca="1" si="230"/>
        <v>-0.52031483588009531</v>
      </c>
      <c r="I993" s="69">
        <f t="shared" ca="1" si="230"/>
        <v>1.5093030619775045</v>
      </c>
      <c r="J993" s="69">
        <f t="shared" ca="1" si="230"/>
        <v>1.3752372823084866</v>
      </c>
      <c r="K993" s="69">
        <f t="shared" ca="1" si="230"/>
        <v>-2.2586548020174382</v>
      </c>
      <c r="L993" s="69">
        <f t="shared" ca="1" si="230"/>
        <v>1.7622575424980913</v>
      </c>
      <c r="N993" s="69">
        <f t="shared" ca="1" si="219"/>
        <v>0.69796000064086561</v>
      </c>
      <c r="O993" s="69">
        <f t="shared" ca="1" si="220"/>
        <v>-0.59490861478084767</v>
      </c>
      <c r="P993" s="69">
        <f t="shared" ca="1" si="221"/>
        <v>-1.0450927635662706</v>
      </c>
      <c r="Q993" s="69">
        <f t="shared" ca="1" si="222"/>
        <v>-0.63586567047634113</v>
      </c>
      <c r="R993" s="69">
        <f t="shared" ca="1" si="223"/>
        <v>2.8216171565388332E-2</v>
      </c>
      <c r="S993" s="69">
        <f t="shared" ca="1" si="224"/>
        <v>-6.1844064584716356E-2</v>
      </c>
      <c r="T993" s="69">
        <f t="shared" ca="1" si="225"/>
        <v>-0.5251458735952852</v>
      </c>
      <c r="U993" s="69">
        <f t="shared" ca="1" si="226"/>
        <v>1.5323431888552141</v>
      </c>
      <c r="V993" s="69">
        <f t="shared" ca="1" si="227"/>
        <v>1.3691276887348893</v>
      </c>
      <c r="W993" s="69">
        <f t="shared" ca="1" si="228"/>
        <v>-2.2576734451933391</v>
      </c>
      <c r="X993" s="69">
        <f t="shared" ca="1" si="229"/>
        <v>1.7894260328725269</v>
      </c>
    </row>
    <row r="994" spans="2:24" x14ac:dyDescent="0.2">
      <c r="B994" s="69">
        <f t="shared" ca="1" si="218"/>
        <v>0.97999280729754423</v>
      </c>
      <c r="C994" s="69">
        <f t="shared" ca="1" si="230"/>
        <v>0.75256379836128895</v>
      </c>
      <c r="D994" s="69">
        <f t="shared" ca="1" si="230"/>
        <v>-1.2221654433170426</v>
      </c>
      <c r="E994" s="69">
        <f t="shared" ca="1" si="230"/>
        <v>-0.41372654131683978</v>
      </c>
      <c r="F994" s="69">
        <f t="shared" ca="1" si="230"/>
        <v>0.20211443975970578</v>
      </c>
      <c r="G994" s="69">
        <f t="shared" ca="1" si="230"/>
        <v>-1.1134081679424164</v>
      </c>
      <c r="H994" s="69">
        <f t="shared" ca="1" si="230"/>
        <v>-1.501254199940445</v>
      </c>
      <c r="I994" s="69">
        <f t="shared" ca="1" si="230"/>
        <v>-1.202506414768973</v>
      </c>
      <c r="J994" s="69">
        <f t="shared" ca="1" si="230"/>
        <v>0.52017363279768591</v>
      </c>
      <c r="K994" s="69">
        <f t="shared" ca="1" si="230"/>
        <v>0.30360001518266538</v>
      </c>
      <c r="L994" s="69">
        <f t="shared" ca="1" si="230"/>
        <v>0.80701903911907091</v>
      </c>
      <c r="N994" s="69">
        <f t="shared" ca="1" si="219"/>
        <v>1.0177608511356531</v>
      </c>
      <c r="O994" s="69">
        <f t="shared" ca="1" si="220"/>
        <v>0.72607023527840231</v>
      </c>
      <c r="P994" s="69">
        <f t="shared" ca="1" si="221"/>
        <v>-1.2799075081541327</v>
      </c>
      <c r="Q994" s="69">
        <f t="shared" ca="1" si="222"/>
        <v>-0.36461786245508082</v>
      </c>
      <c r="R994" s="69">
        <f t="shared" ca="1" si="223"/>
        <v>0.19581975435205687</v>
      </c>
      <c r="S994" s="69">
        <f t="shared" ca="1" si="224"/>
        <v>-1.080581195685608</v>
      </c>
      <c r="T994" s="69">
        <f t="shared" ca="1" si="225"/>
        <v>-1.5060852376556348</v>
      </c>
      <c r="U994" s="69">
        <f t="shared" ca="1" si="226"/>
        <v>-1.1794662878912634</v>
      </c>
      <c r="V994" s="69">
        <f t="shared" ca="1" si="227"/>
        <v>0.51406403922408861</v>
      </c>
      <c r="W994" s="69">
        <f t="shared" ca="1" si="228"/>
        <v>0.30458137200676433</v>
      </c>
      <c r="X994" s="69">
        <f t="shared" ca="1" si="229"/>
        <v>0.83418752949350639</v>
      </c>
    </row>
    <row r="995" spans="2:24" x14ac:dyDescent="0.2">
      <c r="B995" s="69">
        <f t="shared" ca="1" si="218"/>
        <v>1.5219739364989215</v>
      </c>
      <c r="C995" s="69">
        <f t="shared" ca="1" si="230"/>
        <v>1.2285459408214074</v>
      </c>
      <c r="D995" s="69">
        <f t="shared" ca="1" si="230"/>
        <v>-1.0749672507660504</v>
      </c>
      <c r="E995" s="69">
        <f t="shared" ca="1" si="230"/>
        <v>1.7349488013349608</v>
      </c>
      <c r="F995" s="69">
        <f t="shared" ca="1" si="230"/>
        <v>-0.3649613204721871</v>
      </c>
      <c r="G995" s="69">
        <f t="shared" ca="1" si="230"/>
        <v>2.5542715817143478E-2</v>
      </c>
      <c r="H995" s="69">
        <f t="shared" ca="1" si="230"/>
        <v>-1.7108541884823643</v>
      </c>
      <c r="I995" s="69">
        <f t="shared" ca="1" si="230"/>
        <v>0.83226488219138672</v>
      </c>
      <c r="J995" s="69">
        <f t="shared" ca="1" si="230"/>
        <v>0.45220617266579105</v>
      </c>
      <c r="K995" s="69">
        <f t="shared" ca="1" si="230"/>
        <v>1.1636303467930613</v>
      </c>
      <c r="L995" s="69">
        <f t="shared" ca="1" si="230"/>
        <v>-0.80697689556479502</v>
      </c>
      <c r="N995" s="69">
        <f t="shared" ca="1" si="219"/>
        <v>1.5597419803370303</v>
      </c>
      <c r="O995" s="69">
        <f t="shared" ca="1" si="220"/>
        <v>1.2020523777385208</v>
      </c>
      <c r="P995" s="69">
        <f t="shared" ca="1" si="221"/>
        <v>-1.1327093156031405</v>
      </c>
      <c r="Q995" s="69">
        <f t="shared" ca="1" si="222"/>
        <v>1.7840574801967197</v>
      </c>
      <c r="R995" s="69">
        <f t="shared" ca="1" si="223"/>
        <v>-0.37125600587983598</v>
      </c>
      <c r="S995" s="69">
        <f t="shared" ca="1" si="224"/>
        <v>5.8369688073951959E-2</v>
      </c>
      <c r="T995" s="69">
        <f t="shared" ca="1" si="225"/>
        <v>-1.7156852261975541</v>
      </c>
      <c r="U995" s="69">
        <f t="shared" ca="1" si="226"/>
        <v>0.85530500906909634</v>
      </c>
      <c r="V995" s="69">
        <f t="shared" ca="1" si="227"/>
        <v>0.44609657909219375</v>
      </c>
      <c r="W995" s="69">
        <f t="shared" ca="1" si="228"/>
        <v>1.1646117036171604</v>
      </c>
      <c r="X995" s="69">
        <f t="shared" ca="1" si="229"/>
        <v>-0.77980840519035954</v>
      </c>
    </row>
    <row r="996" spans="2:24" x14ac:dyDescent="0.2">
      <c r="B996" s="69">
        <f t="shared" ca="1" si="218"/>
        <v>1.8421756397975546E-2</v>
      </c>
      <c r="C996" s="69">
        <f t="shared" ca="1" si="230"/>
        <v>-0.34060046192312998</v>
      </c>
      <c r="D996" s="69">
        <f t="shared" ca="1" si="230"/>
        <v>0.20146453103096673</v>
      </c>
      <c r="E996" s="69">
        <f t="shared" ca="1" si="230"/>
        <v>1.3327959146274411</v>
      </c>
      <c r="F996" s="69">
        <f t="shared" ca="1" si="230"/>
        <v>-0.86365703212516776</v>
      </c>
      <c r="G996" s="69">
        <f t="shared" ca="1" si="230"/>
        <v>1.0838659015061662</v>
      </c>
      <c r="H996" s="69">
        <f t="shared" ca="1" si="230"/>
        <v>1.4001859640191936</v>
      </c>
      <c r="I996" s="69">
        <f t="shared" ca="1" si="230"/>
        <v>0.32166581850971199</v>
      </c>
      <c r="J996" s="69">
        <f t="shared" ca="1" si="230"/>
        <v>0.44534804199292605</v>
      </c>
      <c r="K996" s="69">
        <f t="shared" ca="1" si="230"/>
        <v>-1.1135868925815422</v>
      </c>
      <c r="L996" s="69">
        <f t="shared" ca="1" si="230"/>
        <v>-2.1192602885594822</v>
      </c>
      <c r="N996" s="69">
        <f t="shared" ca="1" si="219"/>
        <v>5.6189800236084365E-2</v>
      </c>
      <c r="O996" s="69">
        <f t="shared" ca="1" si="220"/>
        <v>-0.36709402500601668</v>
      </c>
      <c r="P996" s="69">
        <f t="shared" ca="1" si="221"/>
        <v>0.14372246619387669</v>
      </c>
      <c r="Q996" s="69">
        <f t="shared" ca="1" si="222"/>
        <v>1.3819045934892</v>
      </c>
      <c r="R996" s="69">
        <f t="shared" ca="1" si="223"/>
        <v>-0.86995171753281664</v>
      </c>
      <c r="S996" s="69">
        <f t="shared" ca="1" si="224"/>
        <v>1.1166928737629747</v>
      </c>
      <c r="T996" s="69">
        <f t="shared" ca="1" si="225"/>
        <v>1.3953549263040037</v>
      </c>
      <c r="U996" s="69">
        <f t="shared" ca="1" si="226"/>
        <v>0.34470594538742166</v>
      </c>
      <c r="V996" s="69">
        <f t="shared" ca="1" si="227"/>
        <v>0.43923844841932874</v>
      </c>
      <c r="W996" s="69">
        <f t="shared" ca="1" si="228"/>
        <v>-1.1126055357574431</v>
      </c>
      <c r="X996" s="69">
        <f t="shared" ca="1" si="229"/>
        <v>-2.0920917981850469</v>
      </c>
    </row>
    <row r="997" spans="2:24" x14ac:dyDescent="0.2">
      <c r="B997" s="69">
        <f t="shared" ca="1" si="218"/>
        <v>-0.16667410419725728</v>
      </c>
      <c r="C997" s="69">
        <f t="shared" ca="1" si="230"/>
        <v>-0.25704435075180637</v>
      </c>
      <c r="D997" s="69">
        <f t="shared" ca="1" si="230"/>
        <v>1.1973041692447284</v>
      </c>
      <c r="E997" s="69">
        <f t="shared" ca="1" si="230"/>
        <v>1.3833331093854035</v>
      </c>
      <c r="F997" s="69">
        <f t="shared" ca="1" si="230"/>
        <v>-0.37743785948110598</v>
      </c>
      <c r="G997" s="69">
        <f t="shared" ca="1" si="230"/>
        <v>0.19302424475982952</v>
      </c>
      <c r="H997" s="69">
        <f t="shared" ca="1" si="230"/>
        <v>0.90655101140303151</v>
      </c>
      <c r="I997" s="69">
        <f t="shared" ca="1" si="230"/>
        <v>1.1379156643677739</v>
      </c>
      <c r="J997" s="69">
        <f t="shared" ca="1" si="230"/>
        <v>-2.1762570651974342</v>
      </c>
      <c r="K997" s="69">
        <f t="shared" ca="1" si="230"/>
        <v>1.7072746613791108</v>
      </c>
      <c r="L997" s="69">
        <f t="shared" ca="1" si="230"/>
        <v>-0.91569766215610959</v>
      </c>
      <c r="N997" s="69">
        <f t="shared" ca="1" si="219"/>
        <v>-0.12890606035914848</v>
      </c>
      <c r="O997" s="69">
        <f t="shared" ca="1" si="220"/>
        <v>-0.28353791383469307</v>
      </c>
      <c r="P997" s="69">
        <f t="shared" ca="1" si="221"/>
        <v>1.1395621044076383</v>
      </c>
      <c r="Q997" s="69">
        <f t="shared" ca="1" si="222"/>
        <v>1.4324417882471625</v>
      </c>
      <c r="R997" s="69">
        <f t="shared" ca="1" si="223"/>
        <v>-0.38373254488875486</v>
      </c>
      <c r="S997" s="69">
        <f t="shared" ca="1" si="224"/>
        <v>0.22585121701663799</v>
      </c>
      <c r="T997" s="69">
        <f t="shared" ca="1" si="225"/>
        <v>0.90171997368784162</v>
      </c>
      <c r="U997" s="69">
        <f t="shared" ca="1" si="226"/>
        <v>1.1609557912454835</v>
      </c>
      <c r="V997" s="69">
        <f t="shared" ca="1" si="227"/>
        <v>-2.1823666587710315</v>
      </c>
      <c r="W997" s="69">
        <f t="shared" ca="1" si="228"/>
        <v>1.7082560182032098</v>
      </c>
      <c r="X997" s="69">
        <f t="shared" ca="1" si="229"/>
        <v>-0.88852917178167412</v>
      </c>
    </row>
    <row r="998" spans="2:24" x14ac:dyDescent="0.2">
      <c r="B998" s="69">
        <f t="shared" ca="1" si="218"/>
        <v>-0.53151959953190497</v>
      </c>
      <c r="C998" s="69">
        <f t="shared" ca="1" si="230"/>
        <v>-0.52384347529690101</v>
      </c>
      <c r="D998" s="69">
        <f t="shared" ca="1" si="230"/>
        <v>0.11535223552652954</v>
      </c>
      <c r="E998" s="69">
        <f t="shared" ca="1" si="230"/>
        <v>0.60825092985622664</v>
      </c>
      <c r="F998" s="69">
        <f t="shared" ca="1" si="230"/>
        <v>-1.0292963951920966</v>
      </c>
      <c r="G998" s="69">
        <f t="shared" ca="1" si="230"/>
        <v>-2.5927221929597502E-3</v>
      </c>
      <c r="H998" s="69">
        <f t="shared" ca="1" si="230"/>
        <v>0.18896296458225242</v>
      </c>
      <c r="I998" s="69">
        <f t="shared" ca="1" si="230"/>
        <v>-0.86031663881544118</v>
      </c>
      <c r="J998" s="69">
        <f t="shared" ca="1" si="230"/>
        <v>0.15437455612932766</v>
      </c>
      <c r="K998" s="69">
        <f t="shared" ca="1" si="230"/>
        <v>-8.2354437638464922E-2</v>
      </c>
      <c r="L998" s="69">
        <f t="shared" ca="1" si="230"/>
        <v>-4.3018488992082236E-2</v>
      </c>
      <c r="N998" s="69">
        <f t="shared" ca="1" si="219"/>
        <v>-0.49375155569379614</v>
      </c>
      <c r="O998" s="69">
        <f t="shared" ca="1" si="220"/>
        <v>-0.55033703837978765</v>
      </c>
      <c r="P998" s="69">
        <f t="shared" ca="1" si="221"/>
        <v>5.7610170689439508E-2</v>
      </c>
      <c r="Q998" s="69">
        <f t="shared" ca="1" si="222"/>
        <v>0.6573596087179856</v>
      </c>
      <c r="R998" s="69">
        <f t="shared" ca="1" si="223"/>
        <v>-1.0355910805997455</v>
      </c>
      <c r="S998" s="69">
        <f t="shared" ca="1" si="224"/>
        <v>3.0234250063848729E-2</v>
      </c>
      <c r="T998" s="69">
        <f t="shared" ca="1" si="225"/>
        <v>0.18413192686706259</v>
      </c>
      <c r="U998" s="69">
        <f t="shared" ca="1" si="226"/>
        <v>-0.83727651193773156</v>
      </c>
      <c r="V998" s="69">
        <f t="shared" ca="1" si="227"/>
        <v>0.14826496255573032</v>
      </c>
      <c r="W998" s="69">
        <f t="shared" ca="1" si="228"/>
        <v>-8.1373080814365978E-2</v>
      </c>
      <c r="X998" s="69">
        <f t="shared" ca="1" si="229"/>
        <v>-1.5849998617646757E-2</v>
      </c>
    </row>
    <row r="999" spans="2:24" x14ac:dyDescent="0.2">
      <c r="B999" s="69">
        <f t="shared" ca="1" si="218"/>
        <v>0.3292969823335623</v>
      </c>
      <c r="C999" s="69">
        <f t="shared" ca="1" si="230"/>
        <v>8.498636660899056E-2</v>
      </c>
      <c r="D999" s="69">
        <f t="shared" ca="1" si="230"/>
        <v>0.9880404520406979</v>
      </c>
      <c r="E999" s="69">
        <f t="shared" ca="1" si="230"/>
        <v>-0.86541543995438541</v>
      </c>
      <c r="F999" s="69">
        <f t="shared" ca="1" si="230"/>
        <v>-0.76782101356119681</v>
      </c>
      <c r="G999" s="69">
        <f t="shared" ca="1" si="230"/>
        <v>-0.9784047222294604</v>
      </c>
      <c r="H999" s="69">
        <f t="shared" ca="1" si="230"/>
        <v>-0.45907213839548039</v>
      </c>
      <c r="I999" s="69">
        <f t="shared" ca="1" si="230"/>
        <v>-1.0042684351314673E-3</v>
      </c>
      <c r="J999" s="69">
        <f t="shared" ca="1" si="230"/>
        <v>-0.3508219639031846</v>
      </c>
      <c r="K999" s="69">
        <f t="shared" ca="1" si="230"/>
        <v>0.62448069948947771</v>
      </c>
      <c r="L999" s="69">
        <f t="shared" ca="1" si="230"/>
        <v>-1.2807778204750861</v>
      </c>
      <c r="N999" s="69">
        <f t="shared" ca="1" si="219"/>
        <v>0.36706502617167114</v>
      </c>
      <c r="O999" s="69">
        <f t="shared" ca="1" si="220"/>
        <v>5.8492803526103879E-2</v>
      </c>
      <c r="P999" s="69">
        <f t="shared" ca="1" si="221"/>
        <v>0.93029838720360791</v>
      </c>
      <c r="Q999" s="69">
        <f t="shared" ca="1" si="222"/>
        <v>-0.81630676109262645</v>
      </c>
      <c r="R999" s="69">
        <f t="shared" ca="1" si="223"/>
        <v>-0.77411569896884569</v>
      </c>
      <c r="S999" s="69">
        <f t="shared" ca="1" si="224"/>
        <v>-0.94557774997265187</v>
      </c>
      <c r="T999" s="69">
        <f t="shared" ca="1" si="225"/>
        <v>-0.46390317611067022</v>
      </c>
      <c r="U999" s="69">
        <f t="shared" ca="1" si="226"/>
        <v>2.2035858442578188E-2</v>
      </c>
      <c r="V999" s="69">
        <f t="shared" ca="1" si="227"/>
        <v>-0.3569315574767819</v>
      </c>
      <c r="W999" s="69">
        <f t="shared" ca="1" si="228"/>
        <v>0.62546205631357665</v>
      </c>
      <c r="X999" s="69">
        <f t="shared" ca="1" si="229"/>
        <v>-1.2536093301006506</v>
      </c>
    </row>
    <row r="1000" spans="2:24" x14ac:dyDescent="0.2">
      <c r="B1000" s="69">
        <f t="shared" ca="1" si="218"/>
        <v>-0.27269038674869539</v>
      </c>
      <c r="C1000" s="69">
        <f t="shared" ca="1" si="230"/>
        <v>0.2500029214091895</v>
      </c>
      <c r="D1000" s="69">
        <f t="shared" ca="1" si="230"/>
        <v>1.0989251364908321</v>
      </c>
      <c r="E1000" s="69">
        <f t="shared" ca="1" si="230"/>
        <v>-0.28999188971357615</v>
      </c>
      <c r="F1000" s="69">
        <f t="shared" ca="1" si="230"/>
        <v>0.49815115441654795</v>
      </c>
      <c r="G1000" s="69">
        <f t="shared" ca="1" si="230"/>
        <v>-1.6085746961888037</v>
      </c>
      <c r="H1000" s="69">
        <f t="shared" ca="1" si="230"/>
        <v>-0.13730202183341436</v>
      </c>
      <c r="I1000" s="69">
        <f t="shared" ca="1" si="230"/>
        <v>0.70556629151807604</v>
      </c>
      <c r="J1000" s="69">
        <f t="shared" ca="1" si="230"/>
        <v>-0.10395026699505687</v>
      </c>
      <c r="K1000" s="69">
        <f t="shared" ca="1" si="230"/>
        <v>0.80086681815336724</v>
      </c>
      <c r="L1000" s="69">
        <f t="shared" ca="1" si="230"/>
        <v>-1.6675789924764854</v>
      </c>
      <c r="N1000" s="69">
        <f t="shared" ca="1" si="219"/>
        <v>-0.23492234291058656</v>
      </c>
      <c r="O1000" s="69">
        <f t="shared" ca="1" si="220"/>
        <v>0.22350935832630281</v>
      </c>
      <c r="P1000" s="69">
        <f t="shared" ca="1" si="221"/>
        <v>1.041183071653742</v>
      </c>
      <c r="Q1000" s="69">
        <f t="shared" ca="1" si="222"/>
        <v>-0.24088321085181719</v>
      </c>
      <c r="R1000" s="69">
        <f t="shared" ca="1" si="223"/>
        <v>0.49185646900889907</v>
      </c>
      <c r="S1000" s="69">
        <f t="shared" ca="1" si="224"/>
        <v>-1.5757477239319952</v>
      </c>
      <c r="T1000" s="69">
        <f t="shared" ca="1" si="225"/>
        <v>-0.1421330595486042</v>
      </c>
      <c r="U1000" s="69">
        <f t="shared" ca="1" si="226"/>
        <v>0.72860641839578566</v>
      </c>
      <c r="V1000" s="69">
        <f t="shared" ca="1" si="227"/>
        <v>-0.1100598605686542</v>
      </c>
      <c r="W1000" s="69">
        <f t="shared" ca="1" si="228"/>
        <v>0.80184817497746619</v>
      </c>
      <c r="X1000" s="69">
        <f t="shared" ca="1" si="229"/>
        <v>-1.6404105021020499</v>
      </c>
    </row>
    <row r="1001" spans="2:24" x14ac:dyDescent="0.2">
      <c r="B1001" s="69">
        <f t="shared" ca="1" si="218"/>
        <v>1.3542147265606819</v>
      </c>
      <c r="C1001" s="69">
        <f t="shared" ca="1" si="230"/>
        <v>-0.23909969060380781</v>
      </c>
      <c r="D1001" s="69">
        <f t="shared" ca="1" si="230"/>
        <v>-1.4714440950747003</v>
      </c>
      <c r="E1001" s="69">
        <f t="shared" ca="1" si="230"/>
        <v>0.18271092019678253</v>
      </c>
      <c r="F1001" s="69">
        <f t="shared" ca="1" si="230"/>
        <v>2.6637556667676776</v>
      </c>
      <c r="G1001" s="69">
        <f t="shared" ca="1" si="230"/>
        <v>0.24586511606149133</v>
      </c>
      <c r="H1001" s="69">
        <f t="shared" ca="1" si="230"/>
        <v>1.5340330560741795</v>
      </c>
      <c r="I1001" s="69">
        <f t="shared" ca="1" si="230"/>
        <v>-2.2994677189484261</v>
      </c>
      <c r="J1001" s="69">
        <f t="shared" ca="1" si="230"/>
        <v>2.7596001688687394E-2</v>
      </c>
      <c r="K1001" s="69">
        <f t="shared" ca="1" si="230"/>
        <v>-0.51911105476480213</v>
      </c>
      <c r="L1001" s="69">
        <f t="shared" ca="1" si="230"/>
        <v>-0.64370562926402675</v>
      </c>
      <c r="N1001" s="69">
        <f t="shared" ca="1" si="219"/>
        <v>1.3919827703987906</v>
      </c>
      <c r="O1001" s="69">
        <f t="shared" ca="1" si="220"/>
        <v>-0.26559325368669451</v>
      </c>
      <c r="P1001" s="69">
        <f t="shared" ca="1" si="221"/>
        <v>-1.5291861599117904</v>
      </c>
      <c r="Q1001" s="69">
        <f t="shared" ca="1" si="222"/>
        <v>0.23181959905854149</v>
      </c>
      <c r="R1001" s="69">
        <f t="shared" ca="1" si="223"/>
        <v>2.6574609813600287</v>
      </c>
      <c r="S1001" s="69">
        <f t="shared" ca="1" si="224"/>
        <v>0.27869208831829984</v>
      </c>
      <c r="T1001" s="69">
        <f t="shared" ca="1" si="225"/>
        <v>1.5292020183589896</v>
      </c>
      <c r="U1001" s="69">
        <f t="shared" ca="1" si="226"/>
        <v>-2.2764275920707164</v>
      </c>
      <c r="V1001" s="69">
        <f t="shared" ca="1" si="227"/>
        <v>2.1486408115090064E-2</v>
      </c>
      <c r="W1001" s="69">
        <f t="shared" ca="1" si="228"/>
        <v>-0.51812969794070318</v>
      </c>
      <c r="X1001" s="69">
        <f t="shared" ca="1" si="229"/>
        <v>-0.61653713888959127</v>
      </c>
    </row>
    <row r="1002" spans="2:24" x14ac:dyDescent="0.2">
      <c r="B1002" s="69">
        <f t="shared" ca="1" si="218"/>
        <v>-0.89036032605534976</v>
      </c>
      <c r="C1002" s="69">
        <f t="shared" ca="1" si="230"/>
        <v>0.71587936791583129</v>
      </c>
      <c r="D1002" s="69">
        <f t="shared" ca="1" si="230"/>
        <v>1.7183939456305284</v>
      </c>
      <c r="E1002" s="69">
        <f t="shared" ca="1" si="230"/>
        <v>-1.3153342352619544</v>
      </c>
      <c r="F1002" s="69">
        <f t="shared" ca="1" si="230"/>
        <v>-0.48258899804356808</v>
      </c>
      <c r="G1002" s="69">
        <f t="shared" ca="1" si="230"/>
        <v>0.57327367969493526</v>
      </c>
      <c r="H1002" s="69">
        <f t="shared" ca="1" si="230"/>
        <v>0.43362263343623997</v>
      </c>
      <c r="I1002" s="69">
        <f t="shared" ca="1" si="230"/>
        <v>-1.640233871767155</v>
      </c>
      <c r="J1002" s="69">
        <f t="shared" ca="1" si="230"/>
        <v>0.84827778833300882</v>
      </c>
      <c r="K1002" s="69">
        <f t="shared" ca="1" si="230"/>
        <v>0.75895022222662845</v>
      </c>
      <c r="L1002" s="69">
        <f t="shared" ca="1" si="230"/>
        <v>0.2812168556858794</v>
      </c>
      <c r="N1002" s="69">
        <f t="shared" ca="1" si="219"/>
        <v>-0.85259228221724093</v>
      </c>
      <c r="O1002" s="69">
        <f t="shared" ca="1" si="220"/>
        <v>0.68938580483294465</v>
      </c>
      <c r="P1002" s="69">
        <f t="shared" ca="1" si="221"/>
        <v>1.6606518807934383</v>
      </c>
      <c r="Q1002" s="69">
        <f t="shared" ca="1" si="222"/>
        <v>-1.2662255564001954</v>
      </c>
      <c r="R1002" s="69">
        <f t="shared" ca="1" si="223"/>
        <v>-0.48888368345121697</v>
      </c>
      <c r="S1002" s="69">
        <f t="shared" ca="1" si="224"/>
        <v>0.60610065195174379</v>
      </c>
      <c r="T1002" s="69">
        <f t="shared" ca="1" si="225"/>
        <v>0.42879159572105013</v>
      </c>
      <c r="U1002" s="69">
        <f t="shared" ca="1" si="226"/>
        <v>-1.6171937448894453</v>
      </c>
      <c r="V1002" s="69">
        <f t="shared" ca="1" si="227"/>
        <v>0.84216819475941151</v>
      </c>
      <c r="W1002" s="69">
        <f t="shared" ca="1" si="228"/>
        <v>0.75993157905072739</v>
      </c>
      <c r="X1002" s="69">
        <f t="shared" ca="1" si="229"/>
        <v>0.30838534606031487</v>
      </c>
    </row>
    <row r="1003" spans="2:24" x14ac:dyDescent="0.2">
      <c r="B1003" s="69">
        <f t="shared" ca="1" si="218"/>
        <v>-0.76730323349067886</v>
      </c>
      <c r="C1003" s="69">
        <f t="shared" ca="1" si="230"/>
        <v>0.26847538569457141</v>
      </c>
      <c r="D1003" s="69">
        <f t="shared" ca="1" si="230"/>
        <v>0.71191758716204723</v>
      </c>
      <c r="E1003" s="69">
        <f t="shared" ca="1" si="230"/>
        <v>1.5777690958206293E-2</v>
      </c>
      <c r="F1003" s="69">
        <f t="shared" ca="1" si="230"/>
        <v>1.4675641181340084</v>
      </c>
      <c r="G1003" s="69">
        <f t="shared" ca="1" si="230"/>
        <v>1.4026036595925673</v>
      </c>
      <c r="H1003" s="69">
        <f t="shared" ca="1" si="230"/>
        <v>-1.1008330990828543</v>
      </c>
      <c r="I1003" s="69">
        <f t="shared" ca="1" si="230"/>
        <v>-1.3784317932318286</v>
      </c>
      <c r="J1003" s="69">
        <f t="shared" ca="1" si="230"/>
        <v>2.512139510852605</v>
      </c>
      <c r="K1003" s="69">
        <f t="shared" ca="1" si="230"/>
        <v>1.5218715067657074</v>
      </c>
      <c r="L1003" s="69">
        <f t="shared" ca="1" si="230"/>
        <v>0.68858077245008842</v>
      </c>
      <c r="N1003" s="69">
        <f t="shared" ca="1" si="219"/>
        <v>-0.72953518965257003</v>
      </c>
      <c r="O1003" s="69">
        <f t="shared" ca="1" si="220"/>
        <v>0.24198182261168472</v>
      </c>
      <c r="P1003" s="69">
        <f t="shared" ca="1" si="221"/>
        <v>0.65417552232495724</v>
      </c>
      <c r="Q1003" s="69">
        <f t="shared" ca="1" si="222"/>
        <v>6.4886369819965234E-2</v>
      </c>
      <c r="R1003" s="69">
        <f t="shared" ca="1" si="223"/>
        <v>1.4612694327263596</v>
      </c>
      <c r="S1003" s="69">
        <f t="shared" ca="1" si="224"/>
        <v>1.4354306318493757</v>
      </c>
      <c r="T1003" s="69">
        <f t="shared" ca="1" si="225"/>
        <v>-1.1056641367980442</v>
      </c>
      <c r="U1003" s="69">
        <f t="shared" ca="1" si="226"/>
        <v>-1.355391666354119</v>
      </c>
      <c r="V1003" s="69">
        <f t="shared" ca="1" si="227"/>
        <v>2.5060299172790077</v>
      </c>
      <c r="W1003" s="69">
        <f t="shared" ca="1" si="228"/>
        <v>1.5228528635898064</v>
      </c>
      <c r="X1003" s="69">
        <f t="shared" ca="1" si="229"/>
        <v>0.71574926282452389</v>
      </c>
    </row>
    <row r="1004" spans="2:24" x14ac:dyDescent="0.2">
      <c r="B1004" s="69">
        <f t="shared" ca="1" si="218"/>
        <v>0.70989845847873723</v>
      </c>
      <c r="C1004" s="69">
        <f t="shared" ca="1" si="230"/>
        <v>0.40073595712191457</v>
      </c>
      <c r="D1004" s="69">
        <f t="shared" ca="1" si="230"/>
        <v>-0.57848320588854008</v>
      </c>
      <c r="E1004" s="69">
        <f t="shared" ca="1" si="230"/>
        <v>-1.4694864690346372</v>
      </c>
      <c r="F1004" s="69">
        <f t="shared" ca="1" si="230"/>
        <v>-1.0007500337927395</v>
      </c>
      <c r="G1004" s="69">
        <f t="shared" ca="1" si="230"/>
        <v>0.87416609300013959</v>
      </c>
      <c r="H1004" s="69">
        <f t="shared" ca="1" si="230"/>
        <v>-0.48509031003372211</v>
      </c>
      <c r="I1004" s="69">
        <f t="shared" ca="1" si="230"/>
        <v>-0.97346825281231675</v>
      </c>
      <c r="J1004" s="69">
        <f t="shared" ca="1" si="230"/>
        <v>6.0238732539551948E-2</v>
      </c>
      <c r="K1004" s="69">
        <f t="shared" ca="1" si="230"/>
        <v>-2.357838371430208</v>
      </c>
      <c r="L1004" s="69">
        <f t="shared" ca="1" si="230"/>
        <v>0.53675617176404078</v>
      </c>
      <c r="N1004" s="69">
        <f t="shared" ca="1" si="219"/>
        <v>0.74766650231684606</v>
      </c>
      <c r="O1004" s="69">
        <f t="shared" ca="1" si="220"/>
        <v>0.37424239403902787</v>
      </c>
      <c r="P1004" s="69">
        <f t="shared" ca="1" si="221"/>
        <v>-0.63622527072563007</v>
      </c>
      <c r="Q1004" s="69">
        <f t="shared" ca="1" si="222"/>
        <v>-1.4203777901728782</v>
      </c>
      <c r="R1004" s="69">
        <f t="shared" ca="1" si="223"/>
        <v>-1.0070447192003884</v>
      </c>
      <c r="S1004" s="69">
        <f t="shared" ca="1" si="224"/>
        <v>0.90699306525694812</v>
      </c>
      <c r="T1004" s="69">
        <f t="shared" ca="1" si="225"/>
        <v>-0.48992134774891194</v>
      </c>
      <c r="U1004" s="69">
        <f t="shared" ca="1" si="226"/>
        <v>-0.95042812593460713</v>
      </c>
      <c r="V1004" s="69">
        <f t="shared" ca="1" si="227"/>
        <v>5.4129138965954615E-2</v>
      </c>
      <c r="W1004" s="69">
        <f t="shared" ca="1" si="228"/>
        <v>-2.356857014606109</v>
      </c>
      <c r="X1004" s="69">
        <f t="shared" ca="1" si="229"/>
        <v>0.56392466213847625</v>
      </c>
    </row>
    <row r="1005" spans="2:24" x14ac:dyDescent="0.2">
      <c r="B1005" s="69">
        <f t="shared" ca="1" si="218"/>
        <v>-0.68502226823953738</v>
      </c>
      <c r="C1005" s="69">
        <f t="shared" ca="1" si="230"/>
        <v>4.6501614301559337E-2</v>
      </c>
      <c r="D1005" s="69">
        <f t="shared" ca="1" si="230"/>
        <v>0.55551175975859002</v>
      </c>
      <c r="E1005" s="69">
        <f t="shared" ca="1" si="230"/>
        <v>-1.0026032801893947</v>
      </c>
      <c r="F1005" s="69">
        <f t="shared" ca="1" si="230"/>
        <v>-0.92847824144217195</v>
      </c>
      <c r="G1005" s="69">
        <f t="shared" ca="1" si="230"/>
        <v>0.86891416526880039</v>
      </c>
      <c r="H1005" s="69">
        <f t="shared" ca="1" si="230"/>
        <v>-0.16499759486378293</v>
      </c>
      <c r="I1005" s="69">
        <f t="shared" ca="1" si="230"/>
        <v>0.2069748091289752</v>
      </c>
      <c r="J1005" s="69">
        <f t="shared" ca="1" si="230"/>
        <v>-0.28046733966944354</v>
      </c>
      <c r="K1005" s="69">
        <f t="shared" ca="1" si="230"/>
        <v>1.1211490993117088</v>
      </c>
      <c r="L1005" s="69">
        <f t="shared" ca="1" si="230"/>
        <v>-0.25058203090709175</v>
      </c>
      <c r="N1005" s="69">
        <f t="shared" ca="1" si="219"/>
        <v>-0.64725422440142855</v>
      </c>
      <c r="O1005" s="69">
        <f t="shared" ca="1" si="220"/>
        <v>2.0008051218672652E-2</v>
      </c>
      <c r="P1005" s="69">
        <f t="shared" ca="1" si="221"/>
        <v>0.49776969492149997</v>
      </c>
      <c r="Q1005" s="69">
        <f t="shared" ca="1" si="222"/>
        <v>-0.95349460132763575</v>
      </c>
      <c r="R1005" s="69">
        <f t="shared" ca="1" si="223"/>
        <v>-0.93477292684982083</v>
      </c>
      <c r="S1005" s="69">
        <f t="shared" ca="1" si="224"/>
        <v>0.90174113752560892</v>
      </c>
      <c r="T1005" s="69">
        <f t="shared" ca="1" si="225"/>
        <v>-0.16982863257897277</v>
      </c>
      <c r="U1005" s="69">
        <f t="shared" ca="1" si="226"/>
        <v>0.23001493600668485</v>
      </c>
      <c r="V1005" s="69">
        <f t="shared" ca="1" si="227"/>
        <v>-0.28657693324304084</v>
      </c>
      <c r="W1005" s="69">
        <f t="shared" ca="1" si="228"/>
        <v>1.1221304561358079</v>
      </c>
      <c r="X1005" s="69">
        <f t="shared" ca="1" si="229"/>
        <v>-0.22341354053265627</v>
      </c>
    </row>
    <row r="1006" spans="2:24" x14ac:dyDescent="0.2">
      <c r="B1006" s="69">
        <f t="shared" ca="1" si="218"/>
        <v>-0.23982249499135125</v>
      </c>
      <c r="C1006" s="69">
        <f t="shared" ca="1" si="230"/>
        <v>-1.7092247984170401</v>
      </c>
      <c r="D1006" s="69">
        <f t="shared" ca="1" si="230"/>
        <v>0.40274436383663692</v>
      </c>
      <c r="E1006" s="69">
        <f t="shared" ca="1" si="230"/>
        <v>-0.43189633931446009</v>
      </c>
      <c r="F1006" s="69">
        <f t="shared" ca="1" si="230"/>
        <v>1.1256986969257436</v>
      </c>
      <c r="G1006" s="69">
        <f t="shared" ca="1" si="230"/>
        <v>0.80301581774433661</v>
      </c>
      <c r="H1006" s="69">
        <f t="shared" ca="1" si="230"/>
        <v>1.252761068133895</v>
      </c>
      <c r="I1006" s="69">
        <f t="shared" ca="1" si="230"/>
        <v>-0.13544034618577352</v>
      </c>
      <c r="J1006" s="69">
        <f t="shared" ca="1" si="230"/>
        <v>-1.109592658873398</v>
      </c>
      <c r="K1006" s="69">
        <f t="shared" ca="1" si="230"/>
        <v>1.180711090657609</v>
      </c>
      <c r="L1006" s="69">
        <f t="shared" ca="1" si="230"/>
        <v>2.070505606862004</v>
      </c>
      <c r="N1006" s="69">
        <f t="shared" ca="1" si="219"/>
        <v>-0.20205445115324244</v>
      </c>
      <c r="O1006" s="69">
        <f t="shared" ca="1" si="220"/>
        <v>-1.7357183614999268</v>
      </c>
      <c r="P1006" s="69">
        <f t="shared" ca="1" si="221"/>
        <v>0.34500229899954687</v>
      </c>
      <c r="Q1006" s="69">
        <f t="shared" ca="1" si="222"/>
        <v>-0.38278766045270113</v>
      </c>
      <c r="R1006" s="69">
        <f t="shared" ca="1" si="223"/>
        <v>1.1194040115180948</v>
      </c>
      <c r="S1006" s="69">
        <f t="shared" ca="1" si="224"/>
        <v>0.83584279000114514</v>
      </c>
      <c r="T1006" s="69">
        <f t="shared" ca="1" si="225"/>
        <v>1.2479300304187051</v>
      </c>
      <c r="U1006" s="69">
        <f t="shared" ca="1" si="226"/>
        <v>-0.11240021930806388</v>
      </c>
      <c r="V1006" s="69">
        <f t="shared" ca="1" si="227"/>
        <v>-1.1157022524469953</v>
      </c>
      <c r="W1006" s="69">
        <f t="shared" ca="1" si="228"/>
        <v>1.1816924474817081</v>
      </c>
      <c r="X1006" s="69">
        <f t="shared" ca="1" si="229"/>
        <v>2.0976740972364394</v>
      </c>
    </row>
    <row r="1007" spans="2:24" x14ac:dyDescent="0.2">
      <c r="B1007" s="69">
        <f t="shared" ca="1" si="218"/>
        <v>2.2357829423152293</v>
      </c>
      <c r="C1007" s="69">
        <f t="shared" ca="1" si="230"/>
        <v>-0.22418243351136508</v>
      </c>
      <c r="D1007" s="69">
        <f t="shared" ca="1" si="230"/>
        <v>0.42501658097041378</v>
      </c>
      <c r="E1007" s="69">
        <f t="shared" ca="1" si="230"/>
        <v>1.6190250609526569</v>
      </c>
      <c r="F1007" s="69">
        <f t="shared" ca="1" si="230"/>
        <v>-0.31748951825627975</v>
      </c>
      <c r="G1007" s="69">
        <f t="shared" ca="1" si="230"/>
        <v>0.81215870418059199</v>
      </c>
      <c r="H1007" s="69">
        <f t="shared" ca="1" si="230"/>
        <v>1.8648803836096184</v>
      </c>
      <c r="I1007" s="69">
        <f t="shared" ca="1" si="230"/>
        <v>-1.8147175824693693</v>
      </c>
      <c r="J1007" s="69">
        <f t="shared" ca="1" si="230"/>
        <v>-1.1720808690903488</v>
      </c>
      <c r="K1007" s="69">
        <f t="shared" ca="1" si="230"/>
        <v>0.73382449514263837</v>
      </c>
      <c r="L1007" s="69">
        <f t="shared" ca="1" si="230"/>
        <v>0.99991025242811271</v>
      </c>
      <c r="N1007" s="69">
        <f t="shared" ca="1" si="219"/>
        <v>2.2735509861533383</v>
      </c>
      <c r="O1007" s="69">
        <f t="shared" ca="1" si="220"/>
        <v>-0.25067599659425177</v>
      </c>
      <c r="P1007" s="69">
        <f t="shared" ca="1" si="221"/>
        <v>0.36727451613332374</v>
      </c>
      <c r="Q1007" s="69">
        <f t="shared" ca="1" si="222"/>
        <v>1.6681337398144158</v>
      </c>
      <c r="R1007" s="69">
        <f t="shared" ca="1" si="223"/>
        <v>-0.32378420366392863</v>
      </c>
      <c r="S1007" s="69">
        <f t="shared" ca="1" si="224"/>
        <v>0.84498567643740052</v>
      </c>
      <c r="T1007" s="69">
        <f t="shared" ca="1" si="225"/>
        <v>1.8600493458944285</v>
      </c>
      <c r="U1007" s="69">
        <f t="shared" ca="1" si="226"/>
        <v>-1.7916774555916597</v>
      </c>
      <c r="V1007" s="69">
        <f t="shared" ca="1" si="227"/>
        <v>-1.1781904626639461</v>
      </c>
      <c r="W1007" s="69">
        <f t="shared" ca="1" si="228"/>
        <v>0.73480585196673731</v>
      </c>
      <c r="X1007" s="69">
        <f t="shared" ca="1" si="229"/>
        <v>1.0270787428025483</v>
      </c>
    </row>
    <row r="1008" spans="2:24" x14ac:dyDescent="0.2">
      <c r="B1008" s="69">
        <f t="shared" ca="1" si="218"/>
        <v>-1.2702098201931915</v>
      </c>
      <c r="C1008" s="69">
        <f t="shared" ca="1" si="230"/>
        <v>-1.6871244497452929</v>
      </c>
      <c r="D1008" s="69">
        <f t="shared" ca="1" si="230"/>
        <v>-0.84886792351355178</v>
      </c>
      <c r="E1008" s="69">
        <f t="shared" ca="1" si="230"/>
        <v>0.11467711612787947</v>
      </c>
      <c r="F1008" s="69">
        <f t="shared" ca="1" si="230"/>
        <v>-0.24130332654336567</v>
      </c>
      <c r="G1008" s="69">
        <f t="shared" ca="1" si="230"/>
        <v>-3.6325025131232869E-2</v>
      </c>
      <c r="H1008" s="69">
        <f t="shared" ca="1" si="230"/>
        <v>1.9179759323552181</v>
      </c>
      <c r="I1008" s="69">
        <f t="shared" ca="1" si="230"/>
        <v>0.94945596344266669</v>
      </c>
      <c r="J1008" s="69">
        <f t="shared" ca="1" si="230"/>
        <v>0.54197083743754104</v>
      </c>
      <c r="K1008" s="69">
        <f t="shared" ca="1" si="230"/>
        <v>1.2817854429823339</v>
      </c>
      <c r="L1008" s="69">
        <f t="shared" ca="1" si="230"/>
        <v>-2.5833165006491647</v>
      </c>
      <c r="N1008" s="69">
        <f t="shared" ca="1" si="219"/>
        <v>-1.2324417763550828</v>
      </c>
      <c r="O1008" s="69">
        <f t="shared" ca="1" si="220"/>
        <v>-1.7136180128281795</v>
      </c>
      <c r="P1008" s="69">
        <f t="shared" ca="1" si="221"/>
        <v>-0.90660998835064177</v>
      </c>
      <c r="Q1008" s="69">
        <f t="shared" ca="1" si="222"/>
        <v>0.16378579498963841</v>
      </c>
      <c r="R1008" s="69">
        <f t="shared" ca="1" si="223"/>
        <v>-0.24759801195101458</v>
      </c>
      <c r="S1008" s="69">
        <f t="shared" ca="1" si="224"/>
        <v>-3.4980528744243886E-3</v>
      </c>
      <c r="T1008" s="69">
        <f t="shared" ca="1" si="225"/>
        <v>1.9131448946400282</v>
      </c>
      <c r="U1008" s="69">
        <f t="shared" ca="1" si="226"/>
        <v>0.97249609032037632</v>
      </c>
      <c r="V1008" s="69">
        <f t="shared" ca="1" si="227"/>
        <v>0.53586124386394374</v>
      </c>
      <c r="W1008" s="69">
        <f t="shared" ca="1" si="228"/>
        <v>1.2827667998064329</v>
      </c>
      <c r="X1008" s="69">
        <f t="shared" ca="1" si="229"/>
        <v>-2.5561480102747294</v>
      </c>
    </row>
    <row r="1010" spans="1:12" x14ac:dyDescent="0.2">
      <c r="A1010" s="25" t="s">
        <v>33</v>
      </c>
      <c r="B1010" s="71">
        <f ca="1">AVERAGE(B9:B1008)</f>
        <v>-3.776804383810882E-2</v>
      </c>
      <c r="C1010" s="71">
        <f t="shared" ref="C1010:L1010" ca="1" si="231">AVERAGE(C9:C1008)</f>
        <v>2.6493563082886685E-2</v>
      </c>
      <c r="D1010" s="71">
        <f t="shared" ca="1" si="231"/>
        <v>5.7742064837090032E-2</v>
      </c>
      <c r="E1010" s="71">
        <f t="shared" ca="1" si="231"/>
        <v>-4.9108678861758945E-2</v>
      </c>
      <c r="F1010" s="71">
        <f t="shared" ca="1" si="231"/>
        <v>6.2946854076488959E-3</v>
      </c>
      <c r="G1010" s="71">
        <f t="shared" ca="1" si="231"/>
        <v>-3.282697225680848E-2</v>
      </c>
      <c r="H1010" s="71">
        <f t="shared" ca="1" si="231"/>
        <v>4.8310377151898455E-3</v>
      </c>
      <c r="I1010" s="71">
        <f t="shared" ca="1" si="231"/>
        <v>-2.3040126877709656E-2</v>
      </c>
      <c r="J1010" s="71">
        <f t="shared" ca="1" si="231"/>
        <v>6.1095935735973302E-3</v>
      </c>
      <c r="K1010" s="71">
        <f t="shared" ca="1" si="231"/>
        <v>-9.8135682409895147E-4</v>
      </c>
      <c r="L1010" s="71">
        <f t="shared" ca="1" si="231"/>
        <v>-2.7168490374435479E-2</v>
      </c>
    </row>
    <row r="1011" spans="1:12" x14ac:dyDescent="0.2">
      <c r="A1011" s="25" t="s">
        <v>34</v>
      </c>
      <c r="B1011" s="25">
        <f ca="1">STDEV(B9:B1008)</f>
        <v>1.034638380444673</v>
      </c>
      <c r="C1011" s="25">
        <f t="shared" ref="C1011:L1011" ca="1" si="232">STDEV(C9:C1008)</f>
        <v>1.0260322998310774</v>
      </c>
      <c r="D1011" s="25">
        <f t="shared" ca="1" si="232"/>
        <v>1.0043306071228333</v>
      </c>
      <c r="E1011" s="25">
        <f t="shared" ca="1" si="232"/>
        <v>1.0124799586273017</v>
      </c>
      <c r="F1011" s="25">
        <f t="shared" ca="1" si="232"/>
        <v>1.0185358369022175</v>
      </c>
      <c r="G1011" s="25">
        <f t="shared" ca="1" si="232"/>
        <v>0.96794723763991786</v>
      </c>
      <c r="H1011" s="25">
        <f t="shared" ca="1" si="232"/>
        <v>1.0276854294827589</v>
      </c>
      <c r="I1011" s="25">
        <f t="shared" ca="1" si="232"/>
        <v>1.0068821979904858</v>
      </c>
      <c r="J1011" s="25">
        <f t="shared" ca="1" si="232"/>
        <v>0.99426330573718535</v>
      </c>
      <c r="K1011" s="25">
        <f t="shared" ca="1" si="232"/>
        <v>1.0250833183171288</v>
      </c>
      <c r="L1011" s="25">
        <f t="shared" ca="1" si="232"/>
        <v>0.98882532084725983</v>
      </c>
    </row>
    <row r="1012" spans="1:12" x14ac:dyDescent="0.2">
      <c r="A1012" s="24" t="s">
        <v>35</v>
      </c>
      <c r="B1012" s="24">
        <f ca="1">VAR(B9:B1008)</f>
        <v>1.0704765782891759</v>
      </c>
      <c r="C1012" s="24">
        <f t="shared" ref="C1012:L1012" ca="1" si="233">VAR(C9:C1008)</f>
        <v>1.05274228029665</v>
      </c>
      <c r="D1012" s="24">
        <f t="shared" ca="1" si="233"/>
        <v>1.0086799684037189</v>
      </c>
      <c r="E1012" s="24">
        <f t="shared" ca="1" si="233"/>
        <v>1.0251156666219425</v>
      </c>
      <c r="F1012" s="24">
        <f t="shared" ca="1" si="233"/>
        <v>1.0374152510541004</v>
      </c>
      <c r="G1012" s="24">
        <f t="shared" ca="1" si="233"/>
        <v>0.93692185485474755</v>
      </c>
      <c r="H1012" s="24">
        <f t="shared" ca="1" si="233"/>
        <v>1.0561373419711624</v>
      </c>
      <c r="I1012" s="24">
        <f t="shared" ca="1" si="233"/>
        <v>1.013811760630152</v>
      </c>
      <c r="J1012" s="24">
        <f t="shared" ca="1" si="233"/>
        <v>0.98855952113543577</v>
      </c>
      <c r="K1012" s="24">
        <f t="shared" ca="1" si="233"/>
        <v>1.050795809492056</v>
      </c>
      <c r="L1012" s="24">
        <f t="shared" ca="1" si="233"/>
        <v>0.97777551514868632</v>
      </c>
    </row>
  </sheetData>
  <mergeCells count="1">
    <mergeCell ref="N7:X7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41</xdr:col>
                    <xdr:colOff>25400</xdr:colOff>
                    <xdr:row>4</xdr:row>
                    <xdr:rowOff>12700</xdr:rowOff>
                  </from>
                  <to>
                    <xdr:col>41</xdr:col>
                    <xdr:colOff>584200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Simulation and  VaR</vt:lpstr>
      <vt:lpstr>Q12-Q13</vt:lpstr>
      <vt:lpstr>Q1-4</vt:lpstr>
      <vt:lpstr>Q5-6</vt:lpstr>
      <vt:lpstr>Q7</vt:lpstr>
      <vt:lpstr>Q8-11</vt:lpstr>
    </vt:vector>
  </TitlesOfParts>
  <Company>Bank of America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Abbott, Kenneth</dc:creator>
  <cp:lastModifiedBy>Microsoft Office User</cp:lastModifiedBy>
  <dcterms:created xsi:type="dcterms:W3CDTF">2005-03-03T17:43:31Z</dcterms:created>
  <dcterms:modified xsi:type="dcterms:W3CDTF">2017-02-16T21:59:13Z</dcterms:modified>
</cp:coreProperties>
</file>